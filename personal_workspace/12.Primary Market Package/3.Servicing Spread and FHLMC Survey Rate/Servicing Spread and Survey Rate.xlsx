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30" windowWidth="23475" windowHeight="16605"/>
  </bookViews>
  <sheets>
    <sheet name="ServicingSpreadCalculationProce" sheetId="1" r:id="rId1"/>
  </sheets>
  <calcPr calcId="145621"/>
</workbook>
</file>

<file path=xl/calcChain.xml><?xml version="1.0" encoding="utf-8"?>
<calcChain xmlns="http://schemas.openxmlformats.org/spreadsheetml/2006/main">
  <c r="D2243" i="1" l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D12" i="1"/>
  <c r="E12" i="1" s="1"/>
  <c r="D13" i="1"/>
  <c r="E13" i="1" s="1"/>
  <c r="D14" i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" i="1"/>
  <c r="E10" i="1"/>
  <c r="E11" i="1"/>
  <c r="E14" i="1"/>
  <c r="E22" i="1"/>
  <c r="E370" i="1"/>
  <c r="E594" i="1"/>
  <c r="E698" i="1"/>
  <c r="E786" i="1"/>
  <c r="E1290" i="1"/>
  <c r="E1364" i="1"/>
  <c r="E1378" i="1"/>
  <c r="E1468" i="1"/>
  <c r="E1634" i="1"/>
  <c r="E2018" i="1"/>
  <c r="E2042" i="1"/>
  <c r="E2130" i="1"/>
  <c r="E2" i="1" l="1"/>
  <c r="G2" i="1" s="1"/>
  <c r="F2" i="1"/>
  <c r="E3" i="1"/>
  <c r="F3" i="1" l="1"/>
  <c r="G3" i="1" l="1"/>
  <c r="F4" i="1"/>
  <c r="H3" i="1"/>
  <c r="I2" i="1"/>
  <c r="J3" i="1" s="1"/>
  <c r="H4" i="1" l="1"/>
  <c r="G4" i="1"/>
  <c r="F5" i="1"/>
  <c r="I3" i="1"/>
  <c r="J4" i="1" s="1"/>
  <c r="F6" i="1" l="1"/>
  <c r="I5" i="1" s="1"/>
  <c r="J6" i="1" s="1"/>
  <c r="H5" i="1"/>
  <c r="G5" i="1"/>
  <c r="I4" i="1"/>
  <c r="J5" i="1" s="1"/>
  <c r="G6" i="1" l="1"/>
  <c r="F7" i="1"/>
  <c r="H6" i="1"/>
  <c r="F8" i="1" l="1"/>
  <c r="I7" i="1" s="1"/>
  <c r="J8" i="1" s="1"/>
  <c r="H7" i="1"/>
  <c r="I6" i="1"/>
  <c r="J7" i="1" s="1"/>
  <c r="G7" i="1"/>
  <c r="G8" i="1" l="1"/>
  <c r="H8" i="1"/>
  <c r="F9" i="1"/>
  <c r="I8" i="1" l="1"/>
  <c r="J9" i="1" s="1"/>
  <c r="F10" i="1"/>
  <c r="I9" i="1" s="1"/>
  <c r="J10" i="1" s="1"/>
  <c r="H9" i="1"/>
  <c r="G9" i="1"/>
  <c r="G10" i="1" l="1"/>
  <c r="F11" i="1"/>
  <c r="I10" i="1" s="1"/>
  <c r="J11" i="1" s="1"/>
  <c r="H10" i="1"/>
  <c r="H11" i="1" l="1"/>
  <c r="F12" i="1"/>
  <c r="G11" i="1"/>
  <c r="F13" i="1" l="1"/>
  <c r="H12" i="1"/>
  <c r="G12" i="1"/>
  <c r="I11" i="1"/>
  <c r="J12" i="1" s="1"/>
  <c r="I12" i="1" l="1"/>
  <c r="J13" i="1" s="1"/>
  <c r="G13" i="1"/>
  <c r="F14" i="1"/>
  <c r="I13" i="1" s="1"/>
  <c r="J14" i="1" s="1"/>
  <c r="H13" i="1"/>
  <c r="H14" i="1" s="1"/>
  <c r="F15" i="1" l="1"/>
  <c r="I14" i="1" s="1"/>
  <c r="J15" i="1" s="1"/>
  <c r="G14" i="1"/>
  <c r="G15" i="1" l="1"/>
  <c r="F16" i="1"/>
  <c r="I15" i="1" s="1"/>
  <c r="J16" i="1" s="1"/>
  <c r="H15" i="1"/>
  <c r="H16" i="1" l="1"/>
  <c r="F17" i="1"/>
  <c r="I16" i="1" s="1"/>
  <c r="J17" i="1" s="1"/>
  <c r="G16" i="1"/>
  <c r="G17" i="1" l="1"/>
  <c r="H17" i="1"/>
  <c r="F18" i="1"/>
  <c r="I17" i="1" l="1"/>
  <c r="J18" i="1" s="1"/>
  <c r="F19" i="1"/>
  <c r="I18" i="1" s="1"/>
  <c r="J19" i="1" s="1"/>
  <c r="H18" i="1"/>
  <c r="H19" i="1" s="1"/>
  <c r="G18" i="1"/>
  <c r="F20" i="1" l="1"/>
  <c r="I19" i="1" s="1"/>
  <c r="J20" i="1" s="1"/>
  <c r="G19" i="1"/>
  <c r="G20" i="1" l="1"/>
  <c r="F21" i="1"/>
  <c r="H20" i="1"/>
  <c r="F22" i="1" l="1"/>
  <c r="I21" i="1" s="1"/>
  <c r="J22" i="1" s="1"/>
  <c r="H21" i="1"/>
  <c r="I20" i="1"/>
  <c r="J21" i="1" s="1"/>
  <c r="G21" i="1"/>
  <c r="G22" i="1" l="1"/>
  <c r="F23" i="1"/>
  <c r="H22" i="1"/>
  <c r="I22" i="1" l="1"/>
  <c r="J23" i="1" s="1"/>
  <c r="F24" i="1"/>
  <c r="I23" i="1" s="1"/>
  <c r="J24" i="1" s="1"/>
  <c r="H23" i="1"/>
  <c r="G23" i="1"/>
  <c r="H24" i="1" l="1"/>
  <c r="G24" i="1"/>
  <c r="F25" i="1"/>
  <c r="F26" i="1" l="1"/>
  <c r="I25" i="1" s="1"/>
  <c r="J26" i="1" s="1"/>
  <c r="I24" i="1"/>
  <c r="J25" i="1" s="1"/>
  <c r="H25" i="1"/>
  <c r="G25" i="1"/>
  <c r="G26" i="1" l="1"/>
  <c r="H26" i="1"/>
  <c r="F27" i="1"/>
  <c r="I26" i="1" s="1"/>
  <c r="J27" i="1" s="1"/>
  <c r="F28" i="1" l="1"/>
  <c r="G27" i="1"/>
  <c r="H27" i="1"/>
  <c r="I27" i="1" l="1"/>
  <c r="J28" i="1" s="1"/>
  <c r="F29" i="1"/>
  <c r="I28" i="1" s="1"/>
  <c r="J29" i="1" s="1"/>
  <c r="H28" i="1"/>
  <c r="G28" i="1"/>
  <c r="G29" i="1" l="1"/>
  <c r="F30" i="1"/>
  <c r="H29" i="1"/>
  <c r="F31" i="1" l="1"/>
  <c r="I30" i="1" s="1"/>
  <c r="J31" i="1" s="1"/>
  <c r="H30" i="1"/>
  <c r="I29" i="1"/>
  <c r="J30" i="1" s="1"/>
  <c r="G30" i="1"/>
  <c r="G31" i="1" l="1"/>
  <c r="F32" i="1"/>
  <c r="H31" i="1"/>
  <c r="H32" i="1" l="1"/>
  <c r="F33" i="1"/>
  <c r="I31" i="1"/>
  <c r="J32" i="1" s="1"/>
  <c r="G32" i="1"/>
  <c r="I32" i="1" l="1"/>
  <c r="J33" i="1" s="1"/>
  <c r="F34" i="1"/>
  <c r="I33" i="1" s="1"/>
  <c r="J34" i="1" s="1"/>
  <c r="H33" i="1"/>
  <c r="G33" i="1"/>
  <c r="G34" i="1" l="1"/>
  <c r="F35" i="1"/>
  <c r="I34" i="1" s="1"/>
  <c r="J35" i="1" s="1"/>
  <c r="H34" i="1"/>
  <c r="H35" i="1" l="1"/>
  <c r="F36" i="1"/>
  <c r="I35" i="1" s="1"/>
  <c r="J36" i="1" s="1"/>
  <c r="G35" i="1"/>
  <c r="G36" i="1" l="1"/>
  <c r="F37" i="1"/>
  <c r="H36" i="1"/>
  <c r="I36" i="1" l="1"/>
  <c r="J37" i="1" s="1"/>
  <c r="F38" i="1"/>
  <c r="I37" i="1" s="1"/>
  <c r="J38" i="1" s="1"/>
  <c r="H37" i="1"/>
  <c r="H38" i="1" s="1"/>
  <c r="G37" i="1"/>
  <c r="G38" i="1" s="1"/>
  <c r="F39" i="1" l="1"/>
  <c r="I38" i="1" s="1"/>
  <c r="J39" i="1" s="1"/>
  <c r="F40" i="1" l="1"/>
  <c r="I39" i="1" s="1"/>
  <c r="J40" i="1" s="1"/>
  <c r="H39" i="1"/>
  <c r="G39" i="1"/>
  <c r="G40" i="1" l="1"/>
  <c r="H40" i="1"/>
  <c r="F41" i="1"/>
  <c r="I40" i="1" s="1"/>
  <c r="J41" i="1" s="1"/>
  <c r="F42" i="1" l="1"/>
  <c r="G41" i="1"/>
  <c r="H41" i="1"/>
  <c r="I41" i="1" l="1"/>
  <c r="J42" i="1" s="1"/>
  <c r="F43" i="1"/>
  <c r="I42" i="1" s="1"/>
  <c r="J43" i="1" s="1"/>
  <c r="H42" i="1"/>
  <c r="G42" i="1"/>
  <c r="H43" i="1" l="1"/>
  <c r="F44" i="1"/>
  <c r="I43" i="1" s="1"/>
  <c r="J44" i="1" s="1"/>
  <c r="G43" i="1"/>
  <c r="G44" i="1" l="1"/>
  <c r="F45" i="1"/>
  <c r="I44" i="1" s="1"/>
  <c r="J45" i="1" s="1"/>
  <c r="H44" i="1"/>
  <c r="F46" i="1" l="1"/>
  <c r="I45" i="1" s="1"/>
  <c r="J46" i="1" s="1"/>
  <c r="H45" i="1"/>
  <c r="G45" i="1"/>
  <c r="G46" i="1" l="1"/>
  <c r="F47" i="1"/>
  <c r="H46" i="1"/>
  <c r="I46" i="1" s="1"/>
  <c r="J47" i="1" s="1"/>
  <c r="F48" i="1" l="1"/>
  <c r="I47" i="1" s="1"/>
  <c r="J48" i="1" s="1"/>
  <c r="H47" i="1"/>
  <c r="H48" i="1" s="1"/>
  <c r="G47" i="1"/>
  <c r="G48" i="1" l="1"/>
  <c r="F49" i="1"/>
  <c r="I48" i="1" s="1"/>
  <c r="J49" i="1" s="1"/>
  <c r="F50" i="1" l="1"/>
  <c r="I49" i="1" s="1"/>
  <c r="J50" i="1" s="1"/>
  <c r="H49" i="1"/>
  <c r="G49" i="1"/>
  <c r="G50" i="1" l="1"/>
  <c r="H50" i="1"/>
  <c r="F51" i="1"/>
  <c r="I50" i="1" s="1"/>
  <c r="J51" i="1" s="1"/>
  <c r="F52" i="1" l="1"/>
  <c r="H51" i="1"/>
  <c r="G51" i="1"/>
  <c r="I51" i="1" l="1"/>
  <c r="J52" i="1" s="1"/>
  <c r="F53" i="1"/>
  <c r="I52" i="1" s="1"/>
  <c r="J53" i="1" s="1"/>
  <c r="H52" i="1"/>
  <c r="G52" i="1"/>
  <c r="G53" i="1" l="1"/>
  <c r="F54" i="1"/>
  <c r="I53" i="1" s="1"/>
  <c r="J54" i="1" s="1"/>
  <c r="H53" i="1"/>
  <c r="F55" i="1" l="1"/>
  <c r="I54" i="1" s="1"/>
  <c r="J55" i="1" s="1"/>
  <c r="H54" i="1"/>
  <c r="G54" i="1"/>
  <c r="G55" i="1" l="1"/>
  <c r="H55" i="1"/>
  <c r="F56" i="1"/>
  <c r="G56" i="1" l="1"/>
  <c r="I55" i="1"/>
  <c r="J56" i="1" s="1"/>
  <c r="F57" i="1"/>
  <c r="H56" i="1"/>
  <c r="F58" i="1" l="1"/>
  <c r="I57" i="1" s="1"/>
  <c r="J58" i="1" s="1"/>
  <c r="H57" i="1"/>
  <c r="G57" i="1"/>
  <c r="I56" i="1"/>
  <c r="J57" i="1" s="1"/>
  <c r="F59" i="1" l="1"/>
  <c r="I58" i="1" s="1"/>
  <c r="J59" i="1" s="1"/>
  <c r="H58" i="1"/>
  <c r="G58" i="1"/>
  <c r="G59" i="1" l="1"/>
  <c r="H59" i="1"/>
  <c r="F60" i="1"/>
  <c r="I59" i="1" s="1"/>
  <c r="J60" i="1" s="1"/>
  <c r="F61" i="1" l="1"/>
  <c r="I60" i="1" s="1"/>
  <c r="J61" i="1" s="1"/>
  <c r="H60" i="1"/>
  <c r="H61" i="1" s="1"/>
  <c r="G60" i="1"/>
  <c r="G61" i="1" s="1"/>
  <c r="F62" i="1" l="1"/>
  <c r="I61" i="1" s="1"/>
  <c r="J62" i="1" s="1"/>
  <c r="F63" i="1" l="1"/>
  <c r="I62" i="1" s="1"/>
  <c r="J63" i="1" s="1"/>
  <c r="H62" i="1"/>
  <c r="G62" i="1"/>
  <c r="G63" i="1" l="1"/>
  <c r="H63" i="1"/>
  <c r="F64" i="1"/>
  <c r="H64" i="1" s="1"/>
  <c r="I63" i="1" l="1"/>
  <c r="J64" i="1" s="1"/>
  <c r="F65" i="1"/>
  <c r="G64" i="1"/>
  <c r="G65" i="1" l="1"/>
  <c r="F66" i="1"/>
  <c r="I65" i="1" s="1"/>
  <c r="J66" i="1" s="1"/>
  <c r="I64" i="1"/>
  <c r="J65" i="1" s="1"/>
  <c r="H65" i="1"/>
  <c r="H66" i="1" l="1"/>
  <c r="F67" i="1"/>
  <c r="G66" i="1"/>
  <c r="G67" i="1" s="1"/>
  <c r="I66" i="1" l="1"/>
  <c r="J67" i="1" s="1"/>
  <c r="F68" i="1"/>
  <c r="I67" i="1" s="1"/>
  <c r="J68" i="1" s="1"/>
  <c r="H67" i="1"/>
  <c r="F69" i="1" l="1"/>
  <c r="I68" i="1" s="1"/>
  <c r="J69" i="1" s="1"/>
  <c r="H68" i="1"/>
  <c r="G68" i="1"/>
  <c r="F70" i="1" l="1"/>
  <c r="I69" i="1" s="1"/>
  <c r="J70" i="1" s="1"/>
  <c r="H69" i="1"/>
  <c r="G69" i="1"/>
  <c r="G70" i="1" l="1"/>
  <c r="F71" i="1"/>
  <c r="I70" i="1" s="1"/>
  <c r="J71" i="1" s="1"/>
  <c r="H70" i="1"/>
  <c r="F72" i="1" l="1"/>
  <c r="H71" i="1"/>
  <c r="G71" i="1"/>
  <c r="G72" i="1" l="1"/>
  <c r="I71" i="1"/>
  <c r="J72" i="1" s="1"/>
  <c r="F73" i="1"/>
  <c r="H72" i="1"/>
  <c r="H73" i="1" l="1"/>
  <c r="F74" i="1"/>
  <c r="I73" i="1" s="1"/>
  <c r="J74" i="1" s="1"/>
  <c r="G73" i="1"/>
  <c r="I72" i="1"/>
  <c r="J73" i="1" s="1"/>
  <c r="F75" i="1" l="1"/>
  <c r="I74" i="1" s="1"/>
  <c r="J75" i="1" s="1"/>
  <c r="G74" i="1"/>
  <c r="H74" i="1"/>
  <c r="H75" i="1" s="1"/>
  <c r="G75" i="1" l="1"/>
  <c r="F76" i="1"/>
  <c r="I75" i="1" s="1"/>
  <c r="J76" i="1" s="1"/>
  <c r="F77" i="1" l="1"/>
  <c r="I76" i="1" s="1"/>
  <c r="J77" i="1" s="1"/>
  <c r="H76" i="1"/>
  <c r="G76" i="1"/>
  <c r="G77" i="1" s="1"/>
  <c r="F78" i="1" l="1"/>
  <c r="I77" i="1" s="1"/>
  <c r="J78" i="1" s="1"/>
  <c r="H77" i="1"/>
  <c r="H78" i="1" s="1"/>
  <c r="F79" i="1" l="1"/>
  <c r="G78" i="1"/>
  <c r="F80" i="1" l="1"/>
  <c r="I79" i="1" s="1"/>
  <c r="J80" i="1" s="1"/>
  <c r="G79" i="1"/>
  <c r="I78" i="1"/>
  <c r="J79" i="1" s="1"/>
  <c r="H79" i="1"/>
  <c r="H80" i="1" s="1"/>
  <c r="G80" i="1" l="1"/>
  <c r="F81" i="1"/>
  <c r="I80" i="1" s="1"/>
  <c r="J81" i="1" s="1"/>
  <c r="F82" i="1" l="1"/>
  <c r="I81" i="1" s="1"/>
  <c r="J82" i="1" s="1"/>
  <c r="H81" i="1"/>
  <c r="G81" i="1"/>
  <c r="G82" i="1" l="1"/>
  <c r="F83" i="1"/>
  <c r="I82" i="1" s="1"/>
  <c r="J83" i="1" s="1"/>
  <c r="H82" i="1"/>
  <c r="H83" i="1" s="1"/>
  <c r="F84" i="1" l="1"/>
  <c r="I83" i="1" s="1"/>
  <c r="J84" i="1" s="1"/>
  <c r="G83" i="1"/>
  <c r="F85" i="1" l="1"/>
  <c r="I84" i="1" s="1"/>
  <c r="J85" i="1" s="1"/>
  <c r="G84" i="1"/>
  <c r="H84" i="1"/>
  <c r="G85" i="1" l="1"/>
  <c r="F86" i="1"/>
  <c r="H85" i="1"/>
  <c r="I85" i="1" l="1"/>
  <c r="J86" i="1" s="1"/>
  <c r="F87" i="1"/>
  <c r="I86" i="1" s="1"/>
  <c r="J87" i="1" s="1"/>
  <c r="H86" i="1"/>
  <c r="H87" i="1" s="1"/>
  <c r="G86" i="1"/>
  <c r="G87" i="1" s="1"/>
  <c r="F88" i="1" l="1"/>
  <c r="I87" i="1" s="1"/>
  <c r="J88" i="1" s="1"/>
  <c r="F89" i="1" l="1"/>
  <c r="I88" i="1"/>
  <c r="J89" i="1" s="1"/>
  <c r="H88" i="1"/>
  <c r="H89" i="1" s="1"/>
  <c r="G88" i="1"/>
  <c r="G89" i="1" s="1"/>
  <c r="F90" i="1" l="1"/>
  <c r="I89" i="1" s="1"/>
  <c r="J90" i="1" s="1"/>
  <c r="F91" i="1" l="1"/>
  <c r="H90" i="1"/>
  <c r="G90" i="1"/>
  <c r="I90" i="1" l="1"/>
  <c r="J91" i="1" s="1"/>
  <c r="F92" i="1"/>
  <c r="I91" i="1" s="1"/>
  <c r="J92" i="1" s="1"/>
  <c r="H91" i="1"/>
  <c r="G91" i="1"/>
  <c r="G92" i="1" s="1"/>
  <c r="F93" i="1" l="1"/>
  <c r="I92" i="1" s="1"/>
  <c r="J93" i="1" s="1"/>
  <c r="H92" i="1"/>
  <c r="F94" i="1" l="1"/>
  <c r="I93" i="1" s="1"/>
  <c r="J94" i="1" s="1"/>
  <c r="H93" i="1"/>
  <c r="H94" i="1" s="1"/>
  <c r="G93" i="1"/>
  <c r="G94" i="1" s="1"/>
  <c r="F95" i="1" l="1"/>
  <c r="I94" i="1" s="1"/>
  <c r="J95" i="1" s="1"/>
  <c r="F96" i="1" l="1"/>
  <c r="H95" i="1"/>
  <c r="G95" i="1"/>
  <c r="G96" i="1" l="1"/>
  <c r="I95" i="1"/>
  <c r="J96" i="1" s="1"/>
  <c r="F97" i="1"/>
  <c r="I96" i="1" s="1"/>
  <c r="J97" i="1" s="1"/>
  <c r="H96" i="1"/>
  <c r="H97" i="1" s="1"/>
  <c r="F98" i="1" l="1"/>
  <c r="I97" i="1" s="1"/>
  <c r="J98" i="1" s="1"/>
  <c r="G97" i="1"/>
  <c r="G98" i="1" s="1"/>
  <c r="F99" i="1" l="1"/>
  <c r="I98" i="1" s="1"/>
  <c r="J99" i="1" s="1"/>
  <c r="H98" i="1"/>
  <c r="H99" i="1" s="1"/>
  <c r="F100" i="1" l="1"/>
  <c r="I99" i="1" s="1"/>
  <c r="J100" i="1" s="1"/>
  <c r="G99" i="1"/>
  <c r="G100" i="1" l="1"/>
  <c r="F101" i="1"/>
  <c r="H100" i="1"/>
  <c r="I100" i="1" l="1"/>
  <c r="J101" i="1" s="1"/>
  <c r="F102" i="1"/>
  <c r="I101" i="1" s="1"/>
  <c r="J102" i="1" s="1"/>
  <c r="H101" i="1"/>
  <c r="H102" i="1" s="1"/>
  <c r="G101" i="1"/>
  <c r="G102" i="1" l="1"/>
  <c r="F103" i="1"/>
  <c r="I102" i="1" s="1"/>
  <c r="J103" i="1" s="1"/>
  <c r="F104" i="1" l="1"/>
  <c r="I103" i="1" s="1"/>
  <c r="J104" i="1" s="1"/>
  <c r="H103" i="1"/>
  <c r="H104" i="1" s="1"/>
  <c r="G103" i="1"/>
  <c r="G104" i="1" s="1"/>
  <c r="F105" i="1" l="1"/>
  <c r="I104" i="1" s="1"/>
  <c r="J105" i="1" s="1"/>
  <c r="F106" i="1" l="1"/>
  <c r="I105" i="1" s="1"/>
  <c r="J106" i="1" s="1"/>
  <c r="H105" i="1"/>
  <c r="G105" i="1"/>
  <c r="F107" i="1" l="1"/>
  <c r="I106" i="1" s="1"/>
  <c r="J107" i="1" s="1"/>
  <c r="H106" i="1"/>
  <c r="G106" i="1"/>
  <c r="H107" i="1" l="1"/>
  <c r="F108" i="1"/>
  <c r="I107" i="1" s="1"/>
  <c r="J108" i="1" s="1"/>
  <c r="G107" i="1"/>
  <c r="G108" i="1" l="1"/>
  <c r="F109" i="1"/>
  <c r="I108" i="1" s="1"/>
  <c r="J109" i="1" s="1"/>
  <c r="H108" i="1"/>
  <c r="H109" i="1" l="1"/>
  <c r="F110" i="1"/>
  <c r="G109" i="1"/>
  <c r="I109" i="1" l="1"/>
  <c r="J110" i="1" s="1"/>
  <c r="F111" i="1"/>
  <c r="I110" i="1" s="1"/>
  <c r="J111" i="1" s="1"/>
  <c r="H110" i="1"/>
  <c r="G110" i="1"/>
  <c r="G111" i="1" l="1"/>
  <c r="H111" i="1"/>
  <c r="F112" i="1"/>
  <c r="I111" i="1" s="1"/>
  <c r="J112" i="1" s="1"/>
  <c r="F113" i="1" l="1"/>
  <c r="I112" i="1" s="1"/>
  <c r="J113" i="1" s="1"/>
  <c r="H112" i="1"/>
  <c r="G112" i="1"/>
  <c r="G113" i="1" l="1"/>
  <c r="H113" i="1"/>
  <c r="F114" i="1"/>
  <c r="I113" i="1" s="1"/>
  <c r="J114" i="1" s="1"/>
  <c r="F115" i="1" l="1"/>
  <c r="G114" i="1"/>
  <c r="H114" i="1"/>
  <c r="I114" i="1" l="1"/>
  <c r="J115" i="1" s="1"/>
  <c r="F116" i="1"/>
  <c r="I115" i="1" s="1"/>
  <c r="J116" i="1" s="1"/>
  <c r="H115" i="1"/>
  <c r="G115" i="1"/>
  <c r="G116" i="1" l="1"/>
  <c r="F117" i="1"/>
  <c r="I116" i="1" s="1"/>
  <c r="J117" i="1" s="1"/>
  <c r="H116" i="1"/>
  <c r="F118" i="1" l="1"/>
  <c r="I117" i="1" s="1"/>
  <c r="J118" i="1" s="1"/>
  <c r="H117" i="1"/>
  <c r="G117" i="1"/>
  <c r="G118" i="1" l="1"/>
  <c r="H118" i="1"/>
  <c r="F119" i="1"/>
  <c r="H119" i="1" s="1"/>
  <c r="I118" i="1" l="1"/>
  <c r="J119" i="1" s="1"/>
  <c r="F120" i="1"/>
  <c r="G119" i="1"/>
  <c r="F121" i="1" l="1"/>
  <c r="I120" i="1" s="1"/>
  <c r="J121" i="1" s="1"/>
  <c r="H120" i="1"/>
  <c r="G120" i="1"/>
  <c r="I119" i="1"/>
  <c r="J120" i="1" s="1"/>
  <c r="H121" i="1" l="1"/>
  <c r="F122" i="1"/>
  <c r="I121" i="1" s="1"/>
  <c r="J122" i="1" s="1"/>
  <c r="G121" i="1"/>
  <c r="F123" i="1" l="1"/>
  <c r="I122" i="1" s="1"/>
  <c r="J123" i="1" s="1"/>
  <c r="G122" i="1"/>
  <c r="H122" i="1"/>
  <c r="H123" i="1" l="1"/>
  <c r="F124" i="1"/>
  <c r="I123" i="1" s="1"/>
  <c r="J124" i="1" s="1"/>
  <c r="G123" i="1"/>
  <c r="G124" i="1" l="1"/>
  <c r="F125" i="1"/>
  <c r="H124" i="1"/>
  <c r="I124" i="1" l="1"/>
  <c r="J125" i="1" s="1"/>
  <c r="F126" i="1"/>
  <c r="I125" i="1" s="1"/>
  <c r="J126" i="1" s="1"/>
  <c r="H125" i="1"/>
  <c r="G125" i="1"/>
  <c r="H126" i="1" l="1"/>
  <c r="F127" i="1"/>
  <c r="I126" i="1" s="1"/>
  <c r="J127" i="1" s="1"/>
  <c r="G126" i="1"/>
  <c r="G127" i="1" l="1"/>
  <c r="F128" i="1"/>
  <c r="I127" i="1" s="1"/>
  <c r="J128" i="1" s="1"/>
  <c r="H127" i="1"/>
  <c r="H128" i="1" l="1"/>
  <c r="F129" i="1"/>
  <c r="G128" i="1"/>
  <c r="I128" i="1" l="1"/>
  <c r="J129" i="1" s="1"/>
  <c r="F130" i="1"/>
  <c r="I129" i="1" s="1"/>
  <c r="J130" i="1" s="1"/>
  <c r="H129" i="1"/>
  <c r="G129" i="1"/>
  <c r="F131" i="1" l="1"/>
  <c r="I130" i="1" s="1"/>
  <c r="J131" i="1" s="1"/>
  <c r="H130" i="1"/>
  <c r="G130" i="1"/>
  <c r="H131" i="1" l="1"/>
  <c r="F132" i="1"/>
  <c r="G131" i="1"/>
  <c r="G132" i="1" l="1"/>
  <c r="F133" i="1"/>
  <c r="I132" i="1" s="1"/>
  <c r="J133" i="1" s="1"/>
  <c r="I131" i="1"/>
  <c r="J132" i="1" s="1"/>
  <c r="H132" i="1"/>
  <c r="G133" i="1" l="1"/>
  <c r="F134" i="1"/>
  <c r="H133" i="1"/>
  <c r="I133" i="1" l="1"/>
  <c r="J134" i="1" s="1"/>
  <c r="F135" i="1"/>
  <c r="I134" i="1" s="1"/>
  <c r="J135" i="1" s="1"/>
  <c r="H134" i="1"/>
  <c r="G134" i="1"/>
  <c r="H135" i="1" l="1"/>
  <c r="F136" i="1"/>
  <c r="I135" i="1" s="1"/>
  <c r="J136" i="1" s="1"/>
  <c r="G135" i="1"/>
  <c r="G136" i="1" l="1"/>
  <c r="F137" i="1"/>
  <c r="I136" i="1" s="1"/>
  <c r="J137" i="1" s="1"/>
  <c r="H136" i="1"/>
  <c r="H137" i="1" s="1"/>
  <c r="F138" i="1" l="1"/>
  <c r="G137" i="1"/>
  <c r="F139" i="1" l="1"/>
  <c r="G138" i="1"/>
  <c r="I137" i="1"/>
  <c r="J138" i="1" s="1"/>
  <c r="H138" i="1"/>
  <c r="I138" i="1" l="1"/>
  <c r="J139" i="1" s="1"/>
  <c r="F140" i="1"/>
  <c r="I139" i="1" s="1"/>
  <c r="J140" i="1" s="1"/>
  <c r="H139" i="1"/>
  <c r="G139" i="1"/>
  <c r="F141" i="1" l="1"/>
  <c r="I140" i="1" s="1"/>
  <c r="J141" i="1" s="1"/>
  <c r="H140" i="1"/>
  <c r="G140" i="1"/>
  <c r="G141" i="1" s="1"/>
  <c r="F142" i="1" l="1"/>
  <c r="I141" i="1" s="1"/>
  <c r="J142" i="1" s="1"/>
  <c r="H141" i="1"/>
  <c r="H142" i="1" s="1"/>
  <c r="F143" i="1" l="1"/>
  <c r="I142" i="1" s="1"/>
  <c r="J143" i="1" s="1"/>
  <c r="G142" i="1"/>
  <c r="G143" i="1" l="1"/>
  <c r="F144" i="1"/>
  <c r="H143" i="1"/>
  <c r="I143" i="1" l="1"/>
  <c r="J144" i="1" s="1"/>
  <c r="F145" i="1"/>
  <c r="I144" i="1" s="1"/>
  <c r="J145" i="1" s="1"/>
  <c r="H144" i="1"/>
  <c r="G144" i="1"/>
  <c r="H145" i="1" l="1"/>
  <c r="F146" i="1"/>
  <c r="G145" i="1"/>
  <c r="G146" i="1" l="1"/>
  <c r="F147" i="1"/>
  <c r="I146" i="1" s="1"/>
  <c r="J147" i="1" s="1"/>
  <c r="I145" i="1"/>
  <c r="J146" i="1" s="1"/>
  <c r="H146" i="1"/>
  <c r="H147" i="1" s="1"/>
  <c r="G147" i="1" l="1"/>
  <c r="F148" i="1"/>
  <c r="I147" i="1" s="1"/>
  <c r="J148" i="1" s="1"/>
  <c r="F149" i="1" l="1"/>
  <c r="G148" i="1"/>
  <c r="H148" i="1"/>
  <c r="I148" i="1" l="1"/>
  <c r="J149" i="1" s="1"/>
  <c r="F150" i="1"/>
  <c r="I149" i="1" s="1"/>
  <c r="J150" i="1" s="1"/>
  <c r="H149" i="1"/>
  <c r="G149" i="1"/>
  <c r="G150" i="1" s="1"/>
  <c r="H150" i="1" l="1"/>
  <c r="F151" i="1"/>
  <c r="I150" i="1" s="1"/>
  <c r="J151" i="1" s="1"/>
  <c r="F152" i="1" l="1"/>
  <c r="I151" i="1" s="1"/>
  <c r="J152" i="1" s="1"/>
  <c r="G151" i="1"/>
  <c r="H151" i="1"/>
  <c r="H152" i="1" s="1"/>
  <c r="G152" i="1" l="1"/>
  <c r="F153" i="1"/>
  <c r="I152" i="1" s="1"/>
  <c r="J153" i="1" s="1"/>
  <c r="F154" i="1" l="1"/>
  <c r="G153" i="1"/>
  <c r="H153" i="1"/>
  <c r="I153" i="1" l="1"/>
  <c r="J154" i="1" s="1"/>
  <c r="F155" i="1"/>
  <c r="I154" i="1" s="1"/>
  <c r="J155" i="1" s="1"/>
  <c r="H154" i="1"/>
  <c r="G154" i="1"/>
  <c r="G155" i="1" l="1"/>
  <c r="H155" i="1"/>
  <c r="F156" i="1"/>
  <c r="I155" i="1" s="1"/>
  <c r="J156" i="1" s="1"/>
  <c r="F157" i="1" l="1"/>
  <c r="I156" i="1" s="1"/>
  <c r="J157" i="1" s="1"/>
  <c r="H156" i="1"/>
  <c r="H157" i="1" s="1"/>
  <c r="G156" i="1"/>
  <c r="G157" i="1" s="1"/>
  <c r="F158" i="1" l="1"/>
  <c r="H158" i="1" s="1"/>
  <c r="I157" i="1" l="1"/>
  <c r="J158" i="1" s="1"/>
  <c r="F159" i="1"/>
  <c r="G158" i="1"/>
  <c r="F160" i="1" l="1"/>
  <c r="I159" i="1" s="1"/>
  <c r="J160" i="1" s="1"/>
  <c r="H159" i="1"/>
  <c r="G159" i="1"/>
  <c r="I158" i="1"/>
  <c r="J159" i="1" s="1"/>
  <c r="G160" i="1" l="1"/>
  <c r="H160" i="1"/>
  <c r="F161" i="1"/>
  <c r="G161" i="1" s="1"/>
  <c r="I160" i="1" l="1"/>
  <c r="J161" i="1" s="1"/>
  <c r="F162" i="1"/>
  <c r="H161" i="1"/>
  <c r="H162" i="1" s="1"/>
  <c r="F163" i="1" l="1"/>
  <c r="I162" i="1" s="1"/>
  <c r="J163" i="1" s="1"/>
  <c r="I161" i="1"/>
  <c r="J162" i="1" s="1"/>
  <c r="G162" i="1"/>
  <c r="G163" i="1" s="1"/>
  <c r="F164" i="1" l="1"/>
  <c r="H163" i="1"/>
  <c r="I163" i="1" l="1"/>
  <c r="J164" i="1" s="1"/>
  <c r="F165" i="1"/>
  <c r="I164" i="1" s="1"/>
  <c r="J165" i="1" s="1"/>
  <c r="H164" i="1"/>
  <c r="G164" i="1"/>
  <c r="F166" i="1" l="1"/>
  <c r="I165" i="1" s="1"/>
  <c r="J166" i="1" s="1"/>
  <c r="H165" i="1"/>
  <c r="G165" i="1"/>
  <c r="G166" i="1" s="1"/>
  <c r="F167" i="1" l="1"/>
  <c r="I166" i="1" s="1"/>
  <c r="J167" i="1" s="1"/>
  <c r="H166" i="1"/>
  <c r="F168" i="1" l="1"/>
  <c r="I167" i="1" s="1"/>
  <c r="J168" i="1" s="1"/>
  <c r="H167" i="1"/>
  <c r="G167" i="1"/>
  <c r="G168" i="1" l="1"/>
  <c r="H168" i="1"/>
  <c r="F169" i="1"/>
  <c r="I168" i="1" s="1"/>
  <c r="J169" i="1" s="1"/>
  <c r="F170" i="1" l="1"/>
  <c r="I169" i="1" s="1"/>
  <c r="J170" i="1" s="1"/>
  <c r="H169" i="1"/>
  <c r="G169" i="1"/>
  <c r="G170" i="1" s="1"/>
  <c r="F171" i="1" l="1"/>
  <c r="I170" i="1" s="1"/>
  <c r="J171" i="1" s="1"/>
  <c r="H170" i="1"/>
  <c r="H171" i="1" s="1"/>
  <c r="F172" i="1" l="1"/>
  <c r="I171" i="1" s="1"/>
  <c r="J172" i="1" s="1"/>
  <c r="G171" i="1"/>
  <c r="G172" i="1" s="1"/>
  <c r="F173" i="1" l="1"/>
  <c r="H172" i="1"/>
  <c r="I172" i="1" l="1"/>
  <c r="J173" i="1" s="1"/>
  <c r="F174" i="1"/>
  <c r="I173" i="1" s="1"/>
  <c r="J174" i="1" s="1"/>
  <c r="H173" i="1"/>
  <c r="H174" i="1" s="1"/>
  <c r="G173" i="1"/>
  <c r="G174" i="1" l="1"/>
  <c r="F175" i="1"/>
  <c r="I174" i="1" s="1"/>
  <c r="J175" i="1" s="1"/>
  <c r="F176" i="1" l="1"/>
  <c r="I175" i="1" s="1"/>
  <c r="J176" i="1" s="1"/>
  <c r="H175" i="1"/>
  <c r="G175" i="1"/>
  <c r="G176" i="1" s="1"/>
  <c r="H176" i="1" l="1"/>
  <c r="F177" i="1"/>
  <c r="I176" i="1" s="1"/>
  <c r="J177" i="1" s="1"/>
  <c r="F178" i="1" l="1"/>
  <c r="H177" i="1"/>
  <c r="G177" i="1"/>
  <c r="I177" i="1" l="1"/>
  <c r="J178" i="1" s="1"/>
  <c r="F179" i="1"/>
  <c r="I178" i="1" s="1"/>
  <c r="J179" i="1" s="1"/>
  <c r="H178" i="1"/>
  <c r="H179" i="1" s="1"/>
  <c r="G178" i="1"/>
  <c r="G179" i="1" s="1"/>
  <c r="F180" i="1" l="1"/>
  <c r="I179" i="1" s="1"/>
  <c r="J180" i="1" s="1"/>
  <c r="F181" i="1" l="1"/>
  <c r="I180" i="1" s="1"/>
  <c r="J181" i="1" s="1"/>
  <c r="G180" i="1"/>
  <c r="H180" i="1"/>
  <c r="G181" i="1" l="1"/>
  <c r="F182" i="1"/>
  <c r="I181" i="1" s="1"/>
  <c r="J182" i="1" s="1"/>
  <c r="H181" i="1"/>
  <c r="F183" i="1" l="1"/>
  <c r="H182" i="1"/>
  <c r="G182" i="1"/>
  <c r="I182" i="1" l="1"/>
  <c r="J183" i="1" s="1"/>
  <c r="F184" i="1"/>
  <c r="I183" i="1" s="1"/>
  <c r="J184" i="1" s="1"/>
  <c r="H183" i="1"/>
  <c r="G183" i="1"/>
  <c r="H184" i="1" l="1"/>
  <c r="G184" i="1"/>
  <c r="F185" i="1"/>
  <c r="I184" i="1" s="1"/>
  <c r="J185" i="1" s="1"/>
  <c r="F186" i="1" l="1"/>
  <c r="I185" i="1" s="1"/>
  <c r="J186" i="1" s="1"/>
  <c r="H185" i="1"/>
  <c r="G185" i="1"/>
  <c r="G186" i="1" l="1"/>
  <c r="F187" i="1"/>
  <c r="I186" i="1" s="1"/>
  <c r="J187" i="1" s="1"/>
  <c r="H186" i="1"/>
  <c r="H187" i="1" s="1"/>
  <c r="F188" i="1" l="1"/>
  <c r="G187" i="1"/>
  <c r="I187" i="1" l="1"/>
  <c r="J188" i="1" s="1"/>
  <c r="F189" i="1"/>
  <c r="I188" i="1" s="1"/>
  <c r="J189" i="1" s="1"/>
  <c r="H188" i="1"/>
  <c r="G188" i="1"/>
  <c r="G189" i="1" l="1"/>
  <c r="F190" i="1"/>
  <c r="I189" i="1" s="1"/>
  <c r="J190" i="1" s="1"/>
  <c r="H189" i="1"/>
  <c r="F191" i="1" l="1"/>
  <c r="I190" i="1" s="1"/>
  <c r="J191" i="1" s="1"/>
  <c r="H190" i="1"/>
  <c r="G190" i="1"/>
  <c r="G191" i="1" l="1"/>
  <c r="H191" i="1"/>
  <c r="F192" i="1"/>
  <c r="I191" i="1" s="1"/>
  <c r="J192" i="1" s="1"/>
  <c r="F193" i="1" l="1"/>
  <c r="H192" i="1"/>
  <c r="G192" i="1"/>
  <c r="I192" i="1" l="1"/>
  <c r="J193" i="1" s="1"/>
  <c r="F194" i="1"/>
  <c r="I193" i="1" s="1"/>
  <c r="J194" i="1" s="1"/>
  <c r="H193" i="1"/>
  <c r="G193" i="1"/>
  <c r="F195" i="1" l="1"/>
  <c r="I194" i="1" s="1"/>
  <c r="J195" i="1" s="1"/>
  <c r="H194" i="1"/>
  <c r="G194" i="1"/>
  <c r="H195" i="1" l="1"/>
  <c r="F196" i="1"/>
  <c r="I195" i="1" s="1"/>
  <c r="J196" i="1" s="1"/>
  <c r="G195" i="1"/>
  <c r="G196" i="1" l="1"/>
  <c r="F197" i="1"/>
  <c r="H196" i="1"/>
  <c r="I196" i="1" l="1"/>
  <c r="J197" i="1" s="1"/>
  <c r="F198" i="1"/>
  <c r="I197" i="1" s="1"/>
  <c r="J198" i="1" s="1"/>
  <c r="H197" i="1"/>
  <c r="G197" i="1"/>
  <c r="G198" i="1" l="1"/>
  <c r="H198" i="1"/>
  <c r="F199" i="1"/>
  <c r="I198" i="1" s="1"/>
  <c r="J199" i="1" s="1"/>
  <c r="F200" i="1" l="1"/>
  <c r="I199" i="1" s="1"/>
  <c r="J200" i="1" s="1"/>
  <c r="H199" i="1"/>
  <c r="G199" i="1"/>
  <c r="G200" i="1" l="1"/>
  <c r="H200" i="1"/>
  <c r="F201" i="1"/>
  <c r="I200" i="1" s="1"/>
  <c r="J201" i="1" s="1"/>
  <c r="F202" i="1" l="1"/>
  <c r="H201" i="1"/>
  <c r="G201" i="1"/>
  <c r="I201" i="1" l="1"/>
  <c r="J202" i="1" s="1"/>
  <c r="F203" i="1"/>
  <c r="I202" i="1" s="1"/>
  <c r="J203" i="1" s="1"/>
  <c r="H202" i="1"/>
  <c r="G202" i="1"/>
  <c r="G203" i="1" l="1"/>
  <c r="H203" i="1"/>
  <c r="F204" i="1"/>
  <c r="I203" i="1" s="1"/>
  <c r="J204" i="1" s="1"/>
  <c r="F205" i="1" l="1"/>
  <c r="I204" i="1" s="1"/>
  <c r="J205" i="1" s="1"/>
  <c r="H204" i="1"/>
  <c r="G204" i="1"/>
  <c r="G205" i="1" l="1"/>
  <c r="F206" i="1"/>
  <c r="I205" i="1" s="1"/>
  <c r="J206" i="1" s="1"/>
  <c r="H205" i="1"/>
  <c r="H206" i="1" l="1"/>
  <c r="F207" i="1"/>
  <c r="G206" i="1"/>
  <c r="I206" i="1" l="1"/>
  <c r="J207" i="1" s="1"/>
  <c r="F208" i="1"/>
  <c r="I207" i="1" s="1"/>
  <c r="J208" i="1" s="1"/>
  <c r="H207" i="1"/>
  <c r="H208" i="1" s="1"/>
  <c r="G207" i="1"/>
  <c r="G208" i="1" s="1"/>
  <c r="F209" i="1" l="1"/>
  <c r="G209" i="1" s="1"/>
  <c r="I208" i="1" l="1"/>
  <c r="J209" i="1" s="1"/>
  <c r="F210" i="1"/>
  <c r="I209" i="1" s="1"/>
  <c r="J210" i="1" s="1"/>
  <c r="H209" i="1"/>
  <c r="F211" i="1" l="1"/>
  <c r="I210" i="1" s="1"/>
  <c r="J211" i="1" s="1"/>
  <c r="H210" i="1"/>
  <c r="G210" i="1"/>
  <c r="H211" i="1" l="1"/>
  <c r="F212" i="1"/>
  <c r="G211" i="1"/>
  <c r="I211" i="1" l="1"/>
  <c r="J212" i="1" s="1"/>
  <c r="F213" i="1"/>
  <c r="I212" i="1" s="1"/>
  <c r="J213" i="1" s="1"/>
  <c r="H212" i="1"/>
  <c r="G212" i="1"/>
  <c r="G213" i="1" l="1"/>
  <c r="F214" i="1"/>
  <c r="I213" i="1" s="1"/>
  <c r="J214" i="1" s="1"/>
  <c r="H213" i="1"/>
  <c r="H214" i="1" s="1"/>
  <c r="F215" i="1" l="1"/>
  <c r="I214" i="1" s="1"/>
  <c r="J215" i="1" s="1"/>
  <c r="G214" i="1"/>
  <c r="G215" i="1" l="1"/>
  <c r="F216" i="1"/>
  <c r="I215" i="1" s="1"/>
  <c r="J216" i="1" s="1"/>
  <c r="H215" i="1"/>
  <c r="H216" i="1" s="1"/>
  <c r="F217" i="1" l="1"/>
  <c r="G216" i="1"/>
  <c r="I216" i="1" l="1"/>
  <c r="J217" i="1" s="1"/>
  <c r="F218" i="1"/>
  <c r="I217" i="1" s="1"/>
  <c r="J218" i="1" s="1"/>
  <c r="H217" i="1"/>
  <c r="G217" i="1"/>
  <c r="G218" i="1" l="1"/>
  <c r="F219" i="1"/>
  <c r="I218" i="1" s="1"/>
  <c r="J219" i="1" s="1"/>
  <c r="H218" i="1"/>
  <c r="H219" i="1" s="1"/>
  <c r="F220" i="1" l="1"/>
  <c r="I219" i="1" s="1"/>
  <c r="J220" i="1" s="1"/>
  <c r="G219" i="1"/>
  <c r="G220" i="1" l="1"/>
  <c r="F221" i="1"/>
  <c r="I220" i="1" s="1"/>
  <c r="J221" i="1" s="1"/>
  <c r="H220" i="1"/>
  <c r="F222" i="1" l="1"/>
  <c r="H221" i="1"/>
  <c r="G221" i="1"/>
  <c r="I221" i="1" l="1"/>
  <c r="J222" i="1" s="1"/>
  <c r="F223" i="1"/>
  <c r="I222" i="1" s="1"/>
  <c r="J223" i="1" s="1"/>
  <c r="H222" i="1"/>
  <c r="H223" i="1" s="1"/>
  <c r="G222" i="1"/>
  <c r="G223" i="1" s="1"/>
  <c r="F224" i="1" l="1"/>
  <c r="I223" i="1" s="1"/>
  <c r="J224" i="1" s="1"/>
  <c r="F225" i="1" l="1"/>
  <c r="I224" i="1" s="1"/>
  <c r="J225" i="1" s="1"/>
  <c r="H224" i="1"/>
  <c r="G224" i="1"/>
  <c r="G225" i="1" l="1"/>
  <c r="H225" i="1"/>
  <c r="F226" i="1"/>
  <c r="I225" i="1" s="1"/>
  <c r="J226" i="1" s="1"/>
  <c r="F227" i="1" l="1"/>
  <c r="H226" i="1"/>
  <c r="G226" i="1"/>
  <c r="G227" i="1" l="1"/>
  <c r="I226" i="1"/>
  <c r="J227" i="1" s="1"/>
  <c r="F228" i="1"/>
  <c r="I227" i="1" s="1"/>
  <c r="J228" i="1" s="1"/>
  <c r="H227" i="1"/>
  <c r="F229" i="1" l="1"/>
  <c r="I228" i="1" s="1"/>
  <c r="J229" i="1" s="1"/>
  <c r="H228" i="1"/>
  <c r="G228" i="1"/>
  <c r="G229" i="1" l="1"/>
  <c r="F230" i="1"/>
  <c r="I229" i="1" s="1"/>
  <c r="J230" i="1" s="1"/>
  <c r="H229" i="1"/>
  <c r="H230" i="1" s="1"/>
  <c r="F231" i="1" l="1"/>
  <c r="G230" i="1"/>
  <c r="I230" i="1" l="1"/>
  <c r="J231" i="1" s="1"/>
  <c r="F232" i="1"/>
  <c r="I231" i="1" s="1"/>
  <c r="J232" i="1" s="1"/>
  <c r="H231" i="1"/>
  <c r="H232" i="1" s="1"/>
  <c r="G231" i="1"/>
  <c r="G232" i="1" s="1"/>
  <c r="F233" i="1" l="1"/>
  <c r="I232" i="1" s="1"/>
  <c r="J233" i="1" s="1"/>
  <c r="F234" i="1" l="1"/>
  <c r="I233" i="1" s="1"/>
  <c r="J234" i="1" s="1"/>
  <c r="G233" i="1"/>
  <c r="H233" i="1"/>
  <c r="G234" i="1" l="1"/>
  <c r="F235" i="1"/>
  <c r="I234" i="1" s="1"/>
  <c r="J235" i="1" s="1"/>
  <c r="H234" i="1"/>
  <c r="H235" i="1" l="1"/>
  <c r="F236" i="1"/>
  <c r="G235" i="1"/>
  <c r="G236" i="1" l="1"/>
  <c r="I235" i="1"/>
  <c r="J236" i="1" s="1"/>
  <c r="F237" i="1"/>
  <c r="I236" i="1" s="1"/>
  <c r="J237" i="1" s="1"/>
  <c r="H236" i="1"/>
  <c r="F238" i="1" l="1"/>
  <c r="I237" i="1" s="1"/>
  <c r="J238" i="1" s="1"/>
  <c r="H237" i="1"/>
  <c r="G237" i="1"/>
  <c r="H238" i="1" l="1"/>
  <c r="F239" i="1"/>
  <c r="I238" i="1" s="1"/>
  <c r="J239" i="1" s="1"/>
  <c r="G238" i="1"/>
  <c r="G239" i="1" l="1"/>
  <c r="F240" i="1"/>
  <c r="I239" i="1" s="1"/>
  <c r="J240" i="1" s="1"/>
  <c r="H239" i="1"/>
  <c r="H240" i="1" l="1"/>
  <c r="F241" i="1"/>
  <c r="G240" i="1"/>
  <c r="I240" i="1" l="1"/>
  <c r="J241" i="1" s="1"/>
  <c r="F242" i="1"/>
  <c r="I241" i="1" s="1"/>
  <c r="J242" i="1" s="1"/>
  <c r="H241" i="1"/>
  <c r="G241" i="1"/>
  <c r="G242" i="1" s="1"/>
  <c r="F243" i="1" l="1"/>
  <c r="I242" i="1" s="1"/>
  <c r="J243" i="1" s="1"/>
  <c r="H242" i="1"/>
  <c r="H243" i="1" l="1"/>
  <c r="F244" i="1"/>
  <c r="I243" i="1" s="1"/>
  <c r="J244" i="1" s="1"/>
  <c r="G243" i="1"/>
  <c r="G244" i="1" s="1"/>
  <c r="F245" i="1" l="1"/>
  <c r="I244" i="1" s="1"/>
  <c r="J245" i="1" s="1"/>
  <c r="H244" i="1"/>
  <c r="F246" i="1" l="1"/>
  <c r="H245" i="1"/>
  <c r="G245" i="1"/>
  <c r="G246" i="1" l="1"/>
  <c r="I245" i="1"/>
  <c r="J246" i="1" s="1"/>
  <c r="F247" i="1"/>
  <c r="I246" i="1" s="1"/>
  <c r="J247" i="1" s="1"/>
  <c r="H246" i="1"/>
  <c r="F248" i="1" l="1"/>
  <c r="I247" i="1" s="1"/>
  <c r="J248" i="1" s="1"/>
  <c r="H247" i="1"/>
  <c r="G247" i="1"/>
  <c r="G248" i="1" l="1"/>
  <c r="H248" i="1"/>
  <c r="F249" i="1"/>
  <c r="I248" i="1" s="1"/>
  <c r="J249" i="1" s="1"/>
  <c r="F250" i="1" l="1"/>
  <c r="H249" i="1"/>
  <c r="G249" i="1"/>
  <c r="G250" i="1" l="1"/>
  <c r="I249" i="1"/>
  <c r="J250" i="1" s="1"/>
  <c r="F251" i="1"/>
  <c r="H250" i="1"/>
  <c r="H251" i="1" l="1"/>
  <c r="F252" i="1"/>
  <c r="I251" i="1" s="1"/>
  <c r="J252" i="1" s="1"/>
  <c r="I250" i="1"/>
  <c r="J251" i="1" s="1"/>
  <c r="G251" i="1"/>
  <c r="F253" i="1" l="1"/>
  <c r="I252" i="1" s="1"/>
  <c r="J253" i="1" s="1"/>
  <c r="G252" i="1"/>
  <c r="H252" i="1"/>
  <c r="H253" i="1" l="1"/>
  <c r="G253" i="1"/>
  <c r="F254" i="1"/>
  <c r="I253" i="1" l="1"/>
  <c r="J254" i="1" s="1"/>
  <c r="F255" i="1"/>
  <c r="I254" i="1" s="1"/>
  <c r="J255" i="1" s="1"/>
  <c r="H254" i="1"/>
  <c r="G254" i="1"/>
  <c r="G255" i="1" s="1"/>
  <c r="F256" i="1" l="1"/>
  <c r="I255" i="1" s="1"/>
  <c r="J256" i="1" s="1"/>
  <c r="H255" i="1"/>
  <c r="H256" i="1" l="1"/>
  <c r="F257" i="1"/>
  <c r="I256" i="1" s="1"/>
  <c r="J257" i="1" s="1"/>
  <c r="G256" i="1"/>
  <c r="G257" i="1" l="1"/>
  <c r="F258" i="1"/>
  <c r="H257" i="1"/>
  <c r="H258" i="1" l="1"/>
  <c r="F259" i="1"/>
  <c r="I257" i="1"/>
  <c r="J258" i="1" s="1"/>
  <c r="G258" i="1"/>
  <c r="I258" i="1" l="1"/>
  <c r="J259" i="1" s="1"/>
  <c r="F260" i="1"/>
  <c r="I259" i="1" s="1"/>
  <c r="J260" i="1" s="1"/>
  <c r="H259" i="1"/>
  <c r="G259" i="1"/>
  <c r="G260" i="1" s="1"/>
  <c r="F261" i="1" l="1"/>
  <c r="I260" i="1" s="1"/>
  <c r="J261" i="1" s="1"/>
  <c r="H260" i="1"/>
  <c r="F262" i="1" l="1"/>
  <c r="I261" i="1" s="1"/>
  <c r="J262" i="1" s="1"/>
  <c r="H261" i="1"/>
  <c r="G261" i="1"/>
  <c r="G262" i="1" l="1"/>
  <c r="F263" i="1"/>
  <c r="H262" i="1"/>
  <c r="I262" i="1" l="1"/>
  <c r="J263" i="1" s="1"/>
  <c r="F264" i="1"/>
  <c r="I263" i="1" s="1"/>
  <c r="J264" i="1" s="1"/>
  <c r="H263" i="1"/>
  <c r="G263" i="1"/>
  <c r="H264" i="1" l="1"/>
  <c r="G264" i="1"/>
  <c r="F265" i="1"/>
  <c r="H265" i="1" l="1"/>
  <c r="I264" i="1"/>
  <c r="J265" i="1" s="1"/>
  <c r="F266" i="1"/>
  <c r="I265" i="1" s="1"/>
  <c r="J266" i="1" s="1"/>
  <c r="G265" i="1"/>
  <c r="G266" i="1" l="1"/>
  <c r="F267" i="1"/>
  <c r="H266" i="1"/>
  <c r="H267" i="1" l="1"/>
  <c r="F268" i="1"/>
  <c r="I266" i="1"/>
  <c r="J267" i="1" s="1"/>
  <c r="G267" i="1"/>
  <c r="I267" i="1" l="1"/>
  <c r="J268" i="1" s="1"/>
  <c r="F269" i="1"/>
  <c r="I268" i="1" s="1"/>
  <c r="J269" i="1" s="1"/>
  <c r="H268" i="1"/>
  <c r="G268" i="1"/>
  <c r="G269" i="1" l="1"/>
  <c r="F270" i="1"/>
  <c r="I269" i="1" s="1"/>
  <c r="J270" i="1" s="1"/>
  <c r="H269" i="1"/>
  <c r="F271" i="1" l="1"/>
  <c r="I270" i="1" s="1"/>
  <c r="J271" i="1" s="1"/>
  <c r="H270" i="1"/>
  <c r="G270" i="1"/>
  <c r="G271" i="1" s="1"/>
  <c r="F272" i="1" l="1"/>
  <c r="I271" i="1" s="1"/>
  <c r="J272" i="1" s="1"/>
  <c r="H271" i="1"/>
  <c r="H272" i="1" l="1"/>
  <c r="F273" i="1"/>
  <c r="G272" i="1"/>
  <c r="I272" i="1" l="1"/>
  <c r="J273" i="1" s="1"/>
  <c r="F274" i="1"/>
  <c r="I273" i="1" s="1"/>
  <c r="J274" i="1" s="1"/>
  <c r="H273" i="1"/>
  <c r="G273" i="1"/>
  <c r="G274" i="1" l="1"/>
  <c r="F275" i="1"/>
  <c r="I274" i="1" s="1"/>
  <c r="J275" i="1" s="1"/>
  <c r="H274" i="1"/>
  <c r="H275" i="1" l="1"/>
  <c r="F276" i="1"/>
  <c r="I275" i="1" s="1"/>
  <c r="J276" i="1" s="1"/>
  <c r="G275" i="1"/>
  <c r="G276" i="1" l="1"/>
  <c r="F277" i="1"/>
  <c r="I276" i="1" s="1"/>
  <c r="J277" i="1" s="1"/>
  <c r="H276" i="1"/>
  <c r="H277" i="1" s="1"/>
  <c r="F278" i="1" l="1"/>
  <c r="G277" i="1"/>
  <c r="I277" i="1" l="1"/>
  <c r="J278" i="1" s="1"/>
  <c r="F279" i="1"/>
  <c r="I278" i="1" s="1"/>
  <c r="J279" i="1" s="1"/>
  <c r="H278" i="1"/>
  <c r="G278" i="1"/>
  <c r="G279" i="1" l="1"/>
  <c r="F280" i="1"/>
  <c r="H279" i="1"/>
  <c r="H280" i="1" l="1"/>
  <c r="F281" i="1"/>
  <c r="I280" i="1" s="1"/>
  <c r="J281" i="1" s="1"/>
  <c r="I279" i="1"/>
  <c r="J280" i="1" s="1"/>
  <c r="G280" i="1"/>
  <c r="G281" i="1" l="1"/>
  <c r="H281" i="1"/>
  <c r="F282" i="1"/>
  <c r="I281" i="1" s="1"/>
  <c r="J282" i="1" s="1"/>
  <c r="F283" i="1" l="1"/>
  <c r="G282" i="1"/>
  <c r="H282" i="1"/>
  <c r="I282" i="1" l="1"/>
  <c r="J283" i="1" s="1"/>
  <c r="F284" i="1"/>
  <c r="I283" i="1" s="1"/>
  <c r="J284" i="1" s="1"/>
  <c r="H283" i="1"/>
  <c r="G283" i="1"/>
  <c r="F285" i="1" l="1"/>
  <c r="I284" i="1" s="1"/>
  <c r="J285" i="1" s="1"/>
  <c r="H284" i="1"/>
  <c r="G284" i="1"/>
  <c r="F286" i="1" l="1"/>
  <c r="I285" i="1" s="1"/>
  <c r="J286" i="1" s="1"/>
  <c r="H285" i="1"/>
  <c r="G285" i="1"/>
  <c r="G286" i="1" l="1"/>
  <c r="F287" i="1"/>
  <c r="H286" i="1"/>
  <c r="I286" i="1" l="1"/>
  <c r="J287" i="1" s="1"/>
  <c r="F288" i="1"/>
  <c r="I287" i="1" s="1"/>
  <c r="J288" i="1" s="1"/>
  <c r="H287" i="1"/>
  <c r="G287" i="1"/>
  <c r="G288" i="1" s="1"/>
  <c r="H288" i="1" l="1"/>
  <c r="F289" i="1"/>
  <c r="I288" i="1" s="1"/>
  <c r="J289" i="1" s="1"/>
  <c r="F290" i="1" l="1"/>
  <c r="I289" i="1" s="1"/>
  <c r="J290" i="1" s="1"/>
  <c r="H289" i="1"/>
  <c r="G289" i="1"/>
  <c r="G290" i="1" l="1"/>
  <c r="H290" i="1"/>
  <c r="F291" i="1"/>
  <c r="G291" i="1" l="1"/>
  <c r="I290" i="1"/>
  <c r="J291" i="1" s="1"/>
  <c r="F292" i="1"/>
  <c r="H291" i="1"/>
  <c r="F293" i="1" l="1"/>
  <c r="I292" i="1" s="1"/>
  <c r="J293" i="1" s="1"/>
  <c r="H292" i="1"/>
  <c r="G292" i="1"/>
  <c r="I291" i="1"/>
  <c r="J292" i="1" s="1"/>
  <c r="F294" i="1" l="1"/>
  <c r="I293" i="1" s="1"/>
  <c r="J294" i="1" s="1"/>
  <c r="H293" i="1"/>
  <c r="G293" i="1"/>
  <c r="G294" i="1" s="1"/>
  <c r="F295" i="1" l="1"/>
  <c r="I294" i="1" s="1"/>
  <c r="J295" i="1" s="1"/>
  <c r="H294" i="1"/>
  <c r="F296" i="1" l="1"/>
  <c r="I295" i="1" s="1"/>
  <c r="J296" i="1" s="1"/>
  <c r="H295" i="1"/>
  <c r="G295" i="1"/>
  <c r="H296" i="1" l="1"/>
  <c r="F297" i="1"/>
  <c r="G296" i="1"/>
  <c r="G297" i="1" l="1"/>
  <c r="I296" i="1"/>
  <c r="J297" i="1" s="1"/>
  <c r="F298" i="1"/>
  <c r="I297" i="1" s="1"/>
  <c r="J298" i="1" s="1"/>
  <c r="H297" i="1"/>
  <c r="F299" i="1" l="1"/>
  <c r="I298" i="1" s="1"/>
  <c r="J299" i="1" s="1"/>
  <c r="H298" i="1"/>
  <c r="G298" i="1"/>
  <c r="G299" i="1" l="1"/>
  <c r="H299" i="1"/>
  <c r="F300" i="1"/>
  <c r="I299" i="1" s="1"/>
  <c r="J300" i="1" s="1"/>
  <c r="F301" i="1" l="1"/>
  <c r="I300" i="1" s="1"/>
  <c r="J301" i="1" s="1"/>
  <c r="H300" i="1"/>
  <c r="G300" i="1"/>
  <c r="G301" i="1" l="1"/>
  <c r="H301" i="1"/>
  <c r="F302" i="1"/>
  <c r="I301" i="1" s="1"/>
  <c r="J302" i="1" s="1"/>
  <c r="F303" i="1" l="1"/>
  <c r="I302" i="1" s="1"/>
  <c r="J303" i="1" s="1"/>
  <c r="H302" i="1"/>
  <c r="G302" i="1"/>
  <c r="G303" i="1" l="1"/>
  <c r="F304" i="1"/>
  <c r="I303" i="1" s="1"/>
  <c r="J304" i="1" s="1"/>
  <c r="H303" i="1"/>
  <c r="H304" i="1" s="1"/>
  <c r="F305" i="1" l="1"/>
  <c r="I304" i="1" s="1"/>
  <c r="J305" i="1" s="1"/>
  <c r="G304" i="1"/>
  <c r="F306" i="1" l="1"/>
  <c r="I305" i="1" s="1"/>
  <c r="J306" i="1" s="1"/>
  <c r="G305" i="1"/>
  <c r="H305" i="1"/>
  <c r="H306" i="1" l="1"/>
  <c r="G306" i="1"/>
  <c r="F307" i="1"/>
  <c r="I306" i="1" l="1"/>
  <c r="J307" i="1" s="1"/>
  <c r="F308" i="1"/>
  <c r="I307" i="1" s="1"/>
  <c r="J308" i="1" s="1"/>
  <c r="H307" i="1"/>
  <c r="G307" i="1"/>
  <c r="G308" i="1" s="1"/>
  <c r="F309" i="1" l="1"/>
  <c r="I308" i="1" s="1"/>
  <c r="J309" i="1" s="1"/>
  <c r="H308" i="1"/>
  <c r="F310" i="1" l="1"/>
  <c r="I309" i="1" s="1"/>
  <c r="J310" i="1" s="1"/>
  <c r="H309" i="1"/>
  <c r="G309" i="1"/>
  <c r="H310" i="1" l="1"/>
  <c r="F311" i="1"/>
  <c r="I310" i="1" s="1"/>
  <c r="J311" i="1" s="1"/>
  <c r="G310" i="1"/>
  <c r="G311" i="1" l="1"/>
  <c r="F312" i="1"/>
  <c r="H311" i="1"/>
  <c r="I311" i="1" l="1"/>
  <c r="J312" i="1" s="1"/>
  <c r="F313" i="1"/>
  <c r="I312" i="1" s="1"/>
  <c r="J313" i="1" s="1"/>
  <c r="H312" i="1"/>
  <c r="H313" i="1" s="1"/>
  <c r="G312" i="1"/>
  <c r="G313" i="1" s="1"/>
  <c r="F314" i="1" l="1"/>
  <c r="I313" i="1" s="1"/>
  <c r="J314" i="1" s="1"/>
  <c r="F315" i="1" l="1"/>
  <c r="I314" i="1" s="1"/>
  <c r="J315" i="1" s="1"/>
  <c r="H314" i="1"/>
  <c r="G314" i="1"/>
  <c r="G315" i="1" l="1"/>
  <c r="H315" i="1"/>
  <c r="F316" i="1"/>
  <c r="I315" i="1" s="1"/>
  <c r="J316" i="1" s="1"/>
  <c r="F317" i="1" l="1"/>
  <c r="H316" i="1"/>
  <c r="G316" i="1"/>
  <c r="I316" i="1" l="1"/>
  <c r="J317" i="1" s="1"/>
  <c r="F318" i="1"/>
  <c r="I317" i="1" s="1"/>
  <c r="J318" i="1" s="1"/>
  <c r="H317" i="1"/>
  <c r="G317" i="1"/>
  <c r="G318" i="1" s="1"/>
  <c r="F319" i="1" l="1"/>
  <c r="I318" i="1" s="1"/>
  <c r="J319" i="1" s="1"/>
  <c r="H318" i="1"/>
  <c r="F320" i="1" l="1"/>
  <c r="I319" i="1" s="1"/>
  <c r="J320" i="1" s="1"/>
  <c r="H319" i="1"/>
  <c r="G319" i="1"/>
  <c r="G320" i="1" l="1"/>
  <c r="H320" i="1"/>
  <c r="F321" i="1"/>
  <c r="I320" i="1" l="1"/>
  <c r="J321" i="1" s="1"/>
  <c r="F322" i="1"/>
  <c r="I321" i="1" s="1"/>
  <c r="J322" i="1" s="1"/>
  <c r="H321" i="1"/>
  <c r="G321" i="1"/>
  <c r="G322" i="1" s="1"/>
  <c r="F323" i="1" l="1"/>
  <c r="I322" i="1" s="1"/>
  <c r="J323" i="1" s="1"/>
  <c r="H322" i="1"/>
  <c r="H323" i="1" l="1"/>
  <c r="F324" i="1"/>
  <c r="G323" i="1"/>
  <c r="G324" i="1" l="1"/>
  <c r="F325" i="1"/>
  <c r="I324" i="1" s="1"/>
  <c r="J325" i="1" s="1"/>
  <c r="I323" i="1"/>
  <c r="J324" i="1" s="1"/>
  <c r="H324" i="1"/>
  <c r="H325" i="1" l="1"/>
  <c r="F326" i="1"/>
  <c r="G325" i="1"/>
  <c r="I325" i="1" l="1"/>
  <c r="J326" i="1" s="1"/>
  <c r="F327" i="1"/>
  <c r="I326" i="1" s="1"/>
  <c r="J327" i="1" s="1"/>
  <c r="H326" i="1"/>
  <c r="G326" i="1"/>
  <c r="G327" i="1" s="1"/>
  <c r="F328" i="1" l="1"/>
  <c r="I327" i="1" s="1"/>
  <c r="J328" i="1" s="1"/>
  <c r="H327" i="1"/>
  <c r="H328" i="1" l="1"/>
  <c r="F329" i="1"/>
  <c r="I328" i="1" s="1"/>
  <c r="J329" i="1" s="1"/>
  <c r="G328" i="1"/>
  <c r="G329" i="1" l="1"/>
  <c r="H329" i="1"/>
  <c r="F330" i="1"/>
  <c r="I329" i="1" s="1"/>
  <c r="J330" i="1" s="1"/>
  <c r="F331" i="1" l="1"/>
  <c r="G330" i="1"/>
  <c r="H330" i="1"/>
  <c r="G331" i="1" l="1"/>
  <c r="I330" i="1"/>
  <c r="J331" i="1" s="1"/>
  <c r="F332" i="1"/>
  <c r="I331" i="1" s="1"/>
  <c r="J332" i="1" s="1"/>
  <c r="H331" i="1"/>
  <c r="F333" i="1" l="1"/>
  <c r="I332" i="1" s="1"/>
  <c r="J333" i="1" s="1"/>
  <c r="H332" i="1"/>
  <c r="G332" i="1"/>
  <c r="G333" i="1" l="1"/>
  <c r="F334" i="1"/>
  <c r="I333" i="1" s="1"/>
  <c r="J334" i="1" s="1"/>
  <c r="H333" i="1"/>
  <c r="F335" i="1" l="1"/>
  <c r="I334" i="1" s="1"/>
  <c r="J335" i="1" s="1"/>
  <c r="H334" i="1"/>
  <c r="G334" i="1"/>
  <c r="G335" i="1" l="1"/>
  <c r="H335" i="1"/>
  <c r="F336" i="1"/>
  <c r="I335" i="1" l="1"/>
  <c r="J336" i="1" s="1"/>
  <c r="F337" i="1"/>
  <c r="I336" i="1" s="1"/>
  <c r="J337" i="1" s="1"/>
  <c r="H336" i="1"/>
  <c r="H337" i="1" s="1"/>
  <c r="G336" i="1"/>
  <c r="F338" i="1" l="1"/>
  <c r="I337" i="1" s="1"/>
  <c r="J338" i="1" s="1"/>
  <c r="G337" i="1"/>
  <c r="G338" i="1" l="1"/>
  <c r="F339" i="1"/>
  <c r="I338" i="1" s="1"/>
  <c r="J339" i="1" s="1"/>
  <c r="H338" i="1"/>
  <c r="H339" i="1" s="1"/>
  <c r="F340" i="1" l="1"/>
  <c r="G339" i="1"/>
  <c r="G340" i="1" l="1"/>
  <c r="F341" i="1"/>
  <c r="I339" i="1"/>
  <c r="J340" i="1" s="1"/>
  <c r="H340" i="1"/>
  <c r="F342" i="1" l="1"/>
  <c r="I341" i="1" s="1"/>
  <c r="J342" i="1" s="1"/>
  <c r="H341" i="1"/>
  <c r="G341" i="1"/>
  <c r="I340" i="1"/>
  <c r="J341" i="1" s="1"/>
  <c r="G342" i="1" l="1"/>
  <c r="F343" i="1"/>
  <c r="I342" i="1" s="1"/>
  <c r="J343" i="1" s="1"/>
  <c r="H342" i="1"/>
  <c r="F344" i="1" l="1"/>
  <c r="I343" i="1" s="1"/>
  <c r="J344" i="1" s="1"/>
  <c r="H343" i="1"/>
  <c r="G343" i="1"/>
  <c r="G344" i="1" l="1"/>
  <c r="H344" i="1"/>
  <c r="F345" i="1"/>
  <c r="I344" i="1" s="1"/>
  <c r="J345" i="1" s="1"/>
  <c r="F346" i="1" l="1"/>
  <c r="H345" i="1"/>
  <c r="G345" i="1"/>
  <c r="I345" i="1" l="1"/>
  <c r="J346" i="1" s="1"/>
  <c r="F347" i="1"/>
  <c r="I346" i="1" s="1"/>
  <c r="J347" i="1" s="1"/>
  <c r="H346" i="1"/>
  <c r="H347" i="1" s="1"/>
  <c r="G346" i="1"/>
  <c r="G347" i="1" s="1"/>
  <c r="F348" i="1" l="1"/>
  <c r="I347" i="1" s="1"/>
  <c r="J348" i="1" s="1"/>
  <c r="F349" i="1" l="1"/>
  <c r="I348" i="1" s="1"/>
  <c r="J349" i="1" s="1"/>
  <c r="H348" i="1"/>
  <c r="G348" i="1"/>
  <c r="G349" i="1" s="1"/>
  <c r="H349" i="1" l="1"/>
  <c r="F350" i="1"/>
  <c r="I349" i="1" s="1"/>
  <c r="J350" i="1" s="1"/>
  <c r="F351" i="1" l="1"/>
  <c r="H350" i="1"/>
  <c r="G350" i="1"/>
  <c r="I350" i="1" l="1"/>
  <c r="J351" i="1" s="1"/>
  <c r="F352" i="1"/>
  <c r="I351" i="1" s="1"/>
  <c r="J352" i="1" s="1"/>
  <c r="H351" i="1"/>
  <c r="G351" i="1"/>
  <c r="G352" i="1" s="1"/>
  <c r="H352" i="1" l="1"/>
  <c r="F353" i="1"/>
  <c r="I352" i="1" s="1"/>
  <c r="J353" i="1" s="1"/>
  <c r="F354" i="1" l="1"/>
  <c r="I353" i="1" s="1"/>
  <c r="J354" i="1" s="1"/>
  <c r="H353" i="1"/>
  <c r="G353" i="1"/>
  <c r="G354" i="1" l="1"/>
  <c r="F355" i="1"/>
  <c r="H354" i="1"/>
  <c r="I354" i="1" l="1"/>
  <c r="J355" i="1" s="1"/>
  <c r="F356" i="1"/>
  <c r="I355" i="1" s="1"/>
  <c r="J356" i="1" s="1"/>
  <c r="H355" i="1"/>
  <c r="G355" i="1"/>
  <c r="F357" i="1" l="1"/>
  <c r="I356" i="1" s="1"/>
  <c r="J357" i="1" s="1"/>
  <c r="H356" i="1"/>
  <c r="G356" i="1"/>
  <c r="F358" i="1" l="1"/>
  <c r="I357" i="1" s="1"/>
  <c r="J358" i="1" s="1"/>
  <c r="H357" i="1"/>
  <c r="G357" i="1"/>
  <c r="G358" i="1" l="1"/>
  <c r="H358" i="1"/>
  <c r="F359" i="1"/>
  <c r="I358" i="1" s="1"/>
  <c r="J359" i="1" s="1"/>
  <c r="F360" i="1" l="1"/>
  <c r="H359" i="1"/>
  <c r="G359" i="1"/>
  <c r="I359" i="1" l="1"/>
  <c r="J360" i="1" s="1"/>
  <c r="F361" i="1"/>
  <c r="I360" i="1" s="1"/>
  <c r="J361" i="1" s="1"/>
  <c r="H360" i="1"/>
  <c r="G360" i="1"/>
  <c r="G361" i="1" s="1"/>
  <c r="H361" i="1" l="1"/>
  <c r="F362" i="1"/>
  <c r="F363" i="1" l="1"/>
  <c r="I362" i="1" s="1"/>
  <c r="J363" i="1" s="1"/>
  <c r="G362" i="1"/>
  <c r="I361" i="1"/>
  <c r="J362" i="1" s="1"/>
  <c r="H362" i="1"/>
  <c r="H363" i="1" l="1"/>
  <c r="F364" i="1"/>
  <c r="G363" i="1"/>
  <c r="G364" i="1" s="1"/>
  <c r="F365" i="1" l="1"/>
  <c r="I363" i="1"/>
  <c r="J364" i="1" s="1"/>
  <c r="H364" i="1"/>
  <c r="I364" i="1" l="1"/>
  <c r="J365" i="1" s="1"/>
  <c r="F366" i="1"/>
  <c r="I365" i="1" s="1"/>
  <c r="J366" i="1" s="1"/>
  <c r="H365" i="1"/>
  <c r="G365" i="1"/>
  <c r="H366" i="1" l="1"/>
  <c r="F367" i="1"/>
  <c r="I366" i="1" s="1"/>
  <c r="J367" i="1" s="1"/>
  <c r="G366" i="1"/>
  <c r="F368" i="1" l="1"/>
  <c r="I367" i="1" s="1"/>
  <c r="J368" i="1" s="1"/>
  <c r="G367" i="1"/>
  <c r="H367" i="1"/>
  <c r="H368" i="1" l="1"/>
  <c r="G368" i="1"/>
  <c r="F369" i="1"/>
  <c r="I368" i="1" s="1"/>
  <c r="J369" i="1" s="1"/>
  <c r="F370" i="1" l="1"/>
  <c r="G369" i="1"/>
  <c r="H369" i="1"/>
  <c r="G370" i="1" l="1"/>
  <c r="I369" i="1"/>
  <c r="J370" i="1" s="1"/>
  <c r="F371" i="1"/>
  <c r="I370" i="1" s="1"/>
  <c r="J371" i="1" s="1"/>
  <c r="H370" i="1"/>
  <c r="H371" i="1" l="1"/>
  <c r="F372" i="1"/>
  <c r="I371" i="1" s="1"/>
  <c r="J372" i="1" s="1"/>
  <c r="G371" i="1"/>
  <c r="H372" i="1" l="1"/>
  <c r="G372" i="1"/>
  <c r="F373" i="1"/>
  <c r="I372" i="1" s="1"/>
  <c r="J373" i="1" s="1"/>
  <c r="F374" i="1" l="1"/>
  <c r="I373" i="1" s="1"/>
  <c r="J374" i="1" s="1"/>
  <c r="G373" i="1"/>
  <c r="H373" i="1"/>
  <c r="H374" i="1" l="1"/>
  <c r="G374" i="1"/>
  <c r="F375" i="1"/>
  <c r="I374" i="1" l="1"/>
  <c r="J375" i="1" s="1"/>
  <c r="F376" i="1"/>
  <c r="I375" i="1" s="1"/>
  <c r="J376" i="1" s="1"/>
  <c r="H375" i="1"/>
  <c r="G375" i="1"/>
  <c r="G376" i="1" l="1"/>
  <c r="H376" i="1"/>
  <c r="F377" i="1"/>
  <c r="I376" i="1" s="1"/>
  <c r="J377" i="1" s="1"/>
  <c r="F378" i="1" l="1"/>
  <c r="I377" i="1" s="1"/>
  <c r="J378" i="1" s="1"/>
  <c r="H377" i="1"/>
  <c r="G377" i="1"/>
  <c r="G378" i="1" l="1"/>
  <c r="H378" i="1"/>
  <c r="F379" i="1"/>
  <c r="I378" i="1" s="1"/>
  <c r="J379" i="1" s="1"/>
  <c r="F380" i="1" l="1"/>
  <c r="I379" i="1" s="1"/>
  <c r="J380" i="1" s="1"/>
  <c r="H379" i="1"/>
  <c r="G379" i="1"/>
  <c r="G380" i="1" l="1"/>
  <c r="F381" i="1"/>
  <c r="I380" i="1" s="1"/>
  <c r="J381" i="1" s="1"/>
  <c r="H380" i="1"/>
  <c r="F382" i="1" l="1"/>
  <c r="I381" i="1" s="1"/>
  <c r="J382" i="1" s="1"/>
  <c r="H381" i="1"/>
  <c r="G381" i="1"/>
  <c r="G382" i="1" l="1"/>
  <c r="F383" i="1"/>
  <c r="I382" i="1" s="1"/>
  <c r="J383" i="1" s="1"/>
  <c r="H382" i="1"/>
  <c r="F384" i="1" l="1"/>
  <c r="H383" i="1"/>
  <c r="G383" i="1"/>
  <c r="I383" i="1" l="1"/>
  <c r="J384" i="1" s="1"/>
  <c r="F385" i="1"/>
  <c r="I384" i="1" s="1"/>
  <c r="J385" i="1" s="1"/>
  <c r="H384" i="1"/>
  <c r="G384" i="1"/>
  <c r="H385" i="1" l="1"/>
  <c r="F386" i="1"/>
  <c r="I385" i="1" s="1"/>
  <c r="J386" i="1" s="1"/>
  <c r="G385" i="1"/>
  <c r="G386" i="1" l="1"/>
  <c r="F387" i="1"/>
  <c r="I386" i="1" s="1"/>
  <c r="J387" i="1" s="1"/>
  <c r="H386" i="1"/>
  <c r="H387" i="1" l="1"/>
  <c r="F388" i="1"/>
  <c r="I387" i="1" s="1"/>
  <c r="J388" i="1" s="1"/>
  <c r="G387" i="1"/>
  <c r="G388" i="1" l="1"/>
  <c r="F389" i="1"/>
  <c r="H388" i="1"/>
  <c r="I388" i="1" l="1"/>
  <c r="J389" i="1" s="1"/>
  <c r="F390" i="1"/>
  <c r="I389" i="1" s="1"/>
  <c r="J390" i="1" s="1"/>
  <c r="H389" i="1"/>
  <c r="G389" i="1"/>
  <c r="G390" i="1" s="1"/>
  <c r="F391" i="1" l="1"/>
  <c r="I390" i="1" s="1"/>
  <c r="J391" i="1" s="1"/>
  <c r="H390" i="1"/>
  <c r="H391" i="1" l="1"/>
  <c r="F392" i="1"/>
  <c r="I391" i="1" s="1"/>
  <c r="J392" i="1" s="1"/>
  <c r="G391" i="1"/>
  <c r="G392" i="1" l="1"/>
  <c r="F393" i="1"/>
  <c r="H392" i="1"/>
  <c r="H393" i="1" l="1"/>
  <c r="F394" i="1"/>
  <c r="I392" i="1"/>
  <c r="J393" i="1" s="1"/>
  <c r="G393" i="1"/>
  <c r="I393" i="1" l="1"/>
  <c r="J394" i="1" s="1"/>
  <c r="F395" i="1"/>
  <c r="I394" i="1" s="1"/>
  <c r="J395" i="1" s="1"/>
  <c r="H394" i="1"/>
  <c r="H395" i="1" s="1"/>
  <c r="G394" i="1"/>
  <c r="G395" i="1" l="1"/>
  <c r="F396" i="1"/>
  <c r="F397" i="1" l="1"/>
  <c r="I396" i="1" s="1"/>
  <c r="J397" i="1" s="1"/>
  <c r="I395" i="1"/>
  <c r="J396" i="1" s="1"/>
  <c r="G396" i="1"/>
  <c r="H396" i="1"/>
  <c r="G397" i="1" l="1"/>
  <c r="F398" i="1"/>
  <c r="I397" i="1" s="1"/>
  <c r="J398" i="1" s="1"/>
  <c r="H397" i="1"/>
  <c r="H398" i="1" s="1"/>
  <c r="F399" i="1" l="1"/>
  <c r="G398" i="1"/>
  <c r="I398" i="1" l="1"/>
  <c r="J399" i="1" s="1"/>
  <c r="F400" i="1"/>
  <c r="I399" i="1" s="1"/>
  <c r="J400" i="1" s="1"/>
  <c r="H399" i="1"/>
  <c r="G399" i="1"/>
  <c r="G400" i="1" l="1"/>
  <c r="H400" i="1"/>
  <c r="F401" i="1"/>
  <c r="G401" i="1" s="1"/>
  <c r="I400" i="1" l="1"/>
  <c r="J401" i="1" s="1"/>
  <c r="F402" i="1"/>
  <c r="H401" i="1"/>
  <c r="H402" i="1" l="1"/>
  <c r="F403" i="1"/>
  <c r="I402" i="1" s="1"/>
  <c r="J403" i="1" s="1"/>
  <c r="I401" i="1"/>
  <c r="J402" i="1" s="1"/>
  <c r="G402" i="1"/>
  <c r="G403" i="1" s="1"/>
  <c r="F404" i="1" l="1"/>
  <c r="H403" i="1"/>
  <c r="I403" i="1" l="1"/>
  <c r="J404" i="1" s="1"/>
  <c r="F405" i="1"/>
  <c r="I404" i="1" s="1"/>
  <c r="J405" i="1" s="1"/>
  <c r="H404" i="1"/>
  <c r="G404" i="1"/>
  <c r="G405" i="1" s="1"/>
  <c r="F406" i="1" l="1"/>
  <c r="I405" i="1" s="1"/>
  <c r="J406" i="1" s="1"/>
  <c r="H405" i="1"/>
  <c r="H406" i="1" l="1"/>
  <c r="F407" i="1"/>
  <c r="I406" i="1" s="1"/>
  <c r="J407" i="1" s="1"/>
  <c r="G406" i="1"/>
  <c r="F408" i="1" l="1"/>
  <c r="I407" i="1" s="1"/>
  <c r="J408" i="1" s="1"/>
  <c r="G407" i="1"/>
  <c r="H407" i="1"/>
  <c r="H408" i="1" l="1"/>
  <c r="G408" i="1"/>
  <c r="F409" i="1"/>
  <c r="I408" i="1" l="1"/>
  <c r="J409" i="1" s="1"/>
  <c r="F410" i="1"/>
  <c r="I409" i="1" s="1"/>
  <c r="J410" i="1" s="1"/>
  <c r="H409" i="1"/>
  <c r="G409" i="1"/>
  <c r="G410" i="1" s="1"/>
  <c r="F411" i="1" l="1"/>
  <c r="I410" i="1" s="1"/>
  <c r="J411" i="1" s="1"/>
  <c r="H410" i="1"/>
  <c r="H411" i="1" s="1"/>
  <c r="F412" i="1" l="1"/>
  <c r="I411" i="1" s="1"/>
  <c r="J412" i="1" s="1"/>
  <c r="G411" i="1"/>
  <c r="G412" i="1" s="1"/>
  <c r="F413" i="1" l="1"/>
  <c r="I412" i="1" s="1"/>
  <c r="J413" i="1" s="1"/>
  <c r="H412" i="1"/>
  <c r="H413" i="1" l="1"/>
  <c r="F414" i="1"/>
  <c r="G413" i="1"/>
  <c r="I413" i="1" l="1"/>
  <c r="J414" i="1" s="1"/>
  <c r="F415" i="1"/>
  <c r="I414" i="1" s="1"/>
  <c r="J415" i="1" s="1"/>
  <c r="H414" i="1"/>
  <c r="G414" i="1"/>
  <c r="G415" i="1" s="1"/>
  <c r="H415" i="1" l="1"/>
  <c r="F416" i="1"/>
  <c r="H416" i="1" l="1"/>
  <c r="I415" i="1"/>
  <c r="J416" i="1" s="1"/>
  <c r="F417" i="1"/>
  <c r="G416" i="1"/>
  <c r="F418" i="1" l="1"/>
  <c r="I417" i="1" s="1"/>
  <c r="J418" i="1" s="1"/>
  <c r="G417" i="1"/>
  <c r="I416" i="1"/>
  <c r="J417" i="1" s="1"/>
  <c r="H417" i="1"/>
  <c r="H418" i="1" s="1"/>
  <c r="G418" i="1" l="1"/>
  <c r="F419" i="1"/>
  <c r="I418" i="1" l="1"/>
  <c r="J419" i="1" s="1"/>
  <c r="F420" i="1"/>
  <c r="I419" i="1" s="1"/>
  <c r="J420" i="1" s="1"/>
  <c r="H419" i="1"/>
  <c r="G419" i="1"/>
  <c r="F421" i="1" l="1"/>
  <c r="I420" i="1" s="1"/>
  <c r="J421" i="1" s="1"/>
  <c r="H420" i="1"/>
  <c r="G420" i="1"/>
  <c r="G421" i="1" l="1"/>
  <c r="F422" i="1"/>
  <c r="I421" i="1" s="1"/>
  <c r="J422" i="1" s="1"/>
  <c r="H421" i="1"/>
  <c r="F423" i="1" l="1"/>
  <c r="H422" i="1"/>
  <c r="G422" i="1"/>
  <c r="I422" i="1" l="1"/>
  <c r="J423" i="1" s="1"/>
  <c r="F424" i="1"/>
  <c r="I423" i="1" s="1"/>
  <c r="J424" i="1" s="1"/>
  <c r="H423" i="1"/>
  <c r="G423" i="1"/>
  <c r="G424" i="1" l="1"/>
  <c r="H424" i="1"/>
  <c r="F425" i="1"/>
  <c r="I424" i="1" s="1"/>
  <c r="J425" i="1" s="1"/>
  <c r="F426" i="1" l="1"/>
  <c r="I425" i="1" s="1"/>
  <c r="J426" i="1" s="1"/>
  <c r="H425" i="1"/>
  <c r="G425" i="1"/>
  <c r="G426" i="1" l="1"/>
  <c r="H426" i="1"/>
  <c r="F427" i="1"/>
  <c r="F428" i="1" l="1"/>
  <c r="I426" i="1"/>
  <c r="J427" i="1" s="1"/>
  <c r="G427" i="1"/>
  <c r="H427" i="1"/>
  <c r="I427" i="1" l="1"/>
  <c r="J428" i="1" s="1"/>
  <c r="F429" i="1"/>
  <c r="I428" i="1" s="1"/>
  <c r="J429" i="1" s="1"/>
  <c r="H428" i="1"/>
  <c r="G428" i="1"/>
  <c r="F430" i="1" l="1"/>
  <c r="I429" i="1" s="1"/>
  <c r="J430" i="1" s="1"/>
  <c r="H429" i="1"/>
  <c r="G429" i="1"/>
  <c r="G430" i="1" l="1"/>
  <c r="H430" i="1"/>
  <c r="F431" i="1"/>
  <c r="I430" i="1" s="1"/>
  <c r="J431" i="1" s="1"/>
  <c r="F432" i="1" l="1"/>
  <c r="I431" i="1" s="1"/>
  <c r="J432" i="1" s="1"/>
  <c r="H431" i="1"/>
  <c r="G431" i="1"/>
  <c r="G432" i="1" l="1"/>
  <c r="H432" i="1"/>
  <c r="F433" i="1"/>
  <c r="I432" i="1" l="1"/>
  <c r="J433" i="1" s="1"/>
  <c r="F434" i="1"/>
  <c r="I433" i="1" s="1"/>
  <c r="J434" i="1" s="1"/>
  <c r="H433" i="1"/>
  <c r="G433" i="1"/>
  <c r="G434" i="1" l="1"/>
  <c r="F435" i="1"/>
  <c r="I434" i="1" s="1"/>
  <c r="J435" i="1" s="1"/>
  <c r="H434" i="1"/>
  <c r="H435" i="1" l="1"/>
  <c r="F436" i="1"/>
  <c r="I435" i="1" s="1"/>
  <c r="J436" i="1" s="1"/>
  <c r="G435" i="1"/>
  <c r="G436" i="1" l="1"/>
  <c r="F437" i="1"/>
  <c r="I436" i="1" s="1"/>
  <c r="J437" i="1" s="1"/>
  <c r="H436" i="1"/>
  <c r="F438" i="1" l="1"/>
  <c r="H437" i="1"/>
  <c r="G437" i="1"/>
  <c r="I437" i="1" l="1"/>
  <c r="J438" i="1" s="1"/>
  <c r="F439" i="1"/>
  <c r="I438" i="1" s="1"/>
  <c r="J439" i="1" s="1"/>
  <c r="H438" i="1"/>
  <c r="G438" i="1"/>
  <c r="G439" i="1" s="1"/>
  <c r="H439" i="1" l="1"/>
  <c r="F440" i="1"/>
  <c r="I439" i="1" s="1"/>
  <c r="J440" i="1" s="1"/>
  <c r="F441" i="1" l="1"/>
  <c r="I440" i="1" s="1"/>
  <c r="J441" i="1" s="1"/>
  <c r="H440" i="1"/>
  <c r="G440" i="1"/>
  <c r="G441" i="1" s="1"/>
  <c r="H441" i="1" l="1"/>
  <c r="F442" i="1"/>
  <c r="I441" i="1" s="1"/>
  <c r="J442" i="1" s="1"/>
  <c r="F443" i="1" l="1"/>
  <c r="H442" i="1"/>
  <c r="G442" i="1"/>
  <c r="I442" i="1" l="1"/>
  <c r="J443" i="1" s="1"/>
  <c r="F444" i="1"/>
  <c r="I443" i="1" s="1"/>
  <c r="J444" i="1" s="1"/>
  <c r="H443" i="1"/>
  <c r="G443" i="1"/>
  <c r="G444" i="1" s="1"/>
  <c r="F445" i="1" l="1"/>
  <c r="I444" i="1" s="1"/>
  <c r="J445" i="1" s="1"/>
  <c r="H444" i="1"/>
  <c r="F446" i="1" l="1"/>
  <c r="I445" i="1" s="1"/>
  <c r="J446" i="1" s="1"/>
  <c r="H445" i="1"/>
  <c r="G445" i="1"/>
  <c r="G446" i="1" l="1"/>
  <c r="H446" i="1"/>
  <c r="F447" i="1"/>
  <c r="I446" i="1" s="1"/>
  <c r="J447" i="1" s="1"/>
  <c r="F448" i="1" l="1"/>
  <c r="I447" i="1" s="1"/>
  <c r="J448" i="1" s="1"/>
  <c r="H447" i="1"/>
  <c r="H448" i="1" s="1"/>
  <c r="G447" i="1"/>
  <c r="G448" i="1" s="1"/>
  <c r="F449" i="1" l="1"/>
  <c r="I448" i="1" s="1"/>
  <c r="J449" i="1" s="1"/>
  <c r="F450" i="1" l="1"/>
  <c r="I449" i="1" s="1"/>
  <c r="J450" i="1" s="1"/>
  <c r="H449" i="1"/>
  <c r="G449" i="1"/>
  <c r="G450" i="1" s="1"/>
  <c r="H450" i="1" l="1"/>
  <c r="F451" i="1"/>
  <c r="I450" i="1" s="1"/>
  <c r="J451" i="1" s="1"/>
  <c r="F452" i="1" l="1"/>
  <c r="H451" i="1"/>
  <c r="G451" i="1"/>
  <c r="I451" i="1" l="1"/>
  <c r="J452" i="1" s="1"/>
  <c r="F453" i="1"/>
  <c r="I452" i="1" s="1"/>
  <c r="J453" i="1" s="1"/>
  <c r="H452" i="1"/>
  <c r="G452" i="1"/>
  <c r="F454" i="1" l="1"/>
  <c r="I453" i="1" s="1"/>
  <c r="J454" i="1" s="1"/>
  <c r="H453" i="1"/>
  <c r="G453" i="1"/>
  <c r="H454" i="1" l="1"/>
  <c r="F455" i="1"/>
  <c r="I454" i="1" s="1"/>
  <c r="J455" i="1" s="1"/>
  <c r="G454" i="1"/>
  <c r="G455" i="1" l="1"/>
  <c r="F456" i="1"/>
  <c r="I455" i="1" s="1"/>
  <c r="J456" i="1" s="1"/>
  <c r="H455" i="1"/>
  <c r="H456" i="1" l="1"/>
  <c r="F457" i="1"/>
  <c r="G456" i="1"/>
  <c r="I456" i="1" l="1"/>
  <c r="J457" i="1" s="1"/>
  <c r="F458" i="1"/>
  <c r="I457" i="1" s="1"/>
  <c r="J458" i="1" s="1"/>
  <c r="H457" i="1"/>
  <c r="G457" i="1"/>
  <c r="G458" i="1" l="1"/>
  <c r="F459" i="1"/>
  <c r="I458" i="1" s="1"/>
  <c r="J459" i="1" s="1"/>
  <c r="H458" i="1"/>
  <c r="H459" i="1" l="1"/>
  <c r="F460" i="1"/>
  <c r="I459" i="1" s="1"/>
  <c r="J460" i="1" s="1"/>
  <c r="G459" i="1"/>
  <c r="G460" i="1" l="1"/>
  <c r="F461" i="1"/>
  <c r="I460" i="1" s="1"/>
  <c r="J461" i="1" s="1"/>
  <c r="H460" i="1"/>
  <c r="H461" i="1" l="1"/>
  <c r="F462" i="1"/>
  <c r="G461" i="1"/>
  <c r="G462" i="1" s="1"/>
  <c r="I461" i="1" l="1"/>
  <c r="J462" i="1" s="1"/>
  <c r="F463" i="1"/>
  <c r="I462" i="1" s="1"/>
  <c r="J463" i="1" s="1"/>
  <c r="H462" i="1"/>
  <c r="H463" i="1" l="1"/>
  <c r="F464" i="1"/>
  <c r="I463" i="1" s="1"/>
  <c r="J464" i="1" s="1"/>
  <c r="G463" i="1"/>
  <c r="G464" i="1" l="1"/>
  <c r="F465" i="1"/>
  <c r="I464" i="1" s="1"/>
  <c r="J465" i="1" s="1"/>
  <c r="H464" i="1"/>
  <c r="H465" i="1" l="1"/>
  <c r="F466" i="1"/>
  <c r="I465" i="1" s="1"/>
  <c r="J466" i="1" s="1"/>
  <c r="G465" i="1"/>
  <c r="G466" i="1" l="1"/>
  <c r="F467" i="1"/>
  <c r="H466" i="1"/>
  <c r="I466" i="1" l="1"/>
  <c r="J467" i="1" s="1"/>
  <c r="F468" i="1"/>
  <c r="I467" i="1" s="1"/>
  <c r="J468" i="1" s="1"/>
  <c r="H467" i="1"/>
  <c r="G467" i="1"/>
  <c r="F469" i="1" l="1"/>
  <c r="I468" i="1" s="1"/>
  <c r="J469" i="1" s="1"/>
  <c r="H468" i="1"/>
  <c r="G468" i="1"/>
  <c r="G469" i="1" l="1"/>
  <c r="F470" i="1"/>
  <c r="I469" i="1" s="1"/>
  <c r="J470" i="1" s="1"/>
  <c r="H469" i="1"/>
  <c r="H470" i="1" s="1"/>
  <c r="F471" i="1" l="1"/>
  <c r="G470" i="1"/>
  <c r="G471" i="1" l="1"/>
  <c r="I470" i="1"/>
  <c r="J471" i="1" s="1"/>
  <c r="F472" i="1"/>
  <c r="G472" i="1" s="1"/>
  <c r="H471" i="1"/>
  <c r="H472" i="1" l="1"/>
  <c r="I471" i="1"/>
  <c r="J472" i="1" s="1"/>
  <c r="F473" i="1"/>
  <c r="H473" i="1" s="1"/>
  <c r="I472" i="1" l="1"/>
  <c r="J473" i="1" s="1"/>
  <c r="F474" i="1"/>
  <c r="G473" i="1"/>
  <c r="F475" i="1" l="1"/>
  <c r="I474" i="1" s="1"/>
  <c r="J475" i="1" s="1"/>
  <c r="G474" i="1"/>
  <c r="I473" i="1"/>
  <c r="J474" i="1" s="1"/>
  <c r="H474" i="1"/>
  <c r="H475" i="1" s="1"/>
  <c r="G475" i="1" l="1"/>
  <c r="F476" i="1"/>
  <c r="I475" i="1" l="1"/>
  <c r="J476" i="1" s="1"/>
  <c r="F477" i="1"/>
  <c r="I476" i="1" s="1"/>
  <c r="J477" i="1" s="1"/>
  <c r="H476" i="1"/>
  <c r="G476" i="1"/>
  <c r="G477" i="1" l="1"/>
  <c r="F478" i="1"/>
  <c r="I477" i="1" s="1"/>
  <c r="J478" i="1" s="1"/>
  <c r="H477" i="1"/>
  <c r="H478" i="1" l="1"/>
  <c r="F479" i="1"/>
  <c r="I478" i="1" s="1"/>
  <c r="J479" i="1" s="1"/>
  <c r="G478" i="1"/>
  <c r="G479" i="1" l="1"/>
  <c r="F480" i="1"/>
  <c r="H479" i="1"/>
  <c r="I479" i="1" l="1"/>
  <c r="J480" i="1" s="1"/>
  <c r="F481" i="1"/>
  <c r="I480" i="1" s="1"/>
  <c r="J481" i="1" s="1"/>
  <c r="H480" i="1"/>
  <c r="G480" i="1"/>
  <c r="H481" i="1" l="1"/>
  <c r="F482" i="1"/>
  <c r="I481" i="1" s="1"/>
  <c r="J482" i="1" s="1"/>
  <c r="G481" i="1"/>
  <c r="G482" i="1" l="1"/>
  <c r="F483" i="1"/>
  <c r="I482" i="1" s="1"/>
  <c r="J483" i="1" s="1"/>
  <c r="H482" i="1"/>
  <c r="H483" i="1" l="1"/>
  <c r="F484" i="1"/>
  <c r="I483" i="1" s="1"/>
  <c r="J484" i="1" s="1"/>
  <c r="G483" i="1"/>
  <c r="G484" i="1" l="1"/>
  <c r="F485" i="1"/>
  <c r="H484" i="1"/>
  <c r="I484" i="1" l="1"/>
  <c r="J485" i="1" s="1"/>
  <c r="F486" i="1"/>
  <c r="I485" i="1" s="1"/>
  <c r="J486" i="1" s="1"/>
  <c r="H485" i="1"/>
  <c r="H486" i="1" s="1"/>
  <c r="G485" i="1"/>
  <c r="F487" i="1" l="1"/>
  <c r="I486" i="1" s="1"/>
  <c r="J487" i="1" s="1"/>
  <c r="G486" i="1"/>
  <c r="G487" i="1" l="1"/>
  <c r="F488" i="1"/>
  <c r="I487" i="1" s="1"/>
  <c r="J488" i="1" s="1"/>
  <c r="H487" i="1"/>
  <c r="H488" i="1" s="1"/>
  <c r="F489" i="1" l="1"/>
  <c r="I488" i="1" s="1"/>
  <c r="J489" i="1" s="1"/>
  <c r="G488" i="1"/>
  <c r="G489" i="1" l="1"/>
  <c r="F490" i="1"/>
  <c r="H489" i="1"/>
  <c r="I489" i="1" l="1"/>
  <c r="J490" i="1" s="1"/>
  <c r="F491" i="1"/>
  <c r="I490" i="1" s="1"/>
  <c r="J491" i="1" s="1"/>
  <c r="H490" i="1"/>
  <c r="H491" i="1" s="1"/>
  <c r="G490" i="1"/>
  <c r="G491" i="1" s="1"/>
  <c r="F492" i="1" l="1"/>
  <c r="G492" i="1" s="1"/>
  <c r="I491" i="1" l="1"/>
  <c r="J492" i="1" s="1"/>
  <c r="F493" i="1"/>
  <c r="I492" i="1" s="1"/>
  <c r="J493" i="1" s="1"/>
  <c r="H492" i="1"/>
  <c r="H493" i="1" l="1"/>
  <c r="F494" i="1"/>
  <c r="I493" i="1" s="1"/>
  <c r="J494" i="1" s="1"/>
  <c r="G493" i="1"/>
  <c r="G494" i="1" l="1"/>
  <c r="F495" i="1"/>
  <c r="H494" i="1"/>
  <c r="I494" i="1" l="1"/>
  <c r="J495" i="1" s="1"/>
  <c r="F496" i="1"/>
  <c r="I495" i="1" s="1"/>
  <c r="J496" i="1" s="1"/>
  <c r="H495" i="1"/>
  <c r="H496" i="1" s="1"/>
  <c r="G495" i="1"/>
  <c r="G496" i="1" s="1"/>
  <c r="F497" i="1" l="1"/>
  <c r="G497" i="1" s="1"/>
  <c r="I496" i="1" l="1"/>
  <c r="J497" i="1" s="1"/>
  <c r="F498" i="1"/>
  <c r="I497" i="1" s="1"/>
  <c r="J498" i="1" s="1"/>
  <c r="H497" i="1"/>
  <c r="H498" i="1" l="1"/>
  <c r="F499" i="1"/>
  <c r="G498" i="1"/>
  <c r="I498" i="1" l="1"/>
  <c r="J499" i="1" s="1"/>
  <c r="F500" i="1"/>
  <c r="I499" i="1" s="1"/>
  <c r="J500" i="1" s="1"/>
  <c r="H499" i="1"/>
  <c r="G499" i="1"/>
  <c r="G500" i="1" l="1"/>
  <c r="F501" i="1"/>
  <c r="I500" i="1" s="1"/>
  <c r="J501" i="1" s="1"/>
  <c r="H500" i="1"/>
  <c r="F502" i="1" l="1"/>
  <c r="I501" i="1" s="1"/>
  <c r="J502" i="1" s="1"/>
  <c r="H501" i="1"/>
  <c r="G501" i="1"/>
  <c r="G502" i="1" l="1"/>
  <c r="F503" i="1"/>
  <c r="H502" i="1"/>
  <c r="I502" i="1" l="1"/>
  <c r="J503" i="1" s="1"/>
  <c r="F504" i="1"/>
  <c r="I503" i="1" s="1"/>
  <c r="J504" i="1" s="1"/>
  <c r="H503" i="1"/>
  <c r="H504" i="1" s="1"/>
  <c r="G503" i="1"/>
  <c r="F505" i="1" l="1"/>
  <c r="I504" i="1" s="1"/>
  <c r="J505" i="1" s="1"/>
  <c r="G504" i="1"/>
  <c r="G505" i="1" l="1"/>
  <c r="F506" i="1"/>
  <c r="I505" i="1" s="1"/>
  <c r="J506" i="1" s="1"/>
  <c r="H505" i="1"/>
  <c r="F507" i="1" l="1"/>
  <c r="I506" i="1" s="1"/>
  <c r="J507" i="1" s="1"/>
  <c r="H506" i="1"/>
  <c r="G506" i="1"/>
  <c r="G507" i="1" s="1"/>
  <c r="H507" i="1" l="1"/>
  <c r="F508" i="1"/>
  <c r="I507" i="1" l="1"/>
  <c r="J508" i="1" s="1"/>
  <c r="F509" i="1"/>
  <c r="H508" i="1"/>
  <c r="I508" i="1"/>
  <c r="J509" i="1" s="1"/>
  <c r="G508" i="1"/>
  <c r="G509" i="1" s="1"/>
  <c r="F510" i="1" l="1"/>
  <c r="I509" i="1" s="1"/>
  <c r="J510" i="1" s="1"/>
  <c r="H509" i="1"/>
  <c r="H510" i="1" l="1"/>
  <c r="F511" i="1"/>
  <c r="I510" i="1" s="1"/>
  <c r="J511" i="1" s="1"/>
  <c r="G510" i="1"/>
  <c r="G511" i="1" l="1"/>
  <c r="F512" i="1"/>
  <c r="I511" i="1" s="1"/>
  <c r="J512" i="1" s="1"/>
  <c r="H511" i="1"/>
  <c r="H512" i="1" l="1"/>
  <c r="F513" i="1"/>
  <c r="G512" i="1"/>
  <c r="I512" i="1" l="1"/>
  <c r="J513" i="1" s="1"/>
  <c r="F514" i="1"/>
  <c r="I513" i="1" s="1"/>
  <c r="J514" i="1" s="1"/>
  <c r="H513" i="1"/>
  <c r="G513" i="1"/>
  <c r="G514" i="1" l="1"/>
  <c r="F515" i="1"/>
  <c r="I514" i="1" s="1"/>
  <c r="J515" i="1" s="1"/>
  <c r="H514" i="1"/>
  <c r="H515" i="1" l="1"/>
  <c r="F516" i="1"/>
  <c r="I515" i="1" s="1"/>
  <c r="J516" i="1" s="1"/>
  <c r="G515" i="1"/>
  <c r="G516" i="1" l="1"/>
  <c r="F517" i="1"/>
  <c r="H516" i="1"/>
  <c r="I516" i="1" l="1"/>
  <c r="J517" i="1" s="1"/>
  <c r="F518" i="1"/>
  <c r="I517" i="1" s="1"/>
  <c r="J518" i="1" s="1"/>
  <c r="H517" i="1"/>
  <c r="G517" i="1"/>
  <c r="F519" i="1" l="1"/>
  <c r="I518" i="1" s="1"/>
  <c r="J519" i="1" s="1"/>
  <c r="H518" i="1"/>
  <c r="G518" i="1"/>
  <c r="G519" i="1" l="1"/>
  <c r="F520" i="1"/>
  <c r="I519" i="1" s="1"/>
  <c r="J520" i="1" s="1"/>
  <c r="H519" i="1"/>
  <c r="H520" i="1" s="1"/>
  <c r="F521" i="1" l="1"/>
  <c r="I520" i="1" s="1"/>
  <c r="J521" i="1" s="1"/>
  <c r="G520" i="1"/>
  <c r="G521" i="1" l="1"/>
  <c r="F522" i="1"/>
  <c r="H521" i="1"/>
  <c r="I521" i="1" l="1"/>
  <c r="J522" i="1" s="1"/>
  <c r="F523" i="1"/>
  <c r="I522" i="1" s="1"/>
  <c r="J523" i="1" s="1"/>
  <c r="H522" i="1"/>
  <c r="H523" i="1" s="1"/>
  <c r="G522" i="1"/>
  <c r="G523" i="1" l="1"/>
  <c r="F524" i="1"/>
  <c r="I523" i="1" s="1"/>
  <c r="J524" i="1" s="1"/>
  <c r="F525" i="1" l="1"/>
  <c r="I524" i="1" s="1"/>
  <c r="J525" i="1" s="1"/>
  <c r="H524" i="1"/>
  <c r="H525" i="1" s="1"/>
  <c r="G524" i="1"/>
  <c r="G525" i="1" s="1"/>
  <c r="F526" i="1" l="1"/>
  <c r="G526" i="1" s="1"/>
  <c r="I525" i="1" l="1"/>
  <c r="J526" i="1" s="1"/>
  <c r="F527" i="1"/>
  <c r="H526" i="1"/>
  <c r="F528" i="1" l="1"/>
  <c r="H527" i="1"/>
  <c r="H528" i="1" s="1"/>
  <c r="I527" i="1"/>
  <c r="J528" i="1" s="1"/>
  <c r="G527" i="1"/>
  <c r="G528" i="1" s="1"/>
  <c r="I526" i="1"/>
  <c r="J527" i="1" s="1"/>
  <c r="F529" i="1" l="1"/>
  <c r="I528" i="1" s="1"/>
  <c r="J529" i="1" s="1"/>
  <c r="F530" i="1" l="1"/>
  <c r="I529" i="1"/>
  <c r="J530" i="1" s="1"/>
  <c r="H529" i="1"/>
  <c r="G529" i="1"/>
  <c r="G530" i="1" s="1"/>
  <c r="F531" i="1" l="1"/>
  <c r="H530" i="1"/>
  <c r="H531" i="1" s="1"/>
  <c r="I530" i="1"/>
  <c r="J531" i="1" s="1"/>
  <c r="F532" i="1" l="1"/>
  <c r="G531" i="1"/>
  <c r="I531" i="1" s="1"/>
  <c r="J532" i="1" s="1"/>
  <c r="F533" i="1" l="1"/>
  <c r="I532" i="1" s="1"/>
  <c r="J533" i="1" s="1"/>
  <c r="H532" i="1"/>
  <c r="G532" i="1"/>
  <c r="G533" i="1" s="1"/>
  <c r="F534" i="1" l="1"/>
  <c r="I533" i="1" s="1"/>
  <c r="J534" i="1" s="1"/>
  <c r="H533" i="1"/>
  <c r="F535" i="1" l="1"/>
  <c r="I534" i="1" s="1"/>
  <c r="J535" i="1" s="1"/>
  <c r="H534" i="1"/>
  <c r="G534" i="1"/>
  <c r="G535" i="1" l="1"/>
  <c r="F536" i="1"/>
  <c r="H535" i="1"/>
  <c r="I535" i="1" l="1"/>
  <c r="J536" i="1" s="1"/>
  <c r="F537" i="1"/>
  <c r="I536" i="1" s="1"/>
  <c r="J537" i="1" s="1"/>
  <c r="H536" i="1"/>
  <c r="G536" i="1"/>
  <c r="G537" i="1" l="1"/>
  <c r="H537" i="1"/>
  <c r="F538" i="1"/>
  <c r="I537" i="1" s="1"/>
  <c r="J538" i="1" s="1"/>
  <c r="F539" i="1" l="1"/>
  <c r="I538" i="1" s="1"/>
  <c r="J539" i="1" s="1"/>
  <c r="H538" i="1"/>
  <c r="G538" i="1"/>
  <c r="G539" i="1" l="1"/>
  <c r="H539" i="1"/>
  <c r="F540" i="1"/>
  <c r="I539" i="1" s="1"/>
  <c r="J540" i="1" s="1"/>
  <c r="F541" i="1" l="1"/>
  <c r="G540" i="1"/>
  <c r="H540" i="1"/>
  <c r="I540" i="1" l="1"/>
  <c r="J541" i="1" s="1"/>
  <c r="F542" i="1"/>
  <c r="I541" i="1" s="1"/>
  <c r="J542" i="1" s="1"/>
  <c r="H541" i="1"/>
  <c r="G541" i="1"/>
  <c r="G542" i="1" l="1"/>
  <c r="F543" i="1"/>
  <c r="I542" i="1" s="1"/>
  <c r="J543" i="1" s="1"/>
  <c r="H542" i="1"/>
  <c r="H543" i="1" l="1"/>
  <c r="F544" i="1"/>
  <c r="I543" i="1" s="1"/>
  <c r="J544" i="1" s="1"/>
  <c r="G543" i="1"/>
  <c r="G544" i="1" l="1"/>
  <c r="F545" i="1"/>
  <c r="I544" i="1" s="1"/>
  <c r="J545" i="1" s="1"/>
  <c r="H544" i="1"/>
  <c r="H545" i="1" l="1"/>
  <c r="F546" i="1"/>
  <c r="G545" i="1"/>
  <c r="I545" i="1" l="1"/>
  <c r="J546" i="1" s="1"/>
  <c r="F547" i="1"/>
  <c r="I546" i="1" s="1"/>
  <c r="J547" i="1" s="1"/>
  <c r="H546" i="1"/>
  <c r="H547" i="1" s="1"/>
  <c r="G546" i="1"/>
  <c r="G547" i="1" l="1"/>
  <c r="F548" i="1"/>
  <c r="I547" i="1" s="1"/>
  <c r="J548" i="1" s="1"/>
  <c r="F549" i="1" l="1"/>
  <c r="I548" i="1" s="1"/>
  <c r="J549" i="1" s="1"/>
  <c r="H548" i="1"/>
  <c r="G548" i="1"/>
  <c r="F550" i="1" l="1"/>
  <c r="I549" i="1" s="1"/>
  <c r="J550" i="1" s="1"/>
  <c r="H549" i="1"/>
  <c r="G549" i="1"/>
  <c r="G550" i="1" l="1"/>
  <c r="F551" i="1"/>
  <c r="H550" i="1"/>
  <c r="I550" i="1" s="1"/>
  <c r="J551" i="1" s="1"/>
  <c r="F552" i="1" l="1"/>
  <c r="I551" i="1" s="1"/>
  <c r="J552" i="1" s="1"/>
  <c r="H551" i="1"/>
  <c r="G551" i="1"/>
  <c r="H552" i="1" l="1"/>
  <c r="G552" i="1"/>
  <c r="F553" i="1"/>
  <c r="I552" i="1" s="1"/>
  <c r="J553" i="1" s="1"/>
  <c r="F554" i="1" l="1"/>
  <c r="I553" i="1" s="1"/>
  <c r="J554" i="1" s="1"/>
  <c r="G553" i="1"/>
  <c r="H553" i="1"/>
  <c r="H554" i="1" l="1"/>
  <c r="G554" i="1"/>
  <c r="F555" i="1"/>
  <c r="I554" i="1" s="1"/>
  <c r="J555" i="1" s="1"/>
  <c r="F556" i="1" l="1"/>
  <c r="G555" i="1"/>
  <c r="H555" i="1"/>
  <c r="I555" i="1" l="1"/>
  <c r="J556" i="1" s="1"/>
  <c r="F557" i="1"/>
  <c r="I556" i="1" s="1"/>
  <c r="J557" i="1" s="1"/>
  <c r="H556" i="1"/>
  <c r="G556" i="1"/>
  <c r="G557" i="1" l="1"/>
  <c r="F558" i="1"/>
  <c r="H557" i="1"/>
  <c r="H558" i="1" l="1"/>
  <c r="F559" i="1"/>
  <c r="I558" i="1" s="1"/>
  <c r="J559" i="1" s="1"/>
  <c r="I557" i="1"/>
  <c r="J558" i="1" s="1"/>
  <c r="G558" i="1"/>
  <c r="G559" i="1" l="1"/>
  <c r="H559" i="1"/>
  <c r="F560" i="1"/>
  <c r="I559" i="1" l="1"/>
  <c r="J560" i="1" s="1"/>
  <c r="F561" i="1"/>
  <c r="I560" i="1" s="1"/>
  <c r="J561" i="1" s="1"/>
  <c r="H560" i="1"/>
  <c r="G560" i="1"/>
  <c r="H561" i="1" l="1"/>
  <c r="F562" i="1"/>
  <c r="I561" i="1" s="1"/>
  <c r="J562" i="1" s="1"/>
  <c r="G561" i="1"/>
  <c r="G562" i="1" l="1"/>
  <c r="F563" i="1"/>
  <c r="I562" i="1" s="1"/>
  <c r="J563" i="1" s="1"/>
  <c r="H562" i="1"/>
  <c r="H563" i="1" l="1"/>
  <c r="F564" i="1"/>
  <c r="I563" i="1" s="1"/>
  <c r="J564" i="1" s="1"/>
  <c r="G563" i="1"/>
  <c r="G564" i="1" l="1"/>
  <c r="F565" i="1"/>
  <c r="H564" i="1"/>
  <c r="I564" i="1" l="1"/>
  <c r="J565" i="1" s="1"/>
  <c r="F566" i="1"/>
  <c r="I565" i="1" s="1"/>
  <c r="J566" i="1" s="1"/>
  <c r="H565" i="1"/>
  <c r="H566" i="1" s="1"/>
  <c r="G565" i="1"/>
  <c r="G566" i="1" s="1"/>
  <c r="F567" i="1" l="1"/>
  <c r="I566" i="1" s="1"/>
  <c r="J567" i="1" s="1"/>
  <c r="F568" i="1" l="1"/>
  <c r="I567" i="1" s="1"/>
  <c r="J568" i="1" s="1"/>
  <c r="G567" i="1"/>
  <c r="H567" i="1"/>
  <c r="H568" i="1" l="1"/>
  <c r="G568" i="1"/>
  <c r="F569" i="1"/>
  <c r="I568" i="1" s="1"/>
  <c r="J569" i="1" s="1"/>
  <c r="F570" i="1" l="1"/>
  <c r="G569" i="1"/>
  <c r="H569" i="1"/>
  <c r="G570" i="1" l="1"/>
  <c r="I569" i="1"/>
  <c r="J570" i="1" s="1"/>
  <c r="F571" i="1"/>
  <c r="I570" i="1" s="1"/>
  <c r="J571" i="1" s="1"/>
  <c r="H570" i="1"/>
  <c r="H571" i="1" l="1"/>
  <c r="F572" i="1"/>
  <c r="G571" i="1"/>
  <c r="F573" i="1" l="1"/>
  <c r="I572" i="1" s="1"/>
  <c r="J573" i="1" s="1"/>
  <c r="G572" i="1"/>
  <c r="I571" i="1"/>
  <c r="J572" i="1" s="1"/>
  <c r="H572" i="1"/>
  <c r="H573" i="1" l="1"/>
  <c r="G573" i="1"/>
  <c r="F574" i="1"/>
  <c r="F575" i="1" l="1"/>
  <c r="G574" i="1"/>
  <c r="I573" i="1"/>
  <c r="J574" i="1" s="1"/>
  <c r="H574" i="1"/>
  <c r="I574" i="1" l="1"/>
  <c r="J575" i="1" s="1"/>
  <c r="F576" i="1"/>
  <c r="I575" i="1" s="1"/>
  <c r="J576" i="1" s="1"/>
  <c r="H575" i="1"/>
  <c r="H576" i="1" s="1"/>
  <c r="G575" i="1"/>
  <c r="G576" i="1" l="1"/>
  <c r="F577" i="1"/>
  <c r="F578" i="1" l="1"/>
  <c r="I577" i="1" s="1"/>
  <c r="J578" i="1" s="1"/>
  <c r="I576" i="1"/>
  <c r="J577" i="1" s="1"/>
  <c r="H577" i="1"/>
  <c r="G577" i="1"/>
  <c r="G578" i="1" l="1"/>
  <c r="F579" i="1"/>
  <c r="H578" i="1"/>
  <c r="H579" i="1" l="1"/>
  <c r="F580" i="1"/>
  <c r="I578" i="1"/>
  <c r="J579" i="1" s="1"/>
  <c r="G579" i="1"/>
  <c r="I579" i="1" l="1"/>
  <c r="J580" i="1" s="1"/>
  <c r="F581" i="1"/>
  <c r="I580" i="1" s="1"/>
  <c r="J581" i="1" s="1"/>
  <c r="H580" i="1"/>
  <c r="G580" i="1"/>
  <c r="G581" i="1" l="1"/>
  <c r="F582" i="1"/>
  <c r="I581" i="1" s="1"/>
  <c r="J582" i="1" s="1"/>
  <c r="H581" i="1"/>
  <c r="H582" i="1" l="1"/>
  <c r="F583" i="1"/>
  <c r="I582" i="1" s="1"/>
  <c r="J583" i="1" s="1"/>
  <c r="G582" i="1"/>
  <c r="G583" i="1" l="1"/>
  <c r="F584" i="1"/>
  <c r="I583" i="1" s="1"/>
  <c r="J584" i="1" s="1"/>
  <c r="H583" i="1"/>
  <c r="H584" i="1" l="1"/>
  <c r="F585" i="1"/>
  <c r="G584" i="1"/>
  <c r="G585" i="1" l="1"/>
  <c r="I584" i="1"/>
  <c r="J585" i="1" s="1"/>
  <c r="F586" i="1"/>
  <c r="I585" i="1" s="1"/>
  <c r="J586" i="1" s="1"/>
  <c r="H585" i="1"/>
  <c r="F587" i="1" l="1"/>
  <c r="I586" i="1" s="1"/>
  <c r="J587" i="1" s="1"/>
  <c r="H586" i="1"/>
  <c r="G586" i="1"/>
  <c r="G587" i="1" l="1"/>
  <c r="H587" i="1"/>
  <c r="F588" i="1"/>
  <c r="G588" i="1" l="1"/>
  <c r="I587" i="1"/>
  <c r="J588" i="1" s="1"/>
  <c r="F589" i="1"/>
  <c r="H588" i="1"/>
  <c r="F590" i="1" l="1"/>
  <c r="H589" i="1"/>
  <c r="G589" i="1"/>
  <c r="I588" i="1"/>
  <c r="J589" i="1" s="1"/>
  <c r="I589" i="1" l="1"/>
  <c r="J590" i="1" s="1"/>
  <c r="F591" i="1"/>
  <c r="I590" i="1" s="1"/>
  <c r="J591" i="1" s="1"/>
  <c r="H590" i="1"/>
  <c r="G590" i="1"/>
  <c r="G591" i="1" l="1"/>
  <c r="F592" i="1"/>
  <c r="I591" i="1" s="1"/>
  <c r="J592" i="1" s="1"/>
  <c r="H591" i="1"/>
  <c r="H592" i="1" s="1"/>
  <c r="F593" i="1" l="1"/>
  <c r="I592" i="1" s="1"/>
  <c r="J593" i="1" s="1"/>
  <c r="G592" i="1"/>
  <c r="G593" i="1" l="1"/>
  <c r="F594" i="1"/>
  <c r="I593" i="1" s="1"/>
  <c r="J594" i="1" s="1"/>
  <c r="H593" i="1"/>
  <c r="H594" i="1" l="1"/>
  <c r="F595" i="1"/>
  <c r="G594" i="1"/>
  <c r="I594" i="1" l="1"/>
  <c r="J595" i="1" s="1"/>
  <c r="F596" i="1"/>
  <c r="I595" i="1" s="1"/>
  <c r="J596" i="1" s="1"/>
  <c r="H595" i="1"/>
  <c r="G595" i="1"/>
  <c r="F597" i="1" l="1"/>
  <c r="I596" i="1" s="1"/>
  <c r="J597" i="1" s="1"/>
  <c r="H596" i="1"/>
  <c r="G596" i="1"/>
  <c r="G597" i="1" l="1"/>
  <c r="F598" i="1"/>
  <c r="I597" i="1" s="1"/>
  <c r="J598" i="1" s="1"/>
  <c r="H597" i="1"/>
  <c r="F599" i="1" l="1"/>
  <c r="I598" i="1" s="1"/>
  <c r="J599" i="1" s="1"/>
  <c r="H598" i="1"/>
  <c r="G598" i="1"/>
  <c r="G599" i="1" l="1"/>
  <c r="F600" i="1"/>
  <c r="H599" i="1"/>
  <c r="I599" i="1" l="1"/>
  <c r="J600" i="1" s="1"/>
  <c r="F601" i="1"/>
  <c r="I600" i="1" s="1"/>
  <c r="J601" i="1" s="1"/>
  <c r="H600" i="1"/>
  <c r="G600" i="1"/>
  <c r="G601" i="1" s="1"/>
  <c r="F602" i="1" l="1"/>
  <c r="I601" i="1" s="1"/>
  <c r="J602" i="1" s="1"/>
  <c r="H601" i="1"/>
  <c r="F603" i="1" l="1"/>
  <c r="I602" i="1" s="1"/>
  <c r="J603" i="1" s="1"/>
  <c r="H602" i="1"/>
  <c r="G602" i="1"/>
  <c r="G603" i="1" l="1"/>
  <c r="H603" i="1"/>
  <c r="F604" i="1"/>
  <c r="I603" i="1" l="1"/>
  <c r="J604" i="1" s="1"/>
  <c r="F605" i="1"/>
  <c r="I604" i="1" s="1"/>
  <c r="J605" i="1" s="1"/>
  <c r="H604" i="1"/>
  <c r="G604" i="1"/>
  <c r="G605" i="1" l="1"/>
  <c r="F606" i="1"/>
  <c r="H605" i="1"/>
  <c r="H606" i="1" l="1"/>
  <c r="F607" i="1"/>
  <c r="I605" i="1"/>
  <c r="J606" i="1" s="1"/>
  <c r="G606" i="1"/>
  <c r="G607" i="1" s="1"/>
  <c r="F608" i="1" l="1"/>
  <c r="I607" i="1" s="1"/>
  <c r="J608" i="1" s="1"/>
  <c r="I606" i="1"/>
  <c r="J607" i="1" s="1"/>
  <c r="H607" i="1"/>
  <c r="H608" i="1" l="1"/>
  <c r="F609" i="1"/>
  <c r="G608" i="1"/>
  <c r="I608" i="1" l="1"/>
  <c r="J609" i="1" s="1"/>
  <c r="F610" i="1"/>
  <c r="I609" i="1" s="1"/>
  <c r="J610" i="1" s="1"/>
  <c r="H609" i="1"/>
  <c r="G609" i="1"/>
  <c r="G610" i="1" s="1"/>
  <c r="F611" i="1" l="1"/>
  <c r="I610" i="1" s="1"/>
  <c r="J611" i="1" s="1"/>
  <c r="H610" i="1"/>
  <c r="H611" i="1" l="1"/>
  <c r="F612" i="1"/>
  <c r="I611" i="1" s="1"/>
  <c r="J612" i="1" s="1"/>
  <c r="G611" i="1"/>
  <c r="G612" i="1" l="1"/>
  <c r="F613" i="1"/>
  <c r="H612" i="1"/>
  <c r="F614" i="1" l="1"/>
  <c r="H613" i="1"/>
  <c r="G613" i="1"/>
  <c r="I612" i="1"/>
  <c r="J613" i="1" s="1"/>
  <c r="I613" i="1" l="1"/>
  <c r="J614" i="1" s="1"/>
  <c r="F615" i="1"/>
  <c r="I614" i="1" s="1"/>
  <c r="J615" i="1" s="1"/>
  <c r="H614" i="1"/>
  <c r="H615" i="1" s="1"/>
  <c r="G614" i="1"/>
  <c r="G615" i="1" s="1"/>
  <c r="F616" i="1" l="1"/>
  <c r="I615" i="1" s="1"/>
  <c r="J616" i="1" s="1"/>
  <c r="F617" i="1" l="1"/>
  <c r="I616" i="1" s="1"/>
  <c r="J617" i="1" s="1"/>
  <c r="H616" i="1"/>
  <c r="G616" i="1"/>
  <c r="G617" i="1" l="1"/>
  <c r="H617" i="1"/>
  <c r="F618" i="1"/>
  <c r="I617" i="1" s="1"/>
  <c r="J618" i="1" s="1"/>
  <c r="F619" i="1" l="1"/>
  <c r="H618" i="1"/>
  <c r="G618" i="1"/>
  <c r="I618" i="1" l="1"/>
  <c r="J619" i="1" s="1"/>
  <c r="F620" i="1"/>
  <c r="I619" i="1" s="1"/>
  <c r="J620" i="1" s="1"/>
  <c r="H619" i="1"/>
  <c r="G619" i="1"/>
  <c r="F621" i="1" l="1"/>
  <c r="I620" i="1" s="1"/>
  <c r="J621" i="1" s="1"/>
  <c r="H620" i="1"/>
  <c r="G620" i="1"/>
  <c r="G621" i="1" l="1"/>
  <c r="F622" i="1"/>
  <c r="I621" i="1" s="1"/>
  <c r="J622" i="1" s="1"/>
  <c r="H621" i="1"/>
  <c r="H622" i="1" s="1"/>
  <c r="F623" i="1" l="1"/>
  <c r="I622" i="1" s="1"/>
  <c r="J623" i="1" s="1"/>
  <c r="G622" i="1"/>
  <c r="G623" i="1" l="1"/>
  <c r="F624" i="1"/>
  <c r="H623" i="1"/>
  <c r="I623" i="1" s="1"/>
  <c r="J624" i="1" s="1"/>
  <c r="F625" i="1" l="1"/>
  <c r="I624" i="1" s="1"/>
  <c r="J625" i="1" s="1"/>
  <c r="H624" i="1"/>
  <c r="G624" i="1"/>
  <c r="G625" i="1" s="1"/>
  <c r="F626" i="1" l="1"/>
  <c r="I625" i="1" s="1"/>
  <c r="J626" i="1" s="1"/>
  <c r="H625" i="1"/>
  <c r="F627" i="1" l="1"/>
  <c r="I626" i="1" s="1"/>
  <c r="J627" i="1" s="1"/>
  <c r="H626" i="1"/>
  <c r="G626" i="1"/>
  <c r="H627" i="1" l="1"/>
  <c r="G627" i="1"/>
  <c r="F628" i="1"/>
  <c r="I627" i="1" s="1"/>
  <c r="J628" i="1" s="1"/>
  <c r="F629" i="1" l="1"/>
  <c r="H628" i="1"/>
  <c r="G628" i="1"/>
  <c r="G629" i="1" l="1"/>
  <c r="I628" i="1"/>
  <c r="J629" i="1" s="1"/>
  <c r="F630" i="1"/>
  <c r="I629" i="1" s="1"/>
  <c r="J630" i="1" s="1"/>
  <c r="H629" i="1"/>
  <c r="F631" i="1" l="1"/>
  <c r="I630" i="1" s="1"/>
  <c r="J631" i="1" s="1"/>
  <c r="H630" i="1"/>
  <c r="G630" i="1"/>
  <c r="G631" i="1" s="1"/>
  <c r="F632" i="1" l="1"/>
  <c r="I631" i="1" s="1"/>
  <c r="J632" i="1" s="1"/>
  <c r="H631" i="1"/>
  <c r="H632" i="1" s="1"/>
  <c r="F633" i="1" l="1"/>
  <c r="G632" i="1"/>
  <c r="I632" i="1" s="1"/>
  <c r="J633" i="1" s="1"/>
  <c r="F634" i="1" l="1"/>
  <c r="I633" i="1" s="1"/>
  <c r="J634" i="1" s="1"/>
  <c r="H633" i="1"/>
  <c r="G633" i="1"/>
  <c r="G634" i="1" l="1"/>
  <c r="F635" i="1"/>
  <c r="I634" i="1" s="1"/>
  <c r="J635" i="1" s="1"/>
  <c r="H634" i="1"/>
  <c r="H635" i="1" l="1"/>
  <c r="F636" i="1"/>
  <c r="I635" i="1" s="1"/>
  <c r="J636" i="1" s="1"/>
  <c r="G635" i="1"/>
  <c r="G636" i="1" l="1"/>
  <c r="F637" i="1"/>
  <c r="I636" i="1" s="1"/>
  <c r="J637" i="1" s="1"/>
  <c r="H636" i="1"/>
  <c r="H637" i="1" l="1"/>
  <c r="F638" i="1"/>
  <c r="G637" i="1"/>
  <c r="I637" i="1" l="1"/>
  <c r="J638" i="1" s="1"/>
  <c r="F639" i="1"/>
  <c r="I638" i="1" s="1"/>
  <c r="J639" i="1" s="1"/>
  <c r="H638" i="1"/>
  <c r="G638" i="1"/>
  <c r="G639" i="1" l="1"/>
  <c r="F640" i="1"/>
  <c r="I639" i="1" s="1"/>
  <c r="J640" i="1" s="1"/>
  <c r="H639" i="1"/>
  <c r="H640" i="1" l="1"/>
  <c r="F641" i="1"/>
  <c r="I640" i="1" s="1"/>
  <c r="J641" i="1" s="1"/>
  <c r="G640" i="1"/>
  <c r="G641" i="1" l="1"/>
  <c r="F642" i="1"/>
  <c r="I641" i="1" s="1"/>
  <c r="J642" i="1" s="1"/>
  <c r="H641" i="1"/>
  <c r="H642" i="1" l="1"/>
  <c r="F643" i="1"/>
  <c r="G642" i="1"/>
  <c r="I642" i="1" l="1"/>
  <c r="J643" i="1" s="1"/>
  <c r="F644" i="1"/>
  <c r="I643" i="1" s="1"/>
  <c r="J644" i="1" s="1"/>
  <c r="H643" i="1"/>
  <c r="G643" i="1"/>
  <c r="F645" i="1" l="1"/>
  <c r="I644" i="1" s="1"/>
  <c r="J645" i="1" s="1"/>
  <c r="H644" i="1"/>
  <c r="G644" i="1"/>
  <c r="G645" i="1" l="1"/>
  <c r="F646" i="1"/>
  <c r="I645" i="1" s="1"/>
  <c r="J646" i="1" s="1"/>
  <c r="H645" i="1"/>
  <c r="F647" i="1" l="1"/>
  <c r="I646" i="1" s="1"/>
  <c r="J647" i="1" s="1"/>
  <c r="H646" i="1"/>
  <c r="G646" i="1"/>
  <c r="G647" i="1" l="1"/>
  <c r="H647" i="1"/>
  <c r="F648" i="1"/>
  <c r="I647" i="1" l="1"/>
  <c r="J648" i="1" s="1"/>
  <c r="F649" i="1"/>
  <c r="I648" i="1" s="1"/>
  <c r="J649" i="1" s="1"/>
  <c r="H648" i="1"/>
  <c r="G648" i="1"/>
  <c r="F650" i="1" l="1"/>
  <c r="I649" i="1" s="1"/>
  <c r="J650" i="1" s="1"/>
  <c r="H649" i="1"/>
  <c r="G649" i="1"/>
  <c r="G650" i="1" l="1"/>
  <c r="F651" i="1"/>
  <c r="I650" i="1" s="1"/>
  <c r="J651" i="1" s="1"/>
  <c r="H650" i="1"/>
  <c r="H651" i="1" s="1"/>
  <c r="F652" i="1" l="1"/>
  <c r="I651" i="1" s="1"/>
  <c r="J652" i="1" s="1"/>
  <c r="G651" i="1"/>
  <c r="G652" i="1" l="1"/>
  <c r="F653" i="1"/>
  <c r="H652" i="1"/>
  <c r="I652" i="1" l="1"/>
  <c r="J653" i="1" s="1"/>
  <c r="F654" i="1"/>
  <c r="I653" i="1" s="1"/>
  <c r="J654" i="1" s="1"/>
  <c r="H653" i="1"/>
  <c r="G653" i="1"/>
  <c r="G654" i="1" s="1"/>
  <c r="F655" i="1" l="1"/>
  <c r="I654" i="1" s="1"/>
  <c r="J655" i="1" s="1"/>
  <c r="H654" i="1"/>
  <c r="F656" i="1" l="1"/>
  <c r="I655" i="1" s="1"/>
  <c r="J656" i="1" s="1"/>
  <c r="H655" i="1"/>
  <c r="G655" i="1"/>
  <c r="G656" i="1" l="1"/>
  <c r="H656" i="1"/>
  <c r="F657" i="1"/>
  <c r="I656" i="1" s="1"/>
  <c r="J657" i="1" s="1"/>
  <c r="F658" i="1" l="1"/>
  <c r="G657" i="1"/>
  <c r="H657" i="1"/>
  <c r="I657" i="1" l="1"/>
  <c r="J658" i="1" s="1"/>
  <c r="F659" i="1"/>
  <c r="I658" i="1" s="1"/>
  <c r="J659" i="1" s="1"/>
  <c r="H658" i="1"/>
  <c r="G658" i="1"/>
  <c r="G659" i="1" l="1"/>
  <c r="H659" i="1"/>
  <c r="F660" i="1"/>
  <c r="I659" i="1" s="1"/>
  <c r="J660" i="1" s="1"/>
  <c r="F661" i="1" l="1"/>
  <c r="I660" i="1" s="1"/>
  <c r="J661" i="1" s="1"/>
  <c r="H660" i="1"/>
  <c r="G660" i="1"/>
  <c r="G661" i="1" l="1"/>
  <c r="H661" i="1"/>
  <c r="F662" i="1"/>
  <c r="I661" i="1" s="1"/>
  <c r="J662" i="1" s="1"/>
  <c r="F663" i="1" l="1"/>
  <c r="G662" i="1"/>
  <c r="G663" i="1" s="1"/>
  <c r="H662" i="1"/>
  <c r="I662" i="1" l="1"/>
  <c r="J663" i="1" s="1"/>
  <c r="F664" i="1"/>
  <c r="I663" i="1" s="1"/>
  <c r="J664" i="1" s="1"/>
  <c r="H663" i="1"/>
  <c r="H664" i="1" l="1"/>
  <c r="F665" i="1"/>
  <c r="I664" i="1" s="1"/>
  <c r="J665" i="1" s="1"/>
  <c r="G664" i="1"/>
  <c r="G665" i="1" l="1"/>
  <c r="F666" i="1"/>
  <c r="I665" i="1" s="1"/>
  <c r="J666" i="1" s="1"/>
  <c r="H665" i="1"/>
  <c r="H666" i="1" l="1"/>
  <c r="F667" i="1"/>
  <c r="I666" i="1" s="1"/>
  <c r="J667" i="1" s="1"/>
  <c r="G666" i="1"/>
  <c r="G667" i="1" l="1"/>
  <c r="F668" i="1"/>
  <c r="H667" i="1"/>
  <c r="I667" i="1" l="1"/>
  <c r="J668" i="1" s="1"/>
  <c r="F669" i="1"/>
  <c r="I668" i="1" s="1"/>
  <c r="J669" i="1" s="1"/>
  <c r="H668" i="1"/>
  <c r="G668" i="1"/>
  <c r="G669" i="1" l="1"/>
  <c r="F670" i="1"/>
  <c r="H669" i="1"/>
  <c r="F671" i="1" l="1"/>
  <c r="I670" i="1" s="1"/>
  <c r="J671" i="1" s="1"/>
  <c r="H670" i="1"/>
  <c r="H671" i="1" s="1"/>
  <c r="I669" i="1"/>
  <c r="J670" i="1" s="1"/>
  <c r="G670" i="1"/>
  <c r="G671" i="1" s="1"/>
  <c r="F672" i="1" l="1"/>
  <c r="I671" i="1" s="1"/>
  <c r="J672" i="1" s="1"/>
  <c r="F673" i="1" l="1"/>
  <c r="I672" i="1" s="1"/>
  <c r="J673" i="1" s="1"/>
  <c r="H672" i="1"/>
  <c r="G672" i="1"/>
  <c r="G673" i="1" s="1"/>
  <c r="F674" i="1" l="1"/>
  <c r="I673" i="1" s="1"/>
  <c r="J674" i="1" s="1"/>
  <c r="H673" i="1"/>
  <c r="F675" i="1" l="1"/>
  <c r="I674" i="1" s="1"/>
  <c r="J675" i="1" s="1"/>
  <c r="H674" i="1"/>
  <c r="H675" i="1" s="1"/>
  <c r="G674" i="1"/>
  <c r="G675" i="1" s="1"/>
  <c r="F676" i="1" l="1"/>
  <c r="I675" i="1" s="1"/>
  <c r="J676" i="1" s="1"/>
  <c r="F677" i="1" l="1"/>
  <c r="G676" i="1"/>
  <c r="H676" i="1"/>
  <c r="G677" i="1" l="1"/>
  <c r="I676" i="1"/>
  <c r="J677" i="1" s="1"/>
  <c r="F678" i="1"/>
  <c r="H677" i="1"/>
  <c r="F679" i="1" l="1"/>
  <c r="I678" i="1" s="1"/>
  <c r="J679" i="1" s="1"/>
  <c r="H678" i="1"/>
  <c r="G678" i="1"/>
  <c r="G679" i="1" s="1"/>
  <c r="I677" i="1"/>
  <c r="J678" i="1" s="1"/>
  <c r="F680" i="1" l="1"/>
  <c r="I679" i="1" s="1"/>
  <c r="J680" i="1" s="1"/>
  <c r="H679" i="1"/>
  <c r="H680" i="1" l="1"/>
  <c r="F681" i="1"/>
  <c r="I680" i="1" s="1"/>
  <c r="J681" i="1" s="1"/>
  <c r="G680" i="1"/>
  <c r="G681" i="1" l="1"/>
  <c r="F682" i="1"/>
  <c r="H681" i="1"/>
  <c r="I681" i="1" l="1"/>
  <c r="J682" i="1" s="1"/>
  <c r="F683" i="1"/>
  <c r="I682" i="1" s="1"/>
  <c r="J683" i="1" s="1"/>
  <c r="H682" i="1"/>
  <c r="G682" i="1"/>
  <c r="H683" i="1" l="1"/>
  <c r="F684" i="1"/>
  <c r="I683" i="1" s="1"/>
  <c r="J684" i="1" s="1"/>
  <c r="G683" i="1"/>
  <c r="G684" i="1" l="1"/>
  <c r="F685" i="1"/>
  <c r="I684" i="1" s="1"/>
  <c r="J685" i="1" s="1"/>
  <c r="H684" i="1"/>
  <c r="H685" i="1" l="1"/>
  <c r="F686" i="1"/>
  <c r="I685" i="1" s="1"/>
  <c r="J686" i="1" s="1"/>
  <c r="G685" i="1"/>
  <c r="G686" i="1" l="1"/>
  <c r="F687" i="1"/>
  <c r="H686" i="1"/>
  <c r="I686" i="1" l="1"/>
  <c r="J687" i="1" s="1"/>
  <c r="F688" i="1"/>
  <c r="I687" i="1" s="1"/>
  <c r="J688" i="1" s="1"/>
  <c r="H687" i="1"/>
  <c r="H688" i="1" s="1"/>
  <c r="G687" i="1"/>
  <c r="G688" i="1" s="1"/>
  <c r="F689" i="1" l="1"/>
  <c r="I688" i="1" s="1"/>
  <c r="J689" i="1" s="1"/>
  <c r="F690" i="1" l="1"/>
  <c r="I689" i="1" s="1"/>
  <c r="J690" i="1" s="1"/>
  <c r="H689" i="1"/>
  <c r="G689" i="1"/>
  <c r="G690" i="1" l="1"/>
  <c r="F691" i="1"/>
  <c r="I690" i="1" s="1"/>
  <c r="J691" i="1" s="1"/>
  <c r="H690" i="1"/>
  <c r="H691" i="1" l="1"/>
  <c r="F692" i="1"/>
  <c r="G691" i="1"/>
  <c r="I691" i="1" l="1"/>
  <c r="J692" i="1" s="1"/>
  <c r="F693" i="1"/>
  <c r="I692" i="1" s="1"/>
  <c r="J693" i="1" s="1"/>
  <c r="H692" i="1"/>
  <c r="G692" i="1"/>
  <c r="G693" i="1" l="1"/>
  <c r="F694" i="1"/>
  <c r="I693" i="1" s="1"/>
  <c r="J694" i="1" s="1"/>
  <c r="H693" i="1"/>
  <c r="F695" i="1" l="1"/>
  <c r="I694" i="1" s="1"/>
  <c r="J695" i="1" s="1"/>
  <c r="H694" i="1"/>
  <c r="H695" i="1" s="1"/>
  <c r="G694" i="1"/>
  <c r="G695" i="1" s="1"/>
  <c r="F696" i="1" l="1"/>
  <c r="I695" i="1" s="1"/>
  <c r="J696" i="1" s="1"/>
  <c r="F697" i="1" l="1"/>
  <c r="H696" i="1"/>
  <c r="G696" i="1"/>
  <c r="I696" i="1" l="1"/>
  <c r="J697" i="1" s="1"/>
  <c r="F698" i="1"/>
  <c r="I697" i="1" s="1"/>
  <c r="J698" i="1" s="1"/>
  <c r="H697" i="1"/>
  <c r="G697" i="1"/>
  <c r="F699" i="1" l="1"/>
  <c r="I698" i="1" s="1"/>
  <c r="J699" i="1" s="1"/>
  <c r="H698" i="1"/>
  <c r="H699" i="1" s="1"/>
  <c r="G698" i="1"/>
  <c r="G699" i="1" s="1"/>
  <c r="F700" i="1" l="1"/>
  <c r="I699" i="1" s="1"/>
  <c r="J700" i="1" s="1"/>
  <c r="F701" i="1" l="1"/>
  <c r="G700" i="1"/>
  <c r="H700" i="1"/>
  <c r="I700" i="1" l="1"/>
  <c r="J701" i="1" s="1"/>
  <c r="F702" i="1"/>
  <c r="I701" i="1" s="1"/>
  <c r="J702" i="1" s="1"/>
  <c r="H701" i="1"/>
  <c r="G701" i="1"/>
  <c r="G702" i="1" l="1"/>
  <c r="F703" i="1"/>
  <c r="I702" i="1" s="1"/>
  <c r="J703" i="1" s="1"/>
  <c r="H702" i="1"/>
  <c r="H703" i="1" l="1"/>
  <c r="F704" i="1"/>
  <c r="I703" i="1" s="1"/>
  <c r="J704" i="1" s="1"/>
  <c r="G703" i="1"/>
  <c r="G704" i="1" l="1"/>
  <c r="F705" i="1"/>
  <c r="I704" i="1" s="1"/>
  <c r="J705" i="1" s="1"/>
  <c r="H704" i="1"/>
  <c r="H705" i="1" l="1"/>
  <c r="F706" i="1"/>
  <c r="G705" i="1"/>
  <c r="G706" i="1" l="1"/>
  <c r="I705" i="1"/>
  <c r="J706" i="1" s="1"/>
  <c r="F707" i="1"/>
  <c r="G707" i="1" s="1"/>
  <c r="H706" i="1"/>
  <c r="H707" i="1" l="1"/>
  <c r="I706" i="1"/>
  <c r="J707" i="1" s="1"/>
  <c r="F708" i="1"/>
  <c r="F709" i="1" l="1"/>
  <c r="I708" i="1" s="1"/>
  <c r="J709" i="1" s="1"/>
  <c r="H708" i="1"/>
  <c r="I707" i="1"/>
  <c r="J708" i="1" s="1"/>
  <c r="G708" i="1"/>
  <c r="G709" i="1" s="1"/>
  <c r="F710" i="1" l="1"/>
  <c r="I709" i="1" s="1"/>
  <c r="J710" i="1" s="1"/>
  <c r="H709" i="1"/>
  <c r="H710" i="1" s="1"/>
  <c r="F711" i="1" l="1"/>
  <c r="G710" i="1"/>
  <c r="I710" i="1" l="1"/>
  <c r="J711" i="1" s="1"/>
  <c r="F712" i="1"/>
  <c r="I711" i="1" s="1"/>
  <c r="J712" i="1" s="1"/>
  <c r="H711" i="1"/>
  <c r="G711" i="1"/>
  <c r="H712" i="1" l="1"/>
  <c r="G712" i="1"/>
  <c r="F713" i="1"/>
  <c r="I712" i="1" s="1"/>
  <c r="J713" i="1" s="1"/>
  <c r="F714" i="1" l="1"/>
  <c r="I713" i="1" s="1"/>
  <c r="J714" i="1" s="1"/>
  <c r="H713" i="1"/>
  <c r="G713" i="1"/>
  <c r="G714" i="1" l="1"/>
  <c r="H714" i="1"/>
  <c r="F715" i="1"/>
  <c r="I714" i="1" s="1"/>
  <c r="J715" i="1" s="1"/>
  <c r="F716" i="1" l="1"/>
  <c r="H715" i="1"/>
  <c r="G715" i="1"/>
  <c r="I715" i="1" l="1"/>
  <c r="J716" i="1" s="1"/>
  <c r="F717" i="1"/>
  <c r="I716" i="1" s="1"/>
  <c r="J717" i="1" s="1"/>
  <c r="H716" i="1"/>
  <c r="G716" i="1"/>
  <c r="G717" i="1" s="1"/>
  <c r="F718" i="1" l="1"/>
  <c r="I717" i="1" s="1"/>
  <c r="J718" i="1" s="1"/>
  <c r="H717" i="1"/>
  <c r="H718" i="1" s="1"/>
  <c r="F719" i="1" l="1"/>
  <c r="I718" i="1" s="1"/>
  <c r="J719" i="1" s="1"/>
  <c r="G718" i="1"/>
  <c r="G719" i="1" l="1"/>
  <c r="F720" i="1"/>
  <c r="H719" i="1"/>
  <c r="I719" i="1" l="1"/>
  <c r="J720" i="1" s="1"/>
  <c r="F721" i="1"/>
  <c r="I720" i="1" s="1"/>
  <c r="J721" i="1" s="1"/>
  <c r="H720" i="1"/>
  <c r="G720" i="1"/>
  <c r="F722" i="1" l="1"/>
  <c r="I721" i="1" s="1"/>
  <c r="J722" i="1" s="1"/>
  <c r="H721" i="1"/>
  <c r="G721" i="1"/>
  <c r="G722" i="1" l="1"/>
  <c r="F723" i="1"/>
  <c r="I722" i="1" s="1"/>
  <c r="J723" i="1" s="1"/>
  <c r="H722" i="1"/>
  <c r="H723" i="1" l="1"/>
  <c r="F724" i="1"/>
  <c r="G723" i="1"/>
  <c r="F725" i="1" l="1"/>
  <c r="G724" i="1"/>
  <c r="I723" i="1"/>
  <c r="J724" i="1" s="1"/>
  <c r="H724" i="1"/>
  <c r="G725" i="1" l="1"/>
  <c r="I724" i="1"/>
  <c r="J725" i="1" s="1"/>
  <c r="F726" i="1"/>
  <c r="I725" i="1" s="1"/>
  <c r="J726" i="1" s="1"/>
  <c r="H725" i="1"/>
  <c r="H726" i="1" l="1"/>
  <c r="F727" i="1"/>
  <c r="I726" i="1" s="1"/>
  <c r="J727" i="1" s="1"/>
  <c r="G726" i="1"/>
  <c r="G727" i="1" l="1"/>
  <c r="F728" i="1"/>
  <c r="I727" i="1" s="1"/>
  <c r="J728" i="1" s="1"/>
  <c r="H727" i="1"/>
  <c r="H728" i="1" l="1"/>
  <c r="F729" i="1"/>
  <c r="I728" i="1" s="1"/>
  <c r="J729" i="1" s="1"/>
  <c r="G728" i="1"/>
  <c r="F730" i="1" l="1"/>
  <c r="G729" i="1"/>
  <c r="H729" i="1"/>
  <c r="I729" i="1" l="1"/>
  <c r="J730" i="1" s="1"/>
  <c r="F731" i="1"/>
  <c r="I730" i="1" s="1"/>
  <c r="J731" i="1" s="1"/>
  <c r="H730" i="1"/>
  <c r="G730" i="1"/>
  <c r="H731" i="1" l="1"/>
  <c r="F732" i="1"/>
  <c r="I731" i="1" s="1"/>
  <c r="J732" i="1" s="1"/>
  <c r="G731" i="1"/>
  <c r="G732" i="1" l="1"/>
  <c r="F733" i="1"/>
  <c r="H732" i="1"/>
  <c r="F734" i="1" l="1"/>
  <c r="H733" i="1"/>
  <c r="I732" i="1"/>
  <c r="J733" i="1" s="1"/>
  <c r="G733" i="1"/>
  <c r="I733" i="1" l="1"/>
  <c r="J734" i="1" s="1"/>
  <c r="F735" i="1"/>
  <c r="I734" i="1" s="1"/>
  <c r="J735" i="1" s="1"/>
  <c r="H734" i="1"/>
  <c r="G734" i="1"/>
  <c r="F736" i="1" l="1"/>
  <c r="I735" i="1" s="1"/>
  <c r="J736" i="1" s="1"/>
  <c r="H735" i="1"/>
  <c r="H736" i="1" s="1"/>
  <c r="G735" i="1"/>
  <c r="G736" i="1" s="1"/>
  <c r="F737" i="1" l="1"/>
  <c r="I736" i="1" s="1"/>
  <c r="J737" i="1" s="1"/>
  <c r="F738" i="1" l="1"/>
  <c r="I737" i="1" s="1"/>
  <c r="J738" i="1" s="1"/>
  <c r="G737" i="1"/>
  <c r="G738" i="1" s="1"/>
  <c r="H737" i="1"/>
  <c r="F739" i="1" l="1"/>
  <c r="H738" i="1"/>
  <c r="I738" i="1" l="1"/>
  <c r="J739" i="1" s="1"/>
  <c r="F740" i="1"/>
  <c r="I739" i="1" s="1"/>
  <c r="J740" i="1" s="1"/>
  <c r="H739" i="1"/>
  <c r="G739" i="1"/>
  <c r="G740" i="1" s="1"/>
  <c r="F741" i="1" l="1"/>
  <c r="I740" i="1" s="1"/>
  <c r="J741" i="1" s="1"/>
  <c r="H740" i="1"/>
  <c r="F742" i="1" l="1"/>
  <c r="I741" i="1" s="1"/>
  <c r="J742" i="1" s="1"/>
  <c r="H741" i="1"/>
  <c r="H742" i="1" s="1"/>
  <c r="G741" i="1"/>
  <c r="F743" i="1" l="1"/>
  <c r="I742" i="1" s="1"/>
  <c r="J743" i="1" s="1"/>
  <c r="G742" i="1"/>
  <c r="F744" i="1" l="1"/>
  <c r="G743" i="1"/>
  <c r="H743" i="1"/>
  <c r="I743" i="1" l="1"/>
  <c r="J744" i="1" s="1"/>
  <c r="F745" i="1"/>
  <c r="I744" i="1" s="1"/>
  <c r="J745" i="1" s="1"/>
  <c r="H744" i="1"/>
  <c r="G744" i="1"/>
  <c r="F746" i="1" l="1"/>
  <c r="I745" i="1" s="1"/>
  <c r="J746" i="1" s="1"/>
  <c r="H745" i="1"/>
  <c r="G745" i="1"/>
  <c r="G746" i="1" l="1"/>
  <c r="F747" i="1"/>
  <c r="H746" i="1"/>
  <c r="H747" i="1" l="1"/>
  <c r="F748" i="1"/>
  <c r="I747" i="1" s="1"/>
  <c r="J748" i="1" s="1"/>
  <c r="I746" i="1"/>
  <c r="J747" i="1" s="1"/>
  <c r="G747" i="1"/>
  <c r="G748" i="1" l="1"/>
  <c r="H748" i="1"/>
  <c r="F749" i="1"/>
  <c r="I748" i="1" l="1"/>
  <c r="J749" i="1" s="1"/>
  <c r="F750" i="1"/>
  <c r="I749" i="1" s="1"/>
  <c r="J750" i="1" s="1"/>
  <c r="H749" i="1"/>
  <c r="G749" i="1"/>
  <c r="G750" i="1" l="1"/>
  <c r="H750" i="1"/>
  <c r="F751" i="1"/>
  <c r="F752" i="1" l="1"/>
  <c r="I751" i="1" s="1"/>
  <c r="J752" i="1" s="1"/>
  <c r="H751" i="1"/>
  <c r="I750" i="1"/>
  <c r="J751" i="1" s="1"/>
  <c r="G751" i="1"/>
  <c r="H752" i="1" l="1"/>
  <c r="F753" i="1"/>
  <c r="G752" i="1"/>
  <c r="I752" i="1" l="1"/>
  <c r="J753" i="1" s="1"/>
  <c r="F754" i="1"/>
  <c r="I753" i="1" s="1"/>
  <c r="J754" i="1" s="1"/>
  <c r="H753" i="1"/>
  <c r="G753" i="1"/>
  <c r="G754" i="1" l="1"/>
  <c r="F755" i="1"/>
  <c r="I754" i="1" s="1"/>
  <c r="J755" i="1" s="1"/>
  <c r="H754" i="1"/>
  <c r="H755" i="1" l="1"/>
  <c r="F756" i="1"/>
  <c r="I755" i="1" s="1"/>
  <c r="J756" i="1" s="1"/>
  <c r="G755" i="1"/>
  <c r="G756" i="1" l="1"/>
  <c r="F757" i="1"/>
  <c r="H756" i="1"/>
  <c r="I756" i="1" l="1"/>
  <c r="J757" i="1" s="1"/>
  <c r="F758" i="1"/>
  <c r="I757" i="1" s="1"/>
  <c r="J758" i="1" s="1"/>
  <c r="H757" i="1"/>
  <c r="H758" i="1" s="1"/>
  <c r="G757" i="1"/>
  <c r="F759" i="1" l="1"/>
  <c r="I758" i="1" s="1"/>
  <c r="J759" i="1" s="1"/>
  <c r="G758" i="1"/>
  <c r="F760" i="1" l="1"/>
  <c r="I759" i="1" s="1"/>
  <c r="J760" i="1" s="1"/>
  <c r="G759" i="1"/>
  <c r="H759" i="1"/>
  <c r="H760" i="1" l="1"/>
  <c r="G760" i="1"/>
  <c r="F761" i="1"/>
  <c r="I760" i="1" s="1"/>
  <c r="J761" i="1" s="1"/>
  <c r="F762" i="1" l="1"/>
  <c r="G761" i="1"/>
  <c r="H761" i="1"/>
  <c r="G762" i="1" l="1"/>
  <c r="I761" i="1"/>
  <c r="J762" i="1" s="1"/>
  <c r="F763" i="1"/>
  <c r="G763" i="1" s="1"/>
  <c r="H762" i="1"/>
  <c r="H763" i="1" l="1"/>
  <c r="I762" i="1"/>
  <c r="J763" i="1" s="1"/>
  <c r="F764" i="1"/>
  <c r="F765" i="1" l="1"/>
  <c r="I764" i="1" s="1"/>
  <c r="J765" i="1" s="1"/>
  <c r="I763" i="1"/>
  <c r="J764" i="1" s="1"/>
  <c r="H764" i="1"/>
  <c r="G764" i="1"/>
  <c r="G765" i="1" l="1"/>
  <c r="H765" i="1"/>
  <c r="F766" i="1"/>
  <c r="I765" i="1" l="1"/>
  <c r="J766" i="1" s="1"/>
  <c r="F767" i="1"/>
  <c r="I766" i="1" s="1"/>
  <c r="J767" i="1" s="1"/>
  <c r="H766" i="1"/>
  <c r="H767" i="1" s="1"/>
  <c r="G766" i="1"/>
  <c r="G767" i="1" l="1"/>
  <c r="F768" i="1"/>
  <c r="I767" i="1" s="1"/>
  <c r="J768" i="1" s="1"/>
  <c r="F769" i="1" l="1"/>
  <c r="I768" i="1" s="1"/>
  <c r="J769" i="1" s="1"/>
  <c r="G768" i="1"/>
  <c r="H768" i="1"/>
  <c r="H769" i="1" l="1"/>
  <c r="F770" i="1"/>
  <c r="I769" i="1" s="1"/>
  <c r="J770" i="1" s="1"/>
  <c r="G769" i="1"/>
  <c r="G770" i="1" l="1"/>
  <c r="F771" i="1"/>
  <c r="H770" i="1"/>
  <c r="I770" i="1" l="1"/>
  <c r="J771" i="1" s="1"/>
  <c r="F772" i="1"/>
  <c r="I771" i="1" s="1"/>
  <c r="J772" i="1" s="1"/>
  <c r="H771" i="1"/>
  <c r="G771" i="1"/>
  <c r="G772" i="1" l="1"/>
  <c r="F773" i="1"/>
  <c r="I772" i="1" s="1"/>
  <c r="J773" i="1" s="1"/>
  <c r="H772" i="1"/>
  <c r="F774" i="1" l="1"/>
  <c r="I773" i="1" s="1"/>
  <c r="J774" i="1" s="1"/>
  <c r="H773" i="1"/>
  <c r="G773" i="1"/>
  <c r="G774" i="1" l="1"/>
  <c r="H774" i="1"/>
  <c r="F775" i="1"/>
  <c r="H775" i="1" l="1"/>
  <c r="I774" i="1"/>
  <c r="J775" i="1" s="1"/>
  <c r="F776" i="1"/>
  <c r="G775" i="1"/>
  <c r="F777" i="1" l="1"/>
  <c r="I776" i="1" s="1"/>
  <c r="J777" i="1" s="1"/>
  <c r="H776" i="1"/>
  <c r="G776" i="1"/>
  <c r="G777" i="1" s="1"/>
  <c r="I775" i="1"/>
  <c r="J776" i="1" s="1"/>
  <c r="F778" i="1" l="1"/>
  <c r="I777" i="1" s="1"/>
  <c r="J778" i="1" s="1"/>
  <c r="H777" i="1"/>
  <c r="F779" i="1" l="1"/>
  <c r="I778" i="1" s="1"/>
  <c r="J779" i="1" s="1"/>
  <c r="H778" i="1"/>
  <c r="H779" i="1" s="1"/>
  <c r="G778" i="1"/>
  <c r="G779" i="1" s="1"/>
  <c r="F780" i="1" l="1"/>
  <c r="I779" i="1" s="1"/>
  <c r="J780" i="1" s="1"/>
  <c r="F781" i="1" l="1"/>
  <c r="H780" i="1"/>
  <c r="G780" i="1"/>
  <c r="G781" i="1" s="1"/>
  <c r="I780" i="1" l="1"/>
  <c r="J781" i="1" s="1"/>
  <c r="F782" i="1"/>
  <c r="I781" i="1" s="1"/>
  <c r="J782" i="1" s="1"/>
  <c r="H781" i="1"/>
  <c r="F783" i="1" l="1"/>
  <c r="I782" i="1" s="1"/>
  <c r="J783" i="1" s="1"/>
  <c r="H782" i="1"/>
  <c r="G782" i="1"/>
  <c r="G783" i="1" l="1"/>
  <c r="F784" i="1"/>
  <c r="I783" i="1" s="1"/>
  <c r="J784" i="1" s="1"/>
  <c r="H783" i="1"/>
  <c r="H784" i="1" s="1"/>
  <c r="F785" i="1" l="1"/>
  <c r="G784" i="1"/>
  <c r="I784" i="1" l="1"/>
  <c r="J785" i="1" s="1"/>
  <c r="F786" i="1"/>
  <c r="I785" i="1" s="1"/>
  <c r="J786" i="1" s="1"/>
  <c r="H785" i="1"/>
  <c r="G785" i="1"/>
  <c r="F787" i="1" l="1"/>
  <c r="I786" i="1" s="1"/>
  <c r="J787" i="1" s="1"/>
  <c r="H786" i="1"/>
  <c r="H787" i="1" s="1"/>
  <c r="G786" i="1"/>
  <c r="G787" i="1" s="1"/>
  <c r="F788" i="1" l="1"/>
  <c r="I787" i="1" s="1"/>
  <c r="J788" i="1" s="1"/>
  <c r="F789" i="1" l="1"/>
  <c r="I788" i="1" s="1"/>
  <c r="J789" i="1" s="1"/>
  <c r="G788" i="1"/>
  <c r="H788" i="1"/>
  <c r="G789" i="1" l="1"/>
  <c r="F790" i="1"/>
  <c r="H789" i="1"/>
  <c r="I789" i="1" l="1"/>
  <c r="J790" i="1" s="1"/>
  <c r="F791" i="1"/>
  <c r="I790" i="1" s="1"/>
  <c r="J791" i="1" s="1"/>
  <c r="H790" i="1"/>
  <c r="G790" i="1"/>
  <c r="G791" i="1" s="1"/>
  <c r="F792" i="1" l="1"/>
  <c r="I791" i="1" s="1"/>
  <c r="J792" i="1" s="1"/>
  <c r="H791" i="1"/>
  <c r="H792" i="1" s="1"/>
  <c r="F793" i="1" l="1"/>
  <c r="I792" i="1" s="1"/>
  <c r="J793" i="1" s="1"/>
  <c r="G792" i="1"/>
  <c r="G793" i="1" s="1"/>
  <c r="F794" i="1" l="1"/>
  <c r="I793" i="1" s="1"/>
  <c r="J794" i="1" s="1"/>
  <c r="H793" i="1"/>
  <c r="F795" i="1" l="1"/>
  <c r="H794" i="1"/>
  <c r="G794" i="1"/>
  <c r="I794" i="1" l="1"/>
  <c r="J795" i="1" s="1"/>
  <c r="F796" i="1"/>
  <c r="I795" i="1" s="1"/>
  <c r="J796" i="1" s="1"/>
  <c r="H795" i="1"/>
  <c r="G795" i="1"/>
  <c r="F797" i="1" l="1"/>
  <c r="I796" i="1" s="1"/>
  <c r="J797" i="1" s="1"/>
  <c r="H796" i="1"/>
  <c r="G796" i="1"/>
  <c r="F798" i="1" l="1"/>
  <c r="I797" i="1" s="1"/>
  <c r="J798" i="1" s="1"/>
  <c r="H797" i="1"/>
  <c r="H798" i="1" s="1"/>
  <c r="G797" i="1"/>
  <c r="G798" i="1" l="1"/>
  <c r="F799" i="1"/>
  <c r="I798" i="1" s="1"/>
  <c r="J799" i="1" s="1"/>
  <c r="F800" i="1" l="1"/>
  <c r="H799" i="1"/>
  <c r="G799" i="1"/>
  <c r="I799" i="1" l="1"/>
  <c r="J800" i="1" s="1"/>
  <c r="F801" i="1"/>
  <c r="I800" i="1" s="1"/>
  <c r="J801" i="1" s="1"/>
  <c r="H800" i="1"/>
  <c r="G800" i="1"/>
  <c r="G801" i="1" l="1"/>
  <c r="F802" i="1"/>
  <c r="I801" i="1" s="1"/>
  <c r="J802" i="1" s="1"/>
  <c r="H801" i="1"/>
  <c r="F803" i="1" l="1"/>
  <c r="I802" i="1" s="1"/>
  <c r="J803" i="1" s="1"/>
  <c r="H802" i="1"/>
  <c r="H803" i="1" s="1"/>
  <c r="G802" i="1"/>
  <c r="G803" i="1" s="1"/>
  <c r="F804" i="1" l="1"/>
  <c r="I803" i="1" s="1"/>
  <c r="J804" i="1" s="1"/>
  <c r="F805" i="1" l="1"/>
  <c r="G804" i="1"/>
  <c r="H804" i="1"/>
  <c r="I804" i="1" l="1"/>
  <c r="J805" i="1" s="1"/>
  <c r="F806" i="1"/>
  <c r="I805" i="1" s="1"/>
  <c r="J806" i="1" s="1"/>
  <c r="H805" i="1"/>
  <c r="G805" i="1"/>
  <c r="G806" i="1" s="1"/>
  <c r="F807" i="1" l="1"/>
  <c r="I806" i="1" s="1"/>
  <c r="J807" i="1" s="1"/>
  <c r="H806" i="1"/>
  <c r="H807" i="1" s="1"/>
  <c r="F808" i="1" l="1"/>
  <c r="I807" i="1" s="1"/>
  <c r="J808" i="1" s="1"/>
  <c r="G807" i="1"/>
  <c r="G808" i="1" l="1"/>
  <c r="F809" i="1"/>
  <c r="I808" i="1" s="1"/>
  <c r="J809" i="1" s="1"/>
  <c r="H808" i="1"/>
  <c r="F810" i="1" l="1"/>
  <c r="H809" i="1"/>
  <c r="G809" i="1"/>
  <c r="I809" i="1" l="1"/>
  <c r="J810" i="1" s="1"/>
  <c r="F811" i="1"/>
  <c r="I810" i="1" s="1"/>
  <c r="J811" i="1" s="1"/>
  <c r="H810" i="1"/>
  <c r="G810" i="1"/>
  <c r="G811" i="1" l="1"/>
  <c r="H811" i="1"/>
  <c r="F812" i="1"/>
  <c r="I811" i="1" s="1"/>
  <c r="J812" i="1" s="1"/>
  <c r="F813" i="1" l="1"/>
  <c r="I812" i="1" s="1"/>
  <c r="J813" i="1" s="1"/>
  <c r="H812" i="1"/>
  <c r="G812" i="1"/>
  <c r="G813" i="1" l="1"/>
  <c r="F814" i="1"/>
  <c r="I813" i="1" s="1"/>
  <c r="J814" i="1" s="1"/>
  <c r="H813" i="1"/>
  <c r="H814" i="1" s="1"/>
  <c r="F815" i="1" l="1"/>
  <c r="G814" i="1"/>
  <c r="I814" i="1" l="1"/>
  <c r="J815" i="1" s="1"/>
  <c r="F816" i="1"/>
  <c r="I815" i="1" s="1"/>
  <c r="J816" i="1" s="1"/>
  <c r="H815" i="1"/>
  <c r="H816" i="1" s="1"/>
  <c r="G815" i="1"/>
  <c r="G816" i="1" s="1"/>
  <c r="F817" i="1" l="1"/>
  <c r="I816" i="1" s="1"/>
  <c r="J817" i="1" s="1"/>
  <c r="F818" i="1" l="1"/>
  <c r="I817" i="1" s="1"/>
  <c r="J818" i="1" s="1"/>
  <c r="H817" i="1"/>
  <c r="H818" i="1" s="1"/>
  <c r="G817" i="1"/>
  <c r="G818" i="1" s="1"/>
  <c r="F819" i="1" l="1"/>
  <c r="I818" i="1" s="1"/>
  <c r="J819" i="1" s="1"/>
  <c r="F820" i="1" l="1"/>
  <c r="G819" i="1"/>
  <c r="H819" i="1"/>
  <c r="I819" i="1" l="1"/>
  <c r="J820" i="1" s="1"/>
  <c r="F821" i="1"/>
  <c r="I820" i="1" s="1"/>
  <c r="J821" i="1" s="1"/>
  <c r="H820" i="1"/>
  <c r="G820" i="1"/>
  <c r="G821" i="1" l="1"/>
  <c r="F822" i="1"/>
  <c r="I821" i="1" s="1"/>
  <c r="J822" i="1" s="1"/>
  <c r="H821" i="1"/>
  <c r="F823" i="1" l="1"/>
  <c r="I822" i="1" s="1"/>
  <c r="J823" i="1" s="1"/>
  <c r="H822" i="1"/>
  <c r="G822" i="1"/>
  <c r="G823" i="1" l="1"/>
  <c r="F824" i="1"/>
  <c r="H823" i="1"/>
  <c r="I823" i="1" l="1"/>
  <c r="J824" i="1" s="1"/>
  <c r="F825" i="1"/>
  <c r="I824" i="1" s="1"/>
  <c r="J825" i="1" s="1"/>
  <c r="H824" i="1"/>
  <c r="G824" i="1"/>
  <c r="G825" i="1" s="1"/>
  <c r="H825" i="1" l="1"/>
  <c r="F826" i="1"/>
  <c r="I825" i="1" s="1"/>
  <c r="J826" i="1" s="1"/>
  <c r="F827" i="1" l="1"/>
  <c r="I826" i="1" s="1"/>
  <c r="J827" i="1" s="1"/>
  <c r="G826" i="1"/>
  <c r="H826" i="1"/>
  <c r="H827" i="1" l="1"/>
  <c r="G827" i="1"/>
  <c r="F828" i="1"/>
  <c r="I827" i="1" s="1"/>
  <c r="J828" i="1" s="1"/>
  <c r="F829" i="1" l="1"/>
  <c r="G828" i="1"/>
  <c r="H828" i="1"/>
  <c r="I828" i="1" l="1"/>
  <c r="J829" i="1" s="1"/>
  <c r="F830" i="1"/>
  <c r="I829" i="1" s="1"/>
  <c r="J830" i="1" s="1"/>
  <c r="H829" i="1"/>
  <c r="G829" i="1"/>
  <c r="G830" i="1" s="1"/>
  <c r="F831" i="1" l="1"/>
  <c r="I830" i="1" s="1"/>
  <c r="J831" i="1" s="1"/>
  <c r="H830" i="1"/>
  <c r="F832" i="1" l="1"/>
  <c r="I831" i="1" s="1"/>
  <c r="J832" i="1" s="1"/>
  <c r="H831" i="1"/>
  <c r="G831" i="1"/>
  <c r="G832" i="1" l="1"/>
  <c r="F833" i="1"/>
  <c r="I832" i="1" s="1"/>
  <c r="J833" i="1" s="1"/>
  <c r="H832" i="1"/>
  <c r="F834" i="1" l="1"/>
  <c r="H833" i="1"/>
  <c r="G833" i="1"/>
  <c r="I833" i="1" l="1"/>
  <c r="J834" i="1" s="1"/>
  <c r="F835" i="1"/>
  <c r="I834" i="1" s="1"/>
  <c r="J835" i="1" s="1"/>
  <c r="H834" i="1"/>
  <c r="H835" i="1" s="1"/>
  <c r="G834" i="1"/>
  <c r="G835" i="1" s="1"/>
  <c r="F836" i="1" l="1"/>
  <c r="I835" i="1" s="1"/>
  <c r="J836" i="1" s="1"/>
  <c r="F837" i="1" l="1"/>
  <c r="I836" i="1" s="1"/>
  <c r="J837" i="1" s="1"/>
  <c r="H836" i="1"/>
  <c r="G836" i="1"/>
  <c r="G837" i="1" l="1"/>
  <c r="H837" i="1"/>
  <c r="F838" i="1"/>
  <c r="I837" i="1" s="1"/>
  <c r="J838" i="1" s="1"/>
  <c r="F839" i="1" l="1"/>
  <c r="H838" i="1"/>
  <c r="G838" i="1"/>
  <c r="I838" i="1" l="1"/>
  <c r="J839" i="1" s="1"/>
  <c r="F840" i="1"/>
  <c r="I839" i="1" s="1"/>
  <c r="J840" i="1" s="1"/>
  <c r="H839" i="1"/>
  <c r="G839" i="1"/>
  <c r="G840" i="1" l="1"/>
  <c r="F841" i="1"/>
  <c r="I840" i="1" s="1"/>
  <c r="J841" i="1" s="1"/>
  <c r="H840" i="1"/>
  <c r="H841" i="1" s="1"/>
  <c r="F842" i="1" l="1"/>
  <c r="I841" i="1" s="1"/>
  <c r="J842" i="1" s="1"/>
  <c r="G841" i="1"/>
  <c r="G842" i="1" l="1"/>
  <c r="F843" i="1"/>
  <c r="I842" i="1" s="1"/>
  <c r="J843" i="1" s="1"/>
  <c r="H842" i="1"/>
  <c r="H843" i="1" l="1"/>
  <c r="F844" i="1"/>
  <c r="G843" i="1"/>
  <c r="I843" i="1" l="1"/>
  <c r="J844" i="1" s="1"/>
  <c r="F845" i="1"/>
  <c r="I844" i="1" s="1"/>
  <c r="J845" i="1" s="1"/>
  <c r="H844" i="1"/>
  <c r="G844" i="1"/>
  <c r="H845" i="1" l="1"/>
  <c r="F846" i="1"/>
  <c r="I845" i="1" s="1"/>
  <c r="J846" i="1" s="1"/>
  <c r="G845" i="1"/>
  <c r="G846" i="1" l="1"/>
  <c r="F847" i="1"/>
  <c r="I846" i="1" s="1"/>
  <c r="J847" i="1" s="1"/>
  <c r="H846" i="1"/>
  <c r="H847" i="1" s="1"/>
  <c r="F848" i="1" l="1"/>
  <c r="I847" i="1" s="1"/>
  <c r="J848" i="1" s="1"/>
  <c r="G847" i="1"/>
  <c r="G848" i="1" l="1"/>
  <c r="F849" i="1"/>
  <c r="H848" i="1"/>
  <c r="I848" i="1" l="1"/>
  <c r="J849" i="1" s="1"/>
  <c r="F850" i="1"/>
  <c r="I849" i="1" s="1"/>
  <c r="J850" i="1" s="1"/>
  <c r="H849" i="1"/>
  <c r="G849" i="1"/>
  <c r="G850" i="1" s="1"/>
  <c r="H850" i="1" l="1"/>
  <c r="F851" i="1"/>
  <c r="I850" i="1" s="1"/>
  <c r="J851" i="1" s="1"/>
  <c r="F852" i="1" l="1"/>
  <c r="I851" i="1" s="1"/>
  <c r="J852" i="1" s="1"/>
  <c r="H851" i="1"/>
  <c r="G851" i="1"/>
  <c r="G852" i="1" l="1"/>
  <c r="H852" i="1"/>
  <c r="F853" i="1"/>
  <c r="I852" i="1" l="1"/>
  <c r="J853" i="1" s="1"/>
  <c r="F854" i="1"/>
  <c r="I853" i="1" s="1"/>
  <c r="J854" i="1" s="1"/>
  <c r="H853" i="1"/>
  <c r="H854" i="1" s="1"/>
  <c r="G853" i="1"/>
  <c r="F855" i="1" l="1"/>
  <c r="I854" i="1" s="1"/>
  <c r="J855" i="1" s="1"/>
  <c r="G854" i="1"/>
  <c r="G855" i="1" l="1"/>
  <c r="F856" i="1"/>
  <c r="I855" i="1" s="1"/>
  <c r="J856" i="1" s="1"/>
  <c r="H855" i="1"/>
  <c r="H856" i="1" s="1"/>
  <c r="F857" i="1" l="1"/>
  <c r="I856" i="1" s="1"/>
  <c r="J857" i="1" s="1"/>
  <c r="G856" i="1"/>
  <c r="G857" i="1" l="1"/>
  <c r="F858" i="1"/>
  <c r="H857" i="1"/>
  <c r="I857" i="1" l="1"/>
  <c r="J858" i="1" s="1"/>
  <c r="F859" i="1"/>
  <c r="I858" i="1" s="1"/>
  <c r="J859" i="1" s="1"/>
  <c r="H858" i="1"/>
  <c r="G858" i="1"/>
  <c r="G859" i="1" s="1"/>
  <c r="F860" i="1" l="1"/>
  <c r="I859" i="1" s="1"/>
  <c r="J860" i="1" s="1"/>
  <c r="H859" i="1"/>
  <c r="F861" i="1" l="1"/>
  <c r="I860" i="1" s="1"/>
  <c r="J861" i="1" s="1"/>
  <c r="H860" i="1"/>
  <c r="G860" i="1"/>
  <c r="G861" i="1" l="1"/>
  <c r="H861" i="1"/>
  <c r="F862" i="1"/>
  <c r="I861" i="1" s="1"/>
  <c r="J862" i="1" s="1"/>
  <c r="F863" i="1" l="1"/>
  <c r="H862" i="1"/>
  <c r="G862" i="1"/>
  <c r="I862" i="1" l="1"/>
  <c r="J863" i="1" s="1"/>
  <c r="F864" i="1"/>
  <c r="I863" i="1" s="1"/>
  <c r="J864" i="1" s="1"/>
  <c r="H863" i="1"/>
  <c r="G863" i="1"/>
  <c r="H864" i="1" l="1"/>
  <c r="F865" i="1"/>
  <c r="I864" i="1" s="1"/>
  <c r="J865" i="1" s="1"/>
  <c r="G864" i="1"/>
  <c r="F866" i="1" l="1"/>
  <c r="I865" i="1" s="1"/>
  <c r="J866" i="1" s="1"/>
  <c r="G865" i="1"/>
  <c r="H865" i="1"/>
  <c r="G866" i="1" l="1"/>
  <c r="H866" i="1"/>
  <c r="F867" i="1"/>
  <c r="I866" i="1" s="1"/>
  <c r="J867" i="1" s="1"/>
  <c r="F868" i="1" l="1"/>
  <c r="G867" i="1"/>
  <c r="H867" i="1"/>
  <c r="I867" i="1" l="1"/>
  <c r="J868" i="1" s="1"/>
  <c r="F869" i="1"/>
  <c r="I868" i="1" s="1"/>
  <c r="J869" i="1" s="1"/>
  <c r="H868" i="1"/>
  <c r="G868" i="1"/>
  <c r="G869" i="1" l="1"/>
  <c r="H869" i="1"/>
  <c r="F870" i="1"/>
  <c r="I869" i="1" s="1"/>
  <c r="J870" i="1" s="1"/>
  <c r="F871" i="1" l="1"/>
  <c r="I870" i="1" s="1"/>
  <c r="J871" i="1" s="1"/>
  <c r="G870" i="1"/>
  <c r="G871" i="1" s="1"/>
  <c r="H870" i="1"/>
  <c r="H871" i="1" l="1"/>
  <c r="F872" i="1"/>
  <c r="I871" i="1" s="1"/>
  <c r="J872" i="1" s="1"/>
  <c r="F873" i="1" l="1"/>
  <c r="G872" i="1"/>
  <c r="H872" i="1"/>
  <c r="I872" i="1" l="1"/>
  <c r="J873" i="1" s="1"/>
  <c r="F874" i="1"/>
  <c r="I873" i="1" s="1"/>
  <c r="J874" i="1" s="1"/>
  <c r="H873" i="1"/>
  <c r="G873" i="1"/>
  <c r="G874" i="1" l="1"/>
  <c r="F875" i="1"/>
  <c r="I874" i="1" s="1"/>
  <c r="J875" i="1" s="1"/>
  <c r="H874" i="1"/>
  <c r="H875" i="1" s="1"/>
  <c r="F876" i="1" l="1"/>
  <c r="I875" i="1" s="1"/>
  <c r="J876" i="1" s="1"/>
  <c r="G875" i="1"/>
  <c r="G876" i="1" l="1"/>
  <c r="F877" i="1"/>
  <c r="I876" i="1" s="1"/>
  <c r="J877" i="1" s="1"/>
  <c r="H876" i="1"/>
  <c r="H877" i="1" s="1"/>
  <c r="F878" i="1" l="1"/>
  <c r="G877" i="1"/>
  <c r="I877" i="1" l="1"/>
  <c r="J878" i="1" s="1"/>
  <c r="F879" i="1"/>
  <c r="I878" i="1" s="1"/>
  <c r="J879" i="1" s="1"/>
  <c r="H878" i="1"/>
  <c r="G878" i="1"/>
  <c r="F880" i="1" l="1"/>
  <c r="I879" i="1" s="1"/>
  <c r="J880" i="1" s="1"/>
  <c r="H879" i="1"/>
  <c r="G879" i="1"/>
  <c r="H880" i="1" l="1"/>
  <c r="F881" i="1"/>
  <c r="I880" i="1" s="1"/>
  <c r="J881" i="1" s="1"/>
  <c r="G880" i="1"/>
  <c r="F882" i="1" l="1"/>
  <c r="G881" i="1"/>
  <c r="H881" i="1"/>
  <c r="I881" i="1" l="1"/>
  <c r="J882" i="1" s="1"/>
  <c r="F883" i="1"/>
  <c r="I882" i="1" s="1"/>
  <c r="J883" i="1" s="1"/>
  <c r="H882" i="1"/>
  <c r="G882" i="1"/>
  <c r="H883" i="1" l="1"/>
  <c r="F884" i="1"/>
  <c r="I883" i="1" s="1"/>
  <c r="J884" i="1" s="1"/>
  <c r="G883" i="1"/>
  <c r="G884" i="1" l="1"/>
  <c r="F885" i="1"/>
  <c r="I884" i="1" s="1"/>
  <c r="J885" i="1" s="1"/>
  <c r="H884" i="1"/>
  <c r="H885" i="1" s="1"/>
  <c r="F886" i="1" l="1"/>
  <c r="I885" i="1" s="1"/>
  <c r="J886" i="1" s="1"/>
  <c r="G885" i="1"/>
  <c r="G886" i="1" l="1"/>
  <c r="F887" i="1"/>
  <c r="H886" i="1"/>
  <c r="I886" i="1" l="1"/>
  <c r="J887" i="1" s="1"/>
  <c r="F888" i="1"/>
  <c r="I887" i="1" s="1"/>
  <c r="J888" i="1" s="1"/>
  <c r="H887" i="1"/>
  <c r="H888" i="1" s="1"/>
  <c r="G887" i="1"/>
  <c r="F889" i="1" l="1"/>
  <c r="I888" i="1" s="1"/>
  <c r="J889" i="1" s="1"/>
  <c r="G888" i="1"/>
  <c r="G889" i="1" l="1"/>
  <c r="F890" i="1"/>
  <c r="I889" i="1" s="1"/>
  <c r="J890" i="1" s="1"/>
  <c r="H889" i="1"/>
  <c r="F891" i="1" l="1"/>
  <c r="I890" i="1" s="1"/>
  <c r="J891" i="1" s="1"/>
  <c r="H890" i="1"/>
  <c r="G890" i="1"/>
  <c r="G891" i="1" l="1"/>
  <c r="H891" i="1"/>
  <c r="F892" i="1"/>
  <c r="I891" i="1" l="1"/>
  <c r="J892" i="1" s="1"/>
  <c r="F893" i="1"/>
  <c r="I892" i="1" s="1"/>
  <c r="J893" i="1" s="1"/>
  <c r="H892" i="1"/>
  <c r="G892" i="1"/>
  <c r="H893" i="1" l="1"/>
  <c r="F894" i="1"/>
  <c r="I893" i="1" s="1"/>
  <c r="J894" i="1" s="1"/>
  <c r="G893" i="1"/>
  <c r="F895" i="1" l="1"/>
  <c r="I894" i="1" s="1"/>
  <c r="J895" i="1" s="1"/>
  <c r="G894" i="1"/>
  <c r="H894" i="1"/>
  <c r="H895" i="1" l="1"/>
  <c r="G895" i="1"/>
  <c r="F896" i="1"/>
  <c r="I895" i="1" s="1"/>
  <c r="J896" i="1" s="1"/>
  <c r="F897" i="1" l="1"/>
  <c r="G896" i="1"/>
  <c r="H896" i="1"/>
  <c r="G897" i="1" l="1"/>
  <c r="I896" i="1"/>
  <c r="J897" i="1" s="1"/>
  <c r="F898" i="1"/>
  <c r="H897" i="1"/>
  <c r="G898" i="1" l="1"/>
  <c r="I897" i="1"/>
  <c r="J898" i="1" s="1"/>
  <c r="F899" i="1"/>
  <c r="H898" i="1"/>
  <c r="F900" i="1" l="1"/>
  <c r="I899" i="1" s="1"/>
  <c r="J900" i="1" s="1"/>
  <c r="H899" i="1"/>
  <c r="I898" i="1"/>
  <c r="J899" i="1" s="1"/>
  <c r="G899" i="1"/>
  <c r="G900" i="1" l="1"/>
  <c r="F901" i="1"/>
  <c r="I900" i="1" s="1"/>
  <c r="J901" i="1" s="1"/>
  <c r="H900" i="1"/>
  <c r="H901" i="1" s="1"/>
  <c r="F902" i="1" l="1"/>
  <c r="G901" i="1"/>
  <c r="I901" i="1" l="1"/>
  <c r="J902" i="1" s="1"/>
  <c r="F903" i="1"/>
  <c r="I902" i="1" s="1"/>
  <c r="J903" i="1" s="1"/>
  <c r="H902" i="1"/>
  <c r="G902" i="1"/>
  <c r="F904" i="1" l="1"/>
  <c r="I903" i="1" s="1"/>
  <c r="J904" i="1" s="1"/>
  <c r="H903" i="1"/>
  <c r="G903" i="1"/>
  <c r="G904" i="1" l="1"/>
  <c r="H904" i="1"/>
  <c r="F905" i="1"/>
  <c r="I904" i="1" s="1"/>
  <c r="J905" i="1" s="1"/>
  <c r="F906" i="1" l="1"/>
  <c r="I905" i="1" s="1"/>
  <c r="J906" i="1" s="1"/>
  <c r="H905" i="1"/>
  <c r="G905" i="1"/>
  <c r="G906" i="1" l="1"/>
  <c r="H906" i="1"/>
  <c r="F907" i="1"/>
  <c r="I906" i="1" s="1"/>
  <c r="J907" i="1" s="1"/>
  <c r="F908" i="1" l="1"/>
  <c r="I907" i="1" s="1"/>
  <c r="J908" i="1" s="1"/>
  <c r="H907" i="1"/>
  <c r="G907" i="1"/>
  <c r="G908" i="1" l="1"/>
  <c r="F909" i="1"/>
  <c r="I908" i="1" s="1"/>
  <c r="J909" i="1" s="1"/>
  <c r="H908" i="1"/>
  <c r="H909" i="1" l="1"/>
  <c r="F910" i="1"/>
  <c r="I909" i="1" s="1"/>
  <c r="J910" i="1" s="1"/>
  <c r="G909" i="1"/>
  <c r="G910" i="1" l="1"/>
  <c r="F911" i="1"/>
  <c r="I910" i="1" s="1"/>
  <c r="J911" i="1" s="1"/>
  <c r="H910" i="1"/>
  <c r="H911" i="1" s="1"/>
  <c r="F912" i="1" l="1"/>
  <c r="G911" i="1"/>
  <c r="I911" i="1" l="1"/>
  <c r="J912" i="1" s="1"/>
  <c r="F913" i="1"/>
  <c r="I912" i="1" s="1"/>
  <c r="J913" i="1" s="1"/>
  <c r="H912" i="1"/>
  <c r="G912" i="1"/>
  <c r="G913" i="1" l="1"/>
  <c r="F914" i="1"/>
  <c r="I913" i="1" s="1"/>
  <c r="J914" i="1" s="1"/>
  <c r="H913" i="1"/>
  <c r="F915" i="1" l="1"/>
  <c r="I914" i="1" s="1"/>
  <c r="J915" i="1" s="1"/>
  <c r="H914" i="1"/>
  <c r="G914" i="1"/>
  <c r="G915" i="1" l="1"/>
  <c r="F916" i="1"/>
  <c r="I915" i="1" s="1"/>
  <c r="J916" i="1" s="1"/>
  <c r="H915" i="1"/>
  <c r="H916" i="1" s="1"/>
  <c r="F917" i="1" l="1"/>
  <c r="G916" i="1"/>
  <c r="G917" i="1" l="1"/>
  <c r="I916" i="1"/>
  <c r="J917" i="1" s="1"/>
  <c r="F918" i="1"/>
  <c r="G918" i="1" s="1"/>
  <c r="H917" i="1"/>
  <c r="H918" i="1" l="1"/>
  <c r="I917" i="1"/>
  <c r="J918" i="1" s="1"/>
  <c r="F919" i="1"/>
  <c r="I918" i="1" s="1"/>
  <c r="J919" i="1" s="1"/>
  <c r="F920" i="1" l="1"/>
  <c r="I919" i="1" s="1"/>
  <c r="J920" i="1" s="1"/>
  <c r="H919" i="1"/>
  <c r="G919" i="1"/>
  <c r="H920" i="1" l="1"/>
  <c r="F921" i="1"/>
  <c r="I920" i="1" s="1"/>
  <c r="J921" i="1" s="1"/>
  <c r="G920" i="1"/>
  <c r="G921" i="1" l="1"/>
  <c r="F922" i="1"/>
  <c r="H921" i="1"/>
  <c r="I921" i="1" l="1"/>
  <c r="J922" i="1" s="1"/>
  <c r="F923" i="1"/>
  <c r="I922" i="1" s="1"/>
  <c r="J923" i="1" s="1"/>
  <c r="H922" i="1"/>
  <c r="G922" i="1"/>
  <c r="G923" i="1" s="1"/>
  <c r="F924" i="1" l="1"/>
  <c r="I923" i="1" s="1"/>
  <c r="J924" i="1" s="1"/>
  <c r="H923" i="1"/>
  <c r="F925" i="1" l="1"/>
  <c r="I924" i="1" s="1"/>
  <c r="J925" i="1" s="1"/>
  <c r="H924" i="1"/>
  <c r="H925" i="1" s="1"/>
  <c r="G924" i="1"/>
  <c r="F926" i="1" l="1"/>
  <c r="G925" i="1"/>
  <c r="I925" i="1" l="1"/>
  <c r="J926" i="1" s="1"/>
  <c r="F927" i="1"/>
  <c r="I926" i="1" s="1"/>
  <c r="J927" i="1" s="1"/>
  <c r="H926" i="1"/>
  <c r="G926" i="1"/>
  <c r="F928" i="1" l="1"/>
  <c r="I927" i="1" s="1"/>
  <c r="J928" i="1" s="1"/>
  <c r="H927" i="1"/>
  <c r="G927" i="1"/>
  <c r="G928" i="1" l="1"/>
  <c r="H928" i="1"/>
  <c r="F929" i="1"/>
  <c r="I928" i="1" s="1"/>
  <c r="J929" i="1" s="1"/>
  <c r="F930" i="1" l="1"/>
  <c r="I929" i="1" s="1"/>
  <c r="J930" i="1" s="1"/>
  <c r="H929" i="1"/>
  <c r="G929" i="1"/>
  <c r="G930" i="1" s="1"/>
  <c r="H930" i="1" l="1"/>
  <c r="F931" i="1"/>
  <c r="I930" i="1" l="1"/>
  <c r="J931" i="1" s="1"/>
  <c r="F932" i="1"/>
  <c r="I931" i="1" s="1"/>
  <c r="J932" i="1" s="1"/>
  <c r="H931" i="1"/>
  <c r="G931" i="1"/>
  <c r="G932" i="1" s="1"/>
  <c r="F933" i="1" l="1"/>
  <c r="I932" i="1" s="1"/>
  <c r="J933" i="1" s="1"/>
  <c r="H932" i="1"/>
  <c r="H933" i="1" l="1"/>
  <c r="F934" i="1"/>
  <c r="I933" i="1" s="1"/>
  <c r="J934" i="1" s="1"/>
  <c r="G933" i="1"/>
  <c r="G934" i="1" l="1"/>
  <c r="F935" i="1"/>
  <c r="I934" i="1" s="1"/>
  <c r="J935" i="1" s="1"/>
  <c r="H934" i="1"/>
  <c r="H935" i="1" l="1"/>
  <c r="F936" i="1"/>
  <c r="G935" i="1"/>
  <c r="I935" i="1" l="1"/>
  <c r="J936" i="1" s="1"/>
  <c r="F937" i="1"/>
  <c r="I936" i="1" s="1"/>
  <c r="J937" i="1" s="1"/>
  <c r="H936" i="1"/>
  <c r="G936" i="1"/>
  <c r="F938" i="1" l="1"/>
  <c r="I937" i="1" s="1"/>
  <c r="J938" i="1" s="1"/>
  <c r="H937" i="1"/>
  <c r="G937" i="1"/>
  <c r="G938" i="1" l="1"/>
  <c r="F939" i="1"/>
  <c r="I938" i="1" s="1"/>
  <c r="J939" i="1" s="1"/>
  <c r="H938" i="1"/>
  <c r="F940" i="1" l="1"/>
  <c r="I939" i="1" s="1"/>
  <c r="J940" i="1" s="1"/>
  <c r="H939" i="1"/>
  <c r="G939" i="1"/>
  <c r="G940" i="1" s="1"/>
  <c r="H940" i="1" l="1"/>
  <c r="F941" i="1"/>
  <c r="I940" i="1" l="1"/>
  <c r="J941" i="1" s="1"/>
  <c r="F942" i="1"/>
  <c r="I941" i="1" s="1"/>
  <c r="J942" i="1" s="1"/>
  <c r="H941" i="1"/>
  <c r="G941" i="1"/>
  <c r="G942" i="1" s="1"/>
  <c r="H942" i="1" l="1"/>
  <c r="F943" i="1"/>
  <c r="I942" i="1" s="1"/>
  <c r="J943" i="1" s="1"/>
  <c r="F944" i="1" l="1"/>
  <c r="I943" i="1" s="1"/>
  <c r="J944" i="1" s="1"/>
  <c r="H943" i="1"/>
  <c r="G943" i="1"/>
  <c r="G944" i="1" l="1"/>
  <c r="H944" i="1"/>
  <c r="F945" i="1"/>
  <c r="G945" i="1" l="1"/>
  <c r="I944" i="1"/>
  <c r="J945" i="1" s="1"/>
  <c r="F946" i="1"/>
  <c r="H945" i="1"/>
  <c r="F947" i="1" l="1"/>
  <c r="I946" i="1" s="1"/>
  <c r="J947" i="1" s="1"/>
  <c r="H946" i="1"/>
  <c r="G946" i="1"/>
  <c r="I945" i="1"/>
  <c r="J946" i="1" s="1"/>
  <c r="G947" i="1" l="1"/>
  <c r="F948" i="1"/>
  <c r="I947" i="1" s="1"/>
  <c r="J948" i="1" s="1"/>
  <c r="H947" i="1"/>
  <c r="F949" i="1" l="1"/>
  <c r="I948" i="1" s="1"/>
  <c r="J949" i="1" s="1"/>
  <c r="H948" i="1"/>
  <c r="G948" i="1"/>
  <c r="G949" i="1" l="1"/>
  <c r="H949" i="1"/>
  <c r="F950" i="1"/>
  <c r="I949" i="1" l="1"/>
  <c r="J950" i="1" s="1"/>
  <c r="F951" i="1"/>
  <c r="I950" i="1" s="1"/>
  <c r="J951" i="1" s="1"/>
  <c r="H950" i="1"/>
  <c r="G950" i="1"/>
  <c r="F952" i="1" l="1"/>
  <c r="I951" i="1" s="1"/>
  <c r="J952" i="1" s="1"/>
  <c r="H951" i="1"/>
  <c r="G951" i="1"/>
  <c r="G952" i="1" l="1"/>
  <c r="H952" i="1"/>
  <c r="F953" i="1"/>
  <c r="I952" i="1" s="1"/>
  <c r="J953" i="1" s="1"/>
  <c r="F954" i="1" l="1"/>
  <c r="I953" i="1" s="1"/>
  <c r="J954" i="1" s="1"/>
  <c r="H953" i="1"/>
  <c r="G953" i="1"/>
  <c r="G954" i="1" l="1"/>
  <c r="H954" i="1"/>
  <c r="F955" i="1"/>
  <c r="I954" i="1" l="1"/>
  <c r="J955" i="1" s="1"/>
  <c r="F956" i="1"/>
  <c r="I955" i="1" s="1"/>
  <c r="J956" i="1" s="1"/>
  <c r="H955" i="1"/>
  <c r="G955" i="1"/>
  <c r="F957" i="1" l="1"/>
  <c r="I956" i="1" s="1"/>
  <c r="J957" i="1" s="1"/>
  <c r="H956" i="1"/>
  <c r="G956" i="1"/>
  <c r="G957" i="1" l="1"/>
  <c r="H957" i="1"/>
  <c r="F958" i="1"/>
  <c r="I957" i="1" s="1"/>
  <c r="J958" i="1" s="1"/>
  <c r="F959" i="1" l="1"/>
  <c r="I958" i="1" s="1"/>
  <c r="J959" i="1" s="1"/>
  <c r="H958" i="1"/>
  <c r="G958" i="1"/>
  <c r="G959" i="1" l="1"/>
  <c r="H959" i="1"/>
  <c r="F960" i="1"/>
  <c r="I959" i="1" l="1"/>
  <c r="J960" i="1" s="1"/>
  <c r="F961" i="1"/>
  <c r="I960" i="1" s="1"/>
  <c r="J961" i="1" s="1"/>
  <c r="H960" i="1"/>
  <c r="G960" i="1"/>
  <c r="F962" i="1" l="1"/>
  <c r="I961" i="1" s="1"/>
  <c r="J962" i="1" s="1"/>
  <c r="H961" i="1"/>
  <c r="G961" i="1"/>
  <c r="G962" i="1" l="1"/>
  <c r="F963" i="1"/>
  <c r="I962" i="1" s="1"/>
  <c r="J963" i="1" s="1"/>
  <c r="H962" i="1"/>
  <c r="F964" i="1" l="1"/>
  <c r="I963" i="1" s="1"/>
  <c r="J964" i="1" s="1"/>
  <c r="H963" i="1"/>
  <c r="G963" i="1"/>
  <c r="G964" i="1" l="1"/>
  <c r="H964" i="1"/>
  <c r="F965" i="1"/>
  <c r="I964" i="1" l="1"/>
  <c r="J965" i="1" s="1"/>
  <c r="F966" i="1"/>
  <c r="I965" i="1" s="1"/>
  <c r="J966" i="1" s="1"/>
  <c r="H965" i="1"/>
  <c r="H966" i="1" s="1"/>
  <c r="G965" i="1"/>
  <c r="G966" i="1" s="1"/>
  <c r="F967" i="1" l="1"/>
  <c r="I966" i="1" s="1"/>
  <c r="J967" i="1" s="1"/>
  <c r="F968" i="1" l="1"/>
  <c r="I967" i="1" s="1"/>
  <c r="J968" i="1" s="1"/>
  <c r="H967" i="1"/>
  <c r="G967" i="1"/>
  <c r="H968" i="1" l="1"/>
  <c r="F969" i="1"/>
  <c r="G968" i="1"/>
  <c r="G969" i="1" l="1"/>
  <c r="I968" i="1"/>
  <c r="J969" i="1" s="1"/>
  <c r="F970" i="1"/>
  <c r="I969" i="1" s="1"/>
  <c r="J970" i="1" s="1"/>
  <c r="H969" i="1"/>
  <c r="F971" i="1" l="1"/>
  <c r="I970" i="1" s="1"/>
  <c r="J971" i="1" s="1"/>
  <c r="H970" i="1"/>
  <c r="G970" i="1"/>
  <c r="G971" i="1" l="1"/>
  <c r="F972" i="1"/>
  <c r="I971" i="1" s="1"/>
  <c r="J972" i="1" s="1"/>
  <c r="H971" i="1"/>
  <c r="F973" i="1" l="1"/>
  <c r="I972" i="1" s="1"/>
  <c r="J973" i="1" s="1"/>
  <c r="H972" i="1"/>
  <c r="G972" i="1"/>
  <c r="H973" i="1" l="1"/>
  <c r="F974" i="1"/>
  <c r="G973" i="1"/>
  <c r="I973" i="1" l="1"/>
  <c r="J974" i="1" s="1"/>
  <c r="F975" i="1"/>
  <c r="I974" i="1" s="1"/>
  <c r="J975" i="1" s="1"/>
  <c r="H974" i="1"/>
  <c r="G974" i="1"/>
  <c r="F976" i="1" l="1"/>
  <c r="I975" i="1" s="1"/>
  <c r="J976" i="1" s="1"/>
  <c r="H975" i="1"/>
  <c r="G975" i="1"/>
  <c r="H976" i="1" l="1"/>
  <c r="F977" i="1"/>
  <c r="I976" i="1" s="1"/>
  <c r="J977" i="1" s="1"/>
  <c r="G976" i="1"/>
  <c r="F978" i="1" l="1"/>
  <c r="I977" i="1" s="1"/>
  <c r="J978" i="1" s="1"/>
  <c r="G977" i="1"/>
  <c r="H977" i="1"/>
  <c r="H978" i="1" l="1"/>
  <c r="G978" i="1"/>
  <c r="F979" i="1"/>
  <c r="I978" i="1" l="1"/>
  <c r="J979" i="1" s="1"/>
  <c r="F980" i="1"/>
  <c r="I979" i="1" s="1"/>
  <c r="J980" i="1" s="1"/>
  <c r="H979" i="1"/>
  <c r="G979" i="1"/>
  <c r="G980" i="1" s="1"/>
  <c r="H980" i="1" l="1"/>
  <c r="F981" i="1"/>
  <c r="I980" i="1" s="1"/>
  <c r="J981" i="1" s="1"/>
  <c r="F982" i="1" l="1"/>
  <c r="I981" i="1" s="1"/>
  <c r="J982" i="1" s="1"/>
  <c r="H981" i="1"/>
  <c r="G981" i="1"/>
  <c r="G982" i="1" l="1"/>
  <c r="H982" i="1"/>
  <c r="F983" i="1"/>
  <c r="I982" i="1" l="1"/>
  <c r="J983" i="1" s="1"/>
  <c r="F984" i="1"/>
  <c r="I983" i="1" s="1"/>
  <c r="J984" i="1" s="1"/>
  <c r="H983" i="1"/>
  <c r="H984" i="1" s="1"/>
  <c r="G983" i="1"/>
  <c r="G984" i="1" s="1"/>
  <c r="F985" i="1" l="1"/>
  <c r="I984" i="1" s="1"/>
  <c r="J985" i="1" s="1"/>
  <c r="F986" i="1" l="1"/>
  <c r="I985" i="1" s="1"/>
  <c r="J986" i="1" s="1"/>
  <c r="H985" i="1"/>
  <c r="G985" i="1"/>
  <c r="F987" i="1" l="1"/>
  <c r="I986" i="1" s="1"/>
  <c r="J987" i="1" s="1"/>
  <c r="H986" i="1"/>
  <c r="G986" i="1"/>
  <c r="G987" i="1" l="1"/>
  <c r="H987" i="1"/>
  <c r="F988" i="1"/>
  <c r="I987" i="1" l="1"/>
  <c r="J988" i="1" s="1"/>
  <c r="F989" i="1"/>
  <c r="I988" i="1" s="1"/>
  <c r="J989" i="1" s="1"/>
  <c r="H988" i="1"/>
  <c r="H989" i="1" s="1"/>
  <c r="G988" i="1"/>
  <c r="G989" i="1" s="1"/>
  <c r="F990" i="1" l="1"/>
  <c r="G990" i="1" s="1"/>
  <c r="I989" i="1" l="1"/>
  <c r="J990" i="1" s="1"/>
  <c r="F991" i="1"/>
  <c r="I990" i="1" s="1"/>
  <c r="J991" i="1" s="1"/>
  <c r="H990" i="1"/>
  <c r="H991" i="1" l="1"/>
  <c r="F992" i="1"/>
  <c r="I991" i="1" s="1"/>
  <c r="J992" i="1" s="1"/>
  <c r="G991" i="1"/>
  <c r="G992" i="1" l="1"/>
  <c r="F993" i="1"/>
  <c r="H992" i="1"/>
  <c r="I992" i="1" l="1"/>
  <c r="J993" i="1" s="1"/>
  <c r="F994" i="1"/>
  <c r="I993" i="1" s="1"/>
  <c r="J994" i="1" s="1"/>
  <c r="H993" i="1"/>
  <c r="G993" i="1"/>
  <c r="F995" i="1" l="1"/>
  <c r="I994" i="1" s="1"/>
  <c r="J995" i="1" s="1"/>
  <c r="H994" i="1"/>
  <c r="G994" i="1"/>
  <c r="G995" i="1" l="1"/>
  <c r="H995" i="1"/>
  <c r="F996" i="1"/>
  <c r="I995" i="1" s="1"/>
  <c r="J996" i="1" s="1"/>
  <c r="F997" i="1" l="1"/>
  <c r="I996" i="1" s="1"/>
  <c r="J997" i="1" s="1"/>
  <c r="H996" i="1"/>
  <c r="G996" i="1"/>
  <c r="G997" i="1" l="1"/>
  <c r="H997" i="1"/>
  <c r="F998" i="1"/>
  <c r="I997" i="1" l="1"/>
  <c r="J998" i="1" s="1"/>
  <c r="F999" i="1"/>
  <c r="I998" i="1" s="1"/>
  <c r="J999" i="1" s="1"/>
  <c r="H998" i="1"/>
  <c r="G998" i="1"/>
  <c r="F1000" i="1" l="1"/>
  <c r="I999" i="1" s="1"/>
  <c r="J1000" i="1" s="1"/>
  <c r="H999" i="1"/>
  <c r="G999" i="1"/>
  <c r="G1000" i="1" l="1"/>
  <c r="H1000" i="1"/>
  <c r="F1001" i="1"/>
  <c r="I1000" i="1" s="1"/>
  <c r="J1001" i="1" s="1"/>
  <c r="F1002" i="1" l="1"/>
  <c r="H1001" i="1"/>
  <c r="G1001" i="1"/>
  <c r="I1001" i="1" l="1"/>
  <c r="J1002" i="1" s="1"/>
  <c r="F1003" i="1"/>
  <c r="I1002" i="1" s="1"/>
  <c r="J1003" i="1" s="1"/>
  <c r="H1002" i="1"/>
  <c r="G1002" i="1"/>
  <c r="G1003" i="1" l="1"/>
  <c r="H1003" i="1"/>
  <c r="F1004" i="1"/>
  <c r="H1004" i="1" s="1"/>
  <c r="I1003" i="1" l="1"/>
  <c r="J1004" i="1" s="1"/>
  <c r="F1005" i="1"/>
  <c r="I1004" i="1" s="1"/>
  <c r="J1005" i="1" s="1"/>
  <c r="G1004" i="1"/>
  <c r="F1006" i="1" l="1"/>
  <c r="G1005" i="1"/>
  <c r="H1005" i="1"/>
  <c r="I1005" i="1" l="1"/>
  <c r="J1006" i="1" s="1"/>
  <c r="F1007" i="1"/>
  <c r="I1006" i="1" s="1"/>
  <c r="J1007" i="1" s="1"/>
  <c r="H1006" i="1"/>
  <c r="G1006" i="1"/>
  <c r="G1007" i="1" l="1"/>
  <c r="F1008" i="1"/>
  <c r="I1007" i="1" s="1"/>
  <c r="J1008" i="1" s="1"/>
  <c r="H1007" i="1"/>
  <c r="H1008" i="1" l="1"/>
  <c r="F1009" i="1"/>
  <c r="I1008" i="1" s="1"/>
  <c r="J1009" i="1" s="1"/>
  <c r="G1008" i="1"/>
  <c r="G1009" i="1" l="1"/>
  <c r="F1010" i="1"/>
  <c r="I1009" i="1" s="1"/>
  <c r="J1010" i="1" s="1"/>
  <c r="H1009" i="1"/>
  <c r="F1011" i="1" l="1"/>
  <c r="H1010" i="1"/>
  <c r="G1010" i="1"/>
  <c r="G1011" i="1" l="1"/>
  <c r="I1010" i="1"/>
  <c r="J1011" i="1" s="1"/>
  <c r="F1012" i="1"/>
  <c r="I1011" i="1" s="1"/>
  <c r="J1012" i="1" s="1"/>
  <c r="H1011" i="1"/>
  <c r="F1013" i="1" l="1"/>
  <c r="I1012" i="1" s="1"/>
  <c r="J1013" i="1" s="1"/>
  <c r="H1012" i="1"/>
  <c r="G1012" i="1"/>
  <c r="G1013" i="1" l="1"/>
  <c r="H1013" i="1"/>
  <c r="F1014" i="1"/>
  <c r="I1013" i="1" s="1"/>
  <c r="J1014" i="1" s="1"/>
  <c r="F1015" i="1" l="1"/>
  <c r="H1014" i="1"/>
  <c r="G1014" i="1"/>
  <c r="I1014" i="1" l="1"/>
  <c r="J1015" i="1" s="1"/>
  <c r="F1016" i="1"/>
  <c r="I1015" i="1" s="1"/>
  <c r="J1016" i="1" s="1"/>
  <c r="H1015" i="1"/>
  <c r="G1015" i="1"/>
  <c r="H1016" i="1" l="1"/>
  <c r="F1017" i="1"/>
  <c r="I1016" i="1" s="1"/>
  <c r="J1017" i="1" s="1"/>
  <c r="G1016" i="1"/>
  <c r="F1018" i="1" l="1"/>
  <c r="I1017" i="1" s="1"/>
  <c r="J1018" i="1" s="1"/>
  <c r="G1017" i="1"/>
  <c r="H1017" i="1"/>
  <c r="H1018" i="1" l="1"/>
  <c r="G1018" i="1"/>
  <c r="F1019" i="1"/>
  <c r="I1018" i="1" s="1"/>
  <c r="J1019" i="1" s="1"/>
  <c r="F1020" i="1" l="1"/>
  <c r="G1019" i="1"/>
  <c r="H1019" i="1"/>
  <c r="I1019" i="1" s="1"/>
  <c r="J1020" i="1" s="1"/>
  <c r="F1021" i="1" l="1"/>
  <c r="I1020" i="1" s="1"/>
  <c r="J1021" i="1" s="1"/>
  <c r="H1020" i="1"/>
  <c r="G1020" i="1"/>
  <c r="G1021" i="1" l="1"/>
  <c r="H1021" i="1"/>
  <c r="F1022" i="1"/>
  <c r="G1022" i="1" l="1"/>
  <c r="I1021" i="1"/>
  <c r="J1022" i="1" s="1"/>
  <c r="F1023" i="1"/>
  <c r="I1022" i="1" s="1"/>
  <c r="J1023" i="1" s="1"/>
  <c r="H1022" i="1"/>
  <c r="H1023" i="1" l="1"/>
  <c r="F1024" i="1"/>
  <c r="I1023" i="1" s="1"/>
  <c r="J1024" i="1" s="1"/>
  <c r="G1023" i="1"/>
  <c r="G1024" i="1" l="1"/>
  <c r="H1024" i="1"/>
  <c r="F1025" i="1"/>
  <c r="I1024" i="1" s="1"/>
  <c r="J1025" i="1" s="1"/>
  <c r="F1026" i="1" l="1"/>
  <c r="I1025" i="1" s="1"/>
  <c r="J1026" i="1" s="1"/>
  <c r="H1025" i="1"/>
  <c r="G1025" i="1"/>
  <c r="G1026" i="1" l="1"/>
  <c r="F1027" i="1"/>
  <c r="I1026" i="1" s="1"/>
  <c r="J1027" i="1" s="1"/>
  <c r="H1026" i="1"/>
  <c r="H1027" i="1" s="1"/>
  <c r="F1028" i="1" l="1"/>
  <c r="I1027" i="1" s="1"/>
  <c r="J1028" i="1" s="1"/>
  <c r="G1027" i="1"/>
  <c r="G1028" i="1" l="1"/>
  <c r="F1029" i="1"/>
  <c r="I1028" i="1" s="1"/>
  <c r="J1029" i="1" s="1"/>
  <c r="H1028" i="1"/>
  <c r="H1029" i="1" l="1"/>
  <c r="F1030" i="1"/>
  <c r="G1029" i="1"/>
  <c r="I1029" i="1" l="1"/>
  <c r="J1030" i="1" s="1"/>
  <c r="F1031" i="1"/>
  <c r="I1030" i="1" s="1"/>
  <c r="J1031" i="1" s="1"/>
  <c r="H1030" i="1"/>
  <c r="G1030" i="1"/>
  <c r="G1031" i="1" l="1"/>
  <c r="F1032" i="1"/>
  <c r="I1031" i="1" s="1"/>
  <c r="J1032" i="1" s="1"/>
  <c r="H1031" i="1"/>
  <c r="H1032" i="1" l="1"/>
  <c r="F1033" i="1"/>
  <c r="I1032" i="1" s="1"/>
  <c r="J1033" i="1" s="1"/>
  <c r="G1032" i="1"/>
  <c r="G1033" i="1" l="1"/>
  <c r="F1034" i="1"/>
  <c r="H1033" i="1"/>
  <c r="I1033" i="1" l="1"/>
  <c r="J1034" i="1" s="1"/>
  <c r="F1035" i="1"/>
  <c r="I1034" i="1" s="1"/>
  <c r="J1035" i="1" s="1"/>
  <c r="H1034" i="1"/>
  <c r="G1034" i="1"/>
  <c r="G1035" i="1" l="1"/>
  <c r="H1035" i="1"/>
  <c r="F1036" i="1"/>
  <c r="I1035" i="1" s="1"/>
  <c r="J1036" i="1" s="1"/>
  <c r="F1037" i="1" l="1"/>
  <c r="I1036" i="1" s="1"/>
  <c r="J1037" i="1" s="1"/>
  <c r="H1036" i="1"/>
  <c r="G1036" i="1"/>
  <c r="G1037" i="1" l="1"/>
  <c r="H1037" i="1"/>
  <c r="F1038" i="1"/>
  <c r="G1038" i="1" l="1"/>
  <c r="I1037" i="1"/>
  <c r="J1038" i="1" s="1"/>
  <c r="F1039" i="1"/>
  <c r="H1038" i="1"/>
  <c r="F1040" i="1" l="1"/>
  <c r="I1039" i="1" s="1"/>
  <c r="J1040" i="1" s="1"/>
  <c r="H1039" i="1"/>
  <c r="G1039" i="1"/>
  <c r="I1038" i="1"/>
  <c r="J1039" i="1" s="1"/>
  <c r="G1040" i="1" l="1"/>
  <c r="H1040" i="1"/>
  <c r="F1041" i="1"/>
  <c r="I1040" i="1" s="1"/>
  <c r="J1041" i="1" s="1"/>
  <c r="F1042" i="1" l="1"/>
  <c r="I1041" i="1" s="1"/>
  <c r="J1042" i="1" s="1"/>
  <c r="H1041" i="1"/>
  <c r="G1041" i="1"/>
  <c r="G1042" i="1" l="1"/>
  <c r="H1042" i="1"/>
  <c r="F1043" i="1"/>
  <c r="I1042" i="1" s="1"/>
  <c r="J1043" i="1" s="1"/>
  <c r="F1044" i="1" l="1"/>
  <c r="G1043" i="1"/>
  <c r="H1043" i="1"/>
  <c r="I1043" i="1" l="1"/>
  <c r="J1044" i="1" s="1"/>
  <c r="F1045" i="1"/>
  <c r="I1044" i="1" s="1"/>
  <c r="J1045" i="1" s="1"/>
  <c r="H1044" i="1"/>
  <c r="G1044" i="1"/>
  <c r="G1045" i="1" l="1"/>
  <c r="H1045" i="1"/>
  <c r="F1046" i="1"/>
  <c r="I1045" i="1" s="1"/>
  <c r="J1046" i="1" s="1"/>
  <c r="F1047" i="1" l="1"/>
  <c r="I1046" i="1" s="1"/>
  <c r="J1047" i="1" s="1"/>
  <c r="H1046" i="1"/>
  <c r="G1046" i="1"/>
  <c r="H1047" i="1" l="1"/>
  <c r="F1048" i="1"/>
  <c r="G1047" i="1"/>
  <c r="G1048" i="1" l="1"/>
  <c r="F1049" i="1"/>
  <c r="I1047" i="1"/>
  <c r="J1048" i="1" s="1"/>
  <c r="H1048" i="1"/>
  <c r="I1048" i="1" l="1"/>
  <c r="J1049" i="1" s="1"/>
  <c r="F1050" i="1"/>
  <c r="I1049" i="1" s="1"/>
  <c r="J1050" i="1" s="1"/>
  <c r="H1049" i="1"/>
  <c r="G1049" i="1"/>
  <c r="G1050" i="1" l="1"/>
  <c r="F1051" i="1"/>
  <c r="H1050" i="1"/>
  <c r="F1052" i="1" l="1"/>
  <c r="I1051" i="1" s="1"/>
  <c r="J1052" i="1" s="1"/>
  <c r="H1051" i="1"/>
  <c r="I1050" i="1"/>
  <c r="J1051" i="1" s="1"/>
  <c r="G1051" i="1"/>
  <c r="G1052" i="1" s="1"/>
  <c r="F1053" i="1" l="1"/>
  <c r="I1052" i="1" s="1"/>
  <c r="J1053" i="1" s="1"/>
  <c r="H1052" i="1"/>
  <c r="H1053" i="1" l="1"/>
  <c r="F1054" i="1"/>
  <c r="G1053" i="1"/>
  <c r="I1053" i="1" l="1"/>
  <c r="J1054" i="1" s="1"/>
  <c r="F1055" i="1"/>
  <c r="I1054" i="1" s="1"/>
  <c r="J1055" i="1" s="1"/>
  <c r="H1054" i="1"/>
  <c r="G1054" i="1"/>
  <c r="G1055" i="1" l="1"/>
  <c r="F1056" i="1"/>
  <c r="I1055" i="1" s="1"/>
  <c r="J1056" i="1" s="1"/>
  <c r="H1055" i="1"/>
  <c r="H1056" i="1" l="1"/>
  <c r="F1057" i="1"/>
  <c r="I1056" i="1" s="1"/>
  <c r="J1057" i="1" s="1"/>
  <c r="G1056" i="1"/>
  <c r="G1057" i="1" l="1"/>
  <c r="F1058" i="1"/>
  <c r="I1057" i="1" s="1"/>
  <c r="J1058" i="1" s="1"/>
  <c r="H1057" i="1"/>
  <c r="H1058" i="1" l="1"/>
  <c r="F1059" i="1"/>
  <c r="G1058" i="1"/>
  <c r="I1058" i="1" l="1"/>
  <c r="J1059" i="1" s="1"/>
  <c r="F1060" i="1"/>
  <c r="I1059" i="1" s="1"/>
  <c r="J1060" i="1" s="1"/>
  <c r="H1059" i="1"/>
  <c r="G1059" i="1"/>
  <c r="G1060" i="1" s="1"/>
  <c r="F1061" i="1" l="1"/>
  <c r="I1060" i="1" s="1"/>
  <c r="J1061" i="1" s="1"/>
  <c r="H1060" i="1"/>
  <c r="H1061" i="1" l="1"/>
  <c r="F1062" i="1"/>
  <c r="I1061" i="1" s="1"/>
  <c r="J1062" i="1" s="1"/>
  <c r="G1061" i="1"/>
  <c r="G1062" i="1" s="1"/>
  <c r="F1063" i="1" l="1"/>
  <c r="I1062" i="1" s="1"/>
  <c r="J1063" i="1" s="1"/>
  <c r="H1062" i="1"/>
  <c r="H1063" i="1" l="1"/>
  <c r="F1064" i="1"/>
  <c r="G1063" i="1"/>
  <c r="I1063" i="1" l="1"/>
  <c r="J1064" i="1" s="1"/>
  <c r="F1065" i="1"/>
  <c r="I1064" i="1" s="1"/>
  <c r="J1065" i="1" s="1"/>
  <c r="H1064" i="1"/>
  <c r="G1064" i="1"/>
  <c r="F1066" i="1" l="1"/>
  <c r="I1065" i="1" s="1"/>
  <c r="J1066" i="1" s="1"/>
  <c r="H1065" i="1"/>
  <c r="G1065" i="1"/>
  <c r="G1066" i="1" l="1"/>
  <c r="F1067" i="1"/>
  <c r="I1066" i="1" s="1"/>
  <c r="J1067" i="1" s="1"/>
  <c r="H1066" i="1"/>
  <c r="F1068" i="1" l="1"/>
  <c r="H1067" i="1"/>
  <c r="G1067" i="1"/>
  <c r="I1067" i="1" l="1"/>
  <c r="J1068" i="1" s="1"/>
  <c r="F1069" i="1"/>
  <c r="I1068" i="1" s="1"/>
  <c r="J1069" i="1" s="1"/>
  <c r="H1068" i="1"/>
  <c r="H1069" i="1" s="1"/>
  <c r="G1068" i="1"/>
  <c r="G1069" i="1" l="1"/>
  <c r="F1070" i="1"/>
  <c r="G1070" i="1" l="1"/>
  <c r="I1069" i="1"/>
  <c r="J1070" i="1" s="1"/>
  <c r="F1071" i="1"/>
  <c r="I1070" i="1" s="1"/>
  <c r="J1071" i="1" s="1"/>
  <c r="H1070" i="1"/>
  <c r="H1071" i="1" l="1"/>
  <c r="F1072" i="1"/>
  <c r="I1071" i="1" s="1"/>
  <c r="J1072" i="1" s="1"/>
  <c r="G1071" i="1"/>
  <c r="G1072" i="1" l="1"/>
  <c r="H1072" i="1"/>
  <c r="F1073" i="1"/>
  <c r="I1072" i="1" l="1"/>
  <c r="J1073" i="1" s="1"/>
  <c r="F1074" i="1"/>
  <c r="H1073" i="1"/>
  <c r="I1073" i="1"/>
  <c r="J1074" i="1" s="1"/>
  <c r="G1073" i="1"/>
  <c r="F1075" i="1" l="1"/>
  <c r="I1074" i="1" s="1"/>
  <c r="J1075" i="1" s="1"/>
  <c r="H1074" i="1"/>
  <c r="G1074" i="1"/>
  <c r="G1075" i="1" l="1"/>
  <c r="F1076" i="1"/>
  <c r="I1075" i="1" s="1"/>
  <c r="J1076" i="1" s="1"/>
  <c r="H1075" i="1"/>
  <c r="F1077" i="1" l="1"/>
  <c r="I1076" i="1" s="1"/>
  <c r="J1077" i="1" s="1"/>
  <c r="H1076" i="1"/>
  <c r="G1076" i="1"/>
  <c r="G1077" i="1" l="1"/>
  <c r="H1077" i="1"/>
  <c r="F1078" i="1"/>
  <c r="I1077" i="1" s="1"/>
  <c r="J1078" i="1" s="1"/>
  <c r="F1079" i="1" l="1"/>
  <c r="I1078" i="1" s="1"/>
  <c r="J1079" i="1" s="1"/>
  <c r="H1078" i="1"/>
  <c r="G1078" i="1"/>
  <c r="G1079" i="1" l="1"/>
  <c r="F1080" i="1"/>
  <c r="I1079" i="1" s="1"/>
  <c r="J1080" i="1" s="1"/>
  <c r="H1079" i="1"/>
  <c r="H1080" i="1" l="1"/>
  <c r="F1081" i="1"/>
  <c r="I1080" i="1" s="1"/>
  <c r="J1081" i="1" s="1"/>
  <c r="G1080" i="1"/>
  <c r="G1081" i="1" l="1"/>
  <c r="F1082" i="1"/>
  <c r="I1081" i="1" s="1"/>
  <c r="J1082" i="1" s="1"/>
  <c r="H1081" i="1"/>
  <c r="H1082" i="1" l="1"/>
  <c r="F1083" i="1"/>
  <c r="G1082" i="1"/>
  <c r="I1082" i="1" l="1"/>
  <c r="J1083" i="1" s="1"/>
  <c r="F1084" i="1"/>
  <c r="I1083" i="1" s="1"/>
  <c r="J1084" i="1" s="1"/>
  <c r="H1083" i="1"/>
  <c r="G1083" i="1"/>
  <c r="G1084" i="1" s="1"/>
  <c r="F1085" i="1" l="1"/>
  <c r="I1084" i="1" s="1"/>
  <c r="J1085" i="1" s="1"/>
  <c r="H1084" i="1"/>
  <c r="H1085" i="1" l="1"/>
  <c r="F1086" i="1"/>
  <c r="I1085" i="1" s="1"/>
  <c r="J1086" i="1" s="1"/>
  <c r="G1085" i="1"/>
  <c r="G1086" i="1" l="1"/>
  <c r="F1087" i="1"/>
  <c r="I1086" i="1" s="1"/>
  <c r="J1087" i="1" s="1"/>
  <c r="H1086" i="1"/>
  <c r="H1087" i="1" s="1"/>
  <c r="F1088" i="1" l="1"/>
  <c r="G1087" i="1"/>
  <c r="I1087" i="1" l="1"/>
  <c r="J1088" i="1" s="1"/>
  <c r="F1089" i="1"/>
  <c r="I1088" i="1" s="1"/>
  <c r="J1089" i="1" s="1"/>
  <c r="H1088" i="1"/>
  <c r="G1088" i="1"/>
  <c r="F1090" i="1" l="1"/>
  <c r="I1089" i="1" s="1"/>
  <c r="J1090" i="1" s="1"/>
  <c r="H1089" i="1"/>
  <c r="G1089" i="1"/>
  <c r="F1091" i="1" l="1"/>
  <c r="I1090" i="1" s="1"/>
  <c r="J1091" i="1" s="1"/>
  <c r="H1090" i="1"/>
  <c r="G1090" i="1"/>
  <c r="G1091" i="1" l="1"/>
  <c r="F1092" i="1"/>
  <c r="I1091" i="1" s="1"/>
  <c r="J1092" i="1" s="1"/>
  <c r="H1091" i="1"/>
  <c r="H1092" i="1" s="1"/>
  <c r="F1093" i="1" l="1"/>
  <c r="G1092" i="1"/>
  <c r="I1092" i="1" l="1"/>
  <c r="J1093" i="1" s="1"/>
  <c r="F1094" i="1"/>
  <c r="I1093" i="1" s="1"/>
  <c r="J1094" i="1" s="1"/>
  <c r="H1093" i="1"/>
  <c r="H1094" i="1" s="1"/>
  <c r="G1093" i="1"/>
  <c r="G1094" i="1" s="1"/>
  <c r="F1095" i="1" l="1"/>
  <c r="F1096" i="1" l="1"/>
  <c r="I1095" i="1" s="1"/>
  <c r="J1096" i="1" s="1"/>
  <c r="H1095" i="1"/>
  <c r="I1094" i="1"/>
  <c r="J1095" i="1" s="1"/>
  <c r="G1095" i="1"/>
  <c r="G1096" i="1" l="1"/>
  <c r="H1096" i="1"/>
  <c r="F1097" i="1"/>
  <c r="I1096" i="1" s="1"/>
  <c r="J1097" i="1" s="1"/>
  <c r="F1098" i="1" l="1"/>
  <c r="H1097" i="1"/>
  <c r="G1097" i="1"/>
  <c r="I1097" i="1" l="1"/>
  <c r="J1098" i="1" s="1"/>
  <c r="F1099" i="1"/>
  <c r="I1098" i="1" s="1"/>
  <c r="J1099" i="1" s="1"/>
  <c r="H1098" i="1"/>
  <c r="G1098" i="1"/>
  <c r="G1099" i="1" l="1"/>
  <c r="F1100" i="1"/>
  <c r="I1099" i="1" s="1"/>
  <c r="J1100" i="1" s="1"/>
  <c r="H1099" i="1"/>
  <c r="F1101" i="1" l="1"/>
  <c r="I1100" i="1" s="1"/>
  <c r="J1101" i="1" s="1"/>
  <c r="H1100" i="1"/>
  <c r="G1100" i="1"/>
  <c r="G1101" i="1" l="1"/>
  <c r="H1101" i="1"/>
  <c r="F1102" i="1"/>
  <c r="I1101" i="1" s="1"/>
  <c r="J1102" i="1" s="1"/>
  <c r="F1103" i="1" l="1"/>
  <c r="H1102" i="1"/>
  <c r="G1102" i="1"/>
  <c r="I1102" i="1" l="1"/>
  <c r="J1103" i="1" s="1"/>
  <c r="F1104" i="1"/>
  <c r="I1103" i="1" s="1"/>
  <c r="J1104" i="1" s="1"/>
  <c r="H1103" i="1"/>
  <c r="G1103" i="1"/>
  <c r="G1104" i="1" l="1"/>
  <c r="H1104" i="1"/>
  <c r="F1105" i="1"/>
  <c r="I1104" i="1" s="1"/>
  <c r="J1105" i="1" s="1"/>
  <c r="F1106" i="1" l="1"/>
  <c r="I1105" i="1" s="1"/>
  <c r="J1106" i="1" s="1"/>
  <c r="H1105" i="1"/>
  <c r="G1105" i="1"/>
  <c r="H1106" i="1" l="1"/>
  <c r="F1107" i="1"/>
  <c r="G1106" i="1"/>
  <c r="I1106" i="1" l="1"/>
  <c r="J1107" i="1" s="1"/>
  <c r="F1108" i="1"/>
  <c r="I1107" i="1" s="1"/>
  <c r="J1108" i="1" s="1"/>
  <c r="H1107" i="1"/>
  <c r="G1107" i="1"/>
  <c r="G1108" i="1" l="1"/>
  <c r="H1108" i="1"/>
  <c r="F1109" i="1"/>
  <c r="I1108" i="1" s="1"/>
  <c r="J1109" i="1" s="1"/>
  <c r="F1110" i="1" l="1"/>
  <c r="I1109" i="1" s="1"/>
  <c r="J1110" i="1" s="1"/>
  <c r="H1109" i="1"/>
  <c r="G1109" i="1"/>
  <c r="G1110" i="1" l="1"/>
  <c r="H1110" i="1"/>
  <c r="F1111" i="1"/>
  <c r="I1110" i="1" s="1"/>
  <c r="J1111" i="1" s="1"/>
  <c r="F1112" i="1" l="1"/>
  <c r="H1111" i="1"/>
  <c r="G1111" i="1"/>
  <c r="I1111" i="1" l="1"/>
  <c r="J1112" i="1" s="1"/>
  <c r="F1113" i="1"/>
  <c r="I1112" i="1" s="1"/>
  <c r="J1113" i="1" s="1"/>
  <c r="H1112" i="1"/>
  <c r="G1112" i="1"/>
  <c r="G1113" i="1" s="1"/>
  <c r="F1114" i="1" l="1"/>
  <c r="I1113" i="1" s="1"/>
  <c r="J1114" i="1" s="1"/>
  <c r="H1113" i="1"/>
  <c r="F1115" i="1" l="1"/>
  <c r="I1114" i="1" s="1"/>
  <c r="J1115" i="1" s="1"/>
  <c r="H1114" i="1"/>
  <c r="H1115" i="1" s="1"/>
  <c r="G1114" i="1"/>
  <c r="G1115" i="1" s="1"/>
  <c r="F1116" i="1" l="1"/>
  <c r="I1115" i="1" s="1"/>
  <c r="J1116" i="1" s="1"/>
  <c r="F1117" i="1" l="1"/>
  <c r="H1116" i="1"/>
  <c r="G1116" i="1"/>
  <c r="I1116" i="1" l="1"/>
  <c r="J1117" i="1" s="1"/>
  <c r="F1118" i="1"/>
  <c r="I1117" i="1" s="1"/>
  <c r="J1118" i="1" s="1"/>
  <c r="H1117" i="1"/>
  <c r="G1117" i="1"/>
  <c r="G1118" i="1" s="1"/>
  <c r="H1118" i="1" l="1"/>
  <c r="F1119" i="1"/>
  <c r="I1118" i="1" s="1"/>
  <c r="J1119" i="1" s="1"/>
  <c r="F1120" i="1" l="1"/>
  <c r="I1119" i="1" s="1"/>
  <c r="J1120" i="1" s="1"/>
  <c r="H1119" i="1"/>
  <c r="G1119" i="1"/>
  <c r="G1120" i="1" l="1"/>
  <c r="H1120" i="1"/>
  <c r="F1121" i="1"/>
  <c r="I1120" i="1" s="1"/>
  <c r="J1121" i="1" s="1"/>
  <c r="F1122" i="1" l="1"/>
  <c r="H1121" i="1"/>
  <c r="G1121" i="1"/>
  <c r="I1121" i="1" l="1"/>
  <c r="J1122" i="1" s="1"/>
  <c r="F1123" i="1"/>
  <c r="I1122" i="1" s="1"/>
  <c r="J1123" i="1" s="1"/>
  <c r="H1122" i="1"/>
  <c r="G1122" i="1"/>
  <c r="G1123" i="1" s="1"/>
  <c r="H1123" i="1" l="1"/>
  <c r="F1124" i="1"/>
  <c r="H1124" i="1" l="1"/>
  <c r="I1123" i="1"/>
  <c r="J1124" i="1" s="1"/>
  <c r="F1125" i="1"/>
  <c r="I1124" i="1" s="1"/>
  <c r="J1125" i="1" s="1"/>
  <c r="G1124" i="1"/>
  <c r="G1125" i="1" l="1"/>
  <c r="F1126" i="1"/>
  <c r="H1125" i="1"/>
  <c r="F1127" i="1" l="1"/>
  <c r="H1126" i="1"/>
  <c r="I1125" i="1"/>
  <c r="J1126" i="1" s="1"/>
  <c r="G1126" i="1"/>
  <c r="I1126" i="1" s="1"/>
  <c r="J1127" i="1" s="1"/>
  <c r="F1128" i="1" l="1"/>
  <c r="I1127" i="1" s="1"/>
  <c r="J1128" i="1" s="1"/>
  <c r="H1127" i="1"/>
  <c r="G1127" i="1"/>
  <c r="H1128" i="1" l="1"/>
  <c r="G1128" i="1"/>
  <c r="F1129" i="1"/>
  <c r="F1130" i="1" l="1"/>
  <c r="I1129" i="1" s="1"/>
  <c r="J1130" i="1" s="1"/>
  <c r="I1128" i="1"/>
  <c r="J1129" i="1" s="1"/>
  <c r="H1129" i="1"/>
  <c r="G1129" i="1"/>
  <c r="G1130" i="1" l="1"/>
  <c r="F1131" i="1"/>
  <c r="H1130" i="1"/>
  <c r="F1132" i="1" l="1"/>
  <c r="I1131" i="1" s="1"/>
  <c r="J1132" i="1" s="1"/>
  <c r="H1131" i="1"/>
  <c r="I1130" i="1"/>
  <c r="J1131" i="1" s="1"/>
  <c r="G1131" i="1"/>
  <c r="H1132" i="1" l="1"/>
  <c r="F1133" i="1"/>
  <c r="G1132" i="1"/>
  <c r="F1134" i="1" l="1"/>
  <c r="I1133" i="1" s="1"/>
  <c r="J1134" i="1" s="1"/>
  <c r="G1133" i="1"/>
  <c r="I1132" i="1"/>
  <c r="J1133" i="1" s="1"/>
  <c r="H1133" i="1"/>
  <c r="H1134" i="1" l="1"/>
  <c r="G1134" i="1"/>
  <c r="F1135" i="1"/>
  <c r="I1134" i="1" s="1"/>
  <c r="J1135" i="1" s="1"/>
  <c r="F1136" i="1" l="1"/>
  <c r="G1135" i="1"/>
  <c r="H1135" i="1"/>
  <c r="I1135" i="1" l="1"/>
  <c r="J1136" i="1" s="1"/>
  <c r="F1137" i="1"/>
  <c r="I1136" i="1" s="1"/>
  <c r="J1137" i="1" s="1"/>
  <c r="H1136" i="1"/>
  <c r="G1136" i="1"/>
  <c r="G1137" i="1" l="1"/>
  <c r="F1138" i="1"/>
  <c r="I1137" i="1" s="1"/>
  <c r="J1138" i="1" s="1"/>
  <c r="H1137" i="1"/>
  <c r="F1139" i="1" l="1"/>
  <c r="I1138" i="1" s="1"/>
  <c r="J1139" i="1" s="1"/>
  <c r="H1138" i="1"/>
  <c r="G1138" i="1"/>
  <c r="G1139" i="1" l="1"/>
  <c r="F1140" i="1"/>
  <c r="H1139" i="1"/>
  <c r="F1141" i="1" l="1"/>
  <c r="H1140" i="1"/>
  <c r="I1139" i="1"/>
  <c r="J1140" i="1" s="1"/>
  <c r="G1140" i="1"/>
  <c r="I1140" i="1" l="1"/>
  <c r="J1141" i="1" s="1"/>
  <c r="F1142" i="1"/>
  <c r="I1141" i="1" s="1"/>
  <c r="J1142" i="1" s="1"/>
  <c r="H1141" i="1"/>
  <c r="G1141" i="1"/>
  <c r="G1142" i="1" l="1"/>
  <c r="H1142" i="1"/>
  <c r="F1143" i="1"/>
  <c r="F1144" i="1" l="1"/>
  <c r="I1143" i="1" s="1"/>
  <c r="J1144" i="1" s="1"/>
  <c r="G1143" i="1"/>
  <c r="I1142" i="1"/>
  <c r="J1143" i="1" s="1"/>
  <c r="H1143" i="1"/>
  <c r="H1144" i="1" s="1"/>
  <c r="G1144" i="1" l="1"/>
  <c r="F1145" i="1"/>
  <c r="F1146" i="1" l="1"/>
  <c r="G1145" i="1"/>
  <c r="I1144" i="1"/>
  <c r="J1145" i="1" s="1"/>
  <c r="H1145" i="1"/>
  <c r="I1145" i="1" l="1"/>
  <c r="J1146" i="1" s="1"/>
  <c r="F1147" i="1"/>
  <c r="I1146" i="1" s="1"/>
  <c r="J1147" i="1" s="1"/>
  <c r="H1146" i="1"/>
  <c r="G1146" i="1"/>
  <c r="F1148" i="1" l="1"/>
  <c r="I1147" i="1" s="1"/>
  <c r="J1148" i="1" s="1"/>
  <c r="H1147" i="1"/>
  <c r="G1147" i="1"/>
  <c r="H1148" i="1" l="1"/>
  <c r="G1148" i="1"/>
  <c r="F1149" i="1"/>
  <c r="I1148" i="1" s="1"/>
  <c r="J1149" i="1" s="1"/>
  <c r="F1150" i="1" l="1"/>
  <c r="I1149" i="1" s="1"/>
  <c r="J1150" i="1" s="1"/>
  <c r="H1149" i="1"/>
  <c r="G1149" i="1"/>
  <c r="G1150" i="1" l="1"/>
  <c r="H1150" i="1"/>
  <c r="F1151" i="1"/>
  <c r="I1150" i="1" l="1"/>
  <c r="J1151" i="1" s="1"/>
  <c r="F1152" i="1"/>
  <c r="I1151" i="1" s="1"/>
  <c r="J1152" i="1" s="1"/>
  <c r="H1151" i="1"/>
  <c r="H1152" i="1" s="1"/>
  <c r="G1151" i="1"/>
  <c r="G1152" i="1" l="1"/>
  <c r="F1153" i="1"/>
  <c r="I1152" i="1" s="1"/>
  <c r="J1153" i="1" s="1"/>
  <c r="F1154" i="1" l="1"/>
  <c r="I1153" i="1" s="1"/>
  <c r="J1154" i="1" s="1"/>
  <c r="H1153" i="1"/>
  <c r="G1153" i="1"/>
  <c r="G1154" i="1" l="1"/>
  <c r="F1155" i="1"/>
  <c r="I1154" i="1" s="1"/>
  <c r="J1155" i="1" s="1"/>
  <c r="H1154" i="1"/>
  <c r="F1156" i="1" l="1"/>
  <c r="H1155" i="1"/>
  <c r="G1155" i="1"/>
  <c r="I1155" i="1" l="1"/>
  <c r="J1156" i="1" s="1"/>
  <c r="F1157" i="1"/>
  <c r="I1156" i="1" s="1"/>
  <c r="J1157" i="1" s="1"/>
  <c r="H1156" i="1"/>
  <c r="H1157" i="1" s="1"/>
  <c r="G1156" i="1"/>
  <c r="G1157" i="1" s="1"/>
  <c r="F1158" i="1" l="1"/>
  <c r="I1157" i="1" s="1"/>
  <c r="J1158" i="1" s="1"/>
  <c r="F1159" i="1" l="1"/>
  <c r="I1158" i="1" s="1"/>
  <c r="J1159" i="1" s="1"/>
  <c r="H1158" i="1"/>
  <c r="G1158" i="1"/>
  <c r="G1159" i="1" l="1"/>
  <c r="H1159" i="1"/>
  <c r="F1160" i="1"/>
  <c r="I1159" i="1" s="1"/>
  <c r="J1160" i="1" s="1"/>
  <c r="F1161" i="1" l="1"/>
  <c r="G1160" i="1"/>
  <c r="H1160" i="1"/>
  <c r="G1161" i="1" l="1"/>
  <c r="I1160" i="1"/>
  <c r="J1161" i="1" s="1"/>
  <c r="F1162" i="1"/>
  <c r="I1161" i="1" s="1"/>
  <c r="J1162" i="1" s="1"/>
  <c r="H1161" i="1"/>
  <c r="F1163" i="1" l="1"/>
  <c r="I1162" i="1" s="1"/>
  <c r="J1163" i="1" s="1"/>
  <c r="H1162" i="1"/>
  <c r="G1162" i="1"/>
  <c r="H1163" i="1" l="1"/>
  <c r="F1164" i="1"/>
  <c r="I1163" i="1" s="1"/>
  <c r="J1164" i="1" s="1"/>
  <c r="G1163" i="1"/>
  <c r="G1164" i="1" s="1"/>
  <c r="F1165" i="1" l="1"/>
  <c r="I1164" i="1" s="1"/>
  <c r="J1165" i="1" s="1"/>
  <c r="H1164" i="1"/>
  <c r="H1165" i="1" l="1"/>
  <c r="F1166" i="1"/>
  <c r="G1165" i="1"/>
  <c r="I1165" i="1" l="1"/>
  <c r="J1166" i="1" s="1"/>
  <c r="F1167" i="1"/>
  <c r="I1166" i="1" s="1"/>
  <c r="J1167" i="1" s="1"/>
  <c r="H1166" i="1"/>
  <c r="G1166" i="1"/>
  <c r="G1167" i="1" s="1"/>
  <c r="F1168" i="1" l="1"/>
  <c r="I1167" i="1" s="1"/>
  <c r="J1168" i="1" s="1"/>
  <c r="H1167" i="1"/>
  <c r="H1168" i="1" l="1"/>
  <c r="F1169" i="1"/>
  <c r="I1168" i="1" s="1"/>
  <c r="J1169" i="1" s="1"/>
  <c r="G1168" i="1"/>
  <c r="G1169" i="1" l="1"/>
  <c r="F1170" i="1"/>
  <c r="I1169" i="1" s="1"/>
  <c r="J1170" i="1" s="1"/>
  <c r="H1169" i="1"/>
  <c r="H1170" i="1" l="1"/>
  <c r="F1171" i="1"/>
  <c r="G1170" i="1"/>
  <c r="I1170" i="1" l="1"/>
  <c r="J1171" i="1" s="1"/>
  <c r="F1172" i="1"/>
  <c r="I1171" i="1" s="1"/>
  <c r="J1172" i="1" s="1"/>
  <c r="H1171" i="1"/>
  <c r="H1172" i="1" s="1"/>
  <c r="G1171" i="1"/>
  <c r="F1173" i="1" l="1"/>
  <c r="G1172" i="1"/>
  <c r="I1172" i="1" l="1"/>
  <c r="J1173" i="1" s="1"/>
  <c r="F1174" i="1"/>
  <c r="H1173" i="1"/>
  <c r="H1174" i="1" s="1"/>
  <c r="I1173" i="1"/>
  <c r="J1174" i="1" s="1"/>
  <c r="G1173" i="1"/>
  <c r="G1174" i="1" s="1"/>
  <c r="F1175" i="1" l="1"/>
  <c r="I1174" i="1" s="1"/>
  <c r="J1175" i="1" s="1"/>
  <c r="F1176" i="1" l="1"/>
  <c r="I1175" i="1" s="1"/>
  <c r="J1176" i="1" s="1"/>
  <c r="H1175" i="1"/>
  <c r="G1175" i="1"/>
  <c r="G1176" i="1" l="1"/>
  <c r="H1176" i="1"/>
  <c r="F1177" i="1"/>
  <c r="H1177" i="1" s="1"/>
  <c r="I1176" i="1" l="1"/>
  <c r="J1177" i="1" s="1"/>
  <c r="F1178" i="1"/>
  <c r="G1177" i="1"/>
  <c r="I1177" i="1" l="1"/>
  <c r="J1178" i="1" s="1"/>
  <c r="F1179" i="1"/>
  <c r="I1178" i="1" s="1"/>
  <c r="J1179" i="1" s="1"/>
  <c r="H1178" i="1"/>
  <c r="G1178" i="1"/>
  <c r="F1180" i="1" l="1"/>
  <c r="I1179" i="1" s="1"/>
  <c r="J1180" i="1" s="1"/>
  <c r="H1179" i="1"/>
  <c r="G1179" i="1"/>
  <c r="G1180" i="1" l="1"/>
  <c r="F1181" i="1"/>
  <c r="I1180" i="1" s="1"/>
  <c r="J1181" i="1" s="1"/>
  <c r="H1180" i="1"/>
  <c r="H1181" i="1" l="1"/>
  <c r="F1182" i="1"/>
  <c r="I1181" i="1" s="1"/>
  <c r="J1182" i="1" s="1"/>
  <c r="G1181" i="1"/>
  <c r="G1182" i="1" l="1"/>
  <c r="F1183" i="1"/>
  <c r="H1182" i="1"/>
  <c r="I1182" i="1" l="1"/>
  <c r="J1183" i="1" s="1"/>
  <c r="F1184" i="1"/>
  <c r="I1183" i="1" s="1"/>
  <c r="J1184" i="1" s="1"/>
  <c r="H1183" i="1"/>
  <c r="H1184" i="1" s="1"/>
  <c r="G1183" i="1"/>
  <c r="G1184" i="1" s="1"/>
  <c r="F1185" i="1" l="1"/>
  <c r="I1184" i="1" s="1"/>
  <c r="J1185" i="1" s="1"/>
  <c r="F1186" i="1" l="1"/>
  <c r="I1185" i="1" s="1"/>
  <c r="J1186" i="1" s="1"/>
  <c r="H1185" i="1"/>
  <c r="G1185" i="1"/>
  <c r="G1186" i="1" l="1"/>
  <c r="H1186" i="1"/>
  <c r="F1187" i="1"/>
  <c r="I1186" i="1" s="1"/>
  <c r="J1187" i="1" s="1"/>
  <c r="F1188" i="1" l="1"/>
  <c r="H1187" i="1"/>
  <c r="G1187" i="1"/>
  <c r="I1187" i="1" l="1"/>
  <c r="J1188" i="1" s="1"/>
  <c r="F1189" i="1"/>
  <c r="I1188" i="1" s="1"/>
  <c r="J1189" i="1" s="1"/>
  <c r="H1188" i="1"/>
  <c r="G1188" i="1"/>
  <c r="H1189" i="1" l="1"/>
  <c r="F1190" i="1"/>
  <c r="G1189" i="1"/>
  <c r="G1190" i="1" l="1"/>
  <c r="F1191" i="1"/>
  <c r="I1190" i="1" s="1"/>
  <c r="J1191" i="1" s="1"/>
  <c r="I1189" i="1"/>
  <c r="J1190" i="1" s="1"/>
  <c r="H1190" i="1"/>
  <c r="H1191" i="1" s="1"/>
  <c r="G1191" i="1" l="1"/>
  <c r="F1192" i="1"/>
  <c r="I1191" i="1" s="1"/>
  <c r="J1192" i="1" s="1"/>
  <c r="F1193" i="1" l="1"/>
  <c r="G1192" i="1"/>
  <c r="H1192" i="1"/>
  <c r="I1192" i="1" l="1"/>
  <c r="J1193" i="1" s="1"/>
  <c r="F1194" i="1"/>
  <c r="I1193" i="1" s="1"/>
  <c r="J1194" i="1" s="1"/>
  <c r="H1193" i="1"/>
  <c r="G1193" i="1"/>
  <c r="G1194" i="1" l="1"/>
  <c r="F1195" i="1"/>
  <c r="I1194" i="1" s="1"/>
  <c r="J1195" i="1" s="1"/>
  <c r="H1194" i="1"/>
  <c r="F1196" i="1" l="1"/>
  <c r="I1195" i="1" s="1"/>
  <c r="J1196" i="1" s="1"/>
  <c r="H1195" i="1"/>
  <c r="G1195" i="1"/>
  <c r="G1196" i="1" l="1"/>
  <c r="H1196" i="1"/>
  <c r="F1197" i="1"/>
  <c r="I1196" i="1" l="1"/>
  <c r="J1197" i="1" s="1"/>
  <c r="F1198" i="1"/>
  <c r="I1197" i="1" s="1"/>
  <c r="J1198" i="1" s="1"/>
  <c r="H1197" i="1"/>
  <c r="H1198" i="1" s="1"/>
  <c r="G1197" i="1"/>
  <c r="G1198" i="1" s="1"/>
  <c r="F1199" i="1" l="1"/>
  <c r="I1198" i="1" s="1"/>
  <c r="J1199" i="1" s="1"/>
  <c r="F1200" i="1" l="1"/>
  <c r="I1199" i="1" s="1"/>
  <c r="J1200" i="1" s="1"/>
  <c r="H1199" i="1"/>
  <c r="G1199" i="1"/>
  <c r="G1200" i="1" l="1"/>
  <c r="H1200" i="1"/>
  <c r="F1201" i="1"/>
  <c r="I1200" i="1" s="1"/>
  <c r="J1201" i="1" s="1"/>
  <c r="F1202" i="1" l="1"/>
  <c r="H1201" i="1"/>
  <c r="G1201" i="1"/>
  <c r="I1201" i="1" l="1"/>
  <c r="J1202" i="1" s="1"/>
  <c r="F1203" i="1"/>
  <c r="I1202" i="1" s="1"/>
  <c r="J1203" i="1" s="1"/>
  <c r="H1202" i="1"/>
  <c r="G1202" i="1"/>
  <c r="H1203" i="1" l="1"/>
  <c r="F1204" i="1"/>
  <c r="G1203" i="1"/>
  <c r="G1204" i="1" l="1"/>
  <c r="F1205" i="1"/>
  <c r="I1204" i="1" s="1"/>
  <c r="J1205" i="1" s="1"/>
  <c r="I1203" i="1"/>
  <c r="J1204" i="1" s="1"/>
  <c r="H1204" i="1"/>
  <c r="H1205" i="1" s="1"/>
  <c r="F1206" i="1" l="1"/>
  <c r="I1205" i="1" s="1"/>
  <c r="J1206" i="1" s="1"/>
  <c r="G1205" i="1"/>
  <c r="G1206" i="1" l="1"/>
  <c r="F1207" i="1"/>
  <c r="H1206" i="1"/>
  <c r="I1206" i="1" l="1"/>
  <c r="J1207" i="1" s="1"/>
  <c r="F1208" i="1"/>
  <c r="I1207" i="1" s="1"/>
  <c r="J1208" i="1" s="1"/>
  <c r="H1207" i="1"/>
  <c r="G1207" i="1"/>
  <c r="H1208" i="1" l="1"/>
  <c r="G1208" i="1"/>
  <c r="F1209" i="1"/>
  <c r="I1208" i="1" s="1"/>
  <c r="J1209" i="1" s="1"/>
  <c r="F1210" i="1" l="1"/>
  <c r="I1209" i="1" s="1"/>
  <c r="J1210" i="1" s="1"/>
  <c r="G1209" i="1"/>
  <c r="H1209" i="1"/>
  <c r="F1211" i="1" l="1"/>
  <c r="I1210" i="1" s="1"/>
  <c r="J1211" i="1" s="1"/>
  <c r="H1210" i="1"/>
  <c r="G1210" i="1"/>
  <c r="G1211" i="1" l="1"/>
  <c r="H1211" i="1"/>
  <c r="F1212" i="1"/>
  <c r="I1211" i="1" l="1"/>
  <c r="J1212" i="1" s="1"/>
  <c r="F1213" i="1"/>
  <c r="I1212" i="1" s="1"/>
  <c r="J1213" i="1" s="1"/>
  <c r="H1212" i="1"/>
  <c r="G1212" i="1"/>
  <c r="G1213" i="1" l="1"/>
  <c r="H1213" i="1"/>
  <c r="F1214" i="1"/>
  <c r="I1213" i="1" s="1"/>
  <c r="J1214" i="1" s="1"/>
  <c r="F1215" i="1" l="1"/>
  <c r="I1214" i="1" s="1"/>
  <c r="J1215" i="1" s="1"/>
  <c r="H1214" i="1"/>
  <c r="G1214" i="1"/>
  <c r="G1215" i="1" l="1"/>
  <c r="H1215" i="1"/>
  <c r="F1216" i="1"/>
  <c r="I1215" i="1" s="1"/>
  <c r="J1216" i="1" s="1"/>
  <c r="F1217" i="1" l="1"/>
  <c r="H1216" i="1"/>
  <c r="G1216" i="1"/>
  <c r="I1216" i="1" l="1"/>
  <c r="J1217" i="1" s="1"/>
  <c r="F1218" i="1"/>
  <c r="I1217" i="1" s="1"/>
  <c r="J1218" i="1" s="1"/>
  <c r="H1217" i="1"/>
  <c r="G1217" i="1"/>
  <c r="G1218" i="1" l="1"/>
  <c r="F1219" i="1"/>
  <c r="I1218" i="1" s="1"/>
  <c r="J1219" i="1" s="1"/>
  <c r="H1218" i="1"/>
  <c r="F1220" i="1" l="1"/>
  <c r="I1219" i="1" s="1"/>
  <c r="J1220" i="1" s="1"/>
  <c r="H1219" i="1"/>
  <c r="G1219" i="1"/>
  <c r="G1220" i="1" l="1"/>
  <c r="F1221" i="1"/>
  <c r="H1220" i="1"/>
  <c r="I1220" i="1" l="1"/>
  <c r="J1221" i="1" s="1"/>
  <c r="F1222" i="1"/>
  <c r="I1221" i="1" s="1"/>
  <c r="J1222" i="1" s="1"/>
  <c r="H1221" i="1"/>
  <c r="G1221" i="1"/>
  <c r="H1222" i="1" l="1"/>
  <c r="F1223" i="1"/>
  <c r="I1222" i="1" s="1"/>
  <c r="J1223" i="1" s="1"/>
  <c r="G1222" i="1"/>
  <c r="F1224" i="1" l="1"/>
  <c r="I1223" i="1" s="1"/>
  <c r="J1224" i="1" s="1"/>
  <c r="H1223" i="1"/>
  <c r="G1223" i="1"/>
  <c r="G1224" i="1" l="1"/>
  <c r="H1224" i="1"/>
  <c r="F1225" i="1"/>
  <c r="I1224" i="1" s="1"/>
  <c r="J1225" i="1" s="1"/>
  <c r="F1226" i="1" l="1"/>
  <c r="H1225" i="1"/>
  <c r="G1225" i="1"/>
  <c r="I1225" i="1" l="1"/>
  <c r="J1226" i="1" s="1"/>
  <c r="F1227" i="1"/>
  <c r="I1226" i="1" s="1"/>
  <c r="J1227" i="1" s="1"/>
  <c r="H1226" i="1"/>
  <c r="G1226" i="1"/>
  <c r="G1227" i="1" l="1"/>
  <c r="H1227" i="1"/>
  <c r="F1228" i="1"/>
  <c r="I1227" i="1" s="1"/>
  <c r="J1228" i="1" s="1"/>
  <c r="F1229" i="1" l="1"/>
  <c r="I1228" i="1" s="1"/>
  <c r="J1229" i="1" s="1"/>
  <c r="H1228" i="1"/>
  <c r="G1228" i="1"/>
  <c r="G1229" i="1" l="1"/>
  <c r="H1229" i="1"/>
  <c r="F1230" i="1"/>
  <c r="I1229" i="1" l="1"/>
  <c r="J1230" i="1" s="1"/>
  <c r="F1231" i="1"/>
  <c r="I1230" i="1" s="1"/>
  <c r="J1231" i="1" s="1"/>
  <c r="H1230" i="1"/>
  <c r="G1230" i="1"/>
  <c r="G1231" i="1" s="1"/>
  <c r="F1232" i="1" l="1"/>
  <c r="I1231" i="1" s="1"/>
  <c r="J1232" i="1" s="1"/>
  <c r="H1231" i="1"/>
  <c r="H1232" i="1" l="1"/>
  <c r="F1233" i="1"/>
  <c r="I1232" i="1" s="1"/>
  <c r="J1233" i="1" s="1"/>
  <c r="G1232" i="1"/>
  <c r="G1233" i="1" l="1"/>
  <c r="F1234" i="1"/>
  <c r="I1233" i="1" s="1"/>
  <c r="J1234" i="1" s="1"/>
  <c r="H1233" i="1"/>
  <c r="F1235" i="1" l="1"/>
  <c r="H1234" i="1"/>
  <c r="G1234" i="1"/>
  <c r="I1234" i="1" l="1"/>
  <c r="J1235" i="1" s="1"/>
  <c r="F1236" i="1"/>
  <c r="I1235" i="1" s="1"/>
  <c r="J1236" i="1" s="1"/>
  <c r="H1235" i="1"/>
  <c r="G1235" i="1"/>
  <c r="G1236" i="1" l="1"/>
  <c r="F1237" i="1"/>
  <c r="I1236" i="1" s="1"/>
  <c r="J1237" i="1" s="1"/>
  <c r="H1236" i="1"/>
  <c r="H1237" i="1" l="1"/>
  <c r="F1238" i="1"/>
  <c r="I1237" i="1" s="1"/>
  <c r="J1238" i="1" s="1"/>
  <c r="G1237" i="1"/>
  <c r="G1238" i="1" l="1"/>
  <c r="F1239" i="1"/>
  <c r="I1238" i="1" s="1"/>
  <c r="J1239" i="1" s="1"/>
  <c r="H1238" i="1"/>
  <c r="H1239" i="1" l="1"/>
  <c r="F1240" i="1"/>
  <c r="G1239" i="1"/>
  <c r="I1239" i="1" l="1"/>
  <c r="J1240" i="1" s="1"/>
  <c r="F1241" i="1"/>
  <c r="I1240" i="1" s="1"/>
  <c r="J1241" i="1" s="1"/>
  <c r="H1240" i="1"/>
  <c r="G1240" i="1"/>
  <c r="F1242" i="1" l="1"/>
  <c r="I1241" i="1" s="1"/>
  <c r="J1242" i="1" s="1"/>
  <c r="H1241" i="1"/>
  <c r="G1241" i="1"/>
  <c r="G1242" i="1" l="1"/>
  <c r="F1243" i="1"/>
  <c r="I1242" i="1" s="1"/>
  <c r="J1243" i="1" s="1"/>
  <c r="H1242" i="1"/>
  <c r="F1244" i="1" l="1"/>
  <c r="I1243" i="1" s="1"/>
  <c r="J1244" i="1" s="1"/>
  <c r="H1243" i="1"/>
  <c r="G1243" i="1"/>
  <c r="G1244" i="1" l="1"/>
  <c r="F1245" i="1"/>
  <c r="H1244" i="1"/>
  <c r="I1244" i="1" l="1"/>
  <c r="J1245" i="1" s="1"/>
  <c r="F1246" i="1"/>
  <c r="I1245" i="1" s="1"/>
  <c r="J1246" i="1" s="1"/>
  <c r="H1245" i="1"/>
  <c r="H1246" i="1" s="1"/>
  <c r="G1245" i="1"/>
  <c r="G1246" i="1" s="1"/>
  <c r="F1247" i="1" l="1"/>
  <c r="I1246" i="1" s="1"/>
  <c r="J1247" i="1" s="1"/>
  <c r="F1248" i="1" l="1"/>
  <c r="I1247" i="1" s="1"/>
  <c r="J1248" i="1" s="1"/>
  <c r="H1247" i="1"/>
  <c r="G1247" i="1"/>
  <c r="H1248" i="1" l="1"/>
  <c r="F1249" i="1"/>
  <c r="G1248" i="1"/>
  <c r="I1248" i="1" l="1"/>
  <c r="J1249" i="1" s="1"/>
  <c r="F1250" i="1"/>
  <c r="I1249" i="1" s="1"/>
  <c r="J1250" i="1" s="1"/>
  <c r="H1249" i="1"/>
  <c r="G1249" i="1"/>
  <c r="F1251" i="1" l="1"/>
  <c r="I1250" i="1" s="1"/>
  <c r="J1251" i="1" s="1"/>
  <c r="H1250" i="1"/>
  <c r="G1250" i="1"/>
  <c r="F1252" i="1" l="1"/>
  <c r="I1251" i="1"/>
  <c r="J1252" i="1" s="1"/>
  <c r="H1251" i="1"/>
  <c r="H1252" i="1" s="1"/>
  <c r="G1251" i="1"/>
  <c r="G1252" i="1" s="1"/>
  <c r="F1253" i="1" l="1"/>
  <c r="I1252" i="1" s="1"/>
  <c r="J1253" i="1" s="1"/>
  <c r="F1254" i="1" l="1"/>
  <c r="H1253" i="1"/>
  <c r="G1253" i="1"/>
  <c r="I1253" i="1" l="1"/>
  <c r="J1254" i="1" s="1"/>
  <c r="G1254" i="1"/>
  <c r="F1255" i="1"/>
  <c r="I1254" i="1" s="1"/>
  <c r="J1255" i="1" s="1"/>
  <c r="H1254" i="1"/>
  <c r="F1256" i="1" l="1"/>
  <c r="I1255" i="1" s="1"/>
  <c r="J1256" i="1" s="1"/>
  <c r="H1255" i="1"/>
  <c r="G1255" i="1"/>
  <c r="H1256" i="1" l="1"/>
  <c r="F1257" i="1"/>
  <c r="I1256" i="1" s="1"/>
  <c r="J1257" i="1" s="1"/>
  <c r="G1256" i="1"/>
  <c r="G1257" i="1" l="1"/>
  <c r="F1258" i="1"/>
  <c r="I1257" i="1" s="1"/>
  <c r="J1258" i="1" s="1"/>
  <c r="H1257" i="1"/>
  <c r="H1258" i="1" l="1"/>
  <c r="F1259" i="1"/>
  <c r="G1258" i="1"/>
  <c r="I1258" i="1" l="1"/>
  <c r="J1259" i="1" s="1"/>
  <c r="F1260" i="1"/>
  <c r="I1259" i="1" s="1"/>
  <c r="J1260" i="1" s="1"/>
  <c r="H1259" i="1"/>
  <c r="H1260" i="1" s="1"/>
  <c r="G1259" i="1"/>
  <c r="G1260" i="1" l="1"/>
  <c r="F1261" i="1"/>
  <c r="I1260" i="1" s="1"/>
  <c r="J1261" i="1" s="1"/>
  <c r="F1262" i="1" l="1"/>
  <c r="I1261" i="1" s="1"/>
  <c r="J1262" i="1" s="1"/>
  <c r="H1261" i="1"/>
  <c r="G1261" i="1"/>
  <c r="H1262" i="1" l="1"/>
  <c r="G1262" i="1"/>
  <c r="F1263" i="1"/>
  <c r="I1262" i="1" l="1"/>
  <c r="J1263" i="1" s="1"/>
  <c r="F1264" i="1"/>
  <c r="I1263" i="1" s="1"/>
  <c r="J1264" i="1" s="1"/>
  <c r="H1263" i="1"/>
  <c r="G1263" i="1"/>
  <c r="G1264" i="1" l="1"/>
  <c r="H1264" i="1"/>
  <c r="F1265" i="1"/>
  <c r="I1264" i="1" s="1"/>
  <c r="J1265" i="1" s="1"/>
  <c r="F1266" i="1" l="1"/>
  <c r="I1265" i="1" s="1"/>
  <c r="J1266" i="1" s="1"/>
  <c r="H1265" i="1"/>
  <c r="G1265" i="1"/>
  <c r="G1266" i="1" s="1"/>
  <c r="F1267" i="1" l="1"/>
  <c r="I1266" i="1" s="1"/>
  <c r="J1267" i="1" s="1"/>
  <c r="H1266" i="1"/>
  <c r="F1268" i="1" l="1"/>
  <c r="H1267" i="1"/>
  <c r="G1267" i="1"/>
  <c r="I1267" i="1" l="1"/>
  <c r="J1268" i="1" s="1"/>
  <c r="F1269" i="1"/>
  <c r="I1268" i="1" s="1"/>
  <c r="J1269" i="1" s="1"/>
  <c r="H1268" i="1"/>
  <c r="G1268" i="1"/>
  <c r="F1270" i="1" l="1"/>
  <c r="I1269" i="1" s="1"/>
  <c r="J1270" i="1" s="1"/>
  <c r="H1269" i="1"/>
  <c r="G1269" i="1"/>
  <c r="G1270" i="1" l="1"/>
  <c r="H1270" i="1"/>
  <c r="F1271" i="1"/>
  <c r="I1270" i="1" s="1"/>
  <c r="J1271" i="1" s="1"/>
  <c r="F1272" i="1" l="1"/>
  <c r="I1271" i="1" s="1"/>
  <c r="J1272" i="1" s="1"/>
  <c r="G1271" i="1"/>
  <c r="G1272" i="1" s="1"/>
  <c r="H1271" i="1"/>
  <c r="H1272" i="1" l="1"/>
  <c r="F1273" i="1"/>
  <c r="I1272" i="1" s="1"/>
  <c r="J1273" i="1" s="1"/>
  <c r="F1274" i="1" l="1"/>
  <c r="I1273" i="1" s="1"/>
  <c r="J1274" i="1" s="1"/>
  <c r="H1273" i="1"/>
  <c r="G1273" i="1"/>
  <c r="F1275" i="1" l="1"/>
  <c r="I1274" i="1" s="1"/>
  <c r="J1275" i="1" s="1"/>
  <c r="H1274" i="1"/>
  <c r="G1274" i="1"/>
  <c r="G1275" i="1" s="1"/>
  <c r="H1275" i="1" l="1"/>
  <c r="F1276" i="1"/>
  <c r="I1275" i="1" s="1"/>
  <c r="J1276" i="1" s="1"/>
  <c r="F1277" i="1" l="1"/>
  <c r="I1276" i="1" s="1"/>
  <c r="J1277" i="1" s="1"/>
  <c r="H1276" i="1"/>
  <c r="G1276" i="1"/>
  <c r="G1277" i="1" l="1"/>
  <c r="F1278" i="1"/>
  <c r="H1277" i="1"/>
  <c r="I1277" i="1" l="1"/>
  <c r="J1278" i="1" s="1"/>
  <c r="F1279" i="1"/>
  <c r="H1278" i="1"/>
  <c r="I1278" i="1"/>
  <c r="J1279" i="1" s="1"/>
  <c r="G1278" i="1"/>
  <c r="G1279" i="1" s="1"/>
  <c r="F1280" i="1" l="1"/>
  <c r="I1279" i="1" s="1"/>
  <c r="J1280" i="1" s="1"/>
  <c r="H1279" i="1"/>
  <c r="H1280" i="1" l="1"/>
  <c r="F1281" i="1"/>
  <c r="I1280" i="1" s="1"/>
  <c r="J1281" i="1" s="1"/>
  <c r="G1280" i="1"/>
  <c r="G1281" i="1" s="1"/>
  <c r="F1282" i="1" l="1"/>
  <c r="I1281" i="1" s="1"/>
  <c r="J1282" i="1" s="1"/>
  <c r="H1281" i="1"/>
  <c r="H1282" i="1" l="1"/>
  <c r="F1283" i="1"/>
  <c r="G1282" i="1"/>
  <c r="I1282" i="1" l="1"/>
  <c r="J1283" i="1" s="1"/>
  <c r="F1284" i="1"/>
  <c r="I1283" i="1" s="1"/>
  <c r="J1284" i="1" s="1"/>
  <c r="H1283" i="1"/>
  <c r="G1283" i="1"/>
  <c r="F1285" i="1" l="1"/>
  <c r="I1284" i="1" s="1"/>
  <c r="J1285" i="1" s="1"/>
  <c r="H1284" i="1"/>
  <c r="G1284" i="1"/>
  <c r="G1285" i="1" l="1"/>
  <c r="H1285" i="1"/>
  <c r="F1286" i="1"/>
  <c r="I1285" i="1" s="1"/>
  <c r="J1286" i="1" s="1"/>
  <c r="F1287" i="1" l="1"/>
  <c r="H1286" i="1"/>
  <c r="G1286" i="1"/>
  <c r="G1287" i="1" l="1"/>
  <c r="I1286" i="1"/>
  <c r="J1287" i="1" s="1"/>
  <c r="F1288" i="1"/>
  <c r="I1287" i="1" s="1"/>
  <c r="J1288" i="1" s="1"/>
  <c r="H1287" i="1"/>
  <c r="H1288" i="1" l="1"/>
  <c r="F1289" i="1"/>
  <c r="I1288" i="1" s="1"/>
  <c r="J1289" i="1" s="1"/>
  <c r="G1288" i="1"/>
  <c r="G1289" i="1" l="1"/>
  <c r="F1290" i="1"/>
  <c r="I1289" i="1" s="1"/>
  <c r="J1290" i="1" s="1"/>
  <c r="H1289" i="1"/>
  <c r="F1291" i="1" l="1"/>
  <c r="I1290" i="1" s="1"/>
  <c r="J1291" i="1" s="1"/>
  <c r="H1290" i="1"/>
  <c r="G1290" i="1"/>
  <c r="G1291" i="1" l="1"/>
  <c r="F1292" i="1"/>
  <c r="H1291" i="1"/>
  <c r="I1291" i="1" l="1"/>
  <c r="J1292" i="1" s="1"/>
  <c r="F1293" i="1"/>
  <c r="I1292" i="1" s="1"/>
  <c r="J1293" i="1" s="1"/>
  <c r="H1292" i="1"/>
  <c r="G1292" i="1"/>
  <c r="H1293" i="1" l="1"/>
  <c r="F1294" i="1"/>
  <c r="I1293" i="1" s="1"/>
  <c r="J1294" i="1" s="1"/>
  <c r="G1293" i="1"/>
  <c r="G1294" i="1" l="1"/>
  <c r="F1295" i="1"/>
  <c r="I1294" i="1" s="1"/>
  <c r="J1295" i="1" s="1"/>
  <c r="H1294" i="1"/>
  <c r="H1295" i="1" l="1"/>
  <c r="F1296" i="1"/>
  <c r="I1295" i="1" s="1"/>
  <c r="J1296" i="1" s="1"/>
  <c r="G1295" i="1"/>
  <c r="G1296" i="1" l="1"/>
  <c r="F1297" i="1"/>
  <c r="H1296" i="1"/>
  <c r="I1296" i="1" l="1"/>
  <c r="J1297" i="1" s="1"/>
  <c r="F1298" i="1"/>
  <c r="I1297" i="1" s="1"/>
  <c r="J1298" i="1" s="1"/>
  <c r="H1297" i="1"/>
  <c r="G1297" i="1"/>
  <c r="G1298" i="1" s="1"/>
  <c r="F1299" i="1" l="1"/>
  <c r="I1298" i="1" s="1"/>
  <c r="J1299" i="1" s="1"/>
  <c r="H1298" i="1"/>
  <c r="F1300" i="1" l="1"/>
  <c r="I1299" i="1" s="1"/>
  <c r="J1300" i="1" s="1"/>
  <c r="H1299" i="1"/>
  <c r="G1299" i="1"/>
  <c r="G1300" i="1" l="1"/>
  <c r="F1301" i="1"/>
  <c r="I1300" i="1" s="1"/>
  <c r="J1301" i="1" s="1"/>
  <c r="H1300" i="1"/>
  <c r="F1302" i="1" l="1"/>
  <c r="H1301" i="1"/>
  <c r="G1301" i="1"/>
  <c r="I1301" i="1" l="1"/>
  <c r="J1302" i="1" s="1"/>
  <c r="F1303" i="1"/>
  <c r="I1302" i="1" s="1"/>
  <c r="J1303" i="1" s="1"/>
  <c r="H1302" i="1"/>
  <c r="G1302" i="1"/>
  <c r="F1304" i="1" l="1"/>
  <c r="I1303" i="1" s="1"/>
  <c r="J1304" i="1" s="1"/>
  <c r="H1303" i="1"/>
  <c r="H1304" i="1" s="1"/>
  <c r="G1303" i="1"/>
  <c r="G1304" i="1" s="1"/>
  <c r="F1305" i="1" l="1"/>
  <c r="I1304" i="1" s="1"/>
  <c r="J1305" i="1" s="1"/>
  <c r="F1306" i="1" l="1"/>
  <c r="I1305" i="1" s="1"/>
  <c r="J1306" i="1" s="1"/>
  <c r="H1305" i="1"/>
  <c r="G1305" i="1"/>
  <c r="G1306" i="1" l="1"/>
  <c r="H1306" i="1"/>
  <c r="F1307" i="1"/>
  <c r="I1306" i="1" l="1"/>
  <c r="J1307" i="1" s="1"/>
  <c r="F1308" i="1"/>
  <c r="I1307" i="1" s="1"/>
  <c r="J1308" i="1" s="1"/>
  <c r="H1307" i="1"/>
  <c r="G1307" i="1"/>
  <c r="G1308" i="1" l="1"/>
  <c r="H1308" i="1"/>
  <c r="F1309" i="1"/>
  <c r="I1308" i="1" s="1"/>
  <c r="J1309" i="1" s="1"/>
  <c r="F1310" i="1" l="1"/>
  <c r="I1309" i="1" s="1"/>
  <c r="J1310" i="1" s="1"/>
  <c r="H1309" i="1"/>
  <c r="H1310" i="1" s="1"/>
  <c r="G1309" i="1"/>
  <c r="G1310" i="1" s="1"/>
  <c r="F1311" i="1" l="1"/>
  <c r="F1312" i="1" l="1"/>
  <c r="H1311" i="1"/>
  <c r="I1310" i="1"/>
  <c r="J1311" i="1" s="1"/>
  <c r="G1311" i="1"/>
  <c r="I1311" i="1" l="1"/>
  <c r="J1312" i="1" s="1"/>
  <c r="F1313" i="1"/>
  <c r="I1312" i="1" s="1"/>
  <c r="J1313" i="1" s="1"/>
  <c r="H1312" i="1"/>
  <c r="G1312" i="1"/>
  <c r="G1313" i="1" l="1"/>
  <c r="F1314" i="1"/>
  <c r="I1313" i="1" s="1"/>
  <c r="J1314" i="1" s="1"/>
  <c r="H1313" i="1"/>
  <c r="F1315" i="1" l="1"/>
  <c r="I1314" i="1" s="1"/>
  <c r="J1315" i="1" s="1"/>
  <c r="H1314" i="1"/>
  <c r="H1315" i="1" s="1"/>
  <c r="G1314" i="1"/>
  <c r="G1315" i="1" s="1"/>
  <c r="F1316" i="1" l="1"/>
  <c r="I1315" i="1" s="1"/>
  <c r="J1316" i="1" s="1"/>
  <c r="F1317" i="1" l="1"/>
  <c r="H1316" i="1"/>
  <c r="G1316" i="1"/>
  <c r="G1317" i="1" s="1"/>
  <c r="I1316" i="1" l="1"/>
  <c r="J1317" i="1" s="1"/>
  <c r="F1318" i="1"/>
  <c r="I1317" i="1" s="1"/>
  <c r="J1318" i="1" s="1"/>
  <c r="H1317" i="1"/>
  <c r="H1318" i="1" l="1"/>
  <c r="F1319" i="1"/>
  <c r="I1318" i="1" s="1"/>
  <c r="J1319" i="1" s="1"/>
  <c r="G1318" i="1"/>
  <c r="G1319" i="1" l="1"/>
  <c r="F1320" i="1"/>
  <c r="I1319" i="1" s="1"/>
  <c r="J1320" i="1" s="1"/>
  <c r="H1319" i="1"/>
  <c r="H1320" i="1" l="1"/>
  <c r="F1321" i="1"/>
  <c r="I1320" i="1" s="1"/>
  <c r="J1321" i="1" s="1"/>
  <c r="G1320" i="1"/>
  <c r="G1321" i="1" l="1"/>
  <c r="F1322" i="1"/>
  <c r="H1321" i="1"/>
  <c r="I1321" i="1" s="1"/>
  <c r="J1322" i="1" s="1"/>
  <c r="F1323" i="1" l="1"/>
  <c r="I1322" i="1" s="1"/>
  <c r="J1323" i="1" s="1"/>
  <c r="H1322" i="1"/>
  <c r="G1322" i="1"/>
  <c r="G1323" i="1" s="1"/>
  <c r="F1324" i="1" l="1"/>
  <c r="I1323" i="1" s="1"/>
  <c r="J1324" i="1" s="1"/>
  <c r="H1323" i="1"/>
  <c r="F1325" i="1" l="1"/>
  <c r="H1324" i="1"/>
  <c r="H1325" i="1" s="1"/>
  <c r="I1324" i="1"/>
  <c r="J1325" i="1" s="1"/>
  <c r="G1324" i="1"/>
  <c r="G1325" i="1" s="1"/>
  <c r="F1326" i="1" l="1"/>
  <c r="I1325" i="1" s="1"/>
  <c r="J1326" i="1" s="1"/>
  <c r="F1327" i="1" l="1"/>
  <c r="H1326" i="1"/>
  <c r="G1326" i="1"/>
  <c r="I1326" i="1" l="1"/>
  <c r="J1327" i="1" s="1"/>
  <c r="F1328" i="1"/>
  <c r="I1327" i="1" s="1"/>
  <c r="J1328" i="1" s="1"/>
  <c r="H1327" i="1"/>
  <c r="H1328" i="1" s="1"/>
  <c r="G1327" i="1"/>
  <c r="G1328" i="1" s="1"/>
  <c r="F1329" i="1" l="1"/>
  <c r="I1328" i="1" s="1"/>
  <c r="J1329" i="1" s="1"/>
  <c r="F1330" i="1" l="1"/>
  <c r="I1329" i="1" s="1"/>
  <c r="J1330" i="1" s="1"/>
  <c r="H1329" i="1"/>
  <c r="G1329" i="1"/>
  <c r="G1330" i="1" s="1"/>
  <c r="F1331" i="1" l="1"/>
  <c r="H1330" i="1"/>
  <c r="I1330" i="1" l="1"/>
  <c r="J1331" i="1" s="1"/>
  <c r="F1332" i="1"/>
  <c r="I1331" i="1" s="1"/>
  <c r="J1332" i="1" s="1"/>
  <c r="H1331" i="1"/>
  <c r="G1331" i="1"/>
  <c r="G1332" i="1" l="1"/>
  <c r="F1333" i="1"/>
  <c r="I1332" i="1" s="1"/>
  <c r="J1333" i="1" s="1"/>
  <c r="H1332" i="1"/>
  <c r="F1334" i="1" l="1"/>
  <c r="I1333" i="1" s="1"/>
  <c r="J1334" i="1" s="1"/>
  <c r="H1333" i="1"/>
  <c r="H1334" i="1" s="1"/>
  <c r="G1333" i="1"/>
  <c r="F1335" i="1" l="1"/>
  <c r="I1334" i="1" s="1"/>
  <c r="J1335" i="1" s="1"/>
  <c r="G1334" i="1"/>
  <c r="G1335" i="1" s="1"/>
  <c r="F1336" i="1" l="1"/>
  <c r="H1335" i="1"/>
  <c r="I1335" i="1" l="1"/>
  <c r="J1336" i="1" s="1"/>
  <c r="F1337" i="1"/>
  <c r="I1336" i="1" s="1"/>
  <c r="J1337" i="1" s="1"/>
  <c r="H1336" i="1"/>
  <c r="G1336" i="1"/>
  <c r="G1337" i="1" l="1"/>
  <c r="F1338" i="1"/>
  <c r="I1337" i="1" s="1"/>
  <c r="J1338" i="1" s="1"/>
  <c r="H1337" i="1"/>
  <c r="F1339" i="1" l="1"/>
  <c r="I1338" i="1" s="1"/>
  <c r="J1339" i="1" s="1"/>
  <c r="H1338" i="1"/>
  <c r="G1338" i="1"/>
  <c r="F1340" i="1" l="1"/>
  <c r="I1339" i="1" s="1"/>
  <c r="J1340" i="1" s="1"/>
  <c r="H1339" i="1"/>
  <c r="H1340" i="1" s="1"/>
  <c r="G1339" i="1"/>
  <c r="G1340" i="1" s="1"/>
  <c r="F1341" i="1" l="1"/>
  <c r="I1340" i="1" s="1"/>
  <c r="J1341" i="1" s="1"/>
  <c r="F1342" i="1" l="1"/>
  <c r="I1341" i="1" s="1"/>
  <c r="J1342" i="1" s="1"/>
  <c r="H1341" i="1"/>
  <c r="H1342" i="1" s="1"/>
  <c r="G1341" i="1"/>
  <c r="F1343" i="1" l="1"/>
  <c r="I1342" i="1" s="1"/>
  <c r="J1343" i="1" s="1"/>
  <c r="G1342" i="1"/>
  <c r="G1343" i="1" l="1"/>
  <c r="F1344" i="1"/>
  <c r="I1343" i="1" s="1"/>
  <c r="J1344" i="1" s="1"/>
  <c r="H1343" i="1"/>
  <c r="H1344" i="1" l="1"/>
  <c r="F1345" i="1"/>
  <c r="G1344" i="1"/>
  <c r="G1345" i="1" l="1"/>
  <c r="F1346" i="1"/>
  <c r="G1346" i="1" s="1"/>
  <c r="I1344" i="1"/>
  <c r="J1345" i="1" s="1"/>
  <c r="H1345" i="1"/>
  <c r="I1345" i="1" l="1"/>
  <c r="J1346" i="1" s="1"/>
  <c r="F1347" i="1"/>
  <c r="I1346" i="1" s="1"/>
  <c r="J1347" i="1" s="1"/>
  <c r="H1346" i="1"/>
  <c r="F1348" i="1" l="1"/>
  <c r="H1347" i="1"/>
  <c r="H1348" i="1" s="1"/>
  <c r="I1347" i="1"/>
  <c r="J1348" i="1" s="1"/>
  <c r="G1347" i="1"/>
  <c r="G1348" i="1" s="1"/>
  <c r="F1349" i="1" l="1"/>
  <c r="I1348" i="1" s="1"/>
  <c r="J1349" i="1" s="1"/>
  <c r="F1350" i="1" l="1"/>
  <c r="I1349" i="1" s="1"/>
  <c r="J1350" i="1" s="1"/>
  <c r="H1349" i="1"/>
  <c r="H1350" i="1" s="1"/>
  <c r="G1349" i="1"/>
  <c r="G1350" i="1" s="1"/>
  <c r="F1351" i="1" l="1"/>
  <c r="I1350" i="1" s="1"/>
  <c r="J1351" i="1" s="1"/>
  <c r="F1352" i="1" l="1"/>
  <c r="I1351" i="1" s="1"/>
  <c r="J1352" i="1" s="1"/>
  <c r="H1351" i="1"/>
  <c r="H1352" i="1" s="1"/>
  <c r="G1351" i="1"/>
  <c r="G1352" i="1" s="1"/>
  <c r="F1353" i="1" l="1"/>
  <c r="I1352" i="1" s="1"/>
  <c r="J1353" i="1" s="1"/>
  <c r="F1354" i="1" l="1"/>
  <c r="I1353" i="1" s="1"/>
  <c r="J1354" i="1" s="1"/>
  <c r="H1353" i="1"/>
  <c r="H1354" i="1" s="1"/>
  <c r="G1353" i="1"/>
  <c r="G1354" i="1" s="1"/>
  <c r="F1355" i="1" l="1"/>
  <c r="I1354" i="1" s="1"/>
  <c r="J1355" i="1" s="1"/>
  <c r="F1356" i="1" l="1"/>
  <c r="I1355" i="1" s="1"/>
  <c r="J1356" i="1" s="1"/>
  <c r="H1355" i="1"/>
  <c r="H1356" i="1" s="1"/>
  <c r="G1355" i="1"/>
  <c r="G1356" i="1" s="1"/>
  <c r="F1357" i="1" l="1"/>
  <c r="I1356" i="1" s="1"/>
  <c r="J1357" i="1" s="1"/>
  <c r="F1358" i="1" l="1"/>
  <c r="I1357" i="1" s="1"/>
  <c r="J1358" i="1" s="1"/>
  <c r="G1357" i="1"/>
  <c r="H1357" i="1"/>
  <c r="H1358" i="1" s="1"/>
  <c r="G1358" i="1" l="1"/>
  <c r="F1359" i="1"/>
  <c r="F1360" i="1" l="1"/>
  <c r="I1358" i="1"/>
  <c r="J1359" i="1" s="1"/>
  <c r="G1359" i="1"/>
  <c r="H1359" i="1"/>
  <c r="I1359" i="1" l="1"/>
  <c r="J1360" i="1" s="1"/>
  <c r="F1361" i="1"/>
  <c r="I1360" i="1" s="1"/>
  <c r="J1361" i="1" s="1"/>
  <c r="H1360" i="1"/>
  <c r="G1360" i="1"/>
  <c r="F1362" i="1" l="1"/>
  <c r="I1361" i="1" s="1"/>
  <c r="J1362" i="1" s="1"/>
  <c r="H1361" i="1"/>
  <c r="H1362" i="1" s="1"/>
  <c r="G1361" i="1"/>
  <c r="G1362" i="1" s="1"/>
  <c r="F1363" i="1" l="1"/>
  <c r="I1362" i="1" s="1"/>
  <c r="J1363" i="1" s="1"/>
  <c r="F1364" i="1" l="1"/>
  <c r="I1363" i="1" s="1"/>
  <c r="J1364" i="1" s="1"/>
  <c r="G1363" i="1"/>
  <c r="H1363" i="1"/>
  <c r="G1364" i="1" l="1"/>
  <c r="F1365" i="1"/>
  <c r="H1364" i="1"/>
  <c r="I1364" i="1" l="1"/>
  <c r="J1365" i="1" s="1"/>
  <c r="F1366" i="1"/>
  <c r="I1365" i="1" s="1"/>
  <c r="J1366" i="1" s="1"/>
  <c r="H1365" i="1"/>
  <c r="G1365" i="1"/>
  <c r="G1366" i="1" l="1"/>
  <c r="H1366" i="1"/>
  <c r="F1367" i="1"/>
  <c r="I1366" i="1" s="1"/>
  <c r="J1367" i="1" s="1"/>
  <c r="F1368" i="1" l="1"/>
  <c r="I1367" i="1" s="1"/>
  <c r="J1368" i="1" s="1"/>
  <c r="H1367" i="1"/>
  <c r="G1367" i="1"/>
  <c r="G1368" i="1" l="1"/>
  <c r="H1368" i="1"/>
  <c r="F1369" i="1"/>
  <c r="I1368" i="1" s="1"/>
  <c r="J1369" i="1" s="1"/>
  <c r="F1370" i="1" l="1"/>
  <c r="H1369" i="1"/>
  <c r="G1369" i="1"/>
  <c r="I1369" i="1" l="1"/>
  <c r="J1370" i="1" s="1"/>
  <c r="F1371" i="1"/>
  <c r="I1370" i="1" s="1"/>
  <c r="J1371" i="1" s="1"/>
  <c r="H1370" i="1"/>
  <c r="G1370" i="1"/>
  <c r="G1371" i="1" l="1"/>
  <c r="F1372" i="1"/>
  <c r="I1371" i="1" s="1"/>
  <c r="J1372" i="1" s="1"/>
  <c r="H1371" i="1"/>
  <c r="H1372" i="1" l="1"/>
  <c r="F1373" i="1"/>
  <c r="I1372" i="1" s="1"/>
  <c r="J1373" i="1" s="1"/>
  <c r="G1372" i="1"/>
  <c r="F1374" i="1" l="1"/>
  <c r="I1373" i="1" s="1"/>
  <c r="J1374" i="1" s="1"/>
  <c r="G1373" i="1"/>
  <c r="H1373" i="1"/>
  <c r="G1374" i="1" l="1"/>
  <c r="F1375" i="1"/>
  <c r="H1374" i="1"/>
  <c r="I1374" i="1" l="1"/>
  <c r="J1375" i="1" s="1"/>
  <c r="F1376" i="1"/>
  <c r="I1375" i="1" s="1"/>
  <c r="J1376" i="1" s="1"/>
  <c r="H1375" i="1"/>
  <c r="G1375" i="1"/>
  <c r="H1376" i="1" l="1"/>
  <c r="G1376" i="1"/>
  <c r="F1377" i="1"/>
  <c r="I1376" i="1" s="1"/>
  <c r="J1377" i="1" s="1"/>
  <c r="F1378" i="1" l="1"/>
  <c r="I1377" i="1" s="1"/>
  <c r="J1378" i="1" s="1"/>
  <c r="H1377" i="1"/>
  <c r="H1378" i="1" s="1"/>
  <c r="G1377" i="1"/>
  <c r="F1379" i="1" l="1"/>
  <c r="G1378" i="1"/>
  <c r="G1379" i="1" l="1"/>
  <c r="I1378" i="1"/>
  <c r="J1379" i="1" s="1"/>
  <c r="F1380" i="1"/>
  <c r="I1379" i="1" s="1"/>
  <c r="J1380" i="1" s="1"/>
  <c r="H1379" i="1"/>
  <c r="F1381" i="1" l="1"/>
  <c r="I1380" i="1" s="1"/>
  <c r="J1381" i="1" s="1"/>
  <c r="H1380" i="1"/>
  <c r="G1380" i="1"/>
  <c r="H1381" i="1" l="1"/>
  <c r="F1382" i="1"/>
  <c r="I1381" i="1" s="1"/>
  <c r="J1382" i="1" s="1"/>
  <c r="G1381" i="1"/>
  <c r="G1382" i="1" l="1"/>
  <c r="F1383" i="1"/>
  <c r="I1382" i="1" s="1"/>
  <c r="J1383" i="1" s="1"/>
  <c r="H1382" i="1"/>
  <c r="F1384" i="1" l="1"/>
  <c r="H1383" i="1"/>
  <c r="G1383" i="1"/>
  <c r="G1384" i="1" l="1"/>
  <c r="I1383" i="1"/>
  <c r="J1384" i="1" s="1"/>
  <c r="F1385" i="1"/>
  <c r="H1384" i="1"/>
  <c r="F1386" i="1" l="1"/>
  <c r="I1385" i="1" s="1"/>
  <c r="J1386" i="1" s="1"/>
  <c r="H1385" i="1"/>
  <c r="I1384" i="1"/>
  <c r="J1385" i="1" s="1"/>
  <c r="G1385" i="1"/>
  <c r="H1386" i="1" l="1"/>
  <c r="F1387" i="1"/>
  <c r="I1386" i="1" s="1"/>
  <c r="J1387" i="1" s="1"/>
  <c r="G1386" i="1"/>
  <c r="G1387" i="1" s="1"/>
  <c r="F1388" i="1" l="1"/>
  <c r="I1387" i="1" s="1"/>
  <c r="J1388" i="1" s="1"/>
  <c r="H1387" i="1"/>
  <c r="F1389" i="1" l="1"/>
  <c r="H1388" i="1"/>
  <c r="G1388" i="1"/>
  <c r="G1389" i="1" l="1"/>
  <c r="I1388" i="1"/>
  <c r="J1389" i="1" s="1"/>
  <c r="F1390" i="1"/>
  <c r="I1389" i="1" s="1"/>
  <c r="J1390" i="1" s="1"/>
  <c r="H1389" i="1"/>
  <c r="F1391" i="1" l="1"/>
  <c r="I1390" i="1" s="1"/>
  <c r="J1391" i="1" s="1"/>
  <c r="H1390" i="1"/>
  <c r="G1390" i="1"/>
  <c r="F1392" i="1" l="1"/>
  <c r="I1391" i="1" s="1"/>
  <c r="J1392" i="1" s="1"/>
  <c r="H1391" i="1"/>
  <c r="G1391" i="1"/>
  <c r="G1392" i="1" l="1"/>
  <c r="H1392" i="1"/>
  <c r="F1393" i="1"/>
  <c r="I1392" i="1" s="1"/>
  <c r="J1393" i="1" s="1"/>
  <c r="F1394" i="1" l="1"/>
  <c r="H1393" i="1"/>
  <c r="G1393" i="1"/>
  <c r="I1393" i="1" l="1"/>
  <c r="J1394" i="1" s="1"/>
  <c r="F1395" i="1"/>
  <c r="I1394" i="1" s="1"/>
  <c r="J1395" i="1" s="1"/>
  <c r="H1394" i="1"/>
  <c r="G1394" i="1"/>
  <c r="G1395" i="1" l="1"/>
  <c r="H1395" i="1"/>
  <c r="F1396" i="1"/>
  <c r="I1395" i="1" s="1"/>
  <c r="J1396" i="1" s="1"/>
  <c r="F1397" i="1" l="1"/>
  <c r="I1396" i="1" s="1"/>
  <c r="J1397" i="1" s="1"/>
  <c r="G1396" i="1"/>
  <c r="H1396" i="1"/>
  <c r="G1397" i="1" l="1"/>
  <c r="F1398" i="1"/>
  <c r="H1397" i="1"/>
  <c r="H1398" i="1" l="1"/>
  <c r="F1399" i="1"/>
  <c r="I1397" i="1"/>
  <c r="J1398" i="1" s="1"/>
  <c r="G1398" i="1"/>
  <c r="G1399" i="1" l="1"/>
  <c r="F1400" i="1"/>
  <c r="I1399" i="1" s="1"/>
  <c r="J1400" i="1" s="1"/>
  <c r="H1399" i="1"/>
  <c r="I1398" i="1"/>
  <c r="J1399" i="1" s="1"/>
  <c r="H1400" i="1" l="1"/>
  <c r="F1401" i="1"/>
  <c r="I1400" i="1" s="1"/>
  <c r="J1401" i="1" s="1"/>
  <c r="G1400" i="1"/>
  <c r="F1402" i="1" l="1"/>
  <c r="I1401" i="1" s="1"/>
  <c r="J1402" i="1" s="1"/>
  <c r="H1401" i="1"/>
  <c r="G1401" i="1"/>
  <c r="G1402" i="1" l="1"/>
  <c r="F1403" i="1"/>
  <c r="H1402" i="1"/>
  <c r="H1403" i="1" l="1"/>
  <c r="F1404" i="1"/>
  <c r="I1402" i="1"/>
  <c r="J1403" i="1" s="1"/>
  <c r="G1403" i="1"/>
  <c r="I1403" i="1" l="1"/>
  <c r="J1404" i="1" s="1"/>
  <c r="F1405" i="1"/>
  <c r="I1404" i="1" s="1"/>
  <c r="J1405" i="1" s="1"/>
  <c r="H1404" i="1"/>
  <c r="H1405" i="1" s="1"/>
  <c r="G1404" i="1"/>
  <c r="F1406" i="1" l="1"/>
  <c r="I1405" i="1" s="1"/>
  <c r="J1406" i="1" s="1"/>
  <c r="G1405" i="1"/>
  <c r="G1406" i="1" l="1"/>
  <c r="F1407" i="1"/>
  <c r="I1406" i="1" s="1"/>
  <c r="J1407" i="1" s="1"/>
  <c r="H1406" i="1"/>
  <c r="H1407" i="1" s="1"/>
  <c r="F1408" i="1" l="1"/>
  <c r="I1407" i="1" s="1"/>
  <c r="J1408" i="1" s="1"/>
  <c r="G1407" i="1"/>
  <c r="G1408" i="1" l="1"/>
  <c r="F1409" i="1"/>
  <c r="H1408" i="1"/>
  <c r="F1410" i="1" l="1"/>
  <c r="I1409" i="1" s="1"/>
  <c r="J1410" i="1" s="1"/>
  <c r="H1409" i="1"/>
  <c r="I1408" i="1"/>
  <c r="J1409" i="1" s="1"/>
  <c r="G1409" i="1"/>
  <c r="G1410" i="1" s="1"/>
  <c r="F1411" i="1" l="1"/>
  <c r="I1410" i="1" s="1"/>
  <c r="J1411" i="1" s="1"/>
  <c r="H1410" i="1"/>
  <c r="H1411" i="1" l="1"/>
  <c r="F1412" i="1"/>
  <c r="I1411" i="1" s="1"/>
  <c r="J1412" i="1" s="1"/>
  <c r="G1411" i="1"/>
  <c r="G1412" i="1" s="1"/>
  <c r="F1413" i="1" l="1"/>
  <c r="I1412" i="1" s="1"/>
  <c r="J1413" i="1" s="1"/>
  <c r="H1412" i="1"/>
  <c r="H1413" i="1" l="1"/>
  <c r="F1414" i="1"/>
  <c r="G1413" i="1"/>
  <c r="G1414" i="1" l="1"/>
  <c r="I1413" i="1"/>
  <c r="J1414" i="1" s="1"/>
  <c r="F1415" i="1"/>
  <c r="I1414" i="1" s="1"/>
  <c r="J1415" i="1" s="1"/>
  <c r="H1414" i="1"/>
  <c r="F1416" i="1" l="1"/>
  <c r="I1415" i="1" s="1"/>
  <c r="J1416" i="1" s="1"/>
  <c r="H1415" i="1"/>
  <c r="H1416" i="1" s="1"/>
  <c r="G1415" i="1"/>
  <c r="G1416" i="1" l="1"/>
  <c r="F1417" i="1"/>
  <c r="F1418" i="1" l="1"/>
  <c r="I1417" i="1" s="1"/>
  <c r="J1418" i="1" s="1"/>
  <c r="G1417" i="1"/>
  <c r="I1416" i="1"/>
  <c r="J1417" i="1" s="1"/>
  <c r="H1417" i="1"/>
  <c r="H1418" i="1" s="1"/>
  <c r="G1418" i="1" l="1"/>
  <c r="F1419" i="1"/>
  <c r="I1418" i="1" l="1"/>
  <c r="J1419" i="1" s="1"/>
  <c r="F1420" i="1"/>
  <c r="I1419" i="1" s="1"/>
  <c r="J1420" i="1" s="1"/>
  <c r="H1419" i="1"/>
  <c r="G1419" i="1"/>
  <c r="G1420" i="1" l="1"/>
  <c r="F1421" i="1"/>
  <c r="I1420" i="1" s="1"/>
  <c r="J1421" i="1" s="1"/>
  <c r="H1420" i="1"/>
  <c r="F1422" i="1" l="1"/>
  <c r="I1421" i="1" s="1"/>
  <c r="J1422" i="1" s="1"/>
  <c r="H1421" i="1"/>
  <c r="G1421" i="1"/>
  <c r="G1422" i="1" l="1"/>
  <c r="H1422" i="1"/>
  <c r="F1423" i="1"/>
  <c r="I1422" i="1" l="1"/>
  <c r="J1423" i="1" s="1"/>
  <c r="F1424" i="1"/>
  <c r="I1423" i="1" s="1"/>
  <c r="J1424" i="1" s="1"/>
  <c r="H1423" i="1"/>
  <c r="H1424" i="1" s="1"/>
  <c r="G1423" i="1"/>
  <c r="G1424" i="1" l="1"/>
  <c r="F1425" i="1"/>
  <c r="I1424" i="1" s="1"/>
  <c r="J1425" i="1" s="1"/>
  <c r="F1426" i="1" l="1"/>
  <c r="I1425" i="1" s="1"/>
  <c r="J1426" i="1" s="1"/>
  <c r="H1425" i="1"/>
  <c r="G1425" i="1"/>
  <c r="G1426" i="1" s="1"/>
  <c r="H1426" i="1" l="1"/>
  <c r="F1427" i="1"/>
  <c r="I1426" i="1" s="1"/>
  <c r="J1427" i="1" s="1"/>
  <c r="F1428" i="1" l="1"/>
  <c r="H1427" i="1"/>
  <c r="G1427" i="1"/>
  <c r="I1427" i="1" l="1"/>
  <c r="J1428" i="1" s="1"/>
  <c r="F1429" i="1"/>
  <c r="I1428" i="1" s="1"/>
  <c r="J1429" i="1" s="1"/>
  <c r="H1428" i="1"/>
  <c r="G1428" i="1"/>
  <c r="G1429" i="1" l="1"/>
  <c r="F1430" i="1"/>
  <c r="I1429" i="1" s="1"/>
  <c r="J1430" i="1" s="1"/>
  <c r="H1429" i="1"/>
  <c r="H1430" i="1" l="1"/>
  <c r="F1431" i="1"/>
  <c r="I1430" i="1" s="1"/>
  <c r="J1431" i="1" s="1"/>
  <c r="G1430" i="1"/>
  <c r="G1431" i="1" l="1"/>
  <c r="F1432" i="1"/>
  <c r="I1431" i="1" s="1"/>
  <c r="J1432" i="1" s="1"/>
  <c r="H1431" i="1"/>
  <c r="H1432" i="1" l="1"/>
  <c r="F1433" i="1"/>
  <c r="G1432" i="1"/>
  <c r="I1432" i="1" l="1"/>
  <c r="J1433" i="1" s="1"/>
  <c r="F1434" i="1"/>
  <c r="H1433" i="1"/>
  <c r="I1433" i="1"/>
  <c r="J1434" i="1" s="1"/>
  <c r="G1433" i="1"/>
  <c r="G1434" i="1" s="1"/>
  <c r="F1435" i="1" l="1"/>
  <c r="I1434" i="1" s="1"/>
  <c r="J1435" i="1" s="1"/>
  <c r="H1434" i="1"/>
  <c r="H1435" i="1" l="1"/>
  <c r="F1436" i="1"/>
  <c r="I1435" i="1" s="1"/>
  <c r="J1436" i="1" s="1"/>
  <c r="G1435" i="1"/>
  <c r="G1436" i="1" l="1"/>
  <c r="F1437" i="1"/>
  <c r="I1436" i="1" s="1"/>
  <c r="J1437" i="1" s="1"/>
  <c r="H1436" i="1"/>
  <c r="F1438" i="1" l="1"/>
  <c r="H1437" i="1"/>
  <c r="G1437" i="1"/>
  <c r="I1437" i="1" l="1"/>
  <c r="J1438" i="1" s="1"/>
  <c r="F1439" i="1"/>
  <c r="I1438" i="1" s="1"/>
  <c r="J1439" i="1" s="1"/>
  <c r="H1438" i="1"/>
  <c r="H1439" i="1" s="1"/>
  <c r="G1438" i="1"/>
  <c r="F1440" i="1" l="1"/>
  <c r="I1439" i="1" s="1"/>
  <c r="J1440" i="1" s="1"/>
  <c r="G1439" i="1"/>
  <c r="G1440" i="1" l="1"/>
  <c r="F1441" i="1"/>
  <c r="I1440" i="1" s="1"/>
  <c r="J1441" i="1" s="1"/>
  <c r="H1440" i="1"/>
  <c r="H1441" i="1" s="1"/>
  <c r="F1442" i="1" l="1"/>
  <c r="I1441" i="1" s="1"/>
  <c r="J1442" i="1" s="1"/>
  <c r="G1441" i="1"/>
  <c r="G1442" i="1" l="1"/>
  <c r="F1443" i="1"/>
  <c r="H1442" i="1"/>
  <c r="I1442" i="1" l="1"/>
  <c r="J1443" i="1" s="1"/>
  <c r="F1444" i="1"/>
  <c r="I1443" i="1" s="1"/>
  <c r="J1444" i="1" s="1"/>
  <c r="H1443" i="1"/>
  <c r="G1443" i="1"/>
  <c r="G1444" i="1" l="1"/>
  <c r="H1444" i="1"/>
  <c r="F1445" i="1"/>
  <c r="F1446" i="1" l="1"/>
  <c r="I1445" i="1" s="1"/>
  <c r="J1446" i="1" s="1"/>
  <c r="I1444" i="1"/>
  <c r="J1445" i="1" s="1"/>
  <c r="G1445" i="1"/>
  <c r="G1446" i="1" s="1"/>
  <c r="H1445" i="1"/>
  <c r="F1447" i="1" l="1"/>
  <c r="H1446" i="1"/>
  <c r="I1446" i="1" l="1"/>
  <c r="J1447" i="1" s="1"/>
  <c r="F1448" i="1"/>
  <c r="I1447" i="1" s="1"/>
  <c r="J1448" i="1" s="1"/>
  <c r="H1447" i="1"/>
  <c r="G1447" i="1"/>
  <c r="H1448" i="1" l="1"/>
  <c r="F1449" i="1"/>
  <c r="I1448" i="1" s="1"/>
  <c r="J1449" i="1" s="1"/>
  <c r="G1448" i="1"/>
  <c r="G1449" i="1" l="1"/>
  <c r="F1450" i="1"/>
  <c r="I1449" i="1" s="1"/>
  <c r="J1450" i="1" s="1"/>
  <c r="H1449" i="1"/>
  <c r="H1450" i="1" l="1"/>
  <c r="F1451" i="1"/>
  <c r="I1450" i="1" s="1"/>
  <c r="J1451" i="1" s="1"/>
  <c r="G1450" i="1"/>
  <c r="G1451" i="1" l="1"/>
  <c r="F1452" i="1"/>
  <c r="H1451" i="1"/>
  <c r="F1453" i="1" l="1"/>
  <c r="I1452" i="1" s="1"/>
  <c r="J1453" i="1" s="1"/>
  <c r="H1452" i="1"/>
  <c r="I1451" i="1"/>
  <c r="J1452" i="1" s="1"/>
  <c r="G1452" i="1"/>
  <c r="G1453" i="1" l="1"/>
  <c r="H1453" i="1"/>
  <c r="F1454" i="1"/>
  <c r="I1453" i="1" s="1"/>
  <c r="J1454" i="1" s="1"/>
  <c r="F1455" i="1" l="1"/>
  <c r="I1454" i="1" s="1"/>
  <c r="J1455" i="1" s="1"/>
  <c r="G1454" i="1"/>
  <c r="H1454" i="1"/>
  <c r="G1455" i="1" l="1"/>
  <c r="F1456" i="1"/>
  <c r="H1455" i="1"/>
  <c r="H1456" i="1" l="1"/>
  <c r="F1457" i="1"/>
  <c r="I1455" i="1"/>
  <c r="J1456" i="1" s="1"/>
  <c r="G1456" i="1"/>
  <c r="G1457" i="1" l="1"/>
  <c r="I1456" i="1"/>
  <c r="J1457" i="1" s="1"/>
  <c r="F1458" i="1"/>
  <c r="I1457" i="1" s="1"/>
  <c r="J1458" i="1" s="1"/>
  <c r="H1457" i="1"/>
  <c r="H1458" i="1" s="1"/>
  <c r="F1459" i="1" l="1"/>
  <c r="G1458" i="1"/>
  <c r="F1460" i="1" l="1"/>
  <c r="I1459" i="1" s="1"/>
  <c r="J1460" i="1" s="1"/>
  <c r="G1459" i="1"/>
  <c r="I1458" i="1"/>
  <c r="J1459" i="1" s="1"/>
  <c r="H1459" i="1"/>
  <c r="H1460" i="1" l="1"/>
  <c r="G1460" i="1"/>
  <c r="F1461" i="1"/>
  <c r="I1460" i="1" s="1"/>
  <c r="J1461" i="1" s="1"/>
  <c r="F1462" i="1" l="1"/>
  <c r="G1461" i="1"/>
  <c r="H1461" i="1"/>
  <c r="I1461" i="1" l="1"/>
  <c r="J1462" i="1" s="1"/>
  <c r="F1463" i="1"/>
  <c r="I1462" i="1" s="1"/>
  <c r="J1463" i="1" s="1"/>
  <c r="H1462" i="1"/>
  <c r="G1462" i="1"/>
  <c r="F1464" i="1" l="1"/>
  <c r="I1463" i="1" s="1"/>
  <c r="J1464" i="1" s="1"/>
  <c r="H1463" i="1"/>
  <c r="G1463" i="1"/>
  <c r="G1464" i="1" l="1"/>
  <c r="H1464" i="1"/>
  <c r="F1465" i="1"/>
  <c r="I1464" i="1" s="1"/>
  <c r="J1465" i="1" s="1"/>
  <c r="F1466" i="1" l="1"/>
  <c r="I1465" i="1" s="1"/>
  <c r="J1466" i="1" s="1"/>
  <c r="H1465" i="1"/>
  <c r="G1465" i="1"/>
  <c r="G1466" i="1" l="1"/>
  <c r="F1467" i="1"/>
  <c r="H1466" i="1"/>
  <c r="I1466" i="1" l="1"/>
  <c r="J1467" i="1" s="1"/>
  <c r="F1468" i="1"/>
  <c r="I1467" i="1" s="1"/>
  <c r="J1468" i="1" s="1"/>
  <c r="H1467" i="1"/>
  <c r="G1467" i="1"/>
  <c r="G1468" i="1" s="1"/>
  <c r="H1468" i="1" l="1"/>
  <c r="F1469" i="1"/>
  <c r="I1468" i="1" s="1"/>
  <c r="J1469" i="1" s="1"/>
  <c r="F1470" i="1" l="1"/>
  <c r="I1469" i="1" s="1"/>
  <c r="J1470" i="1" s="1"/>
  <c r="G1469" i="1"/>
  <c r="H1469" i="1"/>
  <c r="F1471" i="1" l="1"/>
  <c r="H1470" i="1"/>
  <c r="G1470" i="1"/>
  <c r="I1470" i="1" l="1"/>
  <c r="J1471" i="1" s="1"/>
  <c r="F1472" i="1"/>
  <c r="I1471" i="1" s="1"/>
  <c r="J1472" i="1" s="1"/>
  <c r="H1471" i="1"/>
  <c r="H1472" i="1" s="1"/>
  <c r="G1471" i="1"/>
  <c r="G1472" i="1" s="1"/>
  <c r="F1473" i="1" l="1"/>
  <c r="I1472" i="1" s="1"/>
  <c r="J1473" i="1" s="1"/>
  <c r="F1474" i="1" l="1"/>
  <c r="I1473" i="1" s="1"/>
  <c r="J1474" i="1" s="1"/>
  <c r="H1473" i="1"/>
  <c r="G1473" i="1"/>
  <c r="G1474" i="1" l="1"/>
  <c r="F1475" i="1"/>
  <c r="I1474" i="1" s="1"/>
  <c r="J1475" i="1" s="1"/>
  <c r="H1474" i="1"/>
  <c r="H1475" i="1" l="1"/>
  <c r="F1476" i="1"/>
  <c r="G1475" i="1"/>
  <c r="I1475" i="1" l="1"/>
  <c r="J1476" i="1" s="1"/>
  <c r="F1477" i="1"/>
  <c r="I1476" i="1" s="1"/>
  <c r="J1477" i="1" s="1"/>
  <c r="H1476" i="1"/>
  <c r="G1476" i="1"/>
  <c r="H1477" i="1" l="1"/>
  <c r="F1478" i="1"/>
  <c r="I1477" i="1" s="1"/>
  <c r="J1478" i="1" s="1"/>
  <c r="G1477" i="1"/>
  <c r="G1478" i="1" l="1"/>
  <c r="F1479" i="1"/>
  <c r="I1478" i="1" s="1"/>
  <c r="J1479" i="1" s="1"/>
  <c r="H1478" i="1"/>
  <c r="F1480" i="1" l="1"/>
  <c r="H1479" i="1"/>
  <c r="G1479" i="1"/>
  <c r="I1479" i="1" l="1"/>
  <c r="J1480" i="1" s="1"/>
  <c r="F1481" i="1"/>
  <c r="I1480" i="1" s="1"/>
  <c r="J1481" i="1" s="1"/>
  <c r="H1480" i="1"/>
  <c r="G1480" i="1"/>
  <c r="F1482" i="1" l="1"/>
  <c r="I1481" i="1" s="1"/>
  <c r="J1482" i="1" s="1"/>
  <c r="H1481" i="1"/>
  <c r="G1481" i="1"/>
  <c r="G1482" i="1" l="1"/>
  <c r="F1483" i="1"/>
  <c r="I1482" i="1" s="1"/>
  <c r="J1483" i="1" s="1"/>
  <c r="H1482" i="1"/>
  <c r="F1484" i="1" l="1"/>
  <c r="I1483" i="1" s="1"/>
  <c r="J1484" i="1" s="1"/>
  <c r="H1483" i="1"/>
  <c r="G1483" i="1"/>
  <c r="G1484" i="1" l="1"/>
  <c r="F1485" i="1"/>
  <c r="H1484" i="1"/>
  <c r="I1484" i="1" s="1"/>
  <c r="J1485" i="1" s="1"/>
  <c r="F1486" i="1" l="1"/>
  <c r="I1485" i="1" s="1"/>
  <c r="J1486" i="1" s="1"/>
  <c r="H1485" i="1"/>
  <c r="G1485" i="1"/>
  <c r="G1486" i="1" l="1"/>
  <c r="H1486" i="1"/>
  <c r="F1487" i="1"/>
  <c r="I1486" i="1" s="1"/>
  <c r="J1487" i="1" s="1"/>
  <c r="F1488" i="1" l="1"/>
  <c r="I1487" i="1" s="1"/>
  <c r="J1488" i="1" s="1"/>
  <c r="H1487" i="1"/>
  <c r="G1487" i="1"/>
  <c r="G1488" i="1" l="1"/>
  <c r="H1488" i="1"/>
  <c r="F1489" i="1"/>
  <c r="F1490" i="1" l="1"/>
  <c r="I1488" i="1"/>
  <c r="J1489" i="1" s="1"/>
  <c r="H1489" i="1"/>
  <c r="G1489" i="1"/>
  <c r="I1489" i="1" l="1"/>
  <c r="J1490" i="1" s="1"/>
  <c r="F1491" i="1"/>
  <c r="I1490" i="1" s="1"/>
  <c r="J1491" i="1" s="1"/>
  <c r="H1490" i="1"/>
  <c r="G1490" i="1"/>
  <c r="G1491" i="1" l="1"/>
  <c r="F1492" i="1"/>
  <c r="I1491" i="1" s="1"/>
  <c r="J1492" i="1" s="1"/>
  <c r="H1491" i="1"/>
  <c r="F1493" i="1" l="1"/>
  <c r="I1492" i="1" s="1"/>
  <c r="J1493" i="1" s="1"/>
  <c r="H1492" i="1"/>
  <c r="G1492" i="1"/>
  <c r="G1493" i="1" l="1"/>
  <c r="H1493" i="1"/>
  <c r="F1494" i="1"/>
  <c r="I1493" i="1" s="1"/>
  <c r="J1494" i="1" s="1"/>
  <c r="F1495" i="1" l="1"/>
  <c r="H1494" i="1"/>
  <c r="G1494" i="1"/>
  <c r="I1494" i="1" l="1"/>
  <c r="J1495" i="1" s="1"/>
  <c r="F1496" i="1"/>
  <c r="I1495" i="1" s="1"/>
  <c r="J1496" i="1" s="1"/>
  <c r="H1495" i="1"/>
  <c r="H1496" i="1" s="1"/>
  <c r="G1495" i="1"/>
  <c r="G1496" i="1" s="1"/>
  <c r="F1497" i="1" l="1"/>
  <c r="I1496" i="1" s="1"/>
  <c r="J1497" i="1" s="1"/>
  <c r="F1498" i="1" l="1"/>
  <c r="I1497" i="1" s="1"/>
  <c r="J1498" i="1" s="1"/>
  <c r="H1497" i="1"/>
  <c r="G1497" i="1"/>
  <c r="G1498" i="1" l="1"/>
  <c r="F1499" i="1"/>
  <c r="H1498" i="1"/>
  <c r="I1498" i="1" l="1"/>
  <c r="J1499" i="1" s="1"/>
  <c r="F1500" i="1"/>
  <c r="I1499" i="1" s="1"/>
  <c r="J1500" i="1" s="1"/>
  <c r="H1499" i="1"/>
  <c r="G1499" i="1"/>
  <c r="H1500" i="1" l="1"/>
  <c r="G1500" i="1"/>
  <c r="F1501" i="1"/>
  <c r="I1500" i="1" s="1"/>
  <c r="J1501" i="1" s="1"/>
  <c r="F1502" i="1" l="1"/>
  <c r="I1501" i="1" s="1"/>
  <c r="J1502" i="1" s="1"/>
  <c r="H1501" i="1"/>
  <c r="G1501" i="1"/>
  <c r="H1502" i="1" l="1"/>
  <c r="F1503" i="1"/>
  <c r="G1502" i="1"/>
  <c r="I1502" i="1" l="1"/>
  <c r="J1503" i="1" s="1"/>
  <c r="F1504" i="1"/>
  <c r="I1503" i="1" s="1"/>
  <c r="J1504" i="1" s="1"/>
  <c r="H1503" i="1"/>
  <c r="G1503" i="1"/>
  <c r="G1504" i="1" l="1"/>
  <c r="H1504" i="1"/>
  <c r="F1505" i="1"/>
  <c r="I1504" i="1" s="1"/>
  <c r="J1505" i="1" s="1"/>
  <c r="F1506" i="1" l="1"/>
  <c r="I1505" i="1" s="1"/>
  <c r="J1506" i="1" s="1"/>
  <c r="H1505" i="1"/>
  <c r="G1505" i="1"/>
  <c r="G1506" i="1" l="1"/>
  <c r="F1507" i="1"/>
  <c r="I1506" i="1" s="1"/>
  <c r="J1507" i="1" s="1"/>
  <c r="H1506" i="1"/>
  <c r="F1508" i="1" l="1"/>
  <c r="H1507" i="1"/>
  <c r="G1507" i="1"/>
  <c r="I1507" i="1" l="1"/>
  <c r="J1508" i="1" s="1"/>
  <c r="F1509" i="1"/>
  <c r="I1508" i="1" s="1"/>
  <c r="J1509" i="1" s="1"/>
  <c r="H1508" i="1"/>
  <c r="H1509" i="1" s="1"/>
  <c r="G1508" i="1"/>
  <c r="F1510" i="1" l="1"/>
  <c r="I1509" i="1" s="1"/>
  <c r="J1510" i="1" s="1"/>
  <c r="G1509" i="1"/>
  <c r="G1510" i="1" l="1"/>
  <c r="F1511" i="1"/>
  <c r="I1510" i="1" s="1"/>
  <c r="J1511" i="1" s="1"/>
  <c r="H1510" i="1"/>
  <c r="H1511" i="1" l="1"/>
  <c r="F1512" i="1"/>
  <c r="G1511" i="1"/>
  <c r="G1512" i="1" l="1"/>
  <c r="I1511" i="1"/>
  <c r="J1512" i="1" s="1"/>
  <c r="F1513" i="1"/>
  <c r="I1512" i="1" s="1"/>
  <c r="J1513" i="1" s="1"/>
  <c r="H1512" i="1"/>
  <c r="F1514" i="1" l="1"/>
  <c r="I1513" i="1" s="1"/>
  <c r="J1514" i="1" s="1"/>
  <c r="H1513" i="1"/>
  <c r="G1513" i="1"/>
  <c r="F1515" i="1" l="1"/>
  <c r="I1514" i="1" s="1"/>
  <c r="J1515" i="1" s="1"/>
  <c r="H1514" i="1"/>
  <c r="G1514" i="1"/>
  <c r="G1515" i="1" l="1"/>
  <c r="F1516" i="1"/>
  <c r="I1515" i="1" s="1"/>
  <c r="J1516" i="1" s="1"/>
  <c r="H1515" i="1"/>
  <c r="F1517" i="1" l="1"/>
  <c r="H1516" i="1"/>
  <c r="G1516" i="1"/>
  <c r="G1517" i="1" l="1"/>
  <c r="I1516" i="1"/>
  <c r="J1517" i="1" s="1"/>
  <c r="F1518" i="1"/>
  <c r="I1517" i="1" s="1"/>
  <c r="J1518" i="1" s="1"/>
  <c r="H1517" i="1"/>
  <c r="H1518" i="1" s="1"/>
  <c r="F1519" i="1" l="1"/>
  <c r="I1518" i="1" s="1"/>
  <c r="J1519" i="1" s="1"/>
  <c r="G1518" i="1"/>
  <c r="G1519" i="1" l="1"/>
  <c r="F1520" i="1"/>
  <c r="I1519" i="1" s="1"/>
  <c r="J1520" i="1" s="1"/>
  <c r="H1519" i="1"/>
  <c r="H1520" i="1" s="1"/>
  <c r="F1521" i="1" l="1"/>
  <c r="I1520" i="1" s="1"/>
  <c r="J1521" i="1" s="1"/>
  <c r="G1520" i="1"/>
  <c r="G1521" i="1" l="1"/>
  <c r="F1522" i="1"/>
  <c r="H1521" i="1"/>
  <c r="I1521" i="1" l="1"/>
  <c r="J1522" i="1" s="1"/>
  <c r="F1523" i="1"/>
  <c r="I1522" i="1" s="1"/>
  <c r="J1523" i="1" s="1"/>
  <c r="H1522" i="1"/>
  <c r="G1522" i="1"/>
  <c r="G1523" i="1" s="1"/>
  <c r="F1524" i="1" l="1"/>
  <c r="I1523" i="1" s="1"/>
  <c r="J1524" i="1" s="1"/>
  <c r="H1523" i="1"/>
  <c r="F1525" i="1" l="1"/>
  <c r="I1524" i="1" s="1"/>
  <c r="J1525" i="1" s="1"/>
  <c r="H1524" i="1"/>
  <c r="G1524" i="1"/>
  <c r="H1525" i="1" l="1"/>
  <c r="G1525" i="1"/>
  <c r="F1526" i="1"/>
  <c r="I1525" i="1" s="1"/>
  <c r="J1526" i="1" s="1"/>
  <c r="F1527" i="1" l="1"/>
  <c r="G1526" i="1"/>
  <c r="H1526" i="1"/>
  <c r="G1527" i="1" l="1"/>
  <c r="I1526" i="1"/>
  <c r="J1527" i="1" s="1"/>
  <c r="F1528" i="1"/>
  <c r="H1527" i="1"/>
  <c r="H1528" i="1" l="1"/>
  <c r="F1529" i="1"/>
  <c r="I1528" i="1" s="1"/>
  <c r="J1529" i="1" s="1"/>
  <c r="G1528" i="1"/>
  <c r="I1527" i="1"/>
  <c r="J1528" i="1" s="1"/>
  <c r="G1529" i="1" l="1"/>
  <c r="H1529" i="1"/>
  <c r="F1530" i="1"/>
  <c r="I1529" i="1" s="1"/>
  <c r="J1530" i="1" s="1"/>
  <c r="F1531" i="1" l="1"/>
  <c r="I1530" i="1" s="1"/>
  <c r="J1531" i="1" s="1"/>
  <c r="H1530" i="1"/>
  <c r="G1530" i="1"/>
  <c r="G1531" i="1" l="1"/>
  <c r="F1532" i="1"/>
  <c r="H1531" i="1"/>
  <c r="I1531" i="1" l="1"/>
  <c r="J1532" i="1" s="1"/>
  <c r="F1533" i="1"/>
  <c r="I1532" i="1" s="1"/>
  <c r="J1533" i="1" s="1"/>
  <c r="H1532" i="1"/>
  <c r="G1532" i="1"/>
  <c r="H1533" i="1" l="1"/>
  <c r="G1533" i="1"/>
  <c r="F1534" i="1"/>
  <c r="I1533" i="1" s="1"/>
  <c r="J1534" i="1" s="1"/>
  <c r="F1535" i="1" l="1"/>
  <c r="I1534" i="1" s="1"/>
  <c r="J1535" i="1" s="1"/>
  <c r="H1534" i="1"/>
  <c r="G1534" i="1"/>
  <c r="G1535" i="1" l="1"/>
  <c r="F1536" i="1"/>
  <c r="H1535" i="1"/>
  <c r="I1535" i="1" l="1"/>
  <c r="J1536" i="1" s="1"/>
  <c r="F1537" i="1"/>
  <c r="I1536" i="1" s="1"/>
  <c r="J1537" i="1" s="1"/>
  <c r="H1536" i="1"/>
  <c r="G1536" i="1"/>
  <c r="G1537" i="1" l="1"/>
  <c r="F1538" i="1"/>
  <c r="I1537" i="1" s="1"/>
  <c r="J1538" i="1" s="1"/>
  <c r="H1537" i="1"/>
  <c r="F1539" i="1" l="1"/>
  <c r="I1538" i="1" s="1"/>
  <c r="J1539" i="1" s="1"/>
  <c r="H1538" i="1"/>
  <c r="G1538" i="1"/>
  <c r="H1539" i="1" l="1"/>
  <c r="G1539" i="1"/>
  <c r="F1540" i="1"/>
  <c r="I1539" i="1" s="1"/>
  <c r="J1540" i="1" s="1"/>
  <c r="F1541" i="1" l="1"/>
  <c r="H1540" i="1"/>
  <c r="G1540" i="1"/>
  <c r="I1540" i="1" s="1"/>
  <c r="J1541" i="1" s="1"/>
  <c r="F1542" i="1" l="1"/>
  <c r="I1541" i="1" s="1"/>
  <c r="J1542" i="1" s="1"/>
  <c r="H1541" i="1"/>
  <c r="H1542" i="1" s="1"/>
  <c r="G1541" i="1"/>
  <c r="G1542" i="1" s="1"/>
  <c r="F1543" i="1" l="1"/>
  <c r="I1542" i="1" s="1"/>
  <c r="J1543" i="1" s="1"/>
  <c r="F1544" i="1" l="1"/>
  <c r="I1543" i="1" s="1"/>
  <c r="J1544" i="1" s="1"/>
  <c r="H1543" i="1"/>
  <c r="H1544" i="1" s="1"/>
  <c r="G1543" i="1"/>
  <c r="G1544" i="1" l="1"/>
  <c r="F1545" i="1"/>
  <c r="F1546" i="1" l="1"/>
  <c r="I1544" i="1"/>
  <c r="J1545" i="1" s="1"/>
  <c r="H1545" i="1"/>
  <c r="G1545" i="1"/>
  <c r="I1545" i="1" l="1"/>
  <c r="J1546" i="1" s="1"/>
  <c r="F1547" i="1"/>
  <c r="I1546" i="1" s="1"/>
  <c r="J1547" i="1" s="1"/>
  <c r="H1546" i="1"/>
  <c r="G1546" i="1"/>
  <c r="H1547" i="1" l="1"/>
  <c r="F1548" i="1"/>
  <c r="I1547" i="1" s="1"/>
  <c r="J1548" i="1" s="1"/>
  <c r="G1547" i="1"/>
  <c r="G1548" i="1" l="1"/>
  <c r="F1549" i="1"/>
  <c r="I1548" i="1" s="1"/>
  <c r="J1549" i="1" s="1"/>
  <c r="H1548" i="1"/>
  <c r="H1549" i="1" l="1"/>
  <c r="F1550" i="1"/>
  <c r="I1549" i="1" s="1"/>
  <c r="J1550" i="1" s="1"/>
  <c r="G1549" i="1"/>
  <c r="G1550" i="1" l="1"/>
  <c r="F1551" i="1"/>
  <c r="H1550" i="1"/>
  <c r="I1550" i="1" l="1"/>
  <c r="J1551" i="1" s="1"/>
  <c r="F1552" i="1"/>
  <c r="I1551" i="1" s="1"/>
  <c r="J1552" i="1" s="1"/>
  <c r="H1551" i="1"/>
  <c r="G1551" i="1"/>
  <c r="H1552" i="1" l="1"/>
  <c r="F1553" i="1"/>
  <c r="I1552" i="1" s="1"/>
  <c r="J1553" i="1" s="1"/>
  <c r="G1552" i="1"/>
  <c r="G1553" i="1" l="1"/>
  <c r="F1554" i="1"/>
  <c r="I1553" i="1" s="1"/>
  <c r="J1554" i="1" s="1"/>
  <c r="H1553" i="1"/>
  <c r="H1554" i="1" l="1"/>
  <c r="G1554" i="1"/>
  <c r="F1555" i="1"/>
  <c r="I1554" i="1" s="1"/>
  <c r="J1555" i="1" s="1"/>
  <c r="F1556" i="1" l="1"/>
  <c r="G1555" i="1"/>
  <c r="H1555" i="1"/>
  <c r="G1556" i="1" l="1"/>
  <c r="I1555" i="1"/>
  <c r="J1556" i="1" s="1"/>
  <c r="F1557" i="1"/>
  <c r="I1556" i="1" s="1"/>
  <c r="J1557" i="1" s="1"/>
  <c r="H1556" i="1"/>
  <c r="H1557" i="1" l="1"/>
  <c r="F1558" i="1"/>
  <c r="I1557" i="1" s="1"/>
  <c r="J1558" i="1" s="1"/>
  <c r="G1557" i="1"/>
  <c r="G1558" i="1" l="1"/>
  <c r="F1559" i="1"/>
  <c r="I1558" i="1" s="1"/>
  <c r="J1559" i="1" s="1"/>
  <c r="H1558" i="1"/>
  <c r="F1560" i="1" l="1"/>
  <c r="I1559" i="1" s="1"/>
  <c r="J1560" i="1" s="1"/>
  <c r="H1559" i="1"/>
  <c r="G1559" i="1"/>
  <c r="G1560" i="1" l="1"/>
  <c r="H1560" i="1"/>
  <c r="F1561" i="1"/>
  <c r="I1560" i="1" l="1"/>
  <c r="J1561" i="1" s="1"/>
  <c r="F1562" i="1"/>
  <c r="I1561" i="1" s="1"/>
  <c r="J1562" i="1" s="1"/>
  <c r="H1561" i="1"/>
  <c r="G1561" i="1"/>
  <c r="F1563" i="1" l="1"/>
  <c r="I1562" i="1" s="1"/>
  <c r="J1563" i="1" s="1"/>
  <c r="H1562" i="1"/>
  <c r="G1562" i="1"/>
  <c r="G1563" i="1" l="1"/>
  <c r="F1564" i="1"/>
  <c r="I1563" i="1" s="1"/>
  <c r="J1564" i="1" s="1"/>
  <c r="H1563" i="1"/>
  <c r="F1565" i="1" l="1"/>
  <c r="I1564" i="1" s="1"/>
  <c r="J1565" i="1" s="1"/>
  <c r="H1564" i="1"/>
  <c r="G1564" i="1"/>
  <c r="G1565" i="1" l="1"/>
  <c r="H1565" i="1"/>
  <c r="F1566" i="1"/>
  <c r="I1565" i="1" l="1"/>
  <c r="J1566" i="1" s="1"/>
  <c r="F1567" i="1"/>
  <c r="I1566" i="1" s="1"/>
  <c r="J1567" i="1" s="1"/>
  <c r="H1566" i="1"/>
  <c r="G1566" i="1"/>
  <c r="F1568" i="1" l="1"/>
  <c r="I1567" i="1" s="1"/>
  <c r="J1568" i="1" s="1"/>
  <c r="H1567" i="1"/>
  <c r="G1567" i="1"/>
  <c r="G1568" i="1" l="1"/>
  <c r="H1568" i="1"/>
  <c r="F1569" i="1"/>
  <c r="I1568" i="1" s="1"/>
  <c r="J1569" i="1" s="1"/>
  <c r="F1570" i="1" l="1"/>
  <c r="I1569" i="1" s="1"/>
  <c r="J1570" i="1" s="1"/>
  <c r="H1569" i="1"/>
  <c r="G1569" i="1"/>
  <c r="G1570" i="1" l="1"/>
  <c r="F1571" i="1"/>
  <c r="H1570" i="1"/>
  <c r="I1570" i="1" l="1"/>
  <c r="J1571" i="1" s="1"/>
  <c r="F1572" i="1"/>
  <c r="I1571" i="1" s="1"/>
  <c r="J1572" i="1" s="1"/>
  <c r="H1571" i="1"/>
  <c r="G1571" i="1"/>
  <c r="G1572" i="1" s="1"/>
  <c r="F1573" i="1" l="1"/>
  <c r="I1572" i="1" s="1"/>
  <c r="J1573" i="1" s="1"/>
  <c r="H1572" i="1"/>
  <c r="H1573" i="1" l="1"/>
  <c r="F1574" i="1"/>
  <c r="I1573" i="1" s="1"/>
  <c r="J1574" i="1" s="1"/>
  <c r="G1573" i="1"/>
  <c r="G1574" i="1" l="1"/>
  <c r="F1575" i="1"/>
  <c r="I1574" i="1" s="1"/>
  <c r="J1575" i="1" s="1"/>
  <c r="H1574" i="1"/>
  <c r="H1575" i="1" l="1"/>
  <c r="F1576" i="1"/>
  <c r="G1575" i="1"/>
  <c r="I1575" i="1" l="1"/>
  <c r="J1576" i="1" s="1"/>
  <c r="F1577" i="1"/>
  <c r="I1576" i="1" s="1"/>
  <c r="J1577" i="1" s="1"/>
  <c r="H1576" i="1"/>
  <c r="G1576" i="1"/>
  <c r="F1578" i="1" l="1"/>
  <c r="I1577" i="1" s="1"/>
  <c r="J1578" i="1" s="1"/>
  <c r="H1577" i="1"/>
  <c r="G1577" i="1"/>
  <c r="G1578" i="1" l="1"/>
  <c r="F1579" i="1"/>
  <c r="H1578" i="1"/>
  <c r="G1579" i="1" l="1"/>
  <c r="I1578" i="1"/>
  <c r="J1579" i="1" s="1"/>
  <c r="F1580" i="1"/>
  <c r="I1579" i="1" s="1"/>
  <c r="J1580" i="1" s="1"/>
  <c r="H1579" i="1"/>
  <c r="G1580" i="1" l="1"/>
  <c r="F1581" i="1"/>
  <c r="H1580" i="1"/>
  <c r="F1582" i="1" l="1"/>
  <c r="I1581" i="1" s="1"/>
  <c r="J1582" i="1" s="1"/>
  <c r="H1581" i="1"/>
  <c r="G1581" i="1"/>
  <c r="I1580" i="1"/>
  <c r="J1581" i="1" s="1"/>
  <c r="H1582" i="1" l="1"/>
  <c r="G1582" i="1"/>
  <c r="F1583" i="1"/>
  <c r="I1582" i="1" s="1"/>
  <c r="J1583" i="1" s="1"/>
  <c r="F1584" i="1" l="1"/>
  <c r="I1583" i="1" s="1"/>
  <c r="J1584" i="1" s="1"/>
  <c r="H1583" i="1"/>
  <c r="G1583" i="1"/>
  <c r="G1584" i="1" l="1"/>
  <c r="H1584" i="1"/>
  <c r="F1585" i="1"/>
  <c r="I1584" i="1" s="1"/>
  <c r="J1585" i="1" s="1"/>
  <c r="F1586" i="1" l="1"/>
  <c r="H1585" i="1"/>
  <c r="G1585" i="1"/>
  <c r="I1585" i="1" l="1"/>
  <c r="J1586" i="1" s="1"/>
  <c r="F1587" i="1"/>
  <c r="I1586" i="1" s="1"/>
  <c r="J1587" i="1" s="1"/>
  <c r="H1586" i="1"/>
  <c r="G1586" i="1"/>
  <c r="F1588" i="1" l="1"/>
  <c r="I1587" i="1" s="1"/>
  <c r="J1588" i="1" s="1"/>
  <c r="H1587" i="1"/>
  <c r="G1587" i="1"/>
  <c r="G1588" i="1" l="1"/>
  <c r="F1589" i="1"/>
  <c r="I1588" i="1" s="1"/>
  <c r="J1589" i="1" s="1"/>
  <c r="H1588" i="1"/>
  <c r="H1589" i="1" s="1"/>
  <c r="F1590" i="1" l="1"/>
  <c r="I1589" i="1" s="1"/>
  <c r="J1590" i="1" s="1"/>
  <c r="G1589" i="1"/>
  <c r="G1590" i="1" l="1"/>
  <c r="H1590" i="1"/>
  <c r="F1591" i="1"/>
  <c r="I1590" i="1" l="1"/>
  <c r="J1591" i="1" s="1"/>
  <c r="F1592" i="1"/>
  <c r="I1591" i="1" s="1"/>
  <c r="J1592" i="1" s="1"/>
  <c r="H1591" i="1"/>
  <c r="H1592" i="1" s="1"/>
  <c r="G1591" i="1"/>
  <c r="G1592" i="1" s="1"/>
  <c r="F1593" i="1" l="1"/>
  <c r="I1592" i="1" s="1"/>
  <c r="J1593" i="1" s="1"/>
  <c r="F1594" i="1" l="1"/>
  <c r="I1593" i="1" s="1"/>
  <c r="J1594" i="1" s="1"/>
  <c r="H1593" i="1"/>
  <c r="G1593" i="1"/>
  <c r="G1594" i="1" l="1"/>
  <c r="F1595" i="1"/>
  <c r="I1594" i="1" s="1"/>
  <c r="J1595" i="1" s="1"/>
  <c r="H1594" i="1"/>
  <c r="F1596" i="1" l="1"/>
  <c r="H1595" i="1"/>
  <c r="G1595" i="1"/>
  <c r="I1595" i="1" l="1"/>
  <c r="J1596" i="1" s="1"/>
  <c r="F1597" i="1"/>
  <c r="I1596" i="1" s="1"/>
  <c r="J1597" i="1" s="1"/>
  <c r="H1596" i="1"/>
  <c r="G1596" i="1"/>
  <c r="H1597" i="1" l="1"/>
  <c r="F1598" i="1"/>
  <c r="I1597" i="1" s="1"/>
  <c r="J1598" i="1" s="1"/>
  <c r="G1597" i="1"/>
  <c r="G1598" i="1" l="1"/>
  <c r="F1599" i="1"/>
  <c r="I1598" i="1" s="1"/>
  <c r="J1599" i="1" s="1"/>
  <c r="H1598" i="1"/>
  <c r="F1600" i="1" l="1"/>
  <c r="I1599" i="1" s="1"/>
  <c r="J1600" i="1" s="1"/>
  <c r="H1599" i="1"/>
  <c r="G1599" i="1"/>
  <c r="G1600" i="1" l="1"/>
  <c r="H1600" i="1"/>
  <c r="F1601" i="1"/>
  <c r="I1600" i="1" l="1"/>
  <c r="J1601" i="1" s="1"/>
  <c r="F1602" i="1"/>
  <c r="I1601" i="1" s="1"/>
  <c r="J1602" i="1" s="1"/>
  <c r="H1601" i="1"/>
  <c r="G1601" i="1"/>
  <c r="G1602" i="1" l="1"/>
  <c r="F1603" i="1"/>
  <c r="I1602" i="1" s="1"/>
  <c r="J1603" i="1" s="1"/>
  <c r="H1602" i="1"/>
  <c r="F1604" i="1" l="1"/>
  <c r="I1603" i="1" s="1"/>
  <c r="J1604" i="1" s="1"/>
  <c r="H1603" i="1"/>
  <c r="G1603" i="1"/>
  <c r="G1604" i="1" l="1"/>
  <c r="H1604" i="1"/>
  <c r="F1605" i="1"/>
  <c r="I1604" i="1" l="1"/>
  <c r="J1605" i="1" s="1"/>
  <c r="F1606" i="1"/>
  <c r="I1605" i="1" s="1"/>
  <c r="J1606" i="1" s="1"/>
  <c r="H1605" i="1"/>
  <c r="G1605" i="1"/>
  <c r="H1606" i="1" l="1"/>
  <c r="G1606" i="1"/>
  <c r="F1607" i="1"/>
  <c r="I1606" i="1" s="1"/>
  <c r="J1607" i="1" s="1"/>
  <c r="F1608" i="1" l="1"/>
  <c r="I1607" i="1" s="1"/>
  <c r="J1608" i="1" s="1"/>
  <c r="H1607" i="1"/>
  <c r="G1607" i="1"/>
  <c r="G1608" i="1" l="1"/>
  <c r="H1608" i="1"/>
  <c r="F1609" i="1"/>
  <c r="I1608" i="1" s="1"/>
  <c r="J1609" i="1" s="1"/>
  <c r="F1610" i="1" l="1"/>
  <c r="G1609" i="1"/>
  <c r="H1609" i="1"/>
  <c r="I1609" i="1" l="1"/>
  <c r="J1610" i="1" s="1"/>
  <c r="F1611" i="1"/>
  <c r="I1610" i="1" s="1"/>
  <c r="J1611" i="1" s="1"/>
  <c r="H1610" i="1"/>
  <c r="G1610" i="1"/>
  <c r="G1611" i="1" l="1"/>
  <c r="F1612" i="1"/>
  <c r="I1611" i="1" s="1"/>
  <c r="J1612" i="1" s="1"/>
  <c r="H1611" i="1"/>
  <c r="H1612" i="1" l="1"/>
  <c r="F1613" i="1"/>
  <c r="G1612" i="1"/>
  <c r="H1613" i="1" l="1"/>
  <c r="G1613" i="1"/>
  <c r="I1612" i="1"/>
  <c r="J1613" i="1" s="1"/>
  <c r="F1614" i="1"/>
  <c r="I1613" i="1" s="1"/>
  <c r="J1614" i="1" s="1"/>
  <c r="H1614" i="1" l="1"/>
  <c r="F1615" i="1"/>
  <c r="G1614" i="1"/>
  <c r="I1614" i="1" l="1"/>
  <c r="J1615" i="1" s="1"/>
  <c r="F1616" i="1"/>
  <c r="I1615" i="1" s="1"/>
  <c r="J1616" i="1" s="1"/>
  <c r="H1615" i="1"/>
  <c r="G1615" i="1"/>
  <c r="G1616" i="1" l="1"/>
  <c r="H1616" i="1"/>
  <c r="F1617" i="1"/>
  <c r="I1616" i="1" s="1"/>
  <c r="J1617" i="1" s="1"/>
  <c r="F1618" i="1" l="1"/>
  <c r="I1617" i="1" s="1"/>
  <c r="J1618" i="1" s="1"/>
  <c r="H1617" i="1"/>
  <c r="G1617" i="1"/>
  <c r="G1618" i="1" l="1"/>
  <c r="F1619" i="1"/>
  <c r="I1618" i="1" s="1"/>
  <c r="J1619" i="1" s="1"/>
  <c r="H1618" i="1"/>
  <c r="H1619" i="1" l="1"/>
  <c r="F1620" i="1"/>
  <c r="G1619" i="1"/>
  <c r="I1619" i="1" l="1"/>
  <c r="J1620" i="1" s="1"/>
  <c r="F1621" i="1"/>
  <c r="I1620" i="1" s="1"/>
  <c r="J1621" i="1" s="1"/>
  <c r="H1620" i="1"/>
  <c r="G1620" i="1"/>
  <c r="H1621" i="1" l="1"/>
  <c r="F1622" i="1"/>
  <c r="I1621" i="1" s="1"/>
  <c r="J1622" i="1" s="1"/>
  <c r="G1621" i="1"/>
  <c r="G1622" i="1" s="1"/>
  <c r="F1623" i="1" l="1"/>
  <c r="I1622" i="1" s="1"/>
  <c r="J1623" i="1" s="1"/>
  <c r="H1622" i="1"/>
  <c r="F1624" i="1" l="1"/>
  <c r="I1623" i="1" s="1"/>
  <c r="J1624" i="1" s="1"/>
  <c r="H1623" i="1"/>
  <c r="G1623" i="1"/>
  <c r="G1624" i="1" l="1"/>
  <c r="H1624" i="1"/>
  <c r="F1625" i="1"/>
  <c r="I1624" i="1" l="1"/>
  <c r="J1625" i="1" s="1"/>
  <c r="F1626" i="1"/>
  <c r="I1625" i="1" s="1"/>
  <c r="J1626" i="1" s="1"/>
  <c r="H1625" i="1"/>
  <c r="G1625" i="1"/>
  <c r="F1627" i="1" l="1"/>
  <c r="I1626" i="1" s="1"/>
  <c r="J1627" i="1" s="1"/>
  <c r="H1626" i="1"/>
  <c r="G1626" i="1"/>
  <c r="G1627" i="1" l="1"/>
  <c r="H1627" i="1"/>
  <c r="F1628" i="1"/>
  <c r="I1627" i="1" s="1"/>
  <c r="J1628" i="1" s="1"/>
  <c r="F1629" i="1" l="1"/>
  <c r="G1628" i="1"/>
  <c r="H1628" i="1"/>
  <c r="G1629" i="1" l="1"/>
  <c r="I1628" i="1"/>
  <c r="J1629" i="1" s="1"/>
  <c r="F1630" i="1"/>
  <c r="I1629" i="1" s="1"/>
  <c r="J1630" i="1" s="1"/>
  <c r="H1629" i="1"/>
  <c r="H1630" i="1" l="1"/>
  <c r="F1631" i="1"/>
  <c r="I1630" i="1" s="1"/>
  <c r="J1631" i="1" s="1"/>
  <c r="G1630" i="1"/>
  <c r="G1631" i="1" l="1"/>
  <c r="F1632" i="1"/>
  <c r="I1631" i="1" s="1"/>
  <c r="J1632" i="1" s="1"/>
  <c r="H1631" i="1"/>
  <c r="H1632" i="1" l="1"/>
  <c r="G1632" i="1"/>
  <c r="F1633" i="1"/>
  <c r="I1632" i="1" s="1"/>
  <c r="J1633" i="1" s="1"/>
  <c r="G1633" i="1" l="1"/>
  <c r="F1634" i="1"/>
  <c r="H1633" i="1"/>
  <c r="I1633" i="1" l="1"/>
  <c r="J1634" i="1" s="1"/>
  <c r="F1635" i="1"/>
  <c r="I1634" i="1" s="1"/>
  <c r="J1635" i="1" s="1"/>
  <c r="H1634" i="1"/>
  <c r="G1634" i="1"/>
  <c r="G1635" i="1" l="1"/>
  <c r="F1636" i="1"/>
  <c r="I1635" i="1" s="1"/>
  <c r="J1636" i="1" s="1"/>
  <c r="H1635" i="1"/>
  <c r="F1637" i="1" l="1"/>
  <c r="I1636" i="1" s="1"/>
  <c r="J1637" i="1" s="1"/>
  <c r="H1636" i="1"/>
  <c r="G1636" i="1"/>
  <c r="G1637" i="1" l="1"/>
  <c r="H1637" i="1"/>
  <c r="F1638" i="1"/>
  <c r="I1637" i="1" s="1"/>
  <c r="J1638" i="1" s="1"/>
  <c r="F1639" i="1" l="1"/>
  <c r="H1638" i="1"/>
  <c r="G1638" i="1"/>
  <c r="I1638" i="1" l="1"/>
  <c r="J1639" i="1" s="1"/>
  <c r="F1640" i="1"/>
  <c r="I1639" i="1" s="1"/>
  <c r="J1640" i="1" s="1"/>
  <c r="H1639" i="1"/>
  <c r="H1640" i="1" s="1"/>
  <c r="G1639" i="1"/>
  <c r="G1640" i="1" l="1"/>
  <c r="F1641" i="1"/>
  <c r="I1640" i="1" s="1"/>
  <c r="J1641" i="1" s="1"/>
  <c r="F1642" i="1" l="1"/>
  <c r="I1641" i="1" s="1"/>
  <c r="J1642" i="1" s="1"/>
  <c r="H1641" i="1"/>
  <c r="G1641" i="1"/>
  <c r="G1642" i="1" l="1"/>
  <c r="H1642" i="1"/>
  <c r="F1643" i="1"/>
  <c r="I1642" i="1" s="1"/>
  <c r="J1643" i="1" s="1"/>
  <c r="F1644" i="1" l="1"/>
  <c r="G1643" i="1"/>
  <c r="H1643" i="1"/>
  <c r="I1643" i="1" l="1"/>
  <c r="J1644" i="1" s="1"/>
  <c r="F1645" i="1"/>
  <c r="I1644" i="1" s="1"/>
  <c r="J1645" i="1" s="1"/>
  <c r="H1644" i="1"/>
  <c r="H1645" i="1" s="1"/>
  <c r="G1644" i="1"/>
  <c r="F1646" i="1" l="1"/>
  <c r="I1645" i="1" s="1"/>
  <c r="J1646" i="1" s="1"/>
  <c r="G1645" i="1"/>
  <c r="G1646" i="1" l="1"/>
  <c r="F1647" i="1"/>
  <c r="I1646" i="1" s="1"/>
  <c r="J1647" i="1" s="1"/>
  <c r="H1646" i="1"/>
  <c r="H1647" i="1" l="1"/>
  <c r="F1648" i="1"/>
  <c r="I1647" i="1" s="1"/>
  <c r="J1648" i="1" s="1"/>
  <c r="G1647" i="1"/>
  <c r="G1648" i="1" l="1"/>
  <c r="F1649" i="1"/>
  <c r="H1648" i="1"/>
  <c r="I1648" i="1" l="1"/>
  <c r="J1649" i="1" s="1"/>
  <c r="F1650" i="1"/>
  <c r="I1649" i="1" s="1"/>
  <c r="J1650" i="1" s="1"/>
  <c r="H1649" i="1"/>
  <c r="G1649" i="1"/>
  <c r="G1650" i="1" s="1"/>
  <c r="F1651" i="1" l="1"/>
  <c r="I1650" i="1" s="1"/>
  <c r="J1651" i="1" s="1"/>
  <c r="H1650" i="1"/>
  <c r="F1652" i="1" l="1"/>
  <c r="I1651" i="1" s="1"/>
  <c r="J1652" i="1" s="1"/>
  <c r="H1651" i="1"/>
  <c r="G1651" i="1"/>
  <c r="G1652" i="1" l="1"/>
  <c r="F1653" i="1"/>
  <c r="H1652" i="1"/>
  <c r="H1653" i="1" l="1"/>
  <c r="F1654" i="1"/>
  <c r="I1652" i="1"/>
  <c r="J1653" i="1" s="1"/>
  <c r="G1653" i="1"/>
  <c r="F1655" i="1" l="1"/>
  <c r="I1654" i="1" s="1"/>
  <c r="J1655" i="1" s="1"/>
  <c r="H1654" i="1"/>
  <c r="G1654" i="1"/>
  <c r="I1653" i="1"/>
  <c r="J1654" i="1" s="1"/>
  <c r="G1655" i="1" l="1"/>
  <c r="F1656" i="1"/>
  <c r="I1655" i="1" s="1"/>
  <c r="J1656" i="1" s="1"/>
  <c r="H1655" i="1"/>
  <c r="H1656" i="1" l="1"/>
  <c r="F1657" i="1"/>
  <c r="I1656" i="1" s="1"/>
  <c r="J1657" i="1" s="1"/>
  <c r="G1656" i="1"/>
  <c r="F1658" i="1" l="1"/>
  <c r="I1657" i="1" s="1"/>
  <c r="J1658" i="1" s="1"/>
  <c r="G1657" i="1"/>
  <c r="H1657" i="1"/>
  <c r="G1658" i="1" l="1"/>
  <c r="F1659" i="1"/>
  <c r="H1658" i="1"/>
  <c r="I1658" i="1" l="1"/>
  <c r="J1659" i="1" s="1"/>
  <c r="F1660" i="1"/>
  <c r="I1659" i="1" s="1"/>
  <c r="J1660" i="1" s="1"/>
  <c r="H1659" i="1"/>
  <c r="G1659" i="1"/>
  <c r="G1660" i="1" l="1"/>
  <c r="F1661" i="1"/>
  <c r="I1660" i="1" s="1"/>
  <c r="J1661" i="1" s="1"/>
  <c r="H1660" i="1"/>
  <c r="H1661" i="1" s="1"/>
  <c r="F1662" i="1" l="1"/>
  <c r="I1661" i="1" s="1"/>
  <c r="J1662" i="1" s="1"/>
  <c r="G1661" i="1"/>
  <c r="G1662" i="1" l="1"/>
  <c r="F1663" i="1"/>
  <c r="I1662" i="1" s="1"/>
  <c r="J1663" i="1" s="1"/>
  <c r="H1662" i="1"/>
  <c r="F1664" i="1" l="1"/>
  <c r="H1663" i="1"/>
  <c r="G1663" i="1"/>
  <c r="I1663" i="1" l="1"/>
  <c r="J1664" i="1" s="1"/>
  <c r="F1665" i="1"/>
  <c r="I1664" i="1" s="1"/>
  <c r="J1665" i="1" s="1"/>
  <c r="H1664" i="1"/>
  <c r="G1664" i="1"/>
  <c r="F1666" i="1" l="1"/>
  <c r="I1665" i="1" s="1"/>
  <c r="J1666" i="1" s="1"/>
  <c r="H1665" i="1"/>
  <c r="G1665" i="1"/>
  <c r="G1666" i="1" s="1"/>
  <c r="F1667" i="1" l="1"/>
  <c r="I1666" i="1" s="1"/>
  <c r="J1667" i="1" s="1"/>
  <c r="H1666" i="1"/>
  <c r="F1668" i="1" l="1"/>
  <c r="I1667" i="1" s="1"/>
  <c r="J1668" i="1" s="1"/>
  <c r="H1667" i="1"/>
  <c r="G1667" i="1"/>
  <c r="G1668" i="1" s="1"/>
  <c r="F1669" i="1" l="1"/>
  <c r="H1668" i="1"/>
  <c r="I1668" i="1" l="1"/>
  <c r="J1669" i="1" s="1"/>
  <c r="F1670" i="1"/>
  <c r="I1669" i="1" s="1"/>
  <c r="J1670" i="1" s="1"/>
  <c r="H1669" i="1"/>
  <c r="H1670" i="1" s="1"/>
  <c r="G1669" i="1"/>
  <c r="G1670" i="1" s="1"/>
  <c r="F1671" i="1" l="1"/>
  <c r="I1670" i="1" s="1"/>
  <c r="J1671" i="1" s="1"/>
  <c r="F1672" i="1" l="1"/>
  <c r="I1671" i="1" s="1"/>
  <c r="J1672" i="1" s="1"/>
  <c r="H1671" i="1"/>
  <c r="G1671" i="1"/>
  <c r="H1672" i="1" l="1"/>
  <c r="F1673" i="1"/>
  <c r="G1672" i="1"/>
  <c r="I1672" i="1" s="1"/>
  <c r="J1673" i="1" s="1"/>
  <c r="F1674" i="1" l="1"/>
  <c r="I1673" i="1" s="1"/>
  <c r="J1674" i="1" s="1"/>
  <c r="H1673" i="1"/>
  <c r="G1673" i="1"/>
  <c r="G1674" i="1" s="1"/>
  <c r="F1675" i="1" l="1"/>
  <c r="I1674" i="1" s="1"/>
  <c r="J1675" i="1" s="1"/>
  <c r="H1674" i="1"/>
  <c r="F1676" i="1" l="1"/>
  <c r="I1675" i="1" s="1"/>
  <c r="J1676" i="1" s="1"/>
  <c r="H1675" i="1"/>
  <c r="G1675" i="1"/>
  <c r="G1676" i="1" l="1"/>
  <c r="H1676" i="1"/>
  <c r="F1677" i="1"/>
  <c r="I1676" i="1" s="1"/>
  <c r="J1677" i="1" s="1"/>
  <c r="F1678" i="1" l="1"/>
  <c r="H1677" i="1"/>
  <c r="G1677" i="1"/>
  <c r="I1677" i="1" l="1"/>
  <c r="J1678" i="1" s="1"/>
  <c r="F1679" i="1"/>
  <c r="I1678" i="1" s="1"/>
  <c r="J1679" i="1" s="1"/>
  <c r="H1678" i="1"/>
  <c r="G1678" i="1"/>
  <c r="F1680" i="1" l="1"/>
  <c r="I1679" i="1" s="1"/>
  <c r="J1680" i="1" s="1"/>
  <c r="H1679" i="1"/>
  <c r="G1679" i="1"/>
  <c r="G1680" i="1" l="1"/>
  <c r="H1680" i="1"/>
  <c r="F1681" i="1"/>
  <c r="I1680" i="1" s="1"/>
  <c r="J1681" i="1" s="1"/>
  <c r="F1682" i="1" l="1"/>
  <c r="I1681" i="1" s="1"/>
  <c r="J1682" i="1" s="1"/>
  <c r="H1681" i="1"/>
  <c r="G1681" i="1"/>
  <c r="G1682" i="1" l="1"/>
  <c r="H1682" i="1"/>
  <c r="F1683" i="1"/>
  <c r="I1682" i="1" l="1"/>
  <c r="J1683" i="1" s="1"/>
  <c r="F1684" i="1"/>
  <c r="I1683" i="1" s="1"/>
  <c r="J1684" i="1" s="1"/>
  <c r="H1683" i="1"/>
  <c r="G1683" i="1"/>
  <c r="F1685" i="1" l="1"/>
  <c r="I1684" i="1" s="1"/>
  <c r="J1685" i="1" s="1"/>
  <c r="H1684" i="1"/>
  <c r="G1684" i="1"/>
  <c r="H1685" i="1" l="1"/>
  <c r="G1685" i="1"/>
  <c r="F1686" i="1"/>
  <c r="I1685" i="1" s="1"/>
  <c r="J1686" i="1" s="1"/>
  <c r="F1687" i="1" l="1"/>
  <c r="I1686" i="1" s="1"/>
  <c r="J1687" i="1" s="1"/>
  <c r="H1686" i="1"/>
  <c r="G1686" i="1"/>
  <c r="G1687" i="1" l="1"/>
  <c r="F1688" i="1"/>
  <c r="H1687" i="1"/>
  <c r="I1687" i="1" l="1"/>
  <c r="J1688" i="1" s="1"/>
  <c r="F1689" i="1"/>
  <c r="I1688" i="1" s="1"/>
  <c r="J1689" i="1" s="1"/>
  <c r="H1688" i="1"/>
  <c r="G1688" i="1"/>
  <c r="G1689" i="1" l="1"/>
  <c r="F1690" i="1"/>
  <c r="I1689" i="1" s="1"/>
  <c r="J1690" i="1" s="1"/>
  <c r="H1689" i="1"/>
  <c r="F1691" i="1" l="1"/>
  <c r="I1690" i="1" s="1"/>
  <c r="J1691" i="1" s="1"/>
  <c r="H1690" i="1"/>
  <c r="G1690" i="1"/>
  <c r="G1691" i="1" l="1"/>
  <c r="F1692" i="1"/>
  <c r="I1691" i="1" s="1"/>
  <c r="J1692" i="1" s="1"/>
  <c r="H1691" i="1"/>
  <c r="H1692" i="1" s="1"/>
  <c r="F1693" i="1" l="1"/>
  <c r="G1692" i="1"/>
  <c r="I1692" i="1" l="1"/>
  <c r="J1693" i="1" s="1"/>
  <c r="F1694" i="1"/>
  <c r="I1693" i="1" s="1"/>
  <c r="J1694" i="1" s="1"/>
  <c r="H1693" i="1"/>
  <c r="G1693" i="1"/>
  <c r="H1694" i="1" l="1"/>
  <c r="G1694" i="1"/>
  <c r="F1695" i="1"/>
  <c r="I1694" i="1" s="1"/>
  <c r="J1695" i="1" s="1"/>
  <c r="F1696" i="1" l="1"/>
  <c r="I1695" i="1" s="1"/>
  <c r="J1696" i="1" s="1"/>
  <c r="H1695" i="1"/>
  <c r="G1695" i="1"/>
  <c r="G1696" i="1" l="1"/>
  <c r="H1696" i="1"/>
  <c r="F1697" i="1"/>
  <c r="I1696" i="1" s="1"/>
  <c r="J1697" i="1" s="1"/>
  <c r="F1698" i="1" l="1"/>
  <c r="I1697" i="1" s="1"/>
  <c r="J1698" i="1" s="1"/>
  <c r="H1697" i="1"/>
  <c r="G1697" i="1"/>
  <c r="G1698" i="1" l="1"/>
  <c r="F1699" i="1"/>
  <c r="I1698" i="1" s="1"/>
  <c r="J1699" i="1" s="1"/>
  <c r="H1698" i="1"/>
  <c r="H1699" i="1" l="1"/>
  <c r="F1700" i="1"/>
  <c r="I1699" i="1" s="1"/>
  <c r="J1700" i="1" s="1"/>
  <c r="G1699" i="1"/>
  <c r="G1700" i="1" l="1"/>
  <c r="F1701" i="1"/>
  <c r="I1700" i="1" s="1"/>
  <c r="J1701" i="1" s="1"/>
  <c r="H1700" i="1"/>
  <c r="H1701" i="1" l="1"/>
  <c r="F1702" i="1"/>
  <c r="G1701" i="1"/>
  <c r="I1701" i="1" l="1"/>
  <c r="J1702" i="1" s="1"/>
  <c r="F1703" i="1"/>
  <c r="I1702" i="1" s="1"/>
  <c r="J1703" i="1" s="1"/>
  <c r="H1702" i="1"/>
  <c r="G1702" i="1"/>
  <c r="G1703" i="1" l="1"/>
  <c r="F1704" i="1"/>
  <c r="I1703" i="1" s="1"/>
  <c r="J1704" i="1" s="1"/>
  <c r="H1703" i="1"/>
  <c r="H1704" i="1" l="1"/>
  <c r="F1705" i="1"/>
  <c r="I1704" i="1" s="1"/>
  <c r="J1705" i="1" s="1"/>
  <c r="G1704" i="1"/>
  <c r="F1706" i="1" l="1"/>
  <c r="I1705" i="1" s="1"/>
  <c r="J1706" i="1" s="1"/>
  <c r="G1705" i="1"/>
  <c r="H1705" i="1"/>
  <c r="G1706" i="1" l="1"/>
  <c r="F1707" i="1"/>
  <c r="H1706" i="1"/>
  <c r="I1706" i="1" l="1"/>
  <c r="J1707" i="1" s="1"/>
  <c r="F1708" i="1"/>
  <c r="I1707" i="1" s="1"/>
  <c r="J1708" i="1" s="1"/>
  <c r="H1707" i="1"/>
  <c r="G1707" i="1"/>
  <c r="F1709" i="1" l="1"/>
  <c r="I1708" i="1" s="1"/>
  <c r="J1709" i="1" s="1"/>
  <c r="H1708" i="1"/>
  <c r="G1708" i="1"/>
  <c r="H1709" i="1" l="1"/>
  <c r="G1709" i="1"/>
  <c r="F1710" i="1"/>
  <c r="I1709" i="1" s="1"/>
  <c r="J1710" i="1" s="1"/>
  <c r="F1711" i="1" l="1"/>
  <c r="G1710" i="1"/>
  <c r="H1710" i="1"/>
  <c r="I1710" i="1" l="1"/>
  <c r="J1711" i="1" s="1"/>
  <c r="F1712" i="1"/>
  <c r="I1711" i="1" s="1"/>
  <c r="J1712" i="1" s="1"/>
  <c r="H1711" i="1"/>
  <c r="H1712" i="1" s="1"/>
  <c r="G1711" i="1"/>
  <c r="G1712" i="1" s="1"/>
  <c r="F1713" i="1" l="1"/>
  <c r="I1712" i="1" s="1"/>
  <c r="J1713" i="1" s="1"/>
  <c r="F1714" i="1" l="1"/>
  <c r="I1713" i="1" s="1"/>
  <c r="J1714" i="1" s="1"/>
  <c r="G1713" i="1"/>
  <c r="H1713" i="1"/>
  <c r="H1714" i="1" s="1"/>
  <c r="G1714" i="1" l="1"/>
  <c r="F1715" i="1"/>
  <c r="H1715" i="1" s="1"/>
  <c r="I1714" i="1" l="1"/>
  <c r="J1715" i="1" s="1"/>
  <c r="F1716" i="1"/>
  <c r="G1715" i="1"/>
  <c r="G1716" i="1" l="1"/>
  <c r="F1717" i="1"/>
  <c r="I1716" i="1" s="1"/>
  <c r="J1717" i="1" s="1"/>
  <c r="H1716" i="1"/>
  <c r="I1715" i="1"/>
  <c r="J1716" i="1" s="1"/>
  <c r="F1718" i="1" l="1"/>
  <c r="I1717" i="1" s="1"/>
  <c r="J1718" i="1" s="1"/>
  <c r="H1717" i="1"/>
  <c r="G1717" i="1"/>
  <c r="H1718" i="1" l="1"/>
  <c r="F1719" i="1"/>
  <c r="I1718" i="1" s="1"/>
  <c r="J1719" i="1" s="1"/>
  <c r="G1718" i="1"/>
  <c r="G1719" i="1" l="1"/>
  <c r="F1720" i="1"/>
  <c r="H1719" i="1"/>
  <c r="I1719" i="1" l="1"/>
  <c r="J1720" i="1" s="1"/>
  <c r="F1721" i="1"/>
  <c r="I1720" i="1" s="1"/>
  <c r="J1721" i="1" s="1"/>
  <c r="H1720" i="1"/>
  <c r="G1720" i="1"/>
  <c r="F1722" i="1" l="1"/>
  <c r="I1721" i="1" s="1"/>
  <c r="J1722" i="1" s="1"/>
  <c r="H1721" i="1"/>
  <c r="G1721" i="1"/>
  <c r="G1722" i="1" s="1"/>
  <c r="F1723" i="1" l="1"/>
  <c r="I1722" i="1" s="1"/>
  <c r="J1723" i="1" s="1"/>
  <c r="H1722" i="1"/>
  <c r="F1724" i="1" l="1"/>
  <c r="I1723" i="1" s="1"/>
  <c r="J1724" i="1" s="1"/>
  <c r="H1723" i="1"/>
  <c r="G1723" i="1"/>
  <c r="H1724" i="1" l="1"/>
  <c r="G1724" i="1"/>
  <c r="F1725" i="1"/>
  <c r="I1724" i="1" l="1"/>
  <c r="J1725" i="1" s="1"/>
  <c r="F1726" i="1"/>
  <c r="I1725" i="1" s="1"/>
  <c r="J1726" i="1" s="1"/>
  <c r="H1725" i="1"/>
  <c r="G1725" i="1"/>
  <c r="H1726" i="1" l="1"/>
  <c r="G1726" i="1"/>
  <c r="F1727" i="1"/>
  <c r="I1726" i="1" s="1"/>
  <c r="J1727" i="1" s="1"/>
  <c r="F1728" i="1" l="1"/>
  <c r="I1727" i="1" s="1"/>
  <c r="J1728" i="1" s="1"/>
  <c r="H1727" i="1"/>
  <c r="G1727" i="1"/>
  <c r="G1728" i="1" l="1"/>
  <c r="H1728" i="1"/>
  <c r="F1729" i="1"/>
  <c r="I1728" i="1" l="1"/>
  <c r="J1729" i="1" s="1"/>
  <c r="F1730" i="1"/>
  <c r="I1729" i="1" s="1"/>
  <c r="J1730" i="1" s="1"/>
  <c r="H1729" i="1"/>
  <c r="G1729" i="1"/>
  <c r="F1731" i="1" l="1"/>
  <c r="I1730" i="1" s="1"/>
  <c r="J1731" i="1" s="1"/>
  <c r="H1730" i="1"/>
  <c r="G1730" i="1"/>
  <c r="G1731" i="1" l="1"/>
  <c r="F1732" i="1"/>
  <c r="I1731" i="1" s="1"/>
  <c r="J1732" i="1" s="1"/>
  <c r="H1731" i="1"/>
  <c r="F1733" i="1" l="1"/>
  <c r="I1732" i="1" s="1"/>
  <c r="J1733" i="1" s="1"/>
  <c r="H1732" i="1"/>
  <c r="G1732" i="1"/>
  <c r="G1733" i="1" l="1"/>
  <c r="H1733" i="1"/>
  <c r="F1734" i="1"/>
  <c r="I1733" i="1" l="1"/>
  <c r="J1734" i="1" s="1"/>
  <c r="F1735" i="1"/>
  <c r="I1734" i="1" s="1"/>
  <c r="J1735" i="1" s="1"/>
  <c r="H1734" i="1"/>
  <c r="G1734" i="1"/>
  <c r="F1736" i="1" l="1"/>
  <c r="I1735" i="1" s="1"/>
  <c r="J1736" i="1" s="1"/>
  <c r="H1735" i="1"/>
  <c r="G1735" i="1"/>
  <c r="G1736" i="1" l="1"/>
  <c r="H1736" i="1"/>
  <c r="F1737" i="1"/>
  <c r="I1736" i="1" s="1"/>
  <c r="J1737" i="1" s="1"/>
  <c r="F1738" i="1" l="1"/>
  <c r="I1737" i="1" s="1"/>
  <c r="J1738" i="1" s="1"/>
  <c r="H1737" i="1"/>
  <c r="G1737" i="1"/>
  <c r="G1738" i="1" l="1"/>
  <c r="F1739" i="1"/>
  <c r="H1738" i="1"/>
  <c r="F1740" i="1" l="1"/>
  <c r="I1739" i="1" s="1"/>
  <c r="J1740" i="1" s="1"/>
  <c r="H1739" i="1"/>
  <c r="I1738" i="1"/>
  <c r="J1739" i="1" s="1"/>
  <c r="G1739" i="1"/>
  <c r="H1740" i="1" l="1"/>
  <c r="F1741" i="1"/>
  <c r="I1740" i="1" s="1"/>
  <c r="J1741" i="1" s="1"/>
  <c r="G1740" i="1"/>
  <c r="G1741" i="1" s="1"/>
  <c r="F1742" i="1" l="1"/>
  <c r="I1741" i="1" s="1"/>
  <c r="J1742" i="1" s="1"/>
  <c r="H1741" i="1"/>
  <c r="H1742" i="1" l="1"/>
  <c r="F1743" i="1"/>
  <c r="I1742" i="1" s="1"/>
  <c r="J1743" i="1" s="1"/>
  <c r="G1742" i="1"/>
  <c r="G1743" i="1" l="1"/>
  <c r="F1744" i="1"/>
  <c r="H1743" i="1"/>
  <c r="I1743" i="1" l="1"/>
  <c r="J1744" i="1" s="1"/>
  <c r="F1745" i="1"/>
  <c r="I1744" i="1" s="1"/>
  <c r="J1745" i="1" s="1"/>
  <c r="H1744" i="1"/>
  <c r="G1744" i="1"/>
  <c r="G1745" i="1" l="1"/>
  <c r="F1746" i="1"/>
  <c r="I1745" i="1" s="1"/>
  <c r="J1746" i="1" s="1"/>
  <c r="H1745" i="1"/>
  <c r="F1747" i="1" l="1"/>
  <c r="I1746" i="1" s="1"/>
  <c r="J1747" i="1" s="1"/>
  <c r="H1746" i="1"/>
  <c r="G1746" i="1"/>
  <c r="H1747" i="1" l="1"/>
  <c r="F1748" i="1"/>
  <c r="G1747" i="1"/>
  <c r="I1747" i="1" l="1"/>
  <c r="J1748" i="1" s="1"/>
  <c r="F1749" i="1"/>
  <c r="I1748" i="1" s="1"/>
  <c r="J1749" i="1" s="1"/>
  <c r="H1748" i="1"/>
  <c r="G1748" i="1"/>
  <c r="G1749" i="1" l="1"/>
  <c r="H1749" i="1"/>
  <c r="F1750" i="1"/>
  <c r="I1749" i="1" s="1"/>
  <c r="J1750" i="1" s="1"/>
  <c r="F1751" i="1" l="1"/>
  <c r="I1750" i="1" s="1"/>
  <c r="J1751" i="1" s="1"/>
  <c r="G1750" i="1"/>
  <c r="H1750" i="1"/>
  <c r="G1751" i="1" l="1"/>
  <c r="F1752" i="1"/>
  <c r="H1751" i="1"/>
  <c r="I1751" i="1" l="1"/>
  <c r="J1752" i="1" s="1"/>
  <c r="F1753" i="1"/>
  <c r="I1752" i="1" s="1"/>
  <c r="J1753" i="1" s="1"/>
  <c r="H1752" i="1"/>
  <c r="G1752" i="1"/>
  <c r="G1753" i="1" l="1"/>
  <c r="F1754" i="1"/>
  <c r="I1753" i="1" s="1"/>
  <c r="J1754" i="1" s="1"/>
  <c r="H1753" i="1"/>
  <c r="F1755" i="1" l="1"/>
  <c r="I1754" i="1" s="1"/>
  <c r="J1755" i="1" s="1"/>
  <c r="H1754" i="1"/>
  <c r="G1754" i="1"/>
  <c r="G1755" i="1" l="1"/>
  <c r="F1756" i="1"/>
  <c r="I1755" i="1" s="1"/>
  <c r="J1756" i="1" s="1"/>
  <c r="H1755" i="1"/>
  <c r="F1757" i="1" l="1"/>
  <c r="H1756" i="1"/>
  <c r="G1756" i="1"/>
  <c r="I1756" i="1" l="1"/>
  <c r="J1757" i="1" s="1"/>
  <c r="F1758" i="1"/>
  <c r="I1757" i="1" s="1"/>
  <c r="J1758" i="1" s="1"/>
  <c r="H1757" i="1"/>
  <c r="H1758" i="1" s="1"/>
  <c r="G1757" i="1"/>
  <c r="F1759" i="1" l="1"/>
  <c r="I1758" i="1" s="1"/>
  <c r="J1759" i="1" s="1"/>
  <c r="G1758" i="1"/>
  <c r="G1759" i="1" l="1"/>
  <c r="F1760" i="1"/>
  <c r="I1759" i="1" s="1"/>
  <c r="J1760" i="1" s="1"/>
  <c r="H1759" i="1"/>
  <c r="H1760" i="1" s="1"/>
  <c r="F1761" i="1" l="1"/>
  <c r="I1760" i="1" s="1"/>
  <c r="J1761" i="1" s="1"/>
  <c r="G1760" i="1"/>
  <c r="G1761" i="1" l="1"/>
  <c r="F1762" i="1"/>
  <c r="H1761" i="1"/>
  <c r="I1761" i="1" l="1"/>
  <c r="J1762" i="1" s="1"/>
  <c r="F1763" i="1"/>
  <c r="I1762" i="1" s="1"/>
  <c r="J1763" i="1" s="1"/>
  <c r="H1762" i="1"/>
  <c r="G1762" i="1"/>
  <c r="G1763" i="1" l="1"/>
  <c r="H1763" i="1"/>
  <c r="F1764" i="1"/>
  <c r="I1763" i="1" s="1"/>
  <c r="J1764" i="1" s="1"/>
  <c r="F1765" i="1" l="1"/>
  <c r="I1764" i="1" s="1"/>
  <c r="J1765" i="1" s="1"/>
  <c r="G1764" i="1"/>
  <c r="H1764" i="1"/>
  <c r="H1765" i="1" l="1"/>
  <c r="G1765" i="1"/>
  <c r="F1766" i="1"/>
  <c r="I1765" i="1" l="1"/>
  <c r="J1766" i="1" s="1"/>
  <c r="F1767" i="1"/>
  <c r="I1766" i="1" s="1"/>
  <c r="J1767" i="1" s="1"/>
  <c r="H1766" i="1"/>
  <c r="G1766" i="1"/>
  <c r="F1768" i="1" l="1"/>
  <c r="I1767" i="1" s="1"/>
  <c r="J1768" i="1" s="1"/>
  <c r="H1767" i="1"/>
  <c r="G1767" i="1"/>
  <c r="G1768" i="1" l="1"/>
  <c r="H1768" i="1"/>
  <c r="F1769" i="1"/>
  <c r="I1768" i="1" s="1"/>
  <c r="J1769" i="1" s="1"/>
  <c r="F1770" i="1" l="1"/>
  <c r="I1769" i="1" s="1"/>
  <c r="J1770" i="1" s="1"/>
  <c r="H1769" i="1"/>
  <c r="G1769" i="1"/>
  <c r="G1770" i="1" l="1"/>
  <c r="F1771" i="1"/>
  <c r="H1770" i="1"/>
  <c r="I1770" i="1" l="1"/>
  <c r="J1771" i="1" s="1"/>
  <c r="F1772" i="1"/>
  <c r="I1771" i="1" s="1"/>
  <c r="J1772" i="1" s="1"/>
  <c r="H1771" i="1"/>
  <c r="G1771" i="1"/>
  <c r="G1772" i="1" l="1"/>
  <c r="F1773" i="1"/>
  <c r="I1772" i="1" s="1"/>
  <c r="J1773" i="1" s="1"/>
  <c r="H1772" i="1"/>
  <c r="H1773" i="1" l="1"/>
  <c r="F1774" i="1"/>
  <c r="I1773" i="1" s="1"/>
  <c r="J1774" i="1" s="1"/>
  <c r="G1773" i="1"/>
  <c r="F1775" i="1" l="1"/>
  <c r="I1774" i="1" s="1"/>
  <c r="J1775" i="1" s="1"/>
  <c r="G1774" i="1"/>
  <c r="H1774" i="1"/>
  <c r="G1775" i="1" l="1"/>
  <c r="F1776" i="1"/>
  <c r="H1775" i="1"/>
  <c r="I1775" i="1" l="1"/>
  <c r="J1776" i="1" s="1"/>
  <c r="F1777" i="1"/>
  <c r="I1776" i="1" s="1"/>
  <c r="J1777" i="1" s="1"/>
  <c r="H1776" i="1"/>
  <c r="G1776" i="1"/>
  <c r="G1777" i="1" l="1"/>
  <c r="F1778" i="1"/>
  <c r="I1777" i="1" s="1"/>
  <c r="J1778" i="1" s="1"/>
  <c r="H1777" i="1"/>
  <c r="F1779" i="1" l="1"/>
  <c r="I1778" i="1" s="1"/>
  <c r="J1779" i="1" s="1"/>
  <c r="H1778" i="1"/>
  <c r="G1778" i="1"/>
  <c r="G1779" i="1" l="1"/>
  <c r="F1780" i="1"/>
  <c r="H1779" i="1"/>
  <c r="F1781" i="1" l="1"/>
  <c r="H1780" i="1"/>
  <c r="G1780" i="1"/>
  <c r="I1779" i="1"/>
  <c r="J1780" i="1" s="1"/>
  <c r="I1780" i="1" l="1"/>
  <c r="J1781" i="1" s="1"/>
  <c r="F1782" i="1"/>
  <c r="H1781" i="1"/>
  <c r="I1781" i="1"/>
  <c r="J1782" i="1" s="1"/>
  <c r="G1781" i="1"/>
  <c r="G1782" i="1" s="1"/>
  <c r="H1782" i="1" l="1"/>
  <c r="F1783" i="1"/>
  <c r="I1782" i="1" s="1"/>
  <c r="J1783" i="1" s="1"/>
  <c r="F1784" i="1" l="1"/>
  <c r="I1783" i="1" s="1"/>
  <c r="J1784" i="1" s="1"/>
  <c r="H1783" i="1"/>
  <c r="G1783" i="1"/>
  <c r="G1784" i="1" l="1"/>
  <c r="H1784" i="1"/>
  <c r="F1785" i="1"/>
  <c r="I1784" i="1" l="1"/>
  <c r="J1785" i="1" s="1"/>
  <c r="F1786" i="1"/>
  <c r="I1785" i="1" s="1"/>
  <c r="J1786" i="1" s="1"/>
  <c r="H1785" i="1"/>
  <c r="G1785" i="1"/>
  <c r="G1786" i="1" l="1"/>
  <c r="F1787" i="1"/>
  <c r="I1786" i="1" s="1"/>
  <c r="J1787" i="1" s="1"/>
  <c r="H1786" i="1"/>
  <c r="F1788" i="1" l="1"/>
  <c r="I1787" i="1" s="1"/>
  <c r="J1788" i="1" s="1"/>
  <c r="H1787" i="1"/>
  <c r="G1787" i="1"/>
  <c r="G1788" i="1" l="1"/>
  <c r="F1789" i="1"/>
  <c r="I1788" i="1" s="1"/>
  <c r="J1789" i="1" s="1"/>
  <c r="H1788" i="1"/>
  <c r="H1789" i="1" l="1"/>
  <c r="F1790" i="1"/>
  <c r="G1789" i="1"/>
  <c r="I1789" i="1" l="1"/>
  <c r="J1790" i="1" s="1"/>
  <c r="F1791" i="1"/>
  <c r="I1790" i="1" s="1"/>
  <c r="J1791" i="1" s="1"/>
  <c r="H1790" i="1"/>
  <c r="G1790" i="1"/>
  <c r="F1792" i="1" l="1"/>
  <c r="I1791" i="1" s="1"/>
  <c r="J1792" i="1" s="1"/>
  <c r="H1791" i="1"/>
  <c r="G1791" i="1"/>
  <c r="G1792" i="1" l="1"/>
  <c r="H1792" i="1"/>
  <c r="F1793" i="1"/>
  <c r="I1792" i="1" s="1"/>
  <c r="J1793" i="1" s="1"/>
  <c r="F1794" i="1" l="1"/>
  <c r="I1793" i="1" s="1"/>
  <c r="J1794" i="1" s="1"/>
  <c r="H1793" i="1"/>
  <c r="G1793" i="1"/>
  <c r="G1794" i="1" l="1"/>
  <c r="H1794" i="1"/>
  <c r="F1795" i="1"/>
  <c r="I1794" i="1" l="1"/>
  <c r="J1795" i="1" s="1"/>
  <c r="F1796" i="1"/>
  <c r="I1795" i="1" s="1"/>
  <c r="J1796" i="1" s="1"/>
  <c r="H1795" i="1"/>
  <c r="G1795" i="1"/>
  <c r="G1796" i="1" l="1"/>
  <c r="F1797" i="1"/>
  <c r="I1796" i="1" s="1"/>
  <c r="J1797" i="1" s="1"/>
  <c r="H1796" i="1"/>
  <c r="H1797" i="1" l="1"/>
  <c r="F1798" i="1"/>
  <c r="I1797" i="1" s="1"/>
  <c r="J1798" i="1" s="1"/>
  <c r="G1797" i="1"/>
  <c r="F1799" i="1" l="1"/>
  <c r="I1798" i="1" s="1"/>
  <c r="J1799" i="1" s="1"/>
  <c r="G1798" i="1"/>
  <c r="H1798" i="1"/>
  <c r="H1799" i="1" l="1"/>
  <c r="G1799" i="1"/>
  <c r="F1800" i="1"/>
  <c r="I1799" i="1" l="1"/>
  <c r="J1800" i="1" s="1"/>
  <c r="F1801" i="1"/>
  <c r="I1800" i="1" s="1"/>
  <c r="J1801" i="1" s="1"/>
  <c r="H1800" i="1"/>
  <c r="G1800" i="1"/>
  <c r="G1801" i="1" s="1"/>
  <c r="F1802" i="1" l="1"/>
  <c r="I1801" i="1" s="1"/>
  <c r="J1802" i="1" s="1"/>
  <c r="H1801" i="1"/>
  <c r="F1803" i="1" l="1"/>
  <c r="I1802" i="1" s="1"/>
  <c r="J1803" i="1" s="1"/>
  <c r="H1802" i="1"/>
  <c r="G1802" i="1"/>
  <c r="G1803" i="1" l="1"/>
  <c r="F1804" i="1"/>
  <c r="I1803" i="1" s="1"/>
  <c r="J1804" i="1" s="1"/>
  <c r="H1803" i="1"/>
  <c r="H1804" i="1" l="1"/>
  <c r="F1805" i="1"/>
  <c r="G1804" i="1"/>
  <c r="I1804" i="1" l="1"/>
  <c r="J1805" i="1" s="1"/>
  <c r="F1806" i="1"/>
  <c r="I1805" i="1" s="1"/>
  <c r="J1806" i="1" s="1"/>
  <c r="H1805" i="1"/>
  <c r="H1806" i="1" s="1"/>
  <c r="G1805" i="1"/>
  <c r="G1806" i="1" l="1"/>
  <c r="F1807" i="1"/>
  <c r="I1806" i="1" s="1"/>
  <c r="J1807" i="1" s="1"/>
  <c r="F1808" i="1" l="1"/>
  <c r="I1807" i="1" s="1"/>
  <c r="J1808" i="1" s="1"/>
  <c r="H1807" i="1"/>
  <c r="G1807" i="1"/>
  <c r="G1808" i="1" l="1"/>
  <c r="H1808" i="1"/>
  <c r="F1809" i="1"/>
  <c r="I1808" i="1" s="1"/>
  <c r="J1809" i="1" s="1"/>
  <c r="F1810" i="1" l="1"/>
  <c r="H1809" i="1"/>
  <c r="G1809" i="1"/>
  <c r="I1809" i="1" l="1"/>
  <c r="J1810" i="1" s="1"/>
  <c r="F1811" i="1"/>
  <c r="I1810" i="1" s="1"/>
  <c r="J1811" i="1" s="1"/>
  <c r="H1810" i="1"/>
  <c r="G1810" i="1"/>
  <c r="G1811" i="1" l="1"/>
  <c r="F1812" i="1"/>
  <c r="I1811" i="1" s="1"/>
  <c r="J1812" i="1" s="1"/>
  <c r="H1811" i="1"/>
  <c r="F1813" i="1" l="1"/>
  <c r="I1812" i="1" s="1"/>
  <c r="J1813" i="1" s="1"/>
  <c r="H1812" i="1"/>
  <c r="G1812" i="1"/>
  <c r="G1813" i="1" l="1"/>
  <c r="H1813" i="1"/>
  <c r="F1814" i="1"/>
  <c r="I1813" i="1" l="1"/>
  <c r="J1814" i="1" s="1"/>
  <c r="F1815" i="1"/>
  <c r="I1814" i="1" s="1"/>
  <c r="J1815" i="1" s="1"/>
  <c r="H1814" i="1"/>
  <c r="G1814" i="1"/>
  <c r="G1815" i="1" l="1"/>
  <c r="F1816" i="1"/>
  <c r="I1815" i="1" s="1"/>
  <c r="J1816" i="1" s="1"/>
  <c r="H1815" i="1"/>
  <c r="H1816" i="1" l="1"/>
  <c r="F1817" i="1"/>
  <c r="G1816" i="1"/>
  <c r="G1817" i="1" l="1"/>
  <c r="F1818" i="1"/>
  <c r="I1817" i="1" s="1"/>
  <c r="J1818" i="1" s="1"/>
  <c r="I1816" i="1"/>
  <c r="J1817" i="1" s="1"/>
  <c r="H1817" i="1"/>
  <c r="H1818" i="1" s="1"/>
  <c r="G1818" i="1" l="1"/>
  <c r="F1819" i="1"/>
  <c r="I1818" i="1" s="1"/>
  <c r="J1819" i="1" s="1"/>
  <c r="F1820" i="1" l="1"/>
  <c r="I1819" i="1" s="1"/>
  <c r="J1820" i="1" s="1"/>
  <c r="H1819" i="1"/>
  <c r="G1819" i="1"/>
  <c r="G1820" i="1" l="1"/>
  <c r="F1821" i="1"/>
  <c r="I1820" i="1" s="1"/>
  <c r="J1821" i="1" s="1"/>
  <c r="H1820" i="1"/>
  <c r="H1821" i="1" l="1"/>
  <c r="F1822" i="1"/>
  <c r="I1821" i="1" s="1"/>
  <c r="J1822" i="1" s="1"/>
  <c r="G1821" i="1"/>
  <c r="F1823" i="1" l="1"/>
  <c r="I1822" i="1" s="1"/>
  <c r="J1823" i="1" s="1"/>
  <c r="G1822" i="1"/>
  <c r="H1822" i="1"/>
  <c r="H1823" i="1" l="1"/>
  <c r="G1823" i="1"/>
  <c r="F1824" i="1"/>
  <c r="I1823" i="1" l="1"/>
  <c r="J1824" i="1" s="1"/>
  <c r="F1825" i="1"/>
  <c r="I1824" i="1" s="1"/>
  <c r="J1825" i="1" s="1"/>
  <c r="H1824" i="1"/>
  <c r="G1824" i="1"/>
  <c r="G1825" i="1" s="1"/>
  <c r="F1826" i="1" l="1"/>
  <c r="I1825" i="1" s="1"/>
  <c r="J1826" i="1" s="1"/>
  <c r="H1825" i="1"/>
  <c r="F1827" i="1" l="1"/>
  <c r="I1826" i="1" s="1"/>
  <c r="J1827" i="1" s="1"/>
  <c r="H1826" i="1"/>
  <c r="G1826" i="1"/>
  <c r="G1827" i="1" l="1"/>
  <c r="F1828" i="1"/>
  <c r="I1827" i="1" s="1"/>
  <c r="J1828" i="1" s="1"/>
  <c r="H1827" i="1"/>
  <c r="H1828" i="1" l="1"/>
  <c r="F1829" i="1"/>
  <c r="G1828" i="1"/>
  <c r="I1828" i="1" l="1"/>
  <c r="J1829" i="1" s="1"/>
  <c r="F1830" i="1"/>
  <c r="I1829" i="1" s="1"/>
  <c r="J1830" i="1" s="1"/>
  <c r="H1829" i="1"/>
  <c r="H1830" i="1" s="1"/>
  <c r="G1829" i="1"/>
  <c r="G1830" i="1" l="1"/>
  <c r="F1831" i="1"/>
  <c r="I1830" i="1" s="1"/>
  <c r="J1831" i="1" s="1"/>
  <c r="F1832" i="1" l="1"/>
  <c r="I1831" i="1" s="1"/>
  <c r="J1832" i="1" s="1"/>
  <c r="H1831" i="1"/>
  <c r="G1831" i="1"/>
  <c r="G1832" i="1" l="1"/>
  <c r="H1832" i="1"/>
  <c r="F1833" i="1"/>
  <c r="I1832" i="1" s="1"/>
  <c r="J1833" i="1" s="1"/>
  <c r="F1834" i="1" l="1"/>
  <c r="G1833" i="1"/>
  <c r="H1833" i="1"/>
  <c r="I1833" i="1" l="1"/>
  <c r="J1834" i="1" s="1"/>
  <c r="F1835" i="1"/>
  <c r="I1834" i="1" s="1"/>
  <c r="J1835" i="1" s="1"/>
  <c r="H1834" i="1"/>
  <c r="G1834" i="1"/>
  <c r="G1835" i="1" l="1"/>
  <c r="F1836" i="1"/>
  <c r="I1835" i="1" s="1"/>
  <c r="J1836" i="1" s="1"/>
  <c r="H1835" i="1"/>
  <c r="F1837" i="1" l="1"/>
  <c r="I1836" i="1" s="1"/>
  <c r="J1837" i="1" s="1"/>
  <c r="H1836" i="1"/>
  <c r="G1836" i="1"/>
  <c r="G1837" i="1" l="1"/>
  <c r="H1837" i="1"/>
  <c r="F1838" i="1"/>
  <c r="F1839" i="1" l="1"/>
  <c r="G1838" i="1"/>
  <c r="I1837" i="1"/>
  <c r="J1838" i="1" s="1"/>
  <c r="H1838" i="1"/>
  <c r="I1838" i="1" l="1"/>
  <c r="J1839" i="1" s="1"/>
  <c r="F1840" i="1"/>
  <c r="I1839" i="1" s="1"/>
  <c r="J1840" i="1" s="1"/>
  <c r="H1839" i="1"/>
  <c r="G1839" i="1"/>
  <c r="H1840" i="1" l="1"/>
  <c r="G1840" i="1"/>
  <c r="F1841" i="1"/>
  <c r="I1840" i="1" s="1"/>
  <c r="J1841" i="1" s="1"/>
  <c r="F1842" i="1" l="1"/>
  <c r="I1841" i="1" s="1"/>
  <c r="J1842" i="1" s="1"/>
  <c r="H1841" i="1"/>
  <c r="G1841" i="1"/>
  <c r="F1843" i="1" l="1"/>
  <c r="I1842" i="1" s="1"/>
  <c r="J1843" i="1" s="1"/>
  <c r="H1842" i="1"/>
  <c r="G1842" i="1"/>
  <c r="G1843" i="1" l="1"/>
  <c r="H1843" i="1"/>
  <c r="F1844" i="1"/>
  <c r="I1843" i="1" s="1"/>
  <c r="J1844" i="1" s="1"/>
  <c r="F1845" i="1" l="1"/>
  <c r="I1844" i="1" s="1"/>
  <c r="J1845" i="1" s="1"/>
  <c r="H1844" i="1"/>
  <c r="H1845" i="1" s="1"/>
  <c r="G1844" i="1"/>
  <c r="G1845" i="1" s="1"/>
  <c r="F1846" i="1" l="1"/>
  <c r="I1845" i="1" s="1"/>
  <c r="J1846" i="1" s="1"/>
  <c r="F1847" i="1" l="1"/>
  <c r="I1846" i="1" s="1"/>
  <c r="J1847" i="1" s="1"/>
  <c r="H1846" i="1"/>
  <c r="G1846" i="1"/>
  <c r="G1847" i="1" l="1"/>
  <c r="F1848" i="1"/>
  <c r="I1847" i="1" s="1"/>
  <c r="J1848" i="1" s="1"/>
  <c r="H1847" i="1"/>
  <c r="H1848" i="1" s="1"/>
  <c r="F1849" i="1" l="1"/>
  <c r="G1848" i="1"/>
  <c r="I1848" i="1" l="1"/>
  <c r="J1849" i="1" s="1"/>
  <c r="F1850" i="1"/>
  <c r="H1849" i="1"/>
  <c r="I1849" i="1"/>
  <c r="J1850" i="1" s="1"/>
  <c r="G1849" i="1"/>
  <c r="F1851" i="1" l="1"/>
  <c r="I1850" i="1" s="1"/>
  <c r="J1851" i="1" s="1"/>
  <c r="H1850" i="1"/>
  <c r="G1850" i="1"/>
  <c r="G1851" i="1" l="1"/>
  <c r="F1852" i="1"/>
  <c r="I1851" i="1" s="1"/>
  <c r="J1852" i="1" s="1"/>
  <c r="H1851" i="1"/>
  <c r="F1853" i="1" l="1"/>
  <c r="H1852" i="1"/>
  <c r="G1852" i="1"/>
  <c r="I1852" i="1" l="1"/>
  <c r="J1853" i="1" s="1"/>
  <c r="F1854" i="1"/>
  <c r="I1853" i="1" s="1"/>
  <c r="J1854" i="1" s="1"/>
  <c r="H1853" i="1"/>
  <c r="G1853" i="1"/>
  <c r="H1854" i="1" l="1"/>
  <c r="G1854" i="1"/>
  <c r="F1855" i="1"/>
  <c r="G1855" i="1" s="1"/>
  <c r="I1854" i="1" l="1"/>
  <c r="J1855" i="1" s="1"/>
  <c r="F1856" i="1"/>
  <c r="I1855" i="1" s="1"/>
  <c r="J1856" i="1" s="1"/>
  <c r="H1855" i="1"/>
  <c r="F1857" i="1" l="1"/>
  <c r="I1856" i="1" s="1"/>
  <c r="J1857" i="1" s="1"/>
  <c r="H1856" i="1"/>
  <c r="H1857" i="1" s="1"/>
  <c r="G1856" i="1"/>
  <c r="G1857" i="1" s="1"/>
  <c r="F1858" i="1" l="1"/>
  <c r="I1857" i="1" s="1"/>
  <c r="J1858" i="1" s="1"/>
  <c r="F1859" i="1" l="1"/>
  <c r="I1858" i="1" s="1"/>
  <c r="J1859" i="1" s="1"/>
  <c r="H1858" i="1"/>
  <c r="G1858" i="1"/>
  <c r="G1859" i="1" l="1"/>
  <c r="F1860" i="1"/>
  <c r="I1859" i="1" s="1"/>
  <c r="J1860" i="1" s="1"/>
  <c r="H1859" i="1"/>
  <c r="H1860" i="1" s="1"/>
  <c r="F1861" i="1" l="1"/>
  <c r="I1860" i="1" s="1"/>
  <c r="J1861" i="1" s="1"/>
  <c r="G1860" i="1"/>
  <c r="G1861" i="1" l="1"/>
  <c r="F1862" i="1"/>
  <c r="I1861" i="1" s="1"/>
  <c r="J1862" i="1" s="1"/>
  <c r="H1861" i="1"/>
  <c r="H1862" i="1" s="1"/>
  <c r="F1863" i="1" l="1"/>
  <c r="G1862" i="1"/>
  <c r="I1862" i="1" l="1"/>
  <c r="J1863" i="1" s="1"/>
  <c r="F1864" i="1"/>
  <c r="I1863" i="1" s="1"/>
  <c r="J1864" i="1" s="1"/>
  <c r="H1863" i="1"/>
  <c r="G1863" i="1"/>
  <c r="H1864" i="1" l="1"/>
  <c r="F1865" i="1"/>
  <c r="I1864" i="1" s="1"/>
  <c r="J1865" i="1" s="1"/>
  <c r="G1864" i="1"/>
  <c r="G1865" i="1" l="1"/>
  <c r="F1866" i="1"/>
  <c r="I1865" i="1" s="1"/>
  <c r="J1866" i="1" s="1"/>
  <c r="H1865" i="1"/>
  <c r="F1867" i="1" l="1"/>
  <c r="H1866" i="1"/>
  <c r="I1866" i="1"/>
  <c r="J1867" i="1" s="1"/>
  <c r="G1866" i="1"/>
  <c r="G1867" i="1" s="1"/>
  <c r="F1868" i="1" l="1"/>
  <c r="H1867" i="1"/>
  <c r="I1867" i="1" s="1"/>
  <c r="J1868" i="1" s="1"/>
  <c r="F1869" i="1" l="1"/>
  <c r="H1868" i="1"/>
  <c r="H1869" i="1" s="1"/>
  <c r="I1868" i="1"/>
  <c r="J1869" i="1" s="1"/>
  <c r="G1868" i="1"/>
  <c r="G1869" i="1" s="1"/>
  <c r="F1870" i="1" l="1"/>
  <c r="I1869" i="1" s="1"/>
  <c r="J1870" i="1" s="1"/>
  <c r="F1871" i="1" l="1"/>
  <c r="I1870" i="1" s="1"/>
  <c r="J1871" i="1" s="1"/>
  <c r="G1870" i="1"/>
  <c r="H1870" i="1"/>
  <c r="H1871" i="1" s="1"/>
  <c r="G1871" i="1" l="1"/>
  <c r="F1872" i="1"/>
  <c r="I1871" i="1" s="1"/>
  <c r="J1872" i="1" s="1"/>
  <c r="F1873" i="1" l="1"/>
  <c r="G1872" i="1"/>
  <c r="H1872" i="1"/>
  <c r="I1872" i="1" s="1"/>
  <c r="J1873" i="1" s="1"/>
  <c r="F1874" i="1" l="1"/>
  <c r="I1873" i="1" s="1"/>
  <c r="J1874" i="1" s="1"/>
  <c r="H1873" i="1"/>
  <c r="G1873" i="1"/>
  <c r="G1874" i="1" l="1"/>
  <c r="F1875" i="1"/>
  <c r="I1874" i="1" s="1"/>
  <c r="J1875" i="1" s="1"/>
  <c r="H1874" i="1"/>
  <c r="H1875" i="1" l="1"/>
  <c r="F1876" i="1"/>
  <c r="I1875" i="1" s="1"/>
  <c r="J1876" i="1" s="1"/>
  <c r="G1875" i="1"/>
  <c r="G1876" i="1" l="1"/>
  <c r="F1877" i="1"/>
  <c r="I1876" i="1" s="1"/>
  <c r="J1877" i="1" s="1"/>
  <c r="H1876" i="1"/>
  <c r="H1877" i="1" l="1"/>
  <c r="F1878" i="1"/>
  <c r="G1877" i="1"/>
  <c r="I1877" i="1" l="1"/>
  <c r="J1878" i="1" s="1"/>
  <c r="F1879" i="1"/>
  <c r="I1878" i="1" s="1"/>
  <c r="J1879" i="1" s="1"/>
  <c r="H1878" i="1"/>
  <c r="G1878" i="1"/>
  <c r="F1880" i="1" l="1"/>
  <c r="I1879" i="1" s="1"/>
  <c r="J1880" i="1" s="1"/>
  <c r="H1879" i="1"/>
  <c r="H1880" i="1" s="1"/>
  <c r="G1879" i="1"/>
  <c r="G1880" i="1" l="1"/>
  <c r="F1881" i="1"/>
  <c r="I1880" i="1" s="1"/>
  <c r="J1881" i="1" s="1"/>
  <c r="F1882" i="1" l="1"/>
  <c r="H1881" i="1"/>
  <c r="G1881" i="1"/>
  <c r="I1881" i="1" l="1"/>
  <c r="J1882" i="1" s="1"/>
  <c r="F1883" i="1"/>
  <c r="I1882" i="1" s="1"/>
  <c r="J1883" i="1" s="1"/>
  <c r="H1882" i="1"/>
  <c r="G1882" i="1"/>
  <c r="G1883" i="1" s="1"/>
  <c r="H1883" i="1" l="1"/>
  <c r="F1884" i="1"/>
  <c r="I1883" i="1" s="1"/>
  <c r="J1884" i="1" s="1"/>
  <c r="F1885" i="1" l="1"/>
  <c r="I1884" i="1" s="1"/>
  <c r="J1885" i="1" s="1"/>
  <c r="H1884" i="1"/>
  <c r="H1885" i="1" s="1"/>
  <c r="G1884" i="1"/>
  <c r="G1885" i="1" s="1"/>
  <c r="F1886" i="1" l="1"/>
  <c r="I1885" i="1" s="1"/>
  <c r="J1886" i="1" s="1"/>
  <c r="F1887" i="1" l="1"/>
  <c r="G1886" i="1"/>
  <c r="H1886" i="1"/>
  <c r="I1886" i="1" l="1"/>
  <c r="J1887" i="1" s="1"/>
  <c r="F1888" i="1"/>
  <c r="I1887" i="1" s="1"/>
  <c r="J1888" i="1" s="1"/>
  <c r="H1887" i="1"/>
  <c r="G1887" i="1"/>
  <c r="G1888" i="1" s="1"/>
  <c r="H1888" i="1" l="1"/>
  <c r="F1889" i="1"/>
  <c r="I1888" i="1" s="1"/>
  <c r="J1889" i="1" s="1"/>
  <c r="F1890" i="1" l="1"/>
  <c r="I1889" i="1" s="1"/>
  <c r="J1890" i="1" s="1"/>
  <c r="H1889" i="1"/>
  <c r="H1890" i="1" s="1"/>
  <c r="G1889" i="1"/>
  <c r="G1890" i="1" l="1"/>
  <c r="F1891" i="1"/>
  <c r="I1890" i="1" s="1"/>
  <c r="J1891" i="1" s="1"/>
  <c r="F1892" i="1" l="1"/>
  <c r="G1891" i="1"/>
  <c r="H1891" i="1"/>
  <c r="I1891" i="1" l="1"/>
  <c r="J1892" i="1" s="1"/>
  <c r="F1893" i="1"/>
  <c r="I1892" i="1" s="1"/>
  <c r="J1893" i="1" s="1"/>
  <c r="H1892" i="1"/>
  <c r="G1892" i="1"/>
  <c r="H1893" i="1" l="1"/>
  <c r="G1893" i="1"/>
  <c r="F1894" i="1"/>
  <c r="I1893" i="1" s="1"/>
  <c r="J1894" i="1" s="1"/>
  <c r="F1895" i="1" l="1"/>
  <c r="I1894" i="1" s="1"/>
  <c r="J1895" i="1" s="1"/>
  <c r="H1894" i="1"/>
  <c r="G1894" i="1"/>
  <c r="G1895" i="1" s="1"/>
  <c r="F1896" i="1" l="1"/>
  <c r="I1895" i="1" s="1"/>
  <c r="J1896" i="1" s="1"/>
  <c r="H1895" i="1"/>
  <c r="H1896" i="1" s="1"/>
  <c r="F1897" i="1" l="1"/>
  <c r="G1896" i="1"/>
  <c r="I1896" i="1" l="1"/>
  <c r="J1897" i="1" s="1"/>
  <c r="F1898" i="1"/>
  <c r="I1897" i="1" s="1"/>
  <c r="J1898" i="1" s="1"/>
  <c r="H1897" i="1"/>
  <c r="G1897" i="1"/>
  <c r="G1898" i="1" l="1"/>
  <c r="F1899" i="1"/>
  <c r="I1898" i="1" s="1"/>
  <c r="J1899" i="1" s="1"/>
  <c r="H1898" i="1"/>
  <c r="F1900" i="1" l="1"/>
  <c r="I1899" i="1" s="1"/>
  <c r="J1900" i="1" s="1"/>
  <c r="H1899" i="1"/>
  <c r="G1899" i="1"/>
  <c r="G1900" i="1" l="1"/>
  <c r="F1901" i="1"/>
  <c r="I1900" i="1" s="1"/>
  <c r="J1901" i="1" s="1"/>
  <c r="H1900" i="1"/>
  <c r="H1901" i="1" l="1"/>
  <c r="F1902" i="1"/>
  <c r="G1901" i="1"/>
  <c r="G1902" i="1" l="1"/>
  <c r="I1901" i="1"/>
  <c r="J1902" i="1" s="1"/>
  <c r="F1903" i="1"/>
  <c r="I1902" i="1" s="1"/>
  <c r="J1903" i="1" s="1"/>
  <c r="H1902" i="1"/>
  <c r="F1904" i="1" l="1"/>
  <c r="I1903" i="1" s="1"/>
  <c r="J1904" i="1" s="1"/>
  <c r="H1903" i="1"/>
  <c r="G1903" i="1"/>
  <c r="G1904" i="1" l="1"/>
  <c r="H1904" i="1"/>
  <c r="F1905" i="1"/>
  <c r="I1904" i="1" s="1"/>
  <c r="J1905" i="1" s="1"/>
  <c r="F1906" i="1" l="1"/>
  <c r="I1905" i="1" s="1"/>
  <c r="J1906" i="1" s="1"/>
  <c r="G1905" i="1"/>
  <c r="H1905" i="1"/>
  <c r="G1906" i="1" l="1"/>
  <c r="F1907" i="1"/>
  <c r="H1906" i="1"/>
  <c r="I1906" i="1" l="1"/>
  <c r="J1907" i="1" s="1"/>
  <c r="F1908" i="1"/>
  <c r="I1907" i="1" s="1"/>
  <c r="J1908" i="1" s="1"/>
  <c r="H1907" i="1"/>
  <c r="G1907" i="1"/>
  <c r="F1909" i="1" l="1"/>
  <c r="I1908" i="1" s="1"/>
  <c r="J1909" i="1" s="1"/>
  <c r="H1908" i="1"/>
  <c r="H1909" i="1" s="1"/>
  <c r="G1908" i="1"/>
  <c r="F1910" i="1" l="1"/>
  <c r="I1909" i="1" s="1"/>
  <c r="J1910" i="1" s="1"/>
  <c r="G1909" i="1"/>
  <c r="F1911" i="1" l="1"/>
  <c r="I1910" i="1" s="1"/>
  <c r="J1911" i="1" s="1"/>
  <c r="G1910" i="1"/>
  <c r="G1911" i="1" s="1"/>
  <c r="H1910" i="1"/>
  <c r="H1911" i="1" s="1"/>
  <c r="F1912" i="1" l="1"/>
  <c r="I1911" i="1" s="1"/>
  <c r="J1912" i="1" s="1"/>
  <c r="F1913" i="1" l="1"/>
  <c r="I1912" i="1" s="1"/>
  <c r="J1913" i="1" s="1"/>
  <c r="H1912" i="1"/>
  <c r="G1912" i="1"/>
  <c r="G1913" i="1" s="1"/>
  <c r="F1914" i="1" l="1"/>
  <c r="I1913" i="1" s="1"/>
  <c r="J1914" i="1" s="1"/>
  <c r="H1913" i="1"/>
  <c r="F1915" i="1" l="1"/>
  <c r="I1914" i="1" s="1"/>
  <c r="J1915" i="1" s="1"/>
  <c r="H1914" i="1"/>
  <c r="G1914" i="1"/>
  <c r="G1915" i="1" l="1"/>
  <c r="F1916" i="1"/>
  <c r="I1915" i="1" s="1"/>
  <c r="J1916" i="1" s="1"/>
  <c r="H1915" i="1"/>
  <c r="F1917" i="1" l="1"/>
  <c r="H1916" i="1"/>
  <c r="G1916" i="1"/>
  <c r="G1917" i="1" s="1"/>
  <c r="I1916" i="1" l="1"/>
  <c r="J1917" i="1" s="1"/>
  <c r="F1918" i="1"/>
  <c r="I1917" i="1" s="1"/>
  <c r="J1918" i="1" s="1"/>
  <c r="H1917" i="1"/>
  <c r="H1918" i="1" l="1"/>
  <c r="F1919" i="1"/>
  <c r="I1918" i="1" s="1"/>
  <c r="J1919" i="1" s="1"/>
  <c r="G1918" i="1"/>
  <c r="G1919" i="1" s="1"/>
  <c r="F1920" i="1" l="1"/>
  <c r="I1919" i="1" s="1"/>
  <c r="J1920" i="1" s="1"/>
  <c r="H1919" i="1"/>
  <c r="H1920" i="1" s="1"/>
  <c r="F1921" i="1" l="1"/>
  <c r="G1920" i="1"/>
  <c r="I1920" i="1" l="1"/>
  <c r="J1921" i="1" s="1"/>
  <c r="F1922" i="1"/>
  <c r="I1921" i="1" s="1"/>
  <c r="J1922" i="1" s="1"/>
  <c r="H1921" i="1"/>
  <c r="G1921" i="1"/>
  <c r="F1923" i="1" l="1"/>
  <c r="I1922" i="1" s="1"/>
  <c r="J1923" i="1" s="1"/>
  <c r="H1922" i="1"/>
  <c r="H1923" i="1" s="1"/>
  <c r="G1922" i="1"/>
  <c r="G1923" i="1" s="1"/>
  <c r="F1924" i="1" l="1"/>
  <c r="I1923" i="1" s="1"/>
  <c r="J1924" i="1" s="1"/>
  <c r="F1925" i="1" l="1"/>
  <c r="I1924" i="1" s="1"/>
  <c r="J1925" i="1" s="1"/>
  <c r="H1924" i="1"/>
  <c r="G1924" i="1"/>
  <c r="G1925" i="1" l="1"/>
  <c r="H1925" i="1"/>
  <c r="F1926" i="1"/>
  <c r="I1925" i="1" l="1"/>
  <c r="J1926" i="1" s="1"/>
  <c r="F1927" i="1"/>
  <c r="I1926" i="1" s="1"/>
  <c r="J1927" i="1" s="1"/>
  <c r="H1926" i="1"/>
  <c r="G1926" i="1"/>
  <c r="F1928" i="1" l="1"/>
  <c r="I1927" i="1" s="1"/>
  <c r="J1928" i="1" s="1"/>
  <c r="H1927" i="1"/>
  <c r="G1927" i="1"/>
  <c r="G1928" i="1" l="1"/>
  <c r="H1928" i="1"/>
  <c r="F1929" i="1"/>
  <c r="H1929" i="1" s="1"/>
  <c r="I1928" i="1" l="1"/>
  <c r="J1929" i="1" s="1"/>
  <c r="F1930" i="1"/>
  <c r="I1929" i="1" s="1"/>
  <c r="J1930" i="1" s="1"/>
  <c r="G1929" i="1"/>
  <c r="G1930" i="1" l="1"/>
  <c r="F1931" i="1"/>
  <c r="H1930" i="1"/>
  <c r="F1932" i="1" l="1"/>
  <c r="I1931" i="1" s="1"/>
  <c r="J1932" i="1" s="1"/>
  <c r="H1931" i="1"/>
  <c r="G1931" i="1"/>
  <c r="I1930" i="1"/>
  <c r="J1931" i="1" s="1"/>
  <c r="F1933" i="1" l="1"/>
  <c r="I1932" i="1" s="1"/>
  <c r="J1933" i="1" s="1"/>
  <c r="H1932" i="1"/>
  <c r="H1933" i="1" s="1"/>
  <c r="G1932" i="1"/>
  <c r="G1933" i="1" l="1"/>
  <c r="F1934" i="1"/>
  <c r="I1933" i="1" s="1"/>
  <c r="J1934" i="1" s="1"/>
  <c r="F1935" i="1" l="1"/>
  <c r="I1934" i="1" s="1"/>
  <c r="J1935" i="1" s="1"/>
  <c r="H1934" i="1"/>
  <c r="H1935" i="1" s="1"/>
  <c r="G1934" i="1"/>
  <c r="G1935" i="1" l="1"/>
  <c r="F1936" i="1"/>
  <c r="I1935" i="1" s="1"/>
  <c r="J1936" i="1" s="1"/>
  <c r="F1937" i="1" l="1"/>
  <c r="I1936" i="1" s="1"/>
  <c r="J1937" i="1" s="1"/>
  <c r="H1936" i="1"/>
  <c r="G1936" i="1"/>
  <c r="F1938" i="1" l="1"/>
  <c r="I1937" i="1" s="1"/>
  <c r="J1938" i="1" s="1"/>
  <c r="H1937" i="1"/>
  <c r="G1937" i="1"/>
  <c r="G1938" i="1" s="1"/>
  <c r="F1939" i="1" l="1"/>
  <c r="I1938" i="1" s="1"/>
  <c r="J1939" i="1" s="1"/>
  <c r="H1938" i="1"/>
  <c r="H1939" i="1" s="1"/>
  <c r="F1940" i="1" l="1"/>
  <c r="I1939" i="1" s="1"/>
  <c r="J1940" i="1" s="1"/>
  <c r="G1939" i="1"/>
  <c r="G1940" i="1" s="1"/>
  <c r="F1941" i="1" l="1"/>
  <c r="H1940" i="1"/>
  <c r="I1940" i="1" l="1"/>
  <c r="J1941" i="1" s="1"/>
  <c r="F1942" i="1"/>
  <c r="I1941" i="1" s="1"/>
  <c r="J1942" i="1" s="1"/>
  <c r="H1941" i="1"/>
  <c r="G1941" i="1"/>
  <c r="G1942" i="1" l="1"/>
  <c r="H1942" i="1"/>
  <c r="F1943" i="1"/>
  <c r="F1944" i="1" l="1"/>
  <c r="I1943" i="1" s="1"/>
  <c r="J1944" i="1" s="1"/>
  <c r="G1943" i="1"/>
  <c r="I1942" i="1"/>
  <c r="J1943" i="1" s="1"/>
  <c r="H1943" i="1"/>
  <c r="H1944" i="1" s="1"/>
  <c r="G1944" i="1" l="1"/>
  <c r="F1945" i="1"/>
  <c r="I1944" i="1" s="1"/>
  <c r="J1945" i="1" s="1"/>
  <c r="F1946" i="1" l="1"/>
  <c r="G1945" i="1"/>
  <c r="H1945" i="1"/>
  <c r="G1946" i="1" l="1"/>
  <c r="I1945" i="1"/>
  <c r="J1946" i="1" s="1"/>
  <c r="F1947" i="1"/>
  <c r="I1946" i="1" s="1"/>
  <c r="J1947" i="1" s="1"/>
  <c r="H1946" i="1"/>
  <c r="F1948" i="1" l="1"/>
  <c r="I1947" i="1" s="1"/>
  <c r="J1948" i="1" s="1"/>
  <c r="H1947" i="1"/>
  <c r="G1947" i="1"/>
  <c r="F1949" i="1" l="1"/>
  <c r="I1948" i="1" s="1"/>
  <c r="J1949" i="1" s="1"/>
  <c r="H1948" i="1"/>
  <c r="G1948" i="1"/>
  <c r="G1949" i="1" l="1"/>
  <c r="F1950" i="1"/>
  <c r="H1949" i="1"/>
  <c r="I1949" i="1" l="1"/>
  <c r="J1950" i="1" s="1"/>
  <c r="F1951" i="1"/>
  <c r="I1950" i="1" s="1"/>
  <c r="J1951" i="1" s="1"/>
  <c r="H1950" i="1"/>
  <c r="G1950" i="1"/>
  <c r="G1951" i="1" l="1"/>
  <c r="F1952" i="1"/>
  <c r="H1951" i="1"/>
  <c r="H1952" i="1" l="1"/>
  <c r="F1953" i="1"/>
  <c r="I1951" i="1"/>
  <c r="J1952" i="1" s="1"/>
  <c r="G1952" i="1"/>
  <c r="G1953" i="1" l="1"/>
  <c r="F1954" i="1"/>
  <c r="I1952" i="1"/>
  <c r="J1953" i="1" s="1"/>
  <c r="H1953" i="1"/>
  <c r="F1955" i="1" l="1"/>
  <c r="H1954" i="1"/>
  <c r="I1953" i="1"/>
  <c r="J1954" i="1" s="1"/>
  <c r="G1954" i="1"/>
  <c r="I1954" i="1" l="1"/>
  <c r="J1955" i="1" s="1"/>
  <c r="F1956" i="1"/>
  <c r="I1955" i="1" s="1"/>
  <c r="J1956" i="1" s="1"/>
  <c r="H1955" i="1"/>
  <c r="G1955" i="1"/>
  <c r="G1956" i="1" l="1"/>
  <c r="F1957" i="1"/>
  <c r="I1956" i="1" s="1"/>
  <c r="J1957" i="1" s="1"/>
  <c r="H1956" i="1"/>
  <c r="F1958" i="1" l="1"/>
  <c r="I1957" i="1" s="1"/>
  <c r="J1958" i="1" s="1"/>
  <c r="H1957" i="1"/>
  <c r="H1958" i="1" s="1"/>
  <c r="G1957" i="1"/>
  <c r="G1958" i="1" s="1"/>
  <c r="F1959" i="1" l="1"/>
  <c r="F1960" i="1" l="1"/>
  <c r="H1959" i="1"/>
  <c r="I1958" i="1"/>
  <c r="J1959" i="1" s="1"/>
  <c r="G1959" i="1"/>
  <c r="I1959" i="1" s="1"/>
  <c r="J1960" i="1" s="1"/>
  <c r="F1961" i="1" l="1"/>
  <c r="I1960" i="1" s="1"/>
  <c r="J1961" i="1" s="1"/>
  <c r="H1960" i="1"/>
  <c r="G1960" i="1"/>
  <c r="G1961" i="1" s="1"/>
  <c r="F1962" i="1" l="1"/>
  <c r="H1961" i="1"/>
  <c r="F1963" i="1" l="1"/>
  <c r="I1962" i="1" s="1"/>
  <c r="J1963" i="1" s="1"/>
  <c r="H1962" i="1"/>
  <c r="I1961" i="1"/>
  <c r="J1962" i="1" s="1"/>
  <c r="G1962" i="1"/>
  <c r="F1964" i="1" l="1"/>
  <c r="I1963" i="1" s="1"/>
  <c r="J1964" i="1" s="1"/>
  <c r="H1963" i="1"/>
  <c r="H1964" i="1" s="1"/>
  <c r="G1963" i="1"/>
  <c r="F1965" i="1" l="1"/>
  <c r="G1964" i="1"/>
  <c r="I1964" i="1" l="1"/>
  <c r="J1965" i="1" s="1"/>
  <c r="F1966" i="1"/>
  <c r="I1965" i="1" s="1"/>
  <c r="J1966" i="1" s="1"/>
  <c r="H1965" i="1"/>
  <c r="G1965" i="1"/>
  <c r="H1966" i="1" l="1"/>
  <c r="F1967" i="1"/>
  <c r="I1966" i="1" s="1"/>
  <c r="J1967" i="1" s="1"/>
  <c r="G1966" i="1"/>
  <c r="G1967" i="1" l="1"/>
  <c r="F1968" i="1"/>
  <c r="I1967" i="1" s="1"/>
  <c r="J1968" i="1" s="1"/>
  <c r="H1967" i="1"/>
  <c r="H1968" i="1" l="1"/>
  <c r="F1969" i="1"/>
  <c r="G1968" i="1"/>
  <c r="I1968" i="1" l="1"/>
  <c r="J1969" i="1" s="1"/>
  <c r="F1970" i="1"/>
  <c r="I1969" i="1" s="1"/>
  <c r="J1970" i="1" s="1"/>
  <c r="H1969" i="1"/>
  <c r="G1969" i="1"/>
  <c r="F1971" i="1" l="1"/>
  <c r="I1970" i="1" s="1"/>
  <c r="J1971" i="1" s="1"/>
  <c r="H1970" i="1"/>
  <c r="H1971" i="1" s="1"/>
  <c r="G1970" i="1"/>
  <c r="G1971" i="1" s="1"/>
  <c r="F1972" i="1" l="1"/>
  <c r="H1972" i="1" s="1"/>
  <c r="I1971" i="1" l="1"/>
  <c r="J1972" i="1" s="1"/>
  <c r="F1973" i="1"/>
  <c r="G1972" i="1"/>
  <c r="I1972" i="1" l="1"/>
  <c r="J1973" i="1" s="1"/>
  <c r="F1974" i="1"/>
  <c r="H1973" i="1"/>
  <c r="I1973" i="1"/>
  <c r="J1974" i="1" s="1"/>
  <c r="G1973" i="1"/>
  <c r="H1974" i="1" l="1"/>
  <c r="F1975" i="1"/>
  <c r="G1974" i="1"/>
  <c r="F1976" i="1" l="1"/>
  <c r="I1975" i="1" s="1"/>
  <c r="J1976" i="1" s="1"/>
  <c r="G1975" i="1"/>
  <c r="I1974" i="1"/>
  <c r="J1975" i="1" s="1"/>
  <c r="H1975" i="1"/>
  <c r="H1976" i="1" l="1"/>
  <c r="G1976" i="1"/>
  <c r="F1977" i="1"/>
  <c r="I1976" i="1" s="1"/>
  <c r="J1977" i="1" s="1"/>
  <c r="F1978" i="1" l="1"/>
  <c r="H1977" i="1"/>
  <c r="I1977" i="1"/>
  <c r="J1978" i="1" s="1"/>
  <c r="G1977" i="1"/>
  <c r="G1978" i="1" s="1"/>
  <c r="F1979" i="1" l="1"/>
  <c r="H1978" i="1"/>
  <c r="I1978" i="1"/>
  <c r="J1979" i="1" s="1"/>
  <c r="F1980" i="1" l="1"/>
  <c r="I1979" i="1" s="1"/>
  <c r="J1980" i="1" s="1"/>
  <c r="H1979" i="1"/>
  <c r="G1979" i="1"/>
  <c r="G1980" i="1" s="1"/>
  <c r="F1981" i="1" l="1"/>
  <c r="H1980" i="1"/>
  <c r="H1981" i="1" l="1"/>
  <c r="F1982" i="1"/>
  <c r="I1980" i="1"/>
  <c r="J1981" i="1" s="1"/>
  <c r="G1981" i="1"/>
  <c r="I1981" i="1" l="1"/>
  <c r="J1982" i="1" s="1"/>
  <c r="F1983" i="1"/>
  <c r="I1982" i="1" s="1"/>
  <c r="J1983" i="1" s="1"/>
  <c r="H1982" i="1"/>
  <c r="G1982" i="1"/>
  <c r="G1983" i="1" l="1"/>
  <c r="F1984" i="1"/>
  <c r="I1983" i="1" s="1"/>
  <c r="J1984" i="1" s="1"/>
  <c r="H1983" i="1"/>
  <c r="H1984" i="1" l="1"/>
  <c r="F1985" i="1"/>
  <c r="I1984" i="1" s="1"/>
  <c r="J1985" i="1" s="1"/>
  <c r="G1984" i="1"/>
  <c r="G1985" i="1" l="1"/>
  <c r="F1986" i="1"/>
  <c r="I1985" i="1" s="1"/>
  <c r="J1986" i="1" s="1"/>
  <c r="H1985" i="1"/>
  <c r="H1986" i="1" l="1"/>
  <c r="F1987" i="1"/>
  <c r="G1986" i="1"/>
  <c r="I1986" i="1" l="1"/>
  <c r="J1987" i="1" s="1"/>
  <c r="F1988" i="1"/>
  <c r="I1987" i="1" s="1"/>
  <c r="J1988" i="1" s="1"/>
  <c r="H1987" i="1"/>
  <c r="G1987" i="1"/>
  <c r="F1989" i="1" l="1"/>
  <c r="I1988" i="1" s="1"/>
  <c r="J1989" i="1" s="1"/>
  <c r="H1988" i="1"/>
  <c r="G1988" i="1"/>
  <c r="G1989" i="1" s="1"/>
  <c r="F1990" i="1" l="1"/>
  <c r="I1989" i="1" s="1"/>
  <c r="J1990" i="1" s="1"/>
  <c r="H1989" i="1"/>
  <c r="H1990" i="1" s="1"/>
  <c r="F1991" i="1" l="1"/>
  <c r="G1990" i="1"/>
  <c r="I1990" i="1" s="1"/>
  <c r="J1991" i="1" s="1"/>
  <c r="F1992" i="1" l="1"/>
  <c r="I1991" i="1" s="1"/>
  <c r="J1992" i="1" s="1"/>
  <c r="H1991" i="1"/>
  <c r="H1992" i="1" s="1"/>
  <c r="G1991" i="1"/>
  <c r="F1993" i="1" l="1"/>
  <c r="I1992" i="1" s="1"/>
  <c r="J1993" i="1" s="1"/>
  <c r="G1992" i="1"/>
  <c r="G1993" i="1" l="1"/>
  <c r="F1994" i="1"/>
  <c r="H1993" i="1"/>
  <c r="I1993" i="1" l="1"/>
  <c r="J1994" i="1" s="1"/>
  <c r="F1995" i="1"/>
  <c r="I1994" i="1" s="1"/>
  <c r="J1995" i="1" s="1"/>
  <c r="H1994" i="1"/>
  <c r="G1994" i="1"/>
  <c r="G1995" i="1" l="1"/>
  <c r="H1995" i="1"/>
  <c r="F1996" i="1"/>
  <c r="I1995" i="1" s="1"/>
  <c r="J1996" i="1" s="1"/>
  <c r="F1997" i="1" l="1"/>
  <c r="I1996" i="1" s="1"/>
  <c r="J1997" i="1" s="1"/>
  <c r="H1996" i="1"/>
  <c r="H1997" i="1" s="1"/>
  <c r="G1996" i="1"/>
  <c r="G1997" i="1" s="1"/>
  <c r="F1998" i="1" l="1"/>
  <c r="I1997" i="1" s="1"/>
  <c r="J1998" i="1" s="1"/>
  <c r="F1999" i="1" l="1"/>
  <c r="G1998" i="1"/>
  <c r="H1998" i="1"/>
  <c r="I1998" i="1" l="1"/>
  <c r="J1999" i="1" s="1"/>
  <c r="F2000" i="1"/>
  <c r="I1999" i="1" s="1"/>
  <c r="J2000" i="1" s="1"/>
  <c r="H1999" i="1"/>
  <c r="G1999" i="1"/>
  <c r="H2000" i="1" l="1"/>
  <c r="G2000" i="1"/>
  <c r="F2001" i="1"/>
  <c r="I2000" i="1" s="1"/>
  <c r="J2001" i="1" s="1"/>
  <c r="F2002" i="1" l="1"/>
  <c r="I2001" i="1" s="1"/>
  <c r="J2002" i="1" s="1"/>
  <c r="H2001" i="1"/>
  <c r="H2002" i="1" s="1"/>
  <c r="G2001" i="1"/>
  <c r="G2002" i="1" s="1"/>
  <c r="F2003" i="1" l="1"/>
  <c r="I2002" i="1" s="1"/>
  <c r="J2003" i="1" s="1"/>
  <c r="F2004" i="1" l="1"/>
  <c r="H2003" i="1"/>
  <c r="G2003" i="1"/>
  <c r="I2003" i="1" l="1"/>
  <c r="J2004" i="1" s="1"/>
  <c r="F2005" i="1"/>
  <c r="I2004" i="1" s="1"/>
  <c r="J2005" i="1" s="1"/>
  <c r="H2004" i="1"/>
  <c r="H2005" i="1" s="1"/>
  <c r="G2004" i="1"/>
  <c r="F2006" i="1" l="1"/>
  <c r="I2005" i="1" s="1"/>
  <c r="J2006" i="1" s="1"/>
  <c r="G2005" i="1"/>
  <c r="F2007" i="1" l="1"/>
  <c r="I2006" i="1" s="1"/>
  <c r="J2007" i="1" s="1"/>
  <c r="G2006" i="1"/>
  <c r="H2006" i="1"/>
  <c r="G2007" i="1" l="1"/>
  <c r="H2007" i="1"/>
  <c r="F2008" i="1"/>
  <c r="I2007" i="1" l="1"/>
  <c r="J2008" i="1" s="1"/>
  <c r="F2009" i="1"/>
  <c r="I2008" i="1" s="1"/>
  <c r="J2009" i="1" s="1"/>
  <c r="H2008" i="1"/>
  <c r="G2008" i="1"/>
  <c r="G2009" i="1" s="1"/>
  <c r="F2010" i="1" l="1"/>
  <c r="I2009" i="1" s="1"/>
  <c r="J2010" i="1" s="1"/>
  <c r="H2009" i="1"/>
  <c r="F2011" i="1" l="1"/>
  <c r="I2010" i="1" s="1"/>
  <c r="J2011" i="1" s="1"/>
  <c r="H2010" i="1"/>
  <c r="G2010" i="1"/>
  <c r="G2011" i="1" l="1"/>
  <c r="H2011" i="1"/>
  <c r="F2012" i="1"/>
  <c r="I2011" i="1" s="1"/>
  <c r="J2012" i="1" s="1"/>
  <c r="F2013" i="1" l="1"/>
  <c r="H2012" i="1"/>
  <c r="G2012" i="1"/>
  <c r="I2012" i="1" l="1"/>
  <c r="J2013" i="1" s="1"/>
  <c r="F2014" i="1"/>
  <c r="I2013" i="1" s="1"/>
  <c r="J2014" i="1" s="1"/>
  <c r="H2013" i="1"/>
  <c r="G2013" i="1"/>
  <c r="G2014" i="1" l="1"/>
  <c r="H2014" i="1"/>
  <c r="F2015" i="1"/>
  <c r="I2014" i="1" s="1"/>
  <c r="J2015" i="1" s="1"/>
  <c r="F2016" i="1" l="1"/>
  <c r="I2015" i="1" s="1"/>
  <c r="J2016" i="1" s="1"/>
  <c r="H2015" i="1"/>
  <c r="H2016" i="1" s="1"/>
  <c r="G2015" i="1"/>
  <c r="G2016" i="1" s="1"/>
  <c r="F2017" i="1" l="1"/>
  <c r="F2018" i="1" l="1"/>
  <c r="I2016" i="1"/>
  <c r="J2017" i="1" s="1"/>
  <c r="G2017" i="1"/>
  <c r="H2017" i="1"/>
  <c r="I2017" i="1" l="1"/>
  <c r="J2018" i="1" s="1"/>
  <c r="F2019" i="1"/>
  <c r="I2018" i="1" s="1"/>
  <c r="J2019" i="1" s="1"/>
  <c r="H2018" i="1"/>
  <c r="G2018" i="1"/>
  <c r="G2019" i="1" s="1"/>
  <c r="F2020" i="1" l="1"/>
  <c r="I2019" i="1" s="1"/>
  <c r="J2020" i="1" s="1"/>
  <c r="H2019" i="1"/>
  <c r="F2021" i="1" l="1"/>
  <c r="I2020" i="1" s="1"/>
  <c r="J2021" i="1" s="1"/>
  <c r="H2020" i="1"/>
  <c r="G2020" i="1"/>
  <c r="G2021" i="1" l="1"/>
  <c r="H2021" i="1"/>
  <c r="F2022" i="1"/>
  <c r="I2021" i="1" s="1"/>
  <c r="J2022" i="1" s="1"/>
  <c r="F2023" i="1" l="1"/>
  <c r="H2022" i="1"/>
  <c r="G2022" i="1"/>
  <c r="I2022" i="1" l="1"/>
  <c r="J2023" i="1" s="1"/>
  <c r="F2024" i="1"/>
  <c r="I2023" i="1" s="1"/>
  <c r="J2024" i="1" s="1"/>
  <c r="H2023" i="1"/>
  <c r="G2023" i="1"/>
  <c r="G2024" i="1" s="1"/>
  <c r="H2024" i="1" l="1"/>
  <c r="F2025" i="1"/>
  <c r="I2024" i="1" s="1"/>
  <c r="J2025" i="1" s="1"/>
  <c r="F2026" i="1" l="1"/>
  <c r="I2025" i="1" s="1"/>
  <c r="J2026" i="1" s="1"/>
  <c r="H2025" i="1"/>
  <c r="H2026" i="1" s="1"/>
  <c r="G2025" i="1"/>
  <c r="F2027" i="1" l="1"/>
  <c r="G2026" i="1"/>
  <c r="I2026" i="1" s="1"/>
  <c r="J2027" i="1" s="1"/>
  <c r="F2028" i="1" l="1"/>
  <c r="I2027" i="1" s="1"/>
  <c r="J2028" i="1" s="1"/>
  <c r="H2027" i="1"/>
  <c r="G2027" i="1"/>
  <c r="G2028" i="1" s="1"/>
  <c r="F2029" i="1" l="1"/>
  <c r="I2028" i="1" s="1"/>
  <c r="J2029" i="1" s="1"/>
  <c r="H2028" i="1"/>
  <c r="F2030" i="1" l="1"/>
  <c r="I2029" i="1" s="1"/>
  <c r="J2030" i="1" s="1"/>
  <c r="H2029" i="1"/>
  <c r="H2030" i="1" s="1"/>
  <c r="G2029" i="1"/>
  <c r="G2030" i="1" s="1"/>
  <c r="F2031" i="1" l="1"/>
  <c r="I2030" i="1" s="1"/>
  <c r="J2031" i="1" s="1"/>
  <c r="F2032" i="1" l="1"/>
  <c r="H2031" i="1"/>
  <c r="G2031" i="1"/>
  <c r="I2031" i="1" l="1"/>
  <c r="J2032" i="1" s="1"/>
  <c r="F2033" i="1"/>
  <c r="I2032" i="1" s="1"/>
  <c r="J2033" i="1" s="1"/>
  <c r="H2032" i="1"/>
  <c r="G2032" i="1"/>
  <c r="F2034" i="1" l="1"/>
  <c r="I2033" i="1" s="1"/>
  <c r="J2034" i="1" s="1"/>
  <c r="H2033" i="1"/>
  <c r="G2033" i="1"/>
  <c r="G2034" i="1" l="1"/>
  <c r="F2035" i="1"/>
  <c r="I2034" i="1" s="1"/>
  <c r="J2035" i="1" s="1"/>
  <c r="H2034" i="1"/>
  <c r="H2035" i="1" l="1"/>
  <c r="F2036" i="1"/>
  <c r="I2035" i="1" s="1"/>
  <c r="J2036" i="1" s="1"/>
  <c r="G2035" i="1"/>
  <c r="G2036" i="1" l="1"/>
  <c r="F2037" i="1"/>
  <c r="H2036" i="1"/>
  <c r="I2036" i="1" l="1"/>
  <c r="J2037" i="1" s="1"/>
  <c r="F2038" i="1"/>
  <c r="I2037" i="1" s="1"/>
  <c r="J2038" i="1" s="1"/>
  <c r="H2037" i="1"/>
  <c r="H2038" i="1" s="1"/>
  <c r="G2037" i="1"/>
  <c r="G2038" i="1" l="1"/>
  <c r="F2039" i="1"/>
  <c r="I2038" i="1" s="1"/>
  <c r="J2039" i="1" s="1"/>
  <c r="F2040" i="1" l="1"/>
  <c r="I2039" i="1" s="1"/>
  <c r="J2040" i="1" s="1"/>
  <c r="H2039" i="1"/>
  <c r="H2040" i="1" s="1"/>
  <c r="G2039" i="1"/>
  <c r="G2040" i="1" s="1"/>
  <c r="F2041" i="1" l="1"/>
  <c r="I2040" i="1" s="1"/>
  <c r="J2041" i="1" s="1"/>
  <c r="F2042" i="1" l="1"/>
  <c r="H2041" i="1"/>
  <c r="G2041" i="1"/>
  <c r="I2041" i="1" l="1"/>
  <c r="J2042" i="1" s="1"/>
  <c r="F2043" i="1"/>
  <c r="I2042" i="1" s="1"/>
  <c r="J2043" i="1" s="1"/>
  <c r="H2042" i="1"/>
  <c r="G2042" i="1"/>
  <c r="G2043" i="1" l="1"/>
  <c r="F2044" i="1"/>
  <c r="I2043" i="1" s="1"/>
  <c r="J2044" i="1" s="1"/>
  <c r="H2043" i="1"/>
  <c r="F2045" i="1" l="1"/>
  <c r="I2044" i="1" s="1"/>
  <c r="J2045" i="1" s="1"/>
  <c r="H2044" i="1"/>
  <c r="H2045" i="1" s="1"/>
  <c r="G2044" i="1"/>
  <c r="G2045" i="1" s="1"/>
  <c r="F2046" i="1" l="1"/>
  <c r="I2045" i="1" s="1"/>
  <c r="J2046" i="1" s="1"/>
  <c r="F2047" i="1" l="1"/>
  <c r="H2046" i="1"/>
  <c r="G2046" i="1"/>
  <c r="I2046" i="1" l="1"/>
  <c r="J2047" i="1" s="1"/>
  <c r="F2048" i="1"/>
  <c r="I2047" i="1" s="1"/>
  <c r="J2048" i="1" s="1"/>
  <c r="H2047" i="1"/>
  <c r="H2048" i="1" s="1"/>
  <c r="G2047" i="1"/>
  <c r="F2049" i="1" l="1"/>
  <c r="I2048" i="1" s="1"/>
  <c r="J2049" i="1" s="1"/>
  <c r="G2048" i="1"/>
  <c r="G2049" i="1" l="1"/>
  <c r="F2050" i="1"/>
  <c r="I2049" i="1" s="1"/>
  <c r="J2050" i="1" s="1"/>
  <c r="H2049" i="1"/>
  <c r="F2051" i="1" l="1"/>
  <c r="I2050" i="1" s="1"/>
  <c r="J2051" i="1" s="1"/>
  <c r="H2050" i="1"/>
  <c r="G2050" i="1"/>
  <c r="G2051" i="1" s="1"/>
  <c r="F2052" i="1" l="1"/>
  <c r="H2051" i="1"/>
  <c r="I2051" i="1" l="1"/>
  <c r="J2052" i="1" s="1"/>
  <c r="F2053" i="1"/>
  <c r="I2052" i="1" s="1"/>
  <c r="J2053" i="1" s="1"/>
  <c r="H2052" i="1"/>
  <c r="G2052" i="1"/>
  <c r="F2054" i="1" l="1"/>
  <c r="I2053" i="1" s="1"/>
  <c r="J2054" i="1" s="1"/>
  <c r="H2053" i="1"/>
  <c r="G2053" i="1"/>
  <c r="F2055" i="1" l="1"/>
  <c r="I2054" i="1" s="1"/>
  <c r="J2055" i="1" s="1"/>
  <c r="H2054" i="1"/>
  <c r="G2054" i="1"/>
  <c r="G2055" i="1" s="1"/>
  <c r="H2055" i="1" l="1"/>
  <c r="F2056" i="1"/>
  <c r="I2055" i="1" s="1"/>
  <c r="J2056" i="1" s="1"/>
  <c r="F2057" i="1" l="1"/>
  <c r="H2056" i="1"/>
  <c r="G2056" i="1"/>
  <c r="I2056" i="1" l="1"/>
  <c r="J2057" i="1" s="1"/>
  <c r="F2058" i="1"/>
  <c r="I2057" i="1" s="1"/>
  <c r="J2058" i="1" s="1"/>
  <c r="H2057" i="1"/>
  <c r="G2057" i="1"/>
  <c r="F2059" i="1" l="1"/>
  <c r="I2058" i="1" s="1"/>
  <c r="J2059" i="1" s="1"/>
  <c r="H2058" i="1"/>
  <c r="G2058" i="1"/>
  <c r="G2059" i="1" s="1"/>
  <c r="F2060" i="1" l="1"/>
  <c r="H2059" i="1"/>
  <c r="I2059" i="1"/>
  <c r="J2060" i="1" s="1"/>
  <c r="F2061" i="1" l="1"/>
  <c r="H2060" i="1"/>
  <c r="H2061" i="1" s="1"/>
  <c r="I2060" i="1"/>
  <c r="J2061" i="1" s="1"/>
  <c r="G2060" i="1"/>
  <c r="G2061" i="1" s="1"/>
  <c r="F2062" i="1" l="1"/>
  <c r="I2061" i="1" s="1"/>
  <c r="J2062" i="1" s="1"/>
  <c r="F2063" i="1" l="1"/>
  <c r="I2062" i="1" s="1"/>
  <c r="J2063" i="1" s="1"/>
  <c r="H2062" i="1"/>
  <c r="G2062" i="1"/>
  <c r="G2063" i="1" s="1"/>
  <c r="F2064" i="1" l="1"/>
  <c r="I2063" i="1" s="1"/>
  <c r="J2064" i="1" s="1"/>
  <c r="H2063" i="1"/>
  <c r="H2064" i="1" s="1"/>
  <c r="F2065" i="1" l="1"/>
  <c r="I2064" i="1" s="1"/>
  <c r="J2065" i="1" s="1"/>
  <c r="G2064" i="1"/>
  <c r="G2065" i="1" l="1"/>
  <c r="F2066" i="1"/>
  <c r="I2065" i="1" s="1"/>
  <c r="J2066" i="1" s="1"/>
  <c r="H2065" i="1"/>
  <c r="H2066" i="1" l="1"/>
  <c r="F2067" i="1"/>
  <c r="G2066" i="1"/>
  <c r="I2066" i="1" l="1"/>
  <c r="J2067" i="1" s="1"/>
  <c r="F2068" i="1"/>
  <c r="H2067" i="1"/>
  <c r="I2067" i="1"/>
  <c r="J2068" i="1" s="1"/>
  <c r="G2067" i="1"/>
  <c r="G2068" i="1" s="1"/>
  <c r="F2069" i="1" l="1"/>
  <c r="I2068" i="1" s="1"/>
  <c r="J2069" i="1" s="1"/>
  <c r="H2068" i="1"/>
  <c r="F2070" i="1" l="1"/>
  <c r="I2069" i="1" s="1"/>
  <c r="J2070" i="1" s="1"/>
  <c r="H2069" i="1"/>
  <c r="G2069" i="1"/>
  <c r="H2070" i="1" l="1"/>
  <c r="G2070" i="1"/>
  <c r="F2071" i="1"/>
  <c r="I2070" i="1" s="1"/>
  <c r="J2071" i="1" s="1"/>
  <c r="F2072" i="1" l="1"/>
  <c r="I2071" i="1" s="1"/>
  <c r="J2072" i="1" s="1"/>
  <c r="H2071" i="1"/>
  <c r="H2072" i="1" s="1"/>
  <c r="G2071" i="1"/>
  <c r="G2072" i="1" s="1"/>
  <c r="F2073" i="1" l="1"/>
  <c r="I2072" i="1" s="1"/>
  <c r="J2073" i="1" s="1"/>
  <c r="F2074" i="1" l="1"/>
  <c r="I2073" i="1" s="1"/>
  <c r="J2074" i="1" s="1"/>
  <c r="H2073" i="1"/>
  <c r="H2074" i="1" s="1"/>
  <c r="G2073" i="1"/>
  <c r="G2074" i="1" s="1"/>
  <c r="F2075" i="1" l="1"/>
  <c r="I2074" i="1" s="1"/>
  <c r="J2075" i="1" s="1"/>
  <c r="F2076" i="1" l="1"/>
  <c r="H2075" i="1"/>
  <c r="G2075" i="1"/>
  <c r="I2075" i="1" l="1"/>
  <c r="J2076" i="1" s="1"/>
  <c r="F2077" i="1"/>
  <c r="I2076" i="1" s="1"/>
  <c r="J2077" i="1" s="1"/>
  <c r="H2076" i="1"/>
  <c r="G2076" i="1"/>
  <c r="F2078" i="1" l="1"/>
  <c r="I2077" i="1" s="1"/>
  <c r="J2078" i="1" s="1"/>
  <c r="H2077" i="1"/>
  <c r="G2077" i="1"/>
  <c r="F2079" i="1" l="1"/>
  <c r="I2078" i="1" s="1"/>
  <c r="J2079" i="1" s="1"/>
  <c r="H2078" i="1"/>
  <c r="G2078" i="1"/>
  <c r="G2079" i="1" l="1"/>
  <c r="H2079" i="1"/>
  <c r="F2080" i="1"/>
  <c r="I2079" i="1" s="1"/>
  <c r="J2080" i="1" s="1"/>
  <c r="F2081" i="1" l="1"/>
  <c r="H2080" i="1"/>
  <c r="G2080" i="1"/>
  <c r="I2080" i="1" s="1"/>
  <c r="J2081" i="1" s="1"/>
  <c r="F2082" i="1" l="1"/>
  <c r="I2081" i="1" s="1"/>
  <c r="J2082" i="1" s="1"/>
  <c r="H2081" i="1"/>
  <c r="G2081" i="1"/>
  <c r="G2082" i="1" s="1"/>
  <c r="F2083" i="1" l="1"/>
  <c r="I2082" i="1" s="1"/>
  <c r="J2083" i="1" s="1"/>
  <c r="H2082" i="1"/>
  <c r="H2083" i="1" s="1"/>
  <c r="F2084" i="1" l="1"/>
  <c r="I2083" i="1" s="1"/>
  <c r="J2084" i="1" s="1"/>
  <c r="G2083" i="1"/>
  <c r="G2084" i="1" l="1"/>
  <c r="F2085" i="1"/>
  <c r="I2084" i="1" s="1"/>
  <c r="J2085" i="1" s="1"/>
  <c r="H2084" i="1"/>
  <c r="H2085" i="1" l="1"/>
  <c r="F2086" i="1"/>
  <c r="G2085" i="1"/>
  <c r="I2085" i="1" l="1"/>
  <c r="J2086" i="1" s="1"/>
  <c r="F2087" i="1"/>
  <c r="I2086" i="1" s="1"/>
  <c r="J2087" i="1" s="1"/>
  <c r="H2086" i="1"/>
  <c r="G2086" i="1"/>
  <c r="G2087" i="1" s="1"/>
  <c r="F2088" i="1" l="1"/>
  <c r="I2087" i="1" s="1"/>
  <c r="J2088" i="1" s="1"/>
  <c r="H2087" i="1"/>
  <c r="H2088" i="1" s="1"/>
  <c r="F2089" i="1" l="1"/>
  <c r="I2088" i="1" s="1"/>
  <c r="J2089" i="1" s="1"/>
  <c r="G2088" i="1"/>
  <c r="G2089" i="1" s="1"/>
  <c r="F2090" i="1" l="1"/>
  <c r="I2089" i="1" s="1"/>
  <c r="J2090" i="1" s="1"/>
  <c r="H2089" i="1"/>
  <c r="H2090" i="1" s="1"/>
  <c r="F2091" i="1" l="1"/>
  <c r="G2090" i="1"/>
  <c r="I2090" i="1" s="1"/>
  <c r="J2091" i="1" s="1"/>
  <c r="F2092" i="1" l="1"/>
  <c r="I2091" i="1" s="1"/>
  <c r="J2092" i="1" s="1"/>
  <c r="H2091" i="1"/>
  <c r="H2092" i="1" s="1"/>
  <c r="G2091" i="1"/>
  <c r="G2092" i="1" s="1"/>
  <c r="F2093" i="1" l="1"/>
  <c r="I2092" i="1" s="1"/>
  <c r="J2093" i="1" s="1"/>
  <c r="F2094" i="1" l="1"/>
  <c r="I2093" i="1" s="1"/>
  <c r="J2094" i="1" s="1"/>
  <c r="H2093" i="1"/>
  <c r="H2094" i="1" s="1"/>
  <c r="G2093" i="1"/>
  <c r="G2094" i="1" l="1"/>
  <c r="F2095" i="1"/>
  <c r="I2094" i="1" s="1"/>
  <c r="J2095" i="1" s="1"/>
  <c r="F2096" i="1" l="1"/>
  <c r="I2095" i="1" s="1"/>
  <c r="J2096" i="1" s="1"/>
  <c r="H2095" i="1"/>
  <c r="H2096" i="1" s="1"/>
  <c r="G2095" i="1"/>
  <c r="G2096" i="1" s="1"/>
  <c r="F2097" i="1" l="1"/>
  <c r="I2096" i="1" s="1"/>
  <c r="J2097" i="1" s="1"/>
  <c r="F2098" i="1" l="1"/>
  <c r="I2097" i="1" s="1"/>
  <c r="J2098" i="1" s="1"/>
  <c r="H2097" i="1"/>
  <c r="H2098" i="1" s="1"/>
  <c r="G2097" i="1"/>
  <c r="G2098" i="1" l="1"/>
  <c r="F2099" i="1"/>
  <c r="I2098" i="1" s="1"/>
  <c r="J2099" i="1" s="1"/>
  <c r="F2100" i="1" l="1"/>
  <c r="H2099" i="1"/>
  <c r="G2099" i="1"/>
  <c r="I2099" i="1" l="1"/>
  <c r="J2100" i="1" s="1"/>
  <c r="F2101" i="1"/>
  <c r="I2100" i="1" s="1"/>
  <c r="J2101" i="1" s="1"/>
  <c r="H2100" i="1"/>
  <c r="G2100" i="1"/>
  <c r="H2101" i="1" l="1"/>
  <c r="G2101" i="1"/>
  <c r="F2102" i="1"/>
  <c r="G2102" i="1" s="1"/>
  <c r="I2101" i="1" l="1"/>
  <c r="J2102" i="1" s="1"/>
  <c r="F2103" i="1"/>
  <c r="I2102" i="1" s="1"/>
  <c r="J2103" i="1" s="1"/>
  <c r="H2102" i="1"/>
  <c r="H2103" i="1" l="1"/>
  <c r="F2104" i="1"/>
  <c r="I2103" i="1" s="1"/>
  <c r="J2104" i="1" s="1"/>
  <c r="G2103" i="1"/>
  <c r="G2104" i="1" l="1"/>
  <c r="F2105" i="1"/>
  <c r="H2104" i="1"/>
  <c r="I2104" i="1" l="1"/>
  <c r="J2105" i="1" s="1"/>
  <c r="F2106" i="1"/>
  <c r="I2105" i="1" s="1"/>
  <c r="J2106" i="1" s="1"/>
  <c r="H2105" i="1"/>
  <c r="G2105" i="1"/>
  <c r="F2107" i="1" l="1"/>
  <c r="H2106" i="1"/>
  <c r="H2107" i="1" s="1"/>
  <c r="I2106" i="1"/>
  <c r="J2107" i="1" s="1"/>
  <c r="G2106" i="1"/>
  <c r="G2107" i="1" s="1"/>
  <c r="F2108" i="1" l="1"/>
  <c r="I2107" i="1" s="1"/>
  <c r="J2108" i="1" s="1"/>
  <c r="F2109" i="1" l="1"/>
  <c r="I2108" i="1" s="1"/>
  <c r="J2109" i="1" s="1"/>
  <c r="H2108" i="1"/>
  <c r="G2108" i="1"/>
  <c r="G2109" i="1" s="1"/>
  <c r="H2109" i="1" l="1"/>
  <c r="F2110" i="1"/>
  <c r="I2109" i="1" s="1"/>
  <c r="J2110" i="1" s="1"/>
  <c r="F2111" i="1" l="1"/>
  <c r="I2110" i="1" s="1"/>
  <c r="J2111" i="1" s="1"/>
  <c r="H2110" i="1"/>
  <c r="G2110" i="1"/>
  <c r="G2111" i="1" s="1"/>
  <c r="F2112" i="1" l="1"/>
  <c r="I2111" i="1" s="1"/>
  <c r="J2112" i="1" s="1"/>
  <c r="H2111" i="1"/>
  <c r="H2112" i="1" s="1"/>
  <c r="F2113" i="1" l="1"/>
  <c r="I2112" i="1" s="1"/>
  <c r="J2113" i="1" s="1"/>
  <c r="G2112" i="1"/>
  <c r="G2113" i="1" l="1"/>
  <c r="F2114" i="1"/>
  <c r="I2113" i="1" s="1"/>
  <c r="J2114" i="1" s="1"/>
  <c r="H2113" i="1"/>
  <c r="F2115" i="1" l="1"/>
  <c r="H2114" i="1"/>
  <c r="G2114" i="1"/>
  <c r="I2114" i="1" l="1"/>
  <c r="J2115" i="1" s="1"/>
  <c r="F2116" i="1"/>
  <c r="I2115" i="1" s="1"/>
  <c r="J2116" i="1" s="1"/>
  <c r="H2115" i="1"/>
  <c r="G2115" i="1"/>
  <c r="G2116" i="1" s="1"/>
  <c r="H2116" i="1" l="1"/>
  <c r="F2117" i="1"/>
  <c r="I2116" i="1" s="1"/>
  <c r="J2117" i="1" s="1"/>
  <c r="F2118" i="1" l="1"/>
  <c r="I2117" i="1" s="1"/>
  <c r="J2118" i="1" s="1"/>
  <c r="H2117" i="1"/>
  <c r="H2118" i="1" s="1"/>
  <c r="G2117" i="1"/>
  <c r="G2118" i="1" l="1"/>
  <c r="F2119" i="1"/>
  <c r="G2119" i="1" s="1"/>
  <c r="I2118" i="1" l="1"/>
  <c r="J2119" i="1" s="1"/>
  <c r="F2120" i="1"/>
  <c r="H2119" i="1"/>
  <c r="I2119" i="1" l="1"/>
  <c r="J2120" i="1" s="1"/>
  <c r="F2121" i="1"/>
  <c r="I2120" i="1" s="1"/>
  <c r="J2121" i="1" s="1"/>
  <c r="H2120" i="1"/>
  <c r="G2120" i="1"/>
  <c r="G2121" i="1" s="1"/>
  <c r="F2122" i="1" l="1"/>
  <c r="I2121" i="1" s="1"/>
  <c r="J2122" i="1" s="1"/>
  <c r="H2121" i="1"/>
  <c r="F2123" i="1" l="1"/>
  <c r="H2122" i="1"/>
  <c r="I2122" i="1"/>
  <c r="J2123" i="1" s="1"/>
  <c r="G2122" i="1"/>
  <c r="G2123" i="1" s="1"/>
  <c r="F2124" i="1" l="1"/>
  <c r="H2123" i="1"/>
  <c r="I2123" i="1" l="1"/>
  <c r="J2124" i="1" s="1"/>
  <c r="F2125" i="1"/>
  <c r="I2124" i="1" s="1"/>
  <c r="J2125" i="1" s="1"/>
  <c r="H2124" i="1"/>
  <c r="G2124" i="1"/>
  <c r="F2126" i="1" l="1"/>
  <c r="I2125" i="1" s="1"/>
  <c r="J2126" i="1" s="1"/>
  <c r="H2125" i="1"/>
  <c r="G2125" i="1"/>
  <c r="F2127" i="1" l="1"/>
  <c r="I2126" i="1" s="1"/>
  <c r="J2127" i="1" s="1"/>
  <c r="H2126" i="1"/>
  <c r="G2126" i="1"/>
  <c r="G2127" i="1" s="1"/>
  <c r="H2127" i="1" l="1"/>
  <c r="F2128" i="1"/>
  <c r="I2127" i="1" s="1"/>
  <c r="J2128" i="1" s="1"/>
  <c r="F2129" i="1" l="1"/>
  <c r="H2128" i="1"/>
  <c r="G2128" i="1"/>
  <c r="G2129" i="1" l="1"/>
  <c r="I2128" i="1"/>
  <c r="J2129" i="1" s="1"/>
  <c r="F2130" i="1"/>
  <c r="H2129" i="1"/>
  <c r="F2131" i="1" l="1"/>
  <c r="I2130" i="1" s="1"/>
  <c r="J2131" i="1" s="1"/>
  <c r="H2130" i="1"/>
  <c r="I2129" i="1"/>
  <c r="J2130" i="1" s="1"/>
  <c r="G2130" i="1"/>
  <c r="F2132" i="1" l="1"/>
  <c r="I2131" i="1" s="1"/>
  <c r="J2132" i="1" s="1"/>
  <c r="H2131" i="1"/>
  <c r="G2131" i="1"/>
  <c r="G2132" i="1" s="1"/>
  <c r="F2133" i="1" l="1"/>
  <c r="I2132" i="1" s="1"/>
  <c r="J2133" i="1" s="1"/>
  <c r="H2132" i="1"/>
  <c r="H2133" i="1" s="1"/>
  <c r="F2134" i="1" l="1"/>
  <c r="G2133" i="1"/>
  <c r="I2133" i="1" s="1"/>
  <c r="J2134" i="1" s="1"/>
  <c r="F2135" i="1" l="1"/>
  <c r="I2134" i="1" s="1"/>
  <c r="J2135" i="1" s="1"/>
  <c r="H2134" i="1"/>
  <c r="G2134" i="1"/>
  <c r="G2135" i="1" s="1"/>
  <c r="F2136" i="1" l="1"/>
  <c r="I2135" i="1" s="1"/>
  <c r="J2136" i="1" s="1"/>
  <c r="H2135" i="1"/>
  <c r="H2136" i="1" s="1"/>
  <c r="F2137" i="1" l="1"/>
  <c r="I2136" i="1" s="1"/>
  <c r="J2137" i="1" s="1"/>
  <c r="G2136" i="1"/>
  <c r="G2137" i="1" l="1"/>
  <c r="F2138" i="1"/>
  <c r="I2137" i="1" s="1"/>
  <c r="J2138" i="1" s="1"/>
  <c r="H2137" i="1"/>
  <c r="H2138" i="1" s="1"/>
  <c r="F2139" i="1" l="1"/>
  <c r="G2138" i="1"/>
  <c r="I2138" i="1" l="1"/>
  <c r="J2139" i="1" s="1"/>
  <c r="F2140" i="1"/>
  <c r="I2139" i="1" s="1"/>
  <c r="J2140" i="1" s="1"/>
  <c r="H2139" i="1"/>
  <c r="G2139" i="1"/>
  <c r="F2141" i="1" l="1"/>
  <c r="I2140" i="1" s="1"/>
  <c r="J2141" i="1" s="1"/>
  <c r="H2140" i="1"/>
  <c r="G2140" i="1"/>
  <c r="G2141" i="1" l="1"/>
  <c r="F2142" i="1"/>
  <c r="I2141" i="1" s="1"/>
  <c r="J2142" i="1" s="1"/>
  <c r="H2141" i="1"/>
  <c r="H2142" i="1" l="1"/>
  <c r="F2143" i="1"/>
  <c r="I2142" i="1" s="1"/>
  <c r="J2143" i="1" s="1"/>
  <c r="G2142" i="1"/>
  <c r="G2143" i="1" s="1"/>
  <c r="F2144" i="1" l="1"/>
  <c r="H2143" i="1"/>
  <c r="I2143" i="1" l="1"/>
  <c r="J2144" i="1" s="1"/>
  <c r="F2145" i="1"/>
  <c r="I2144" i="1" s="1"/>
  <c r="J2145" i="1" s="1"/>
  <c r="H2144" i="1"/>
  <c r="G2144" i="1"/>
  <c r="F2146" i="1" l="1"/>
  <c r="I2145" i="1" s="1"/>
  <c r="J2146" i="1" s="1"/>
  <c r="H2145" i="1"/>
  <c r="G2145" i="1"/>
  <c r="G2146" i="1" s="1"/>
  <c r="F2147" i="1" l="1"/>
  <c r="I2146" i="1" s="1"/>
  <c r="J2147" i="1" s="1"/>
  <c r="H2146" i="1"/>
  <c r="F2148" i="1" l="1"/>
  <c r="I2147" i="1" s="1"/>
  <c r="J2148" i="1" s="1"/>
  <c r="H2147" i="1"/>
  <c r="G2147" i="1"/>
  <c r="G2148" i="1" s="1"/>
  <c r="F2149" i="1" l="1"/>
  <c r="H2148" i="1"/>
  <c r="I2148" i="1" l="1"/>
  <c r="J2149" i="1" s="1"/>
  <c r="F2150" i="1"/>
  <c r="I2149" i="1" s="1"/>
  <c r="J2150" i="1" s="1"/>
  <c r="H2149" i="1"/>
  <c r="G2149" i="1"/>
  <c r="G2150" i="1" l="1"/>
  <c r="H2150" i="1"/>
  <c r="F2151" i="1"/>
  <c r="I2150" i="1" s="1"/>
  <c r="J2151" i="1" s="1"/>
  <c r="F2152" i="1" l="1"/>
  <c r="I2151" i="1" s="1"/>
  <c r="J2152" i="1" s="1"/>
  <c r="H2151" i="1"/>
  <c r="H2152" i="1" s="1"/>
  <c r="G2151" i="1"/>
  <c r="G2152" i="1" s="1"/>
  <c r="F2153" i="1" l="1"/>
  <c r="I2152" i="1" s="1"/>
  <c r="J2153" i="1" s="1"/>
  <c r="F2154" i="1" l="1"/>
  <c r="H2153" i="1"/>
  <c r="G2153" i="1"/>
  <c r="G2154" i="1" s="1"/>
  <c r="I2153" i="1" l="1"/>
  <c r="J2154" i="1" s="1"/>
  <c r="F2155" i="1"/>
  <c r="I2154" i="1" s="1"/>
  <c r="J2155" i="1" s="1"/>
  <c r="H2154" i="1"/>
  <c r="F2156" i="1" l="1"/>
  <c r="I2155" i="1" s="1"/>
  <c r="J2156" i="1" s="1"/>
  <c r="H2155" i="1"/>
  <c r="G2155" i="1"/>
  <c r="G2156" i="1" s="1"/>
  <c r="F2157" i="1" l="1"/>
  <c r="H2156" i="1"/>
  <c r="I2156" i="1"/>
  <c r="J2157" i="1" s="1"/>
  <c r="F2158" i="1" l="1"/>
  <c r="I2157" i="1" s="1"/>
  <c r="J2158" i="1" s="1"/>
  <c r="H2157" i="1"/>
  <c r="G2157" i="1"/>
  <c r="G2158" i="1" s="1"/>
  <c r="F2159" i="1" l="1"/>
  <c r="H2158" i="1"/>
  <c r="I2158" i="1" s="1"/>
  <c r="J2159" i="1" s="1"/>
  <c r="F2160" i="1" l="1"/>
  <c r="I2159" i="1" s="1"/>
  <c r="J2160" i="1" s="1"/>
  <c r="H2159" i="1"/>
  <c r="H2160" i="1" s="1"/>
  <c r="G2159" i="1"/>
  <c r="G2160" i="1" s="1"/>
  <c r="F2161" i="1" l="1"/>
  <c r="I2160" i="1" s="1"/>
  <c r="J2161" i="1" s="1"/>
  <c r="F2162" i="1" l="1"/>
  <c r="I2161" i="1" s="1"/>
  <c r="J2162" i="1" s="1"/>
  <c r="H2161" i="1"/>
  <c r="G2161" i="1"/>
  <c r="G2162" i="1" l="1"/>
  <c r="F2163" i="1"/>
  <c r="H2162" i="1"/>
  <c r="I2162" i="1" l="1"/>
  <c r="J2163" i="1" s="1"/>
  <c r="F2164" i="1"/>
  <c r="I2163" i="1" s="1"/>
  <c r="J2164" i="1" s="1"/>
  <c r="H2163" i="1"/>
  <c r="G2163" i="1"/>
  <c r="G2164" i="1" s="1"/>
  <c r="F2165" i="1" l="1"/>
  <c r="I2164" i="1" s="1"/>
  <c r="J2165" i="1" s="1"/>
  <c r="H2164" i="1"/>
  <c r="F2166" i="1" l="1"/>
  <c r="H2165" i="1"/>
  <c r="I2165" i="1"/>
  <c r="J2166" i="1" s="1"/>
  <c r="G2165" i="1"/>
  <c r="G2166" i="1" s="1"/>
  <c r="F2167" i="1" l="1"/>
  <c r="I2166" i="1" s="1"/>
  <c r="J2167" i="1" s="1"/>
  <c r="H2166" i="1"/>
  <c r="F2168" i="1" l="1"/>
  <c r="H2167" i="1"/>
  <c r="G2167" i="1"/>
  <c r="I2167" i="1" s="1"/>
  <c r="J2168" i="1" s="1"/>
  <c r="F2169" i="1" l="1"/>
  <c r="I2168" i="1" s="1"/>
  <c r="J2169" i="1" s="1"/>
  <c r="H2168" i="1"/>
  <c r="G2168" i="1"/>
  <c r="G2169" i="1" s="1"/>
  <c r="F2170" i="1" l="1"/>
  <c r="H2169" i="1"/>
  <c r="I2169" i="1"/>
  <c r="J2170" i="1" s="1"/>
  <c r="F2171" i="1" l="1"/>
  <c r="I2170" i="1" s="1"/>
  <c r="J2171" i="1" s="1"/>
  <c r="H2170" i="1"/>
  <c r="G2170" i="1"/>
  <c r="G2171" i="1" s="1"/>
  <c r="H2171" i="1" l="1"/>
  <c r="F2172" i="1"/>
  <c r="I2171" i="1" s="1"/>
  <c r="J2172" i="1" s="1"/>
  <c r="F2173" i="1" l="1"/>
  <c r="H2172" i="1"/>
  <c r="G2172" i="1"/>
  <c r="I2172" i="1" l="1"/>
  <c r="J2173" i="1" s="1"/>
  <c r="F2174" i="1"/>
  <c r="I2173" i="1" s="1"/>
  <c r="J2174" i="1" s="1"/>
  <c r="H2173" i="1"/>
  <c r="G2173" i="1"/>
  <c r="F2175" i="1" l="1"/>
  <c r="I2174" i="1" s="1"/>
  <c r="J2175" i="1" s="1"/>
  <c r="H2174" i="1"/>
  <c r="G2174" i="1"/>
  <c r="G2175" i="1" l="1"/>
  <c r="F2176" i="1"/>
  <c r="H2175" i="1"/>
  <c r="H2176" i="1" l="1"/>
  <c r="F2177" i="1"/>
  <c r="I2176" i="1" s="1"/>
  <c r="J2177" i="1" s="1"/>
  <c r="I2175" i="1"/>
  <c r="J2176" i="1" s="1"/>
  <c r="G2176" i="1"/>
  <c r="G2177" i="1" l="1"/>
  <c r="F2178" i="1"/>
  <c r="H2177" i="1"/>
  <c r="I2177" i="1" l="1"/>
  <c r="J2178" i="1" s="1"/>
  <c r="F2179" i="1"/>
  <c r="I2178" i="1" s="1"/>
  <c r="J2179" i="1" s="1"/>
  <c r="H2178" i="1"/>
  <c r="G2178" i="1"/>
  <c r="G2179" i="1" l="1"/>
  <c r="F2180" i="1"/>
  <c r="I2179" i="1" s="1"/>
  <c r="J2180" i="1" s="1"/>
  <c r="H2179" i="1"/>
  <c r="H2180" i="1" s="1"/>
  <c r="F2181" i="1" l="1"/>
  <c r="G2180" i="1"/>
  <c r="G2181" i="1" l="1"/>
  <c r="F2182" i="1"/>
  <c r="I2181" i="1" s="1"/>
  <c r="J2182" i="1" s="1"/>
  <c r="I2180" i="1"/>
  <c r="J2181" i="1" s="1"/>
  <c r="H2181" i="1"/>
  <c r="H2182" i="1" s="1"/>
  <c r="G2182" i="1" l="1"/>
  <c r="F2183" i="1"/>
  <c r="I2182" i="1" s="1"/>
  <c r="J2183" i="1" s="1"/>
  <c r="F2184" i="1" l="1"/>
  <c r="I2183" i="1" s="1"/>
  <c r="J2184" i="1" s="1"/>
  <c r="H2183" i="1"/>
  <c r="H2184" i="1" s="1"/>
  <c r="G2183" i="1"/>
  <c r="G2184" i="1" s="1"/>
  <c r="F2185" i="1" l="1"/>
  <c r="I2184" i="1" s="1"/>
  <c r="J2185" i="1" s="1"/>
  <c r="F2186" i="1" l="1"/>
  <c r="I2185" i="1" s="1"/>
  <c r="J2186" i="1" s="1"/>
  <c r="H2185" i="1"/>
  <c r="G2185" i="1"/>
  <c r="G2186" i="1" s="1"/>
  <c r="H2186" i="1" l="1"/>
  <c r="F2187" i="1"/>
  <c r="I2186" i="1" s="1"/>
  <c r="J2187" i="1" s="1"/>
  <c r="F2188" i="1" l="1"/>
  <c r="H2187" i="1"/>
  <c r="G2187" i="1"/>
  <c r="I2187" i="1" l="1"/>
  <c r="J2188" i="1" s="1"/>
  <c r="F2189" i="1"/>
  <c r="I2188" i="1" s="1"/>
  <c r="J2189" i="1" s="1"/>
  <c r="H2188" i="1"/>
  <c r="G2188" i="1"/>
  <c r="G2189" i="1" s="1"/>
  <c r="H2189" i="1" l="1"/>
  <c r="F2190" i="1"/>
  <c r="I2189" i="1" s="1"/>
  <c r="J2190" i="1" s="1"/>
  <c r="F2191" i="1" l="1"/>
  <c r="I2190" i="1" s="1"/>
  <c r="J2191" i="1" s="1"/>
  <c r="G2190" i="1"/>
  <c r="H2190" i="1"/>
  <c r="H2191" i="1" s="1"/>
  <c r="G2191" i="1" l="1"/>
  <c r="F2192" i="1"/>
  <c r="I2191" i="1" s="1"/>
  <c r="J2192" i="1" s="1"/>
  <c r="F2193" i="1" l="1"/>
  <c r="I2192" i="1" s="1"/>
  <c r="J2193" i="1" s="1"/>
  <c r="H2192" i="1"/>
  <c r="G2192" i="1"/>
  <c r="F2194" i="1" l="1"/>
  <c r="H2193" i="1"/>
  <c r="H2194" i="1" s="1"/>
  <c r="I2193" i="1"/>
  <c r="J2194" i="1" s="1"/>
  <c r="G2193" i="1"/>
  <c r="G2194" i="1" s="1"/>
  <c r="F2195" i="1" l="1"/>
  <c r="I2194" i="1" s="1"/>
  <c r="J2195" i="1" s="1"/>
  <c r="F2196" i="1" l="1"/>
  <c r="I2195" i="1" s="1"/>
  <c r="J2196" i="1" s="1"/>
  <c r="G2195" i="1"/>
  <c r="G2196" i="1" s="1"/>
  <c r="H2195" i="1"/>
  <c r="H2196" i="1" s="1"/>
  <c r="F2197" i="1" l="1"/>
  <c r="I2196" i="1" s="1"/>
  <c r="J2197" i="1" s="1"/>
  <c r="F2198" i="1" l="1"/>
  <c r="I2197" i="1" s="1"/>
  <c r="J2198" i="1" s="1"/>
  <c r="H2197" i="1"/>
  <c r="G2197" i="1"/>
  <c r="G2198" i="1" s="1"/>
  <c r="F2199" i="1" l="1"/>
  <c r="I2198" i="1" s="1"/>
  <c r="J2199" i="1" s="1"/>
  <c r="H2198" i="1"/>
  <c r="F2200" i="1" l="1"/>
  <c r="I2199" i="1" s="1"/>
  <c r="J2200" i="1" s="1"/>
  <c r="H2199" i="1"/>
  <c r="G2199" i="1"/>
  <c r="G2200" i="1" s="1"/>
  <c r="F2201" i="1" l="1"/>
  <c r="I2200" i="1" s="1"/>
  <c r="J2201" i="1" s="1"/>
  <c r="H2200" i="1"/>
  <c r="F2202" i="1" l="1"/>
  <c r="H2201" i="1"/>
  <c r="G2201" i="1"/>
  <c r="I2201" i="1" l="1"/>
  <c r="J2202" i="1" s="1"/>
  <c r="F2203" i="1"/>
  <c r="I2202" i="1" s="1"/>
  <c r="J2203" i="1" s="1"/>
  <c r="H2202" i="1"/>
  <c r="G2202" i="1"/>
  <c r="G2203" i="1" l="1"/>
  <c r="F2204" i="1"/>
  <c r="I2203" i="1" s="1"/>
  <c r="J2204" i="1" s="1"/>
  <c r="H2203" i="1"/>
  <c r="F2205" i="1" l="1"/>
  <c r="H2204" i="1"/>
  <c r="H2205" i="1" s="1"/>
  <c r="I2204" i="1"/>
  <c r="J2205" i="1" s="1"/>
  <c r="G2204" i="1"/>
  <c r="G2205" i="1" s="1"/>
  <c r="F2206" i="1" l="1"/>
  <c r="I2205" i="1" s="1"/>
  <c r="J2206" i="1" s="1"/>
  <c r="F2207" i="1" l="1"/>
  <c r="H2206" i="1"/>
  <c r="G2206" i="1"/>
  <c r="I2206" i="1" l="1"/>
  <c r="J2207" i="1" s="1"/>
  <c r="F2208" i="1"/>
  <c r="I2207" i="1" s="1"/>
  <c r="J2208" i="1" s="1"/>
  <c r="H2207" i="1"/>
  <c r="G2207" i="1"/>
  <c r="G2208" i="1" s="1"/>
  <c r="F2209" i="1" l="1"/>
  <c r="I2208" i="1" s="1"/>
  <c r="J2209" i="1" s="1"/>
  <c r="H2208" i="1"/>
  <c r="F2210" i="1" l="1"/>
  <c r="I2209" i="1" s="1"/>
  <c r="J2210" i="1" s="1"/>
  <c r="H2209" i="1"/>
  <c r="H2210" i="1" s="1"/>
  <c r="G2209" i="1"/>
  <c r="G2210" i="1" s="1"/>
  <c r="F2211" i="1" l="1"/>
  <c r="I2210" i="1" s="1"/>
  <c r="J2211" i="1" s="1"/>
  <c r="F2212" i="1" l="1"/>
  <c r="I2211" i="1" s="1"/>
  <c r="J2212" i="1" s="1"/>
  <c r="H2211" i="1"/>
  <c r="G2211" i="1"/>
  <c r="G2212" i="1" s="1"/>
  <c r="F2213" i="1" l="1"/>
  <c r="I2212" i="1" s="1"/>
  <c r="J2213" i="1" s="1"/>
  <c r="H2212" i="1"/>
  <c r="H2213" i="1" s="1"/>
  <c r="F2214" i="1" l="1"/>
  <c r="I2213" i="1" s="1"/>
  <c r="J2214" i="1" s="1"/>
  <c r="G2213" i="1"/>
  <c r="G2214" i="1" l="1"/>
  <c r="F2215" i="1"/>
  <c r="H2214" i="1"/>
  <c r="H2215" i="1" l="1"/>
  <c r="F2216" i="1"/>
  <c r="G2215" i="1"/>
  <c r="I2214" i="1"/>
  <c r="J2215" i="1" s="1"/>
  <c r="I2215" i="1" l="1"/>
  <c r="J2216" i="1" s="1"/>
  <c r="F2217" i="1"/>
  <c r="I2216" i="1" s="1"/>
  <c r="J2217" i="1" s="1"/>
  <c r="H2216" i="1"/>
  <c r="G2216" i="1"/>
  <c r="F2218" i="1" l="1"/>
  <c r="I2217" i="1" s="1"/>
  <c r="J2218" i="1" s="1"/>
  <c r="H2217" i="1"/>
  <c r="H2218" i="1" s="1"/>
  <c r="G2217" i="1"/>
  <c r="F2219" i="1" l="1"/>
  <c r="G2218" i="1"/>
  <c r="G2219" i="1" s="1"/>
  <c r="F2220" i="1" l="1"/>
  <c r="I2219" i="1" s="1"/>
  <c r="J2220" i="1" s="1"/>
  <c r="I2218" i="1"/>
  <c r="J2219" i="1" s="1"/>
  <c r="H2219" i="1"/>
  <c r="H2220" i="1" s="1"/>
  <c r="F2221" i="1" l="1"/>
  <c r="G2220" i="1"/>
  <c r="I2220" i="1" l="1"/>
  <c r="J2221" i="1" s="1"/>
  <c r="F2222" i="1"/>
  <c r="I2221" i="1" s="1"/>
  <c r="J2222" i="1" s="1"/>
  <c r="H2221" i="1"/>
  <c r="G2221" i="1"/>
  <c r="F2223" i="1" l="1"/>
  <c r="I2222" i="1" s="1"/>
  <c r="J2223" i="1" s="1"/>
  <c r="H2222" i="1"/>
  <c r="G2222" i="1"/>
  <c r="G2223" i="1" s="1"/>
  <c r="F2224" i="1" l="1"/>
  <c r="H2223" i="1"/>
  <c r="I2223" i="1"/>
  <c r="J2224" i="1" s="1"/>
  <c r="F2225" i="1" l="1"/>
  <c r="H2224" i="1"/>
  <c r="G2224" i="1"/>
  <c r="I2224" i="1" l="1"/>
  <c r="J2225" i="1" s="1"/>
  <c r="F2226" i="1"/>
  <c r="I2225" i="1" s="1"/>
  <c r="J2226" i="1" s="1"/>
  <c r="H2225" i="1"/>
  <c r="G2225" i="1"/>
  <c r="H2226" i="1" l="1"/>
  <c r="F2227" i="1"/>
  <c r="I2226" i="1" s="1"/>
  <c r="J2227" i="1" s="1"/>
  <c r="G2226" i="1"/>
  <c r="F2228" i="1" l="1"/>
  <c r="I2227" i="1" s="1"/>
  <c r="J2228" i="1" s="1"/>
  <c r="G2227" i="1"/>
  <c r="H2227" i="1"/>
  <c r="H2228" i="1" s="1"/>
  <c r="G2228" i="1" l="1"/>
  <c r="F2229" i="1"/>
  <c r="I2228" i="1" s="1"/>
  <c r="J2229" i="1" s="1"/>
  <c r="F2230" i="1" l="1"/>
  <c r="G2229" i="1"/>
  <c r="G2230" i="1" s="1"/>
  <c r="H2229" i="1"/>
  <c r="I2229" i="1" l="1"/>
  <c r="J2230" i="1" s="1"/>
  <c r="F2231" i="1"/>
  <c r="I2230" i="1" s="1"/>
  <c r="J2231" i="1" s="1"/>
  <c r="H2230" i="1"/>
  <c r="F2232" i="1" l="1"/>
  <c r="I2231" i="1" s="1"/>
  <c r="J2232" i="1" s="1"/>
  <c r="H2231" i="1"/>
  <c r="G2231" i="1"/>
  <c r="G2232" i="1" s="1"/>
  <c r="F2233" i="1" l="1"/>
  <c r="I2232" i="1" s="1"/>
  <c r="J2233" i="1" s="1"/>
  <c r="H2232" i="1"/>
  <c r="F2234" i="1" l="1"/>
  <c r="I2233" i="1" s="1"/>
  <c r="J2234" i="1" s="1"/>
  <c r="H2233" i="1"/>
  <c r="H2234" i="1" s="1"/>
  <c r="G2233" i="1"/>
  <c r="G2234" i="1" s="1"/>
  <c r="F2235" i="1" l="1"/>
  <c r="I2234" i="1" s="1"/>
  <c r="J2235" i="1" s="1"/>
  <c r="F2236" i="1" l="1"/>
  <c r="I2235" i="1" s="1"/>
  <c r="J2236" i="1" s="1"/>
  <c r="H2235" i="1"/>
  <c r="G2235" i="1"/>
  <c r="F2237" i="1" l="1"/>
  <c r="I2236" i="1" s="1"/>
  <c r="J2237" i="1" s="1"/>
  <c r="H2236" i="1"/>
  <c r="H2237" i="1" s="1"/>
  <c r="G2236" i="1"/>
  <c r="F2238" i="1" l="1"/>
  <c r="I2237" i="1" s="1"/>
  <c r="J2238" i="1" s="1"/>
  <c r="G2237" i="1"/>
  <c r="F2239" i="1" l="1"/>
  <c r="I2238" i="1" s="1"/>
  <c r="J2239" i="1" s="1"/>
  <c r="G2238" i="1"/>
  <c r="G2239" i="1" s="1"/>
  <c r="H2238" i="1"/>
  <c r="H2239" i="1" s="1"/>
  <c r="F2240" i="1" l="1"/>
  <c r="I2239" i="1" s="1"/>
  <c r="J2240" i="1" s="1"/>
  <c r="F2241" i="1" l="1"/>
  <c r="I2240" i="1" s="1"/>
  <c r="J2241" i="1" s="1"/>
  <c r="H2240" i="1"/>
  <c r="G2240" i="1"/>
  <c r="F2242" i="1" l="1"/>
  <c r="H2241" i="1"/>
  <c r="H2242" i="1" s="1"/>
  <c r="G2241" i="1"/>
  <c r="I2241" i="1" l="1"/>
  <c r="J2242" i="1" s="1"/>
  <c r="F2243" i="1"/>
  <c r="G2242" i="1"/>
  <c r="G2243" i="1" l="1"/>
  <c r="H2243" i="1"/>
  <c r="F2244" i="1"/>
  <c r="I2242" i="1"/>
  <c r="J2243" i="1" s="1"/>
  <c r="F2245" i="1" l="1"/>
  <c r="G2244" i="1"/>
  <c r="I2244" i="1"/>
  <c r="J2245" i="1" s="1"/>
  <c r="H2244" i="1"/>
  <c r="I2243" i="1"/>
  <c r="J2244" i="1" s="1"/>
  <c r="G2245" i="1" l="1"/>
  <c r="H2245" i="1"/>
  <c r="F2246" i="1"/>
  <c r="G2246" i="1" l="1"/>
  <c r="H2246" i="1"/>
  <c r="F2247" i="1"/>
  <c r="I2245" i="1"/>
  <c r="J2246" i="1" s="1"/>
  <c r="H2247" i="1" l="1"/>
  <c r="F2248" i="1"/>
  <c r="G2247" i="1"/>
  <c r="I2246" i="1"/>
  <c r="J2247" i="1" s="1"/>
  <c r="F2249" i="1" l="1"/>
  <c r="H2248" i="1"/>
  <c r="G2248" i="1"/>
  <c r="I2248" i="1"/>
  <c r="J2249" i="1" s="1"/>
  <c r="I2247" i="1"/>
  <c r="J2248" i="1" s="1"/>
  <c r="G2249" i="1" l="1"/>
  <c r="F2250" i="1"/>
  <c r="I2249" i="1" s="1"/>
  <c r="J2250" i="1" s="1"/>
  <c r="H2249" i="1"/>
  <c r="G2250" i="1" l="1"/>
  <c r="H2250" i="1"/>
  <c r="F2251" i="1"/>
  <c r="H2251" i="1" l="1"/>
  <c r="G2251" i="1"/>
  <c r="F2252" i="1"/>
  <c r="I2250" i="1"/>
  <c r="J2251" i="1" s="1"/>
  <c r="G2252" i="1" l="1"/>
  <c r="H2252" i="1"/>
  <c r="F2253" i="1"/>
  <c r="I2251" i="1"/>
  <c r="J2252" i="1" s="1"/>
  <c r="F2254" i="1" l="1"/>
  <c r="G2253" i="1"/>
  <c r="H2253" i="1"/>
  <c r="I2253" i="1"/>
  <c r="J2254" i="1" s="1"/>
  <c r="I2252" i="1"/>
  <c r="J2253" i="1" s="1"/>
  <c r="G2254" i="1" l="1"/>
  <c r="F2255" i="1"/>
  <c r="H2254" i="1"/>
  <c r="I2254" i="1" l="1"/>
  <c r="J2255" i="1" s="1"/>
  <c r="H2255" i="1"/>
  <c r="F2256" i="1"/>
  <c r="I2255" i="1" s="1"/>
  <c r="J2256" i="1" s="1"/>
  <c r="G2255" i="1"/>
  <c r="G2256" i="1" l="1"/>
  <c r="F2257" i="1"/>
  <c r="I2256" i="1" s="1"/>
  <c r="J2257" i="1" s="1"/>
  <c r="H2256" i="1"/>
  <c r="H2257" i="1" l="1"/>
  <c r="G2257" i="1"/>
  <c r="F2258" i="1"/>
  <c r="I2257" i="1" l="1"/>
  <c r="J2258" i="1" s="1"/>
  <c r="H2258" i="1"/>
  <c r="G2258" i="1"/>
  <c r="F2259" i="1"/>
  <c r="I2258" i="1" s="1"/>
  <c r="J2259" i="1" s="1"/>
  <c r="H2259" i="1" l="1"/>
  <c r="G2259" i="1"/>
  <c r="F2260" i="1"/>
  <c r="I2259" i="1" s="1"/>
  <c r="J2260" i="1" s="1"/>
  <c r="G2260" i="1" l="1"/>
  <c r="H2260" i="1"/>
  <c r="F2261" i="1"/>
  <c r="I2260" i="1" s="1"/>
  <c r="J2261" i="1" s="1"/>
  <c r="G2261" i="1" l="1"/>
  <c r="F2262" i="1"/>
  <c r="H2261" i="1"/>
  <c r="I2261" i="1" l="1"/>
  <c r="J2262" i="1" s="1"/>
  <c r="G2262" i="1"/>
  <c r="F2263" i="1"/>
  <c r="H2262" i="1"/>
  <c r="I2262" i="1" s="1"/>
  <c r="J2263" i="1" s="1"/>
  <c r="H2263" i="1" l="1"/>
  <c r="F2264" i="1"/>
  <c r="I2263" i="1" s="1"/>
  <c r="J2264" i="1" s="1"/>
  <c r="G2263" i="1"/>
  <c r="F2265" i="1" l="1"/>
  <c r="H2264" i="1"/>
  <c r="G2264" i="1"/>
  <c r="I2264" i="1"/>
  <c r="J2265" i="1" s="1"/>
  <c r="H2265" i="1" l="1"/>
  <c r="G2265" i="1"/>
  <c r="F2266" i="1"/>
  <c r="I2265" i="1" s="1"/>
  <c r="J2266" i="1" s="1"/>
  <c r="H2266" i="1" l="1"/>
  <c r="G2266" i="1"/>
  <c r="F2267" i="1"/>
  <c r="I2266" i="1" s="1"/>
  <c r="J2267" i="1" s="1"/>
  <c r="H2267" i="1" l="1"/>
  <c r="G2267" i="1"/>
  <c r="F2268" i="1"/>
  <c r="I2267" i="1" l="1"/>
  <c r="J2268" i="1" s="1"/>
  <c r="G2268" i="1"/>
  <c r="H2268" i="1"/>
  <c r="F2269" i="1"/>
  <c r="G2269" i="1" l="1"/>
  <c r="H2269" i="1"/>
  <c r="I2269" i="1"/>
  <c r="I2268" i="1"/>
  <c r="J2269" i="1" s="1"/>
</calcChain>
</file>

<file path=xl/sharedStrings.xml><?xml version="1.0" encoding="utf-8"?>
<sst xmlns="http://schemas.openxmlformats.org/spreadsheetml/2006/main" count="17" uniqueCount="17">
  <si>
    <t>asOfDate</t>
  </si>
  <si>
    <t>RealCoupon</t>
  </si>
  <si>
    <t>RealMortgageRate</t>
  </si>
  <si>
    <t>Weekday</t>
  </si>
  <si>
    <t>Weight</t>
  </si>
  <si>
    <t>Counter</t>
  </si>
  <si>
    <t>accumulated Weighted CC</t>
  </si>
  <si>
    <t>accumulatedWeight</t>
  </si>
  <si>
    <t>WA CC</t>
  </si>
  <si>
    <t>Servicing Spread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</si>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</sst>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9"/>
  <sheetViews>
    <sheetView tabSelected="1" workbookViewId="0">
      <pane ySplit="1" topLeftCell="A2" activePane="bottomLeft" state="frozen"/>
      <selection activeCell="F1" sqref="F1"/>
      <selection pane="bottomLeft" activeCell="D3" sqref="D3"/>
    </sheetView>
  </sheetViews>
  <sheetFormatPr defaultRowHeight="15" x14ac:dyDescent="0.25"/>
  <cols>
    <col min="1" max="1" width="10.7109375" bestFit="1" customWidth="1"/>
    <col min="3" max="3" width="17.5703125" bestFit="1" customWidth="1"/>
    <col min="7" max="7" width="24.5703125" bestFit="1" customWidth="1"/>
    <col min="8" max="8" width="19" bestFit="1" customWidth="1"/>
    <col min="10" max="10" width="15.7109375" bestFit="1" customWidth="1"/>
    <col min="13" max="13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s="1">
        <v>38720</v>
      </c>
      <c r="B2">
        <v>5.7025300000000003</v>
      </c>
      <c r="C2">
        <v>6.085</v>
      </c>
      <c r="D2">
        <f>WEEKDAY(A2,14)</f>
        <v>6</v>
      </c>
      <c r="E2">
        <f>VLOOKUP(D2,M$2:N$8,2,FALSE)</f>
        <v>0.7</v>
      </c>
      <c r="F2">
        <f>IF(AND(D2&gt;D1,F1&lt;6),F1+1,1)</f>
        <v>1</v>
      </c>
      <c r="G2">
        <f>B2*E2</f>
        <v>3.991771</v>
      </c>
      <c r="H2">
        <v>0.7</v>
      </c>
      <c r="I2">
        <f>IF(F2&gt;F3,G2/H2,0)</f>
        <v>0</v>
      </c>
      <c r="J2">
        <v>0</v>
      </c>
      <c r="L2" t="s">
        <v>10</v>
      </c>
      <c r="M2">
        <v>5</v>
      </c>
      <c r="N2">
        <v>0.05</v>
      </c>
    </row>
    <row r="3" spans="1:14" x14ac:dyDescent="0.25">
      <c r="A3" s="1">
        <v>38721</v>
      </c>
      <c r="B3">
        <v>5.6532400000000003</v>
      </c>
      <c r="C3">
        <v>6.085</v>
      </c>
      <c r="D3">
        <f>WEEKDAY(A3,14)</f>
        <v>7</v>
      </c>
      <c r="E3">
        <f t="shared" ref="E3:E66" si="0">VLOOKUP(D3,M$2:N$8,2,FALSE)</f>
        <v>0.25</v>
      </c>
      <c r="F3">
        <f t="shared" ref="F3:F66" si="1">IF(AND(D3&gt;D2,F2&lt;6),F2+1,1)</f>
        <v>2</v>
      </c>
      <c r="G3">
        <f>IF(F3&gt;F2,G2+B3*E3,B3*E3)</f>
        <v>5.405081</v>
      </c>
      <c r="H3">
        <f>IF(AND(F3&lt;6,F3&gt;F2),E3+H2,E3)</f>
        <v>0.95</v>
      </c>
      <c r="I3">
        <f>IF(F3&gt;F4,G3/H3,0)</f>
        <v>5.6895589473684209</v>
      </c>
      <c r="J3">
        <f>IF(I2=0,0,C2-I2)</f>
        <v>0</v>
      </c>
      <c r="L3" t="s">
        <v>11</v>
      </c>
      <c r="M3">
        <v>6</v>
      </c>
      <c r="N3">
        <v>0.7</v>
      </c>
    </row>
    <row r="4" spans="1:14" x14ac:dyDescent="0.25">
      <c r="A4" s="1">
        <v>38722</v>
      </c>
      <c r="B4">
        <v>5.6396800000000002</v>
      </c>
      <c r="C4">
        <v>6.05</v>
      </c>
      <c r="D4">
        <f>WEEKDAY(A4,14)</f>
        <v>1</v>
      </c>
      <c r="E4">
        <f t="shared" si="0"/>
        <v>0</v>
      </c>
      <c r="F4">
        <f t="shared" si="1"/>
        <v>1</v>
      </c>
      <c r="G4">
        <f>IF(F4&gt;F3,G3+B4*E4,B4*E4)</f>
        <v>0</v>
      </c>
      <c r="H4">
        <f t="shared" ref="H4:H67" si="2">IF(AND(F4&lt;6,F4&gt;F3),E4+H3,E4)</f>
        <v>0</v>
      </c>
      <c r="I4">
        <f t="shared" ref="I4:I67" si="3">IF(F4&gt;F5,G4/H4,0)</f>
        <v>0</v>
      </c>
      <c r="J4">
        <f>IF(I3=0,0,C3-I3)</f>
        <v>0.39544105263157903</v>
      </c>
      <c r="L4" t="s">
        <v>12</v>
      </c>
      <c r="M4">
        <v>7</v>
      </c>
      <c r="N4">
        <v>0.25</v>
      </c>
    </row>
    <row r="5" spans="1:14" x14ac:dyDescent="0.25">
      <c r="A5" s="1">
        <v>38723</v>
      </c>
      <c r="B5">
        <v>5.6332199999999997</v>
      </c>
      <c r="C5">
        <v>6.05</v>
      </c>
      <c r="D5">
        <f>WEEKDAY(A5,14)</f>
        <v>2</v>
      </c>
      <c r="E5">
        <f t="shared" si="0"/>
        <v>0</v>
      </c>
      <c r="F5">
        <f t="shared" si="1"/>
        <v>2</v>
      </c>
      <c r="G5">
        <f>IF(F5&gt;F4,G4+B5*E5,B5*E5)</f>
        <v>0</v>
      </c>
      <c r="H5">
        <f t="shared" si="2"/>
        <v>0</v>
      </c>
      <c r="I5">
        <f t="shared" si="3"/>
        <v>0</v>
      </c>
      <c r="J5">
        <f>IF(I4=0,0,C4-I4)</f>
        <v>0</v>
      </c>
      <c r="L5" t="s">
        <v>13</v>
      </c>
      <c r="M5">
        <v>1</v>
      </c>
      <c r="N5">
        <v>0</v>
      </c>
    </row>
    <row r="6" spans="1:14" x14ac:dyDescent="0.25">
      <c r="A6" s="1">
        <v>38726</v>
      </c>
      <c r="B6">
        <v>5.6210399999999998</v>
      </c>
      <c r="C6">
        <v>6.05</v>
      </c>
      <c r="D6">
        <f>WEEKDAY(A6,14)</f>
        <v>5</v>
      </c>
      <c r="E6">
        <f t="shared" si="0"/>
        <v>0.05</v>
      </c>
      <c r="F6">
        <f t="shared" si="1"/>
        <v>3</v>
      </c>
      <c r="G6">
        <f>IF(F6&gt;F5,G5+B6*E6,B6*E6)</f>
        <v>0.28105200000000002</v>
      </c>
      <c r="H6">
        <f t="shared" si="2"/>
        <v>0.05</v>
      </c>
      <c r="I6">
        <f t="shared" si="3"/>
        <v>0</v>
      </c>
      <c r="J6">
        <f>IF(I5=0,0,C5-I5)</f>
        <v>0</v>
      </c>
      <c r="L6" t="s">
        <v>14</v>
      </c>
      <c r="M6">
        <v>2</v>
      </c>
      <c r="N6">
        <v>0</v>
      </c>
    </row>
    <row r="7" spans="1:14" x14ac:dyDescent="0.25">
      <c r="A7" s="1">
        <v>38727</v>
      </c>
      <c r="B7">
        <v>5.6824599999999998</v>
      </c>
      <c r="C7">
        <v>6.05</v>
      </c>
      <c r="D7">
        <f>WEEKDAY(A7,14)</f>
        <v>6</v>
      </c>
      <c r="E7">
        <f t="shared" si="0"/>
        <v>0.7</v>
      </c>
      <c r="F7">
        <f t="shared" si="1"/>
        <v>4</v>
      </c>
      <c r="G7">
        <f>IF(F7&gt;F6,G6+B7*E7,B7*E7)</f>
        <v>4.2587739999999998</v>
      </c>
      <c r="H7">
        <f t="shared" si="2"/>
        <v>0.75</v>
      </c>
      <c r="I7">
        <f t="shared" si="3"/>
        <v>0</v>
      </c>
      <c r="J7">
        <f>IF(I6=0,0,C6-I6)</f>
        <v>0</v>
      </c>
      <c r="L7" t="s">
        <v>15</v>
      </c>
      <c r="M7">
        <v>3</v>
      </c>
      <c r="N7">
        <v>0</v>
      </c>
    </row>
    <row r="8" spans="1:14" x14ac:dyDescent="0.25">
      <c r="A8" s="1">
        <v>38728</v>
      </c>
      <c r="B8">
        <v>5.7069999999999999</v>
      </c>
      <c r="C8">
        <v>6.05</v>
      </c>
      <c r="D8">
        <f>WEEKDAY(A8,14)</f>
        <v>7</v>
      </c>
      <c r="E8">
        <f t="shared" si="0"/>
        <v>0.25</v>
      </c>
      <c r="F8">
        <f t="shared" si="1"/>
        <v>5</v>
      </c>
      <c r="G8">
        <f>IF(F8&gt;F7,G7+B8*E8,B8*E8)</f>
        <v>5.685524</v>
      </c>
      <c r="H8">
        <f t="shared" si="2"/>
        <v>1</v>
      </c>
      <c r="I8">
        <f t="shared" si="3"/>
        <v>5.685524</v>
      </c>
      <c r="J8">
        <f>IF(I7=0,0,C7-I7)</f>
        <v>0</v>
      </c>
      <c r="L8" t="s">
        <v>16</v>
      </c>
      <c r="M8">
        <v>4</v>
      </c>
      <c r="N8">
        <v>0</v>
      </c>
    </row>
    <row r="9" spans="1:14" x14ac:dyDescent="0.25">
      <c r="A9" s="1">
        <v>38729</v>
      </c>
      <c r="B9">
        <v>5.6444099999999997</v>
      </c>
      <c r="C9">
        <v>5.9749999999999996</v>
      </c>
      <c r="D9">
        <f>WEEKDAY(A9,14)</f>
        <v>1</v>
      </c>
      <c r="E9">
        <f t="shared" si="0"/>
        <v>0</v>
      </c>
      <c r="F9">
        <f t="shared" si="1"/>
        <v>1</v>
      </c>
      <c r="G9">
        <f>IF(F9&gt;F8,G8+B9*E9,B9*E9)</f>
        <v>0</v>
      </c>
      <c r="H9">
        <f t="shared" si="2"/>
        <v>0</v>
      </c>
      <c r="I9">
        <f t="shared" si="3"/>
        <v>0</v>
      </c>
      <c r="J9">
        <f>IF(I8=0,0,C8-I8)</f>
        <v>0.3644759999999998</v>
      </c>
    </row>
    <row r="10" spans="1:14" x14ac:dyDescent="0.25">
      <c r="A10" s="1">
        <v>38730</v>
      </c>
      <c r="B10">
        <v>5.5807000000000002</v>
      </c>
      <c r="C10">
        <v>5.9749999999999996</v>
      </c>
      <c r="D10">
        <f>WEEKDAY(A10,14)</f>
        <v>2</v>
      </c>
      <c r="E10">
        <f t="shared" si="0"/>
        <v>0</v>
      </c>
      <c r="F10">
        <f t="shared" si="1"/>
        <v>2</v>
      </c>
      <c r="G10">
        <f>IF(F10&gt;F9,G9+B10*E10,B10*E10)</f>
        <v>0</v>
      </c>
      <c r="H10">
        <f t="shared" si="2"/>
        <v>0</v>
      </c>
      <c r="I10">
        <f t="shared" si="3"/>
        <v>0</v>
      </c>
      <c r="J10">
        <f>IF(I9=0,0,C9-I9)</f>
        <v>0</v>
      </c>
    </row>
    <row r="11" spans="1:14" x14ac:dyDescent="0.25">
      <c r="A11" s="1">
        <v>38734</v>
      </c>
      <c r="B11">
        <v>5.5762400000000003</v>
      </c>
      <c r="C11">
        <v>5.9749999999999996</v>
      </c>
      <c r="D11">
        <f>WEEKDAY(A11,14)</f>
        <v>6</v>
      </c>
      <c r="E11">
        <f t="shared" si="0"/>
        <v>0.7</v>
      </c>
      <c r="F11">
        <f t="shared" si="1"/>
        <v>3</v>
      </c>
      <c r="G11">
        <f>IF(F11&gt;F10,G10+B11*E11,B11*E11)</f>
        <v>3.9033679999999999</v>
      </c>
      <c r="H11">
        <f t="shared" si="2"/>
        <v>0.7</v>
      </c>
      <c r="I11">
        <f t="shared" si="3"/>
        <v>0</v>
      </c>
      <c r="J11">
        <f>IF(I10=0,0,C10-I10)</f>
        <v>0</v>
      </c>
    </row>
    <row r="12" spans="1:14" x14ac:dyDescent="0.25">
      <c r="A12" s="1">
        <v>38735</v>
      </c>
      <c r="B12">
        <v>5.5866100000000003</v>
      </c>
      <c r="C12">
        <v>5.9749999999999996</v>
      </c>
      <c r="D12">
        <f>WEEKDAY(A12,14)</f>
        <v>7</v>
      </c>
      <c r="E12">
        <f t="shared" si="0"/>
        <v>0.25</v>
      </c>
      <c r="F12">
        <f t="shared" si="1"/>
        <v>4</v>
      </c>
      <c r="G12">
        <f>IF(F12&gt;F11,G11+B12*E12,B12*E12)</f>
        <v>5.3000205000000005</v>
      </c>
      <c r="H12">
        <f t="shared" si="2"/>
        <v>0.95</v>
      </c>
      <c r="I12">
        <f t="shared" si="3"/>
        <v>5.5789689473684216</v>
      </c>
      <c r="J12">
        <f>IF(I11=0,0,C11-I11)</f>
        <v>0</v>
      </c>
    </row>
    <row r="13" spans="1:14" x14ac:dyDescent="0.25">
      <c r="A13" s="1">
        <v>38736</v>
      </c>
      <c r="B13">
        <v>5.6221100000000002</v>
      </c>
      <c r="C13">
        <v>5.9950000000000001</v>
      </c>
      <c r="D13">
        <f>WEEKDAY(A13,14)</f>
        <v>1</v>
      </c>
      <c r="E13">
        <f t="shared" si="0"/>
        <v>0</v>
      </c>
      <c r="F13">
        <f t="shared" si="1"/>
        <v>1</v>
      </c>
      <c r="G13">
        <f>IF(F13&gt;F12,G12+B13*E13,B13*E13)</f>
        <v>0</v>
      </c>
      <c r="H13">
        <f t="shared" si="2"/>
        <v>0</v>
      </c>
      <c r="I13">
        <f t="shared" si="3"/>
        <v>0</v>
      </c>
      <c r="J13">
        <f>IF(I12=0,0,C12-I12)</f>
        <v>0.39603105263157801</v>
      </c>
    </row>
    <row r="14" spans="1:14" x14ac:dyDescent="0.25">
      <c r="A14" s="1">
        <v>38737</v>
      </c>
      <c r="B14">
        <v>5.5842299999999998</v>
      </c>
      <c r="C14">
        <v>5.9950000000000001</v>
      </c>
      <c r="D14">
        <f>WEEKDAY(A14,14)</f>
        <v>2</v>
      </c>
      <c r="E14">
        <f t="shared" si="0"/>
        <v>0</v>
      </c>
      <c r="F14">
        <f t="shared" si="1"/>
        <v>2</v>
      </c>
      <c r="G14">
        <f>IF(F14&gt;F13,G13+B14*E14,B14*E14)</f>
        <v>0</v>
      </c>
      <c r="H14">
        <f t="shared" si="2"/>
        <v>0</v>
      </c>
      <c r="I14">
        <f t="shared" si="3"/>
        <v>0</v>
      </c>
      <c r="J14">
        <f>IF(I13=0,0,C13-I13)</f>
        <v>0</v>
      </c>
    </row>
    <row r="15" spans="1:14" x14ac:dyDescent="0.25">
      <c r="A15" s="1">
        <v>38740</v>
      </c>
      <c r="B15">
        <v>5.5809600000000001</v>
      </c>
      <c r="C15">
        <v>5.9950000000000001</v>
      </c>
      <c r="D15">
        <f>WEEKDAY(A15,14)</f>
        <v>5</v>
      </c>
      <c r="E15">
        <f t="shared" si="0"/>
        <v>0.05</v>
      </c>
      <c r="F15">
        <f t="shared" si="1"/>
        <v>3</v>
      </c>
      <c r="G15">
        <f>IF(F15&gt;F14,G14+B15*E15,B15*E15)</f>
        <v>0.27904800000000002</v>
      </c>
      <c r="H15">
        <f t="shared" si="2"/>
        <v>0.05</v>
      </c>
      <c r="I15">
        <f t="shared" si="3"/>
        <v>0</v>
      </c>
      <c r="J15">
        <f>IF(I14=0,0,C14-I14)</f>
        <v>0</v>
      </c>
    </row>
    <row r="16" spans="1:14" x14ac:dyDescent="0.25">
      <c r="A16" s="1">
        <v>38741</v>
      </c>
      <c r="B16">
        <v>5.6148899999999999</v>
      </c>
      <c r="C16">
        <v>5.9950000000000001</v>
      </c>
      <c r="D16">
        <f>WEEKDAY(A16,14)</f>
        <v>6</v>
      </c>
      <c r="E16">
        <f t="shared" si="0"/>
        <v>0.7</v>
      </c>
      <c r="F16">
        <f t="shared" si="1"/>
        <v>4</v>
      </c>
      <c r="G16">
        <f>IF(F16&gt;F15,G15+B16*E16,B16*E16)</f>
        <v>4.2094709999999997</v>
      </c>
      <c r="H16">
        <f t="shared" si="2"/>
        <v>0.75</v>
      </c>
      <c r="I16">
        <f t="shared" si="3"/>
        <v>0</v>
      </c>
      <c r="J16">
        <f>IF(I15=0,0,C15-I15)</f>
        <v>0</v>
      </c>
    </row>
    <row r="17" spans="1:10" x14ac:dyDescent="0.25">
      <c r="A17" s="1">
        <v>38742</v>
      </c>
      <c r="B17">
        <v>5.7073999999999998</v>
      </c>
      <c r="C17">
        <v>5.9950000000000001</v>
      </c>
      <c r="D17">
        <f>WEEKDAY(A17,14)</f>
        <v>7</v>
      </c>
      <c r="E17">
        <f t="shared" si="0"/>
        <v>0.25</v>
      </c>
      <c r="F17">
        <f t="shared" si="1"/>
        <v>5</v>
      </c>
      <c r="G17">
        <f>IF(F17&gt;F16,G16+B17*E17,B17*E17)</f>
        <v>5.6363209999999997</v>
      </c>
      <c r="H17">
        <f t="shared" si="2"/>
        <v>1</v>
      </c>
      <c r="I17">
        <f t="shared" si="3"/>
        <v>5.6363209999999997</v>
      </c>
      <c r="J17">
        <f>IF(I16=0,0,C16-I16)</f>
        <v>0</v>
      </c>
    </row>
    <row r="18" spans="1:10" x14ac:dyDescent="0.25">
      <c r="A18" s="1">
        <v>38743</v>
      </c>
      <c r="B18">
        <v>5.7554100000000004</v>
      </c>
      <c r="C18">
        <v>6.1050000000000004</v>
      </c>
      <c r="D18">
        <f>WEEKDAY(A18,14)</f>
        <v>1</v>
      </c>
      <c r="E18">
        <f t="shared" si="0"/>
        <v>0</v>
      </c>
      <c r="F18">
        <f t="shared" si="1"/>
        <v>1</v>
      </c>
      <c r="G18">
        <f>IF(F18&gt;F17,G17+B18*E18,B18*E18)</f>
        <v>0</v>
      </c>
      <c r="H18">
        <f t="shared" si="2"/>
        <v>0</v>
      </c>
      <c r="I18">
        <f t="shared" si="3"/>
        <v>0</v>
      </c>
      <c r="J18">
        <f>IF(I17=0,0,C17-I17)</f>
        <v>0.35867900000000041</v>
      </c>
    </row>
    <row r="19" spans="1:10" x14ac:dyDescent="0.25">
      <c r="A19" s="1">
        <v>38744</v>
      </c>
      <c r="B19">
        <v>5.7334800000000001</v>
      </c>
      <c r="C19">
        <v>6.1050000000000004</v>
      </c>
      <c r="D19">
        <f>WEEKDAY(A19,14)</f>
        <v>2</v>
      </c>
      <c r="E19">
        <f t="shared" si="0"/>
        <v>0</v>
      </c>
      <c r="F19">
        <f t="shared" si="1"/>
        <v>2</v>
      </c>
      <c r="G19">
        <f>IF(F19&gt;F18,G18+B19*E19,B19*E19)</f>
        <v>0</v>
      </c>
      <c r="H19">
        <f t="shared" si="2"/>
        <v>0</v>
      </c>
      <c r="I19">
        <f t="shared" si="3"/>
        <v>0</v>
      </c>
      <c r="J19">
        <f>IF(I18=0,0,C18-I18)</f>
        <v>0</v>
      </c>
    </row>
    <row r="20" spans="1:10" x14ac:dyDescent="0.25">
      <c r="A20" s="1">
        <v>38747</v>
      </c>
      <c r="B20">
        <v>5.7553900000000002</v>
      </c>
      <c r="C20">
        <v>6.1050000000000004</v>
      </c>
      <c r="D20">
        <f>WEEKDAY(A20,14)</f>
        <v>5</v>
      </c>
      <c r="E20">
        <f t="shared" si="0"/>
        <v>0.05</v>
      </c>
      <c r="F20">
        <f t="shared" si="1"/>
        <v>3</v>
      </c>
      <c r="G20">
        <f>IF(F20&gt;F19,G19+B20*E20,B20*E20)</f>
        <v>0.28776950000000001</v>
      </c>
      <c r="H20">
        <f t="shared" si="2"/>
        <v>0.05</v>
      </c>
      <c r="I20">
        <f t="shared" si="3"/>
        <v>0</v>
      </c>
      <c r="J20">
        <f>IF(I19=0,0,C19-I19)</f>
        <v>0</v>
      </c>
    </row>
    <row r="21" spans="1:10" x14ac:dyDescent="0.25">
      <c r="A21" s="1">
        <v>38748</v>
      </c>
      <c r="B21">
        <v>5.7637299999999998</v>
      </c>
      <c r="C21">
        <v>6.1050000000000004</v>
      </c>
      <c r="D21">
        <f>WEEKDAY(A21,14)</f>
        <v>6</v>
      </c>
      <c r="E21">
        <f t="shared" si="0"/>
        <v>0.7</v>
      </c>
      <c r="F21">
        <f t="shared" si="1"/>
        <v>4</v>
      </c>
      <c r="G21">
        <f>IF(F21&gt;F20,G20+B21*E21,B21*E21)</f>
        <v>4.3223804999999995</v>
      </c>
      <c r="H21">
        <f t="shared" si="2"/>
        <v>0.75</v>
      </c>
      <c r="I21">
        <f t="shared" si="3"/>
        <v>0</v>
      </c>
      <c r="J21">
        <f>IF(I20=0,0,C20-I20)</f>
        <v>0</v>
      </c>
    </row>
    <row r="22" spans="1:10" x14ac:dyDescent="0.25">
      <c r="A22" s="1">
        <v>38749</v>
      </c>
      <c r="B22">
        <v>5.8087299999999997</v>
      </c>
      <c r="C22">
        <v>6.1050000000000004</v>
      </c>
      <c r="D22">
        <f>WEEKDAY(A22,14)</f>
        <v>7</v>
      </c>
      <c r="E22">
        <f t="shared" si="0"/>
        <v>0.25</v>
      </c>
      <c r="F22">
        <f t="shared" si="1"/>
        <v>5</v>
      </c>
      <c r="G22">
        <f>IF(F22&gt;F21,G21+B22*E22,B22*E22)</f>
        <v>5.7745629999999997</v>
      </c>
      <c r="H22">
        <f t="shared" si="2"/>
        <v>1</v>
      </c>
      <c r="I22">
        <f t="shared" si="3"/>
        <v>5.7745629999999997</v>
      </c>
      <c r="J22">
        <f>IF(I21=0,0,C21-I21)</f>
        <v>0</v>
      </c>
    </row>
    <row r="23" spans="1:10" x14ac:dyDescent="0.25">
      <c r="A23" s="1">
        <v>38750</v>
      </c>
      <c r="B23">
        <v>5.8067200000000003</v>
      </c>
      <c r="C23">
        <v>6.14</v>
      </c>
      <c r="D23">
        <f>WEEKDAY(A23,14)</f>
        <v>1</v>
      </c>
      <c r="E23">
        <f t="shared" si="0"/>
        <v>0</v>
      </c>
      <c r="F23">
        <f t="shared" si="1"/>
        <v>1</v>
      </c>
      <c r="G23">
        <f>IF(F23&gt;F22,G22+B23*E23,B23*E23)</f>
        <v>0</v>
      </c>
      <c r="H23">
        <f t="shared" si="2"/>
        <v>0</v>
      </c>
      <c r="I23">
        <f t="shared" si="3"/>
        <v>0</v>
      </c>
      <c r="J23">
        <f>IF(I22=0,0,C22-I22)</f>
        <v>0.33043700000000076</v>
      </c>
    </row>
    <row r="24" spans="1:10" x14ac:dyDescent="0.25">
      <c r="A24" s="1">
        <v>38751</v>
      </c>
      <c r="B24">
        <v>5.7988799999999996</v>
      </c>
      <c r="C24">
        <v>6.14</v>
      </c>
      <c r="D24">
        <f>WEEKDAY(A24,14)</f>
        <v>2</v>
      </c>
      <c r="E24">
        <f t="shared" si="0"/>
        <v>0</v>
      </c>
      <c r="F24">
        <f t="shared" si="1"/>
        <v>2</v>
      </c>
      <c r="G24">
        <f>IF(F24&gt;F23,G23+B24*E24,B24*E24)</f>
        <v>0</v>
      </c>
      <c r="H24">
        <f t="shared" si="2"/>
        <v>0</v>
      </c>
      <c r="I24">
        <f t="shared" si="3"/>
        <v>0</v>
      </c>
      <c r="J24">
        <f>IF(I23=0,0,C23-I23)</f>
        <v>0</v>
      </c>
    </row>
    <row r="25" spans="1:10" x14ac:dyDescent="0.25">
      <c r="A25" s="1">
        <v>38754</v>
      </c>
      <c r="B25">
        <v>5.8018599999999996</v>
      </c>
      <c r="C25">
        <v>6.14</v>
      </c>
      <c r="D25">
        <f>WEEKDAY(A25,14)</f>
        <v>5</v>
      </c>
      <c r="E25">
        <f t="shared" si="0"/>
        <v>0.05</v>
      </c>
      <c r="F25">
        <f t="shared" si="1"/>
        <v>3</v>
      </c>
      <c r="G25">
        <f>IF(F25&gt;F24,G24+B25*E25,B25*E25)</f>
        <v>0.29009299999999999</v>
      </c>
      <c r="H25">
        <f t="shared" si="2"/>
        <v>0.05</v>
      </c>
      <c r="I25">
        <f t="shared" si="3"/>
        <v>0</v>
      </c>
      <c r="J25">
        <f>IF(I24=0,0,C24-I24)</f>
        <v>0</v>
      </c>
    </row>
    <row r="26" spans="1:10" x14ac:dyDescent="0.25">
      <c r="A26" s="1">
        <v>38755</v>
      </c>
      <c r="B26">
        <v>5.8017899999999996</v>
      </c>
      <c r="C26">
        <v>6.14</v>
      </c>
      <c r="D26">
        <f>WEEKDAY(A26,14)</f>
        <v>6</v>
      </c>
      <c r="E26">
        <f t="shared" si="0"/>
        <v>0.7</v>
      </c>
      <c r="F26">
        <f t="shared" si="1"/>
        <v>4</v>
      </c>
      <c r="G26">
        <f>IF(F26&gt;F25,G25+B26*E26,B26*E26)</f>
        <v>4.3513459999999995</v>
      </c>
      <c r="H26">
        <f t="shared" si="2"/>
        <v>0.75</v>
      </c>
      <c r="I26">
        <f t="shared" si="3"/>
        <v>0</v>
      </c>
      <c r="J26">
        <f>IF(I25=0,0,C25-I25)</f>
        <v>0</v>
      </c>
    </row>
    <row r="27" spans="1:10" x14ac:dyDescent="0.25">
      <c r="A27" s="1">
        <v>38756</v>
      </c>
      <c r="B27">
        <v>5.8233800000000002</v>
      </c>
      <c r="C27">
        <v>6.14</v>
      </c>
      <c r="D27">
        <f>WEEKDAY(A27,14)</f>
        <v>7</v>
      </c>
      <c r="E27">
        <f t="shared" si="0"/>
        <v>0.25</v>
      </c>
      <c r="F27">
        <f t="shared" si="1"/>
        <v>5</v>
      </c>
      <c r="G27">
        <f>IF(F27&gt;F26,G26+B27*E27,B27*E27)</f>
        <v>5.8071909999999995</v>
      </c>
      <c r="H27">
        <f t="shared" si="2"/>
        <v>1</v>
      </c>
      <c r="I27">
        <f t="shared" si="3"/>
        <v>5.8071909999999995</v>
      </c>
      <c r="J27">
        <f>IF(I26=0,0,C26-I26)</f>
        <v>0</v>
      </c>
    </row>
    <row r="28" spans="1:10" x14ac:dyDescent="0.25">
      <c r="A28" s="1">
        <v>38757</v>
      </c>
      <c r="B28">
        <v>5.81487</v>
      </c>
      <c r="C28">
        <v>6.1550000000000002</v>
      </c>
      <c r="D28">
        <f>WEEKDAY(A28,14)</f>
        <v>1</v>
      </c>
      <c r="E28">
        <f t="shared" si="0"/>
        <v>0</v>
      </c>
      <c r="F28">
        <f t="shared" si="1"/>
        <v>1</v>
      </c>
      <c r="G28">
        <f>IF(F28&gt;F27,G27+B28*E28,B28*E28)</f>
        <v>0</v>
      </c>
      <c r="H28">
        <f t="shared" si="2"/>
        <v>0</v>
      </c>
      <c r="I28">
        <f t="shared" si="3"/>
        <v>0</v>
      </c>
      <c r="J28">
        <f>IF(I27=0,0,C27-I27)</f>
        <v>0.33280900000000013</v>
      </c>
    </row>
    <row r="29" spans="1:10" x14ac:dyDescent="0.25">
      <c r="A29" s="1">
        <v>38758</v>
      </c>
      <c r="B29">
        <v>5.8434999999999997</v>
      </c>
      <c r="C29">
        <v>6.1550000000000002</v>
      </c>
      <c r="D29">
        <f>WEEKDAY(A29,14)</f>
        <v>2</v>
      </c>
      <c r="E29">
        <f t="shared" si="0"/>
        <v>0</v>
      </c>
      <c r="F29">
        <f t="shared" si="1"/>
        <v>2</v>
      </c>
      <c r="G29">
        <f>IF(F29&gt;F28,G28+B29*E29,B29*E29)</f>
        <v>0</v>
      </c>
      <c r="H29">
        <f t="shared" si="2"/>
        <v>0</v>
      </c>
      <c r="I29">
        <f t="shared" si="3"/>
        <v>0</v>
      </c>
      <c r="J29">
        <f>IF(I28=0,0,C28-I28)</f>
        <v>0</v>
      </c>
    </row>
    <row r="30" spans="1:10" x14ac:dyDescent="0.25">
      <c r="A30" s="1">
        <v>38761</v>
      </c>
      <c r="B30">
        <v>5.8497700000000004</v>
      </c>
      <c r="C30">
        <v>6.1550000000000002</v>
      </c>
      <c r="D30">
        <f>WEEKDAY(A30,14)</f>
        <v>5</v>
      </c>
      <c r="E30">
        <f t="shared" si="0"/>
        <v>0.05</v>
      </c>
      <c r="F30">
        <f t="shared" si="1"/>
        <v>3</v>
      </c>
      <c r="G30">
        <f>IF(F30&gt;F29,G29+B30*E30,B30*E30)</f>
        <v>0.29248850000000004</v>
      </c>
      <c r="H30">
        <f t="shared" si="2"/>
        <v>0.05</v>
      </c>
      <c r="I30">
        <f t="shared" si="3"/>
        <v>0</v>
      </c>
      <c r="J30">
        <f>IF(I29=0,0,C29-I29)</f>
        <v>0</v>
      </c>
    </row>
    <row r="31" spans="1:10" x14ac:dyDescent="0.25">
      <c r="A31" s="1">
        <v>38762</v>
      </c>
      <c r="B31">
        <v>5.8794599999999999</v>
      </c>
      <c r="C31">
        <v>6.1550000000000002</v>
      </c>
      <c r="D31">
        <f>WEEKDAY(A31,14)</f>
        <v>6</v>
      </c>
      <c r="E31">
        <f t="shared" si="0"/>
        <v>0.7</v>
      </c>
      <c r="F31">
        <f t="shared" si="1"/>
        <v>4</v>
      </c>
      <c r="G31">
        <f>IF(F31&gt;F30,G30+B31*E31,B31*E31)</f>
        <v>4.4081105000000003</v>
      </c>
      <c r="H31">
        <f t="shared" si="2"/>
        <v>0.75</v>
      </c>
      <c r="I31">
        <f t="shared" si="3"/>
        <v>0</v>
      </c>
      <c r="J31">
        <f>IF(I30=0,0,C30-I30)</f>
        <v>0</v>
      </c>
    </row>
    <row r="32" spans="1:10" x14ac:dyDescent="0.25">
      <c r="A32" s="1">
        <v>38763</v>
      </c>
      <c r="B32">
        <v>5.8683800000000002</v>
      </c>
      <c r="C32">
        <v>6.1550000000000002</v>
      </c>
      <c r="D32">
        <f>WEEKDAY(A32,14)</f>
        <v>7</v>
      </c>
      <c r="E32">
        <f t="shared" si="0"/>
        <v>0.25</v>
      </c>
      <c r="F32">
        <f t="shared" si="1"/>
        <v>5</v>
      </c>
      <c r="G32">
        <f>IF(F32&gt;F31,G31+B32*E32,B32*E32)</f>
        <v>5.8752054999999999</v>
      </c>
      <c r="H32">
        <f t="shared" si="2"/>
        <v>1</v>
      </c>
      <c r="I32">
        <f t="shared" si="3"/>
        <v>5.8752054999999999</v>
      </c>
      <c r="J32">
        <f>IF(I31=0,0,C31-I31)</f>
        <v>0</v>
      </c>
    </row>
    <row r="33" spans="1:10" x14ac:dyDescent="0.25">
      <c r="A33" s="1">
        <v>38764</v>
      </c>
      <c r="B33">
        <v>5.8481500000000004</v>
      </c>
      <c r="C33">
        <v>6.16</v>
      </c>
      <c r="D33">
        <f>WEEKDAY(A33,14)</f>
        <v>1</v>
      </c>
      <c r="E33">
        <f t="shared" si="0"/>
        <v>0</v>
      </c>
      <c r="F33">
        <f t="shared" si="1"/>
        <v>1</v>
      </c>
      <c r="G33">
        <f>IF(F33&gt;F32,G32+B33*E33,B33*E33)</f>
        <v>0</v>
      </c>
      <c r="H33">
        <f t="shared" si="2"/>
        <v>0</v>
      </c>
      <c r="I33">
        <f t="shared" si="3"/>
        <v>0</v>
      </c>
      <c r="J33">
        <f>IF(I32=0,0,C32-I32)</f>
        <v>0.27979450000000039</v>
      </c>
    </row>
    <row r="34" spans="1:10" x14ac:dyDescent="0.25">
      <c r="A34" s="1">
        <v>38765</v>
      </c>
      <c r="B34">
        <v>5.7808299999999999</v>
      </c>
      <c r="C34">
        <v>6.16</v>
      </c>
      <c r="D34">
        <f>WEEKDAY(A34,14)</f>
        <v>2</v>
      </c>
      <c r="E34">
        <f t="shared" si="0"/>
        <v>0</v>
      </c>
      <c r="F34">
        <f t="shared" si="1"/>
        <v>2</v>
      </c>
      <c r="G34">
        <f>IF(F34&gt;F33,G33+B34*E34,B34*E34)</f>
        <v>0</v>
      </c>
      <c r="H34">
        <f t="shared" si="2"/>
        <v>0</v>
      </c>
      <c r="I34">
        <f t="shared" si="3"/>
        <v>0</v>
      </c>
      <c r="J34">
        <f>IF(I33=0,0,C33-I33)</f>
        <v>0</v>
      </c>
    </row>
    <row r="35" spans="1:10" x14ac:dyDescent="0.25">
      <c r="A35" s="1">
        <v>38769</v>
      </c>
      <c r="B35">
        <v>5.8075200000000002</v>
      </c>
      <c r="C35">
        <v>6.16</v>
      </c>
      <c r="D35">
        <f>WEEKDAY(A35,14)</f>
        <v>6</v>
      </c>
      <c r="E35">
        <f t="shared" si="0"/>
        <v>0.7</v>
      </c>
      <c r="F35">
        <f t="shared" si="1"/>
        <v>3</v>
      </c>
      <c r="G35">
        <f>IF(F35&gt;F34,G34+B35*E35,B35*E35)</f>
        <v>4.065264</v>
      </c>
      <c r="H35">
        <f t="shared" si="2"/>
        <v>0.7</v>
      </c>
      <c r="I35">
        <f t="shared" si="3"/>
        <v>0</v>
      </c>
      <c r="J35">
        <f>IF(I34=0,0,C34-I34)</f>
        <v>0</v>
      </c>
    </row>
    <row r="36" spans="1:10" x14ac:dyDescent="0.25">
      <c r="A36" s="1">
        <v>38770</v>
      </c>
      <c r="B36">
        <v>5.7741600000000002</v>
      </c>
      <c r="C36">
        <v>6.16</v>
      </c>
      <c r="D36">
        <f>WEEKDAY(A36,14)</f>
        <v>7</v>
      </c>
      <c r="E36">
        <f t="shared" si="0"/>
        <v>0.25</v>
      </c>
      <c r="F36">
        <f t="shared" si="1"/>
        <v>4</v>
      </c>
      <c r="G36">
        <f>IF(F36&gt;F35,G35+B36*E36,B36*E36)</f>
        <v>5.5088039999999996</v>
      </c>
      <c r="H36">
        <f t="shared" si="2"/>
        <v>0.95</v>
      </c>
      <c r="I36">
        <f t="shared" si="3"/>
        <v>5.7987410526315788</v>
      </c>
      <c r="J36">
        <f>IF(I35=0,0,C35-I35)</f>
        <v>0</v>
      </c>
    </row>
    <row r="37" spans="1:10" x14ac:dyDescent="0.25">
      <c r="A37" s="1">
        <v>38771</v>
      </c>
      <c r="B37">
        <v>5.7953700000000001</v>
      </c>
      <c r="C37">
        <v>6.14</v>
      </c>
      <c r="D37">
        <f>WEEKDAY(A37,14)</f>
        <v>1</v>
      </c>
      <c r="E37">
        <f t="shared" si="0"/>
        <v>0</v>
      </c>
      <c r="F37">
        <f t="shared" si="1"/>
        <v>1</v>
      </c>
      <c r="G37">
        <f>IF(F37&gt;F36,G36+B37*E37,B37*E37)</f>
        <v>0</v>
      </c>
      <c r="H37">
        <f t="shared" si="2"/>
        <v>0</v>
      </c>
      <c r="I37">
        <f t="shared" si="3"/>
        <v>0</v>
      </c>
      <c r="J37">
        <f>IF(I36=0,0,C36-I36)</f>
        <v>0.36125894736842135</v>
      </c>
    </row>
    <row r="38" spans="1:10" x14ac:dyDescent="0.25">
      <c r="A38" s="1">
        <v>38772</v>
      </c>
      <c r="B38">
        <v>5.76417</v>
      </c>
      <c r="C38">
        <v>6.14</v>
      </c>
      <c r="D38">
        <f>WEEKDAY(A38,14)</f>
        <v>2</v>
      </c>
      <c r="E38">
        <f t="shared" si="0"/>
        <v>0</v>
      </c>
      <c r="F38">
        <f t="shared" si="1"/>
        <v>2</v>
      </c>
      <c r="G38">
        <f>IF(F38&gt;F37,G37+B38*E38,B38*E38)</f>
        <v>0</v>
      </c>
      <c r="H38">
        <f t="shared" si="2"/>
        <v>0</v>
      </c>
      <c r="I38">
        <f t="shared" si="3"/>
        <v>0</v>
      </c>
      <c r="J38">
        <f>IF(I37=0,0,C37-I37)</f>
        <v>0</v>
      </c>
    </row>
    <row r="39" spans="1:10" x14ac:dyDescent="0.25">
      <c r="A39" s="1">
        <v>38775</v>
      </c>
      <c r="B39">
        <v>5.7724900000000003</v>
      </c>
      <c r="C39">
        <v>6.14</v>
      </c>
      <c r="D39">
        <f>WEEKDAY(A39,14)</f>
        <v>5</v>
      </c>
      <c r="E39">
        <f t="shared" si="0"/>
        <v>0.05</v>
      </c>
      <c r="F39">
        <f t="shared" si="1"/>
        <v>3</v>
      </c>
      <c r="G39">
        <f>IF(F39&gt;F38,G38+B39*E39,B39*E39)</f>
        <v>0.28862450000000001</v>
      </c>
      <c r="H39">
        <f t="shared" si="2"/>
        <v>0.05</v>
      </c>
      <c r="I39">
        <f t="shared" si="3"/>
        <v>0</v>
      </c>
      <c r="J39">
        <f>IF(I38=0,0,C38-I38)</f>
        <v>0</v>
      </c>
    </row>
    <row r="40" spans="1:10" x14ac:dyDescent="0.25">
      <c r="A40" s="1">
        <v>38776</v>
      </c>
      <c r="B40">
        <v>5.7345300000000003</v>
      </c>
      <c r="C40">
        <v>6.14</v>
      </c>
      <c r="D40">
        <f>WEEKDAY(A40,14)</f>
        <v>6</v>
      </c>
      <c r="E40">
        <f t="shared" si="0"/>
        <v>0.7</v>
      </c>
      <c r="F40">
        <f t="shared" si="1"/>
        <v>4</v>
      </c>
      <c r="G40">
        <f>IF(F40&gt;F39,G39+B40*E40,B40*E40)</f>
        <v>4.3027955000000002</v>
      </c>
      <c r="H40">
        <f t="shared" si="2"/>
        <v>0.75</v>
      </c>
      <c r="I40">
        <f t="shared" si="3"/>
        <v>0</v>
      </c>
      <c r="J40">
        <f>IF(I39=0,0,C39-I39)</f>
        <v>0</v>
      </c>
    </row>
    <row r="41" spans="1:10" x14ac:dyDescent="0.25">
      <c r="A41" s="1">
        <v>38777</v>
      </c>
      <c r="B41">
        <v>5.8000400000000001</v>
      </c>
      <c r="C41">
        <v>6.14</v>
      </c>
      <c r="D41">
        <f>WEEKDAY(A41,14)</f>
        <v>7</v>
      </c>
      <c r="E41">
        <f t="shared" si="0"/>
        <v>0.25</v>
      </c>
      <c r="F41">
        <f t="shared" si="1"/>
        <v>5</v>
      </c>
      <c r="G41">
        <f>IF(F41&gt;F40,G40+B41*E41,B41*E41)</f>
        <v>5.7528055</v>
      </c>
      <c r="H41">
        <f t="shared" si="2"/>
        <v>1</v>
      </c>
      <c r="I41">
        <f t="shared" si="3"/>
        <v>5.7528055</v>
      </c>
      <c r="J41">
        <f>IF(I40=0,0,C40-I40)</f>
        <v>0</v>
      </c>
    </row>
    <row r="42" spans="1:10" x14ac:dyDescent="0.25">
      <c r="A42" s="1">
        <v>38778</v>
      </c>
      <c r="B42">
        <v>5.8539199999999996</v>
      </c>
      <c r="C42">
        <v>6.27</v>
      </c>
      <c r="D42">
        <f>WEEKDAY(A42,14)</f>
        <v>1</v>
      </c>
      <c r="E42">
        <f t="shared" si="0"/>
        <v>0</v>
      </c>
      <c r="F42">
        <f t="shared" si="1"/>
        <v>1</v>
      </c>
      <c r="G42">
        <f>IF(F42&gt;F41,G41+B42*E42,B42*E42)</f>
        <v>0</v>
      </c>
      <c r="H42">
        <f t="shared" si="2"/>
        <v>0</v>
      </c>
      <c r="I42">
        <f t="shared" si="3"/>
        <v>0</v>
      </c>
      <c r="J42">
        <f>IF(I41=0,0,C41-I41)</f>
        <v>0.38719449999999966</v>
      </c>
    </row>
    <row r="43" spans="1:10" x14ac:dyDescent="0.25">
      <c r="A43" s="1">
        <v>38779</v>
      </c>
      <c r="B43">
        <v>5.8861299999999996</v>
      </c>
      <c r="C43">
        <v>6.27</v>
      </c>
      <c r="D43">
        <f>WEEKDAY(A43,14)</f>
        <v>2</v>
      </c>
      <c r="E43">
        <f t="shared" si="0"/>
        <v>0</v>
      </c>
      <c r="F43">
        <f t="shared" si="1"/>
        <v>2</v>
      </c>
      <c r="G43">
        <f>IF(F43&gt;F42,G42+B43*E43,B43*E43)</f>
        <v>0</v>
      </c>
      <c r="H43">
        <f t="shared" si="2"/>
        <v>0</v>
      </c>
      <c r="I43">
        <f t="shared" si="3"/>
        <v>0</v>
      </c>
      <c r="J43">
        <f>IF(I42=0,0,C42-I42)</f>
        <v>0</v>
      </c>
    </row>
    <row r="44" spans="1:10" x14ac:dyDescent="0.25">
      <c r="A44" s="1">
        <v>38782</v>
      </c>
      <c r="B44">
        <v>5.94346</v>
      </c>
      <c r="C44">
        <v>6.27</v>
      </c>
      <c r="D44">
        <f>WEEKDAY(A44,14)</f>
        <v>5</v>
      </c>
      <c r="E44">
        <f t="shared" si="0"/>
        <v>0.05</v>
      </c>
      <c r="F44">
        <f t="shared" si="1"/>
        <v>3</v>
      </c>
      <c r="G44">
        <f>IF(F44&gt;F43,G43+B44*E44,B44*E44)</f>
        <v>0.29717300000000002</v>
      </c>
      <c r="H44">
        <f t="shared" si="2"/>
        <v>0.05</v>
      </c>
      <c r="I44">
        <f t="shared" si="3"/>
        <v>0</v>
      </c>
      <c r="J44">
        <f>IF(I43=0,0,C43-I43)</f>
        <v>0</v>
      </c>
    </row>
    <row r="45" spans="1:10" x14ac:dyDescent="0.25">
      <c r="A45" s="1">
        <v>38783</v>
      </c>
      <c r="B45">
        <v>5.95092</v>
      </c>
      <c r="C45">
        <v>6.27</v>
      </c>
      <c r="D45">
        <f>WEEKDAY(A45,14)</f>
        <v>6</v>
      </c>
      <c r="E45">
        <f t="shared" si="0"/>
        <v>0.7</v>
      </c>
      <c r="F45">
        <f t="shared" si="1"/>
        <v>4</v>
      </c>
      <c r="G45">
        <f>IF(F45&gt;F44,G44+B45*E45,B45*E45)</f>
        <v>4.4628169999999994</v>
      </c>
      <c r="H45">
        <f t="shared" si="2"/>
        <v>0.75</v>
      </c>
      <c r="I45">
        <f t="shared" si="3"/>
        <v>0</v>
      </c>
      <c r="J45">
        <f>IF(I44=0,0,C44-I44)</f>
        <v>0</v>
      </c>
    </row>
    <row r="46" spans="1:10" x14ac:dyDescent="0.25">
      <c r="A46" s="1">
        <v>38784</v>
      </c>
      <c r="B46">
        <v>5.9458299999999999</v>
      </c>
      <c r="C46">
        <v>6.27</v>
      </c>
      <c r="D46">
        <f>WEEKDAY(A46,14)</f>
        <v>7</v>
      </c>
      <c r="E46">
        <f t="shared" si="0"/>
        <v>0.25</v>
      </c>
      <c r="F46">
        <f t="shared" si="1"/>
        <v>5</v>
      </c>
      <c r="G46">
        <f>IF(F46&gt;F45,G45+B46*E46,B46*E46)</f>
        <v>5.9492744999999996</v>
      </c>
      <c r="H46">
        <f t="shared" si="2"/>
        <v>1</v>
      </c>
      <c r="I46">
        <f t="shared" si="3"/>
        <v>5.9492744999999996</v>
      </c>
      <c r="J46">
        <f>IF(I45=0,0,C45-I45)</f>
        <v>0</v>
      </c>
    </row>
    <row r="47" spans="1:10" x14ac:dyDescent="0.25">
      <c r="A47" s="1">
        <v>38785</v>
      </c>
      <c r="B47">
        <v>5.9135</v>
      </c>
      <c r="C47">
        <v>6.2649999999999997</v>
      </c>
      <c r="D47">
        <f>WEEKDAY(A47,14)</f>
        <v>1</v>
      </c>
      <c r="E47">
        <f t="shared" si="0"/>
        <v>0</v>
      </c>
      <c r="F47">
        <f t="shared" si="1"/>
        <v>1</v>
      </c>
      <c r="G47">
        <f>IF(F47&gt;F46,G46+B47*E47,B47*E47)</f>
        <v>0</v>
      </c>
      <c r="H47">
        <f t="shared" si="2"/>
        <v>0</v>
      </c>
      <c r="I47">
        <f t="shared" si="3"/>
        <v>0</v>
      </c>
      <c r="J47">
        <f>IF(I46=0,0,C46-I46)</f>
        <v>0.3207255</v>
      </c>
    </row>
    <row r="48" spans="1:10" x14ac:dyDescent="0.25">
      <c r="A48" s="1">
        <v>38786</v>
      </c>
      <c r="B48">
        <v>5.9355399999999996</v>
      </c>
      <c r="C48">
        <v>6.2649999999999997</v>
      </c>
      <c r="D48">
        <f>WEEKDAY(A48,14)</f>
        <v>2</v>
      </c>
      <c r="E48">
        <f t="shared" si="0"/>
        <v>0</v>
      </c>
      <c r="F48">
        <f t="shared" si="1"/>
        <v>2</v>
      </c>
      <c r="G48">
        <f>IF(F48&gt;F47,G47+B48*E48,B48*E48)</f>
        <v>0</v>
      </c>
      <c r="H48">
        <f t="shared" si="2"/>
        <v>0</v>
      </c>
      <c r="I48">
        <f t="shared" si="3"/>
        <v>0</v>
      </c>
      <c r="J48">
        <f>IF(I47=0,0,C47-I47)</f>
        <v>0</v>
      </c>
    </row>
    <row r="49" spans="1:10" x14ac:dyDescent="0.25">
      <c r="A49" s="1">
        <v>38789</v>
      </c>
      <c r="B49">
        <v>5.9576599999999997</v>
      </c>
      <c r="C49">
        <v>6.2649999999999997</v>
      </c>
      <c r="D49">
        <f>WEEKDAY(A49,14)</f>
        <v>5</v>
      </c>
      <c r="E49">
        <f t="shared" si="0"/>
        <v>0.05</v>
      </c>
      <c r="F49">
        <f t="shared" si="1"/>
        <v>3</v>
      </c>
      <c r="G49">
        <f>IF(F49&gt;F48,G48+B49*E49,B49*E49)</f>
        <v>0.29788300000000001</v>
      </c>
      <c r="H49">
        <f t="shared" si="2"/>
        <v>0.05</v>
      </c>
      <c r="I49">
        <f t="shared" si="3"/>
        <v>0</v>
      </c>
      <c r="J49">
        <f>IF(I48=0,0,C48-I48)</f>
        <v>0</v>
      </c>
    </row>
    <row r="50" spans="1:10" x14ac:dyDescent="0.25">
      <c r="A50" s="1">
        <v>38790</v>
      </c>
      <c r="B50">
        <v>5.8723599999999996</v>
      </c>
      <c r="C50">
        <v>6.2649999999999997</v>
      </c>
      <c r="D50">
        <f>WEEKDAY(A50,14)</f>
        <v>6</v>
      </c>
      <c r="E50">
        <f t="shared" si="0"/>
        <v>0.7</v>
      </c>
      <c r="F50">
        <f t="shared" si="1"/>
        <v>4</v>
      </c>
      <c r="G50">
        <f>IF(F50&gt;F49,G49+B50*E50,B50*E50)</f>
        <v>4.4085349999999988</v>
      </c>
      <c r="H50">
        <f t="shared" si="2"/>
        <v>0.75</v>
      </c>
      <c r="I50">
        <f t="shared" si="3"/>
        <v>0</v>
      </c>
      <c r="J50">
        <f>IF(I49=0,0,C49-I49)</f>
        <v>0</v>
      </c>
    </row>
    <row r="51" spans="1:10" x14ac:dyDescent="0.25">
      <c r="A51" s="1">
        <v>38791</v>
      </c>
      <c r="B51">
        <v>5.9081200000000003</v>
      </c>
      <c r="C51">
        <v>6.2649999999999997</v>
      </c>
      <c r="D51">
        <f>WEEKDAY(A51,14)</f>
        <v>7</v>
      </c>
      <c r="E51">
        <f t="shared" si="0"/>
        <v>0.25</v>
      </c>
      <c r="F51">
        <f t="shared" si="1"/>
        <v>5</v>
      </c>
      <c r="G51">
        <f>IF(F51&gt;F50,G50+B51*E51,B51*E51)</f>
        <v>5.8855649999999988</v>
      </c>
      <c r="H51">
        <f t="shared" si="2"/>
        <v>1</v>
      </c>
      <c r="I51">
        <f t="shared" si="3"/>
        <v>5.8855649999999988</v>
      </c>
      <c r="J51">
        <f>IF(I50=0,0,C50-I50)</f>
        <v>0</v>
      </c>
    </row>
    <row r="52" spans="1:10" x14ac:dyDescent="0.25">
      <c r="A52" s="1">
        <v>38792</v>
      </c>
      <c r="B52">
        <v>5.8306699999999996</v>
      </c>
      <c r="C52">
        <v>6.22</v>
      </c>
      <c r="D52">
        <f>WEEKDAY(A52,14)</f>
        <v>1</v>
      </c>
      <c r="E52">
        <f t="shared" si="0"/>
        <v>0</v>
      </c>
      <c r="F52">
        <f t="shared" si="1"/>
        <v>1</v>
      </c>
      <c r="G52">
        <f>IF(F52&gt;F51,G51+B52*E52,B52*E52)</f>
        <v>0</v>
      </c>
      <c r="H52">
        <f t="shared" si="2"/>
        <v>0</v>
      </c>
      <c r="I52">
        <f t="shared" si="3"/>
        <v>0</v>
      </c>
      <c r="J52">
        <f>IF(I51=0,0,C51-I51)</f>
        <v>0.37943500000000085</v>
      </c>
    </row>
    <row r="53" spans="1:10" x14ac:dyDescent="0.25">
      <c r="A53" s="1">
        <v>38793</v>
      </c>
      <c r="B53">
        <v>5.8586200000000002</v>
      </c>
      <c r="C53">
        <v>6.22</v>
      </c>
      <c r="D53">
        <f>WEEKDAY(A53,14)</f>
        <v>2</v>
      </c>
      <c r="E53">
        <f t="shared" si="0"/>
        <v>0</v>
      </c>
      <c r="F53">
        <f t="shared" si="1"/>
        <v>2</v>
      </c>
      <c r="G53">
        <f>IF(F53&gt;F52,G52+B53*E53,B53*E53)</f>
        <v>0</v>
      </c>
      <c r="H53">
        <f t="shared" si="2"/>
        <v>0</v>
      </c>
      <c r="I53">
        <f t="shared" si="3"/>
        <v>0</v>
      </c>
      <c r="J53">
        <f>IF(I52=0,0,C52-I52)</f>
        <v>0</v>
      </c>
    </row>
    <row r="54" spans="1:10" x14ac:dyDescent="0.25">
      <c r="A54" s="1">
        <v>38796</v>
      </c>
      <c r="B54">
        <v>5.84727</v>
      </c>
      <c r="C54">
        <v>6.22</v>
      </c>
      <c r="D54">
        <f>WEEKDAY(A54,14)</f>
        <v>5</v>
      </c>
      <c r="E54">
        <f t="shared" si="0"/>
        <v>0.05</v>
      </c>
      <c r="F54">
        <f t="shared" si="1"/>
        <v>3</v>
      </c>
      <c r="G54">
        <f>IF(F54&gt;F53,G53+B54*E54,B54*E54)</f>
        <v>0.2923635</v>
      </c>
      <c r="H54">
        <f t="shared" si="2"/>
        <v>0.05</v>
      </c>
      <c r="I54">
        <f t="shared" si="3"/>
        <v>0</v>
      </c>
      <c r="J54">
        <f>IF(I53=0,0,C53-I53)</f>
        <v>0</v>
      </c>
    </row>
    <row r="55" spans="1:10" x14ac:dyDescent="0.25">
      <c r="A55" s="1">
        <v>38797</v>
      </c>
      <c r="B55">
        <v>5.9080000000000004</v>
      </c>
      <c r="C55">
        <v>6.22</v>
      </c>
      <c r="D55">
        <f>WEEKDAY(A55,14)</f>
        <v>6</v>
      </c>
      <c r="E55">
        <f t="shared" si="0"/>
        <v>0.7</v>
      </c>
      <c r="F55">
        <f t="shared" si="1"/>
        <v>4</v>
      </c>
      <c r="G55">
        <f>IF(F55&gt;F54,G54+B55*E55,B55*E55)</f>
        <v>4.4279635000000006</v>
      </c>
      <c r="H55">
        <f t="shared" si="2"/>
        <v>0.75</v>
      </c>
      <c r="I55">
        <f t="shared" si="3"/>
        <v>0</v>
      </c>
      <c r="J55">
        <f>IF(I54=0,0,C54-I54)</f>
        <v>0</v>
      </c>
    </row>
    <row r="56" spans="1:10" x14ac:dyDescent="0.25">
      <c r="A56" s="1">
        <v>38798</v>
      </c>
      <c r="B56">
        <v>5.8988699999999996</v>
      </c>
      <c r="C56">
        <v>6.22</v>
      </c>
      <c r="D56">
        <f>WEEKDAY(A56,14)</f>
        <v>7</v>
      </c>
      <c r="E56">
        <f t="shared" si="0"/>
        <v>0.25</v>
      </c>
      <c r="F56">
        <f t="shared" si="1"/>
        <v>5</v>
      </c>
      <c r="G56">
        <f>IF(F56&gt;F55,G55+B56*E56,B56*E56)</f>
        <v>5.9026810000000003</v>
      </c>
      <c r="H56">
        <f t="shared" si="2"/>
        <v>1</v>
      </c>
      <c r="I56">
        <f t="shared" si="3"/>
        <v>5.9026810000000003</v>
      </c>
      <c r="J56">
        <f>IF(I55=0,0,C55-I55)</f>
        <v>0</v>
      </c>
    </row>
    <row r="57" spans="1:10" x14ac:dyDescent="0.25">
      <c r="A57" s="1">
        <v>38799</v>
      </c>
      <c r="B57">
        <v>5.9218099999999998</v>
      </c>
      <c r="C57">
        <v>6.2249999999999996</v>
      </c>
      <c r="D57">
        <f>WEEKDAY(A57,14)</f>
        <v>1</v>
      </c>
      <c r="E57">
        <f t="shared" si="0"/>
        <v>0</v>
      </c>
      <c r="F57">
        <f t="shared" si="1"/>
        <v>1</v>
      </c>
      <c r="G57">
        <f>IF(F57&gt;F56,G56+B57*E57,B57*E57)</f>
        <v>0</v>
      </c>
      <c r="H57">
        <f t="shared" si="2"/>
        <v>0</v>
      </c>
      <c r="I57">
        <f t="shared" si="3"/>
        <v>0</v>
      </c>
      <c r="J57">
        <f>IF(I56=0,0,C56-I56)</f>
        <v>0.31731899999999946</v>
      </c>
    </row>
    <row r="58" spans="1:10" x14ac:dyDescent="0.25">
      <c r="A58" s="1">
        <v>38800</v>
      </c>
      <c r="B58">
        <v>5.8624099999999997</v>
      </c>
      <c r="C58">
        <v>6.2249999999999996</v>
      </c>
      <c r="D58">
        <f>WEEKDAY(A58,14)</f>
        <v>2</v>
      </c>
      <c r="E58">
        <f t="shared" si="0"/>
        <v>0</v>
      </c>
      <c r="F58">
        <f t="shared" si="1"/>
        <v>2</v>
      </c>
      <c r="G58">
        <f>IF(F58&gt;F57,G57+B58*E58,B58*E58)</f>
        <v>0</v>
      </c>
      <c r="H58">
        <f t="shared" si="2"/>
        <v>0</v>
      </c>
      <c r="I58">
        <f t="shared" si="3"/>
        <v>0</v>
      </c>
      <c r="J58">
        <f>IF(I57=0,0,C57-I57)</f>
        <v>0</v>
      </c>
    </row>
    <row r="59" spans="1:10" x14ac:dyDescent="0.25">
      <c r="A59" s="1">
        <v>38803</v>
      </c>
      <c r="B59">
        <v>5.8787799999999999</v>
      </c>
      <c r="C59">
        <v>6.2249999999999996</v>
      </c>
      <c r="D59">
        <f>WEEKDAY(A59,14)</f>
        <v>5</v>
      </c>
      <c r="E59">
        <f t="shared" si="0"/>
        <v>0.05</v>
      </c>
      <c r="F59">
        <f t="shared" si="1"/>
        <v>3</v>
      </c>
      <c r="G59">
        <f>IF(F59&gt;F58,G58+B59*E59,B59*E59)</f>
        <v>0.29393900000000001</v>
      </c>
      <c r="H59">
        <f t="shared" si="2"/>
        <v>0.05</v>
      </c>
      <c r="I59">
        <f t="shared" si="3"/>
        <v>0</v>
      </c>
      <c r="J59">
        <f>IF(I58=0,0,C58-I58)</f>
        <v>0</v>
      </c>
    </row>
    <row r="60" spans="1:10" x14ac:dyDescent="0.25">
      <c r="A60" s="1">
        <v>38804</v>
      </c>
      <c r="B60">
        <v>5.9448600000000003</v>
      </c>
      <c r="C60">
        <v>6.2249999999999996</v>
      </c>
      <c r="D60">
        <f>WEEKDAY(A60,14)</f>
        <v>6</v>
      </c>
      <c r="E60">
        <f t="shared" si="0"/>
        <v>0.7</v>
      </c>
      <c r="F60">
        <f t="shared" si="1"/>
        <v>4</v>
      </c>
      <c r="G60">
        <f>IF(F60&gt;F59,G59+B60*E60,B60*E60)</f>
        <v>4.4553409999999998</v>
      </c>
      <c r="H60">
        <f t="shared" si="2"/>
        <v>0.75</v>
      </c>
      <c r="I60">
        <f t="shared" si="3"/>
        <v>0</v>
      </c>
      <c r="J60">
        <f>IF(I59=0,0,C59-I59)</f>
        <v>0</v>
      </c>
    </row>
    <row r="61" spans="1:10" x14ac:dyDescent="0.25">
      <c r="A61" s="1">
        <v>38805</v>
      </c>
      <c r="B61">
        <v>5.9759000000000002</v>
      </c>
      <c r="C61">
        <v>6.2249999999999996</v>
      </c>
      <c r="D61">
        <f>WEEKDAY(A61,14)</f>
        <v>7</v>
      </c>
      <c r="E61">
        <f t="shared" si="0"/>
        <v>0.25</v>
      </c>
      <c r="F61">
        <f t="shared" si="1"/>
        <v>5</v>
      </c>
      <c r="G61">
        <f>IF(F61&gt;F60,G60+B61*E61,B61*E61)</f>
        <v>5.9493159999999996</v>
      </c>
      <c r="H61">
        <f t="shared" si="2"/>
        <v>1</v>
      </c>
      <c r="I61">
        <f t="shared" si="3"/>
        <v>5.9493159999999996</v>
      </c>
      <c r="J61">
        <f>IF(I60=0,0,C60-I60)</f>
        <v>0</v>
      </c>
    </row>
    <row r="62" spans="1:10" x14ac:dyDescent="0.25">
      <c r="A62" s="1">
        <v>38806</v>
      </c>
      <c r="B62">
        <v>6.0082399999999998</v>
      </c>
      <c r="C62">
        <v>6.33</v>
      </c>
      <c r="D62">
        <f>WEEKDAY(A62,14)</f>
        <v>1</v>
      </c>
      <c r="E62">
        <f t="shared" si="0"/>
        <v>0</v>
      </c>
      <c r="F62">
        <f t="shared" si="1"/>
        <v>1</v>
      </c>
      <c r="G62">
        <f>IF(F62&gt;F61,G61+B62*E62,B62*E62)</f>
        <v>0</v>
      </c>
      <c r="H62">
        <f t="shared" si="2"/>
        <v>0</v>
      </c>
      <c r="I62">
        <f t="shared" si="3"/>
        <v>0</v>
      </c>
      <c r="J62">
        <f>IF(I61=0,0,C61-I61)</f>
        <v>0.27568400000000004</v>
      </c>
    </row>
    <row r="63" spans="1:10" x14ac:dyDescent="0.25">
      <c r="A63" s="1">
        <v>38807</v>
      </c>
      <c r="B63">
        <v>6.0064099999999998</v>
      </c>
      <c r="C63">
        <v>6.33</v>
      </c>
      <c r="D63">
        <f>WEEKDAY(A63,14)</f>
        <v>2</v>
      </c>
      <c r="E63">
        <f t="shared" si="0"/>
        <v>0</v>
      </c>
      <c r="F63">
        <f t="shared" si="1"/>
        <v>2</v>
      </c>
      <c r="G63">
        <f>IF(F63&gt;F62,G62+B63*E63,B63*E63)</f>
        <v>0</v>
      </c>
      <c r="H63">
        <f t="shared" si="2"/>
        <v>0</v>
      </c>
      <c r="I63">
        <f t="shared" si="3"/>
        <v>0</v>
      </c>
      <c r="J63">
        <f>IF(I62=0,0,C62-I62)</f>
        <v>0</v>
      </c>
    </row>
    <row r="64" spans="1:10" x14ac:dyDescent="0.25">
      <c r="A64" s="1">
        <v>38810</v>
      </c>
      <c r="B64">
        <v>6.0304500000000001</v>
      </c>
      <c r="C64">
        <v>6.33</v>
      </c>
      <c r="D64">
        <f>WEEKDAY(A64,14)</f>
        <v>5</v>
      </c>
      <c r="E64">
        <f t="shared" si="0"/>
        <v>0.05</v>
      </c>
      <c r="F64">
        <f t="shared" si="1"/>
        <v>3</v>
      </c>
      <c r="G64">
        <f>IF(F64&gt;F63,G63+B64*E64,B64*E64)</f>
        <v>0.30152250000000003</v>
      </c>
      <c r="H64">
        <f t="shared" si="2"/>
        <v>0.05</v>
      </c>
      <c r="I64">
        <f t="shared" si="3"/>
        <v>0</v>
      </c>
      <c r="J64">
        <f>IF(I63=0,0,C63-I63)</f>
        <v>0</v>
      </c>
    </row>
    <row r="65" spans="1:10" x14ac:dyDescent="0.25">
      <c r="A65" s="1">
        <v>38811</v>
      </c>
      <c r="B65">
        <v>6.02555</v>
      </c>
      <c r="C65">
        <v>6.33</v>
      </c>
      <c r="D65">
        <f>WEEKDAY(A65,14)</f>
        <v>6</v>
      </c>
      <c r="E65">
        <f t="shared" si="0"/>
        <v>0.7</v>
      </c>
      <c r="F65">
        <f t="shared" si="1"/>
        <v>4</v>
      </c>
      <c r="G65">
        <f>IF(F65&gt;F64,G64+B65*E65,B65*E65)</f>
        <v>4.5194074999999998</v>
      </c>
      <c r="H65">
        <f t="shared" si="2"/>
        <v>0.75</v>
      </c>
      <c r="I65">
        <f t="shared" si="3"/>
        <v>0</v>
      </c>
      <c r="J65">
        <f>IF(I64=0,0,C64-I64)</f>
        <v>0</v>
      </c>
    </row>
    <row r="66" spans="1:10" x14ac:dyDescent="0.25">
      <c r="A66" s="1">
        <v>38812</v>
      </c>
      <c r="B66">
        <v>5.9968500000000002</v>
      </c>
      <c r="C66">
        <v>6.33</v>
      </c>
      <c r="D66">
        <f>WEEKDAY(A66,14)</f>
        <v>7</v>
      </c>
      <c r="E66">
        <f t="shared" si="0"/>
        <v>0.25</v>
      </c>
      <c r="F66">
        <f t="shared" si="1"/>
        <v>5</v>
      </c>
      <c r="G66">
        <f>IF(F66&gt;F65,G65+B66*E66,B66*E66)</f>
        <v>6.0186200000000003</v>
      </c>
      <c r="H66">
        <f t="shared" si="2"/>
        <v>1</v>
      </c>
      <c r="I66">
        <f t="shared" si="3"/>
        <v>6.0186200000000003</v>
      </c>
      <c r="J66">
        <f>IF(I65=0,0,C65-I65)</f>
        <v>0</v>
      </c>
    </row>
    <row r="67" spans="1:10" x14ac:dyDescent="0.25">
      <c r="A67" s="1">
        <v>38813</v>
      </c>
      <c r="B67">
        <v>6.01797</v>
      </c>
      <c r="C67">
        <v>6.39</v>
      </c>
      <c r="D67">
        <f>WEEKDAY(A67,14)</f>
        <v>1</v>
      </c>
      <c r="E67">
        <f t="shared" ref="E67:E130" si="4">VLOOKUP(D67,M$2:N$8,2,FALSE)</f>
        <v>0</v>
      </c>
      <c r="F67">
        <f t="shared" ref="F67:F130" si="5">IF(AND(D67&gt;D66,F66&lt;6),F66+1,1)</f>
        <v>1</v>
      </c>
      <c r="G67">
        <f>IF(F67&gt;F66,G66+B67*E67,B67*E67)</f>
        <v>0</v>
      </c>
      <c r="H67">
        <f t="shared" si="2"/>
        <v>0</v>
      </c>
      <c r="I67">
        <f t="shared" si="3"/>
        <v>0</v>
      </c>
      <c r="J67">
        <f>IF(I66=0,0,C66-I66)</f>
        <v>0.31137999999999977</v>
      </c>
    </row>
    <row r="68" spans="1:10" x14ac:dyDescent="0.25">
      <c r="A68" s="1">
        <v>38814</v>
      </c>
      <c r="B68">
        <v>6.0854900000000001</v>
      </c>
      <c r="C68">
        <v>6.39</v>
      </c>
      <c r="D68">
        <f>WEEKDAY(A68,14)</f>
        <v>2</v>
      </c>
      <c r="E68">
        <f t="shared" si="4"/>
        <v>0</v>
      </c>
      <c r="F68">
        <f t="shared" si="5"/>
        <v>2</v>
      </c>
      <c r="G68">
        <f>IF(F68&gt;F67,G67+B68*E68,B68*E68)</f>
        <v>0</v>
      </c>
      <c r="H68">
        <f t="shared" ref="H68:H131" si="6">IF(AND(F68&lt;6,F68&gt;F67),E68+H67,E68)</f>
        <v>0</v>
      </c>
      <c r="I68">
        <f t="shared" ref="I68:I131" si="7">IF(F68&gt;F69,G68/H68,0)</f>
        <v>0</v>
      </c>
      <c r="J68">
        <f>IF(I67=0,0,C67-I67)</f>
        <v>0</v>
      </c>
    </row>
    <row r="69" spans="1:10" x14ac:dyDescent="0.25">
      <c r="A69" s="1">
        <v>38817</v>
      </c>
      <c r="B69">
        <v>6.0939199999999998</v>
      </c>
      <c r="C69">
        <v>6.39</v>
      </c>
      <c r="D69">
        <f>WEEKDAY(A69,14)</f>
        <v>5</v>
      </c>
      <c r="E69">
        <f t="shared" si="4"/>
        <v>0.05</v>
      </c>
      <c r="F69">
        <f t="shared" si="5"/>
        <v>3</v>
      </c>
      <c r="G69">
        <f>IF(F69&gt;F68,G68+B69*E69,B69*E69)</f>
        <v>0.30469600000000002</v>
      </c>
      <c r="H69">
        <f t="shared" si="6"/>
        <v>0.05</v>
      </c>
      <c r="I69">
        <f t="shared" si="7"/>
        <v>0</v>
      </c>
      <c r="J69">
        <f>IF(I68=0,0,C68-I68)</f>
        <v>0</v>
      </c>
    </row>
    <row r="70" spans="1:10" x14ac:dyDescent="0.25">
      <c r="A70" s="1">
        <v>38818</v>
      </c>
      <c r="B70">
        <v>6.0623300000000002</v>
      </c>
      <c r="C70">
        <v>6.39</v>
      </c>
      <c r="D70">
        <f>WEEKDAY(A70,14)</f>
        <v>6</v>
      </c>
      <c r="E70">
        <f t="shared" si="4"/>
        <v>0.7</v>
      </c>
      <c r="F70">
        <f t="shared" si="5"/>
        <v>4</v>
      </c>
      <c r="G70">
        <f>IF(F70&gt;F69,G69+B70*E70,B70*E70)</f>
        <v>4.5483269999999996</v>
      </c>
      <c r="H70">
        <f t="shared" si="6"/>
        <v>0.75</v>
      </c>
      <c r="I70">
        <f t="shared" si="7"/>
        <v>0</v>
      </c>
      <c r="J70">
        <f>IF(I69=0,0,C69-I69)</f>
        <v>0</v>
      </c>
    </row>
    <row r="71" spans="1:10" x14ac:dyDescent="0.25">
      <c r="A71" s="1">
        <v>38819</v>
      </c>
      <c r="B71">
        <v>6.09232</v>
      </c>
      <c r="C71">
        <v>6.39</v>
      </c>
      <c r="D71">
        <f>WEEKDAY(A71,14)</f>
        <v>7</v>
      </c>
      <c r="E71">
        <f t="shared" si="4"/>
        <v>0.25</v>
      </c>
      <c r="F71">
        <f t="shared" si="5"/>
        <v>5</v>
      </c>
      <c r="G71">
        <f>IF(F71&gt;F70,G70+B71*E71,B71*E71)</f>
        <v>6.0714069999999998</v>
      </c>
      <c r="H71">
        <f t="shared" si="6"/>
        <v>1</v>
      </c>
      <c r="I71">
        <f t="shared" si="7"/>
        <v>6.0714069999999998</v>
      </c>
      <c r="J71">
        <f>IF(I70=0,0,C70-I70)</f>
        <v>0</v>
      </c>
    </row>
    <row r="72" spans="1:10" x14ac:dyDescent="0.25">
      <c r="A72" s="1">
        <v>38820</v>
      </c>
      <c r="B72">
        <v>6.14222</v>
      </c>
      <c r="C72">
        <v>6.43</v>
      </c>
      <c r="D72">
        <f>WEEKDAY(A72,14)</f>
        <v>1</v>
      </c>
      <c r="E72">
        <f t="shared" si="4"/>
        <v>0</v>
      </c>
      <c r="F72">
        <f t="shared" si="5"/>
        <v>1</v>
      </c>
      <c r="G72">
        <f>IF(F72&gt;F71,G71+B72*E72,B72*E72)</f>
        <v>0</v>
      </c>
      <c r="H72">
        <f t="shared" si="6"/>
        <v>0</v>
      </c>
      <c r="I72">
        <f t="shared" si="7"/>
        <v>0</v>
      </c>
      <c r="J72">
        <f>IF(I71=0,0,C71-I71)</f>
        <v>0.3185929999999999</v>
      </c>
    </row>
    <row r="73" spans="1:10" x14ac:dyDescent="0.25">
      <c r="A73" s="1">
        <v>38824</v>
      </c>
      <c r="B73">
        <v>6.1154599999999997</v>
      </c>
      <c r="C73">
        <v>6.43</v>
      </c>
      <c r="D73">
        <f>WEEKDAY(A73,14)</f>
        <v>5</v>
      </c>
      <c r="E73">
        <f t="shared" si="4"/>
        <v>0.05</v>
      </c>
      <c r="F73">
        <f t="shared" si="5"/>
        <v>2</v>
      </c>
      <c r="G73">
        <f>IF(F73&gt;F72,G72+B73*E73,B73*E73)</f>
        <v>0.30577300000000002</v>
      </c>
      <c r="H73">
        <f t="shared" si="6"/>
        <v>0.05</v>
      </c>
      <c r="I73">
        <f t="shared" si="7"/>
        <v>0</v>
      </c>
      <c r="J73">
        <f>IF(I72=0,0,C72-I72)</f>
        <v>0</v>
      </c>
    </row>
    <row r="74" spans="1:10" x14ac:dyDescent="0.25">
      <c r="A74" s="1">
        <v>38825</v>
      </c>
      <c r="B74">
        <v>6.0614499999999998</v>
      </c>
      <c r="C74">
        <v>6.43</v>
      </c>
      <c r="D74">
        <f>WEEKDAY(A74,14)</f>
        <v>6</v>
      </c>
      <c r="E74">
        <f t="shared" si="4"/>
        <v>0.7</v>
      </c>
      <c r="F74">
        <f t="shared" si="5"/>
        <v>3</v>
      </c>
      <c r="G74">
        <f>IF(F74&gt;F73,G73+B74*E74,B74*E74)</f>
        <v>4.5487880000000001</v>
      </c>
      <c r="H74">
        <f t="shared" si="6"/>
        <v>0.75</v>
      </c>
      <c r="I74">
        <f t="shared" si="7"/>
        <v>0</v>
      </c>
      <c r="J74">
        <f>IF(I73=0,0,C73-I73)</f>
        <v>0</v>
      </c>
    </row>
    <row r="75" spans="1:10" x14ac:dyDescent="0.25">
      <c r="A75" s="1">
        <v>38826</v>
      </c>
      <c r="B75">
        <v>6.0952599999999997</v>
      </c>
      <c r="C75">
        <v>6.43</v>
      </c>
      <c r="D75">
        <f>WEEKDAY(A75,14)</f>
        <v>7</v>
      </c>
      <c r="E75">
        <f t="shared" si="4"/>
        <v>0.25</v>
      </c>
      <c r="F75">
        <f t="shared" si="5"/>
        <v>4</v>
      </c>
      <c r="G75">
        <f>IF(F75&gt;F74,G74+B75*E75,B75*E75)</f>
        <v>6.072603</v>
      </c>
      <c r="H75">
        <f t="shared" si="6"/>
        <v>1</v>
      </c>
      <c r="I75">
        <f t="shared" si="7"/>
        <v>6.072603</v>
      </c>
      <c r="J75">
        <f>IF(I74=0,0,C74-I74)</f>
        <v>0</v>
      </c>
    </row>
    <row r="76" spans="1:10" x14ac:dyDescent="0.25">
      <c r="A76" s="1">
        <v>38827</v>
      </c>
      <c r="B76">
        <v>6.1110499999999996</v>
      </c>
      <c r="C76">
        <v>6.4550000000000001</v>
      </c>
      <c r="D76">
        <f>WEEKDAY(A76,14)</f>
        <v>1</v>
      </c>
      <c r="E76">
        <f t="shared" si="4"/>
        <v>0</v>
      </c>
      <c r="F76">
        <f t="shared" si="5"/>
        <v>1</v>
      </c>
      <c r="G76">
        <f>IF(F76&gt;F75,G75+B76*E76,B76*E76)</f>
        <v>0</v>
      </c>
      <c r="H76">
        <f t="shared" si="6"/>
        <v>0</v>
      </c>
      <c r="I76">
        <f t="shared" si="7"/>
        <v>0</v>
      </c>
      <c r="J76">
        <f>IF(I75=0,0,C75-I75)</f>
        <v>0.35739699999999974</v>
      </c>
    </row>
    <row r="77" spans="1:10" x14ac:dyDescent="0.25">
      <c r="A77" s="1">
        <v>38828</v>
      </c>
      <c r="B77">
        <v>6.0893499999999996</v>
      </c>
      <c r="C77">
        <v>6.4550000000000001</v>
      </c>
      <c r="D77">
        <f>WEEKDAY(A77,14)</f>
        <v>2</v>
      </c>
      <c r="E77">
        <f t="shared" si="4"/>
        <v>0</v>
      </c>
      <c r="F77">
        <f t="shared" si="5"/>
        <v>2</v>
      </c>
      <c r="G77">
        <f>IF(F77&gt;F76,G76+B77*E77,B77*E77)</f>
        <v>0</v>
      </c>
      <c r="H77">
        <f t="shared" si="6"/>
        <v>0</v>
      </c>
      <c r="I77">
        <f t="shared" si="7"/>
        <v>0</v>
      </c>
      <c r="J77">
        <f>IF(I76=0,0,C76-I76)</f>
        <v>0</v>
      </c>
    </row>
    <row r="78" spans="1:10" x14ac:dyDescent="0.25">
      <c r="A78" s="1">
        <v>38831</v>
      </c>
      <c r="B78">
        <v>6.0686400000000003</v>
      </c>
      <c r="C78">
        <v>6.4550000000000001</v>
      </c>
      <c r="D78">
        <f>WEEKDAY(A78,14)</f>
        <v>5</v>
      </c>
      <c r="E78">
        <f t="shared" si="4"/>
        <v>0.05</v>
      </c>
      <c r="F78">
        <f t="shared" si="5"/>
        <v>3</v>
      </c>
      <c r="G78">
        <f>IF(F78&gt;F77,G77+B78*E78,B78*E78)</f>
        <v>0.30343200000000004</v>
      </c>
      <c r="H78">
        <f t="shared" si="6"/>
        <v>0.05</v>
      </c>
      <c r="I78">
        <f t="shared" si="7"/>
        <v>0</v>
      </c>
      <c r="J78">
        <f>IF(I77=0,0,C77-I77)</f>
        <v>0</v>
      </c>
    </row>
    <row r="79" spans="1:10" x14ac:dyDescent="0.25">
      <c r="A79" s="1">
        <v>38832</v>
      </c>
      <c r="B79">
        <v>6.1404399999999999</v>
      </c>
      <c r="C79">
        <v>6.4550000000000001</v>
      </c>
      <c r="D79">
        <f>WEEKDAY(A79,14)</f>
        <v>6</v>
      </c>
      <c r="E79">
        <f t="shared" si="4"/>
        <v>0.7</v>
      </c>
      <c r="F79">
        <f t="shared" si="5"/>
        <v>4</v>
      </c>
      <c r="G79">
        <f>IF(F79&gt;F78,G78+B79*E79,B79*E79)</f>
        <v>4.6017399999999995</v>
      </c>
      <c r="H79">
        <f t="shared" si="6"/>
        <v>0.75</v>
      </c>
      <c r="I79">
        <f t="shared" si="7"/>
        <v>0</v>
      </c>
      <c r="J79">
        <f>IF(I78=0,0,C78-I78)</f>
        <v>0</v>
      </c>
    </row>
    <row r="80" spans="1:10" x14ac:dyDescent="0.25">
      <c r="A80" s="1">
        <v>38833</v>
      </c>
      <c r="B80">
        <v>6.1759199999999996</v>
      </c>
      <c r="C80">
        <v>6.4550000000000001</v>
      </c>
      <c r="D80">
        <f>WEEKDAY(A80,14)</f>
        <v>7</v>
      </c>
      <c r="E80">
        <f t="shared" si="4"/>
        <v>0.25</v>
      </c>
      <c r="F80">
        <f t="shared" si="5"/>
        <v>5</v>
      </c>
      <c r="G80">
        <f>IF(F80&gt;F79,G79+B80*E80,B80*E80)</f>
        <v>6.145719999999999</v>
      </c>
      <c r="H80">
        <f t="shared" si="6"/>
        <v>1</v>
      </c>
      <c r="I80">
        <f t="shared" si="7"/>
        <v>6.145719999999999</v>
      </c>
      <c r="J80">
        <f>IF(I79=0,0,C79-I79)</f>
        <v>0</v>
      </c>
    </row>
    <row r="81" spans="1:10" x14ac:dyDescent="0.25">
      <c r="A81" s="1">
        <v>38834</v>
      </c>
      <c r="B81">
        <v>6.1333500000000001</v>
      </c>
      <c r="C81">
        <v>6.49</v>
      </c>
      <c r="D81">
        <f>WEEKDAY(A81,14)</f>
        <v>1</v>
      </c>
      <c r="E81">
        <f t="shared" si="4"/>
        <v>0</v>
      </c>
      <c r="F81">
        <f t="shared" si="5"/>
        <v>1</v>
      </c>
      <c r="G81">
        <f>IF(F81&gt;F80,G80+B81*E81,B81*E81)</f>
        <v>0</v>
      </c>
      <c r="H81">
        <f t="shared" si="6"/>
        <v>0</v>
      </c>
      <c r="I81">
        <f t="shared" si="7"/>
        <v>0</v>
      </c>
      <c r="J81">
        <f>IF(I80=0,0,C80-I80)</f>
        <v>0.30928000000000111</v>
      </c>
    </row>
    <row r="82" spans="1:10" x14ac:dyDescent="0.25">
      <c r="A82" s="1">
        <v>38835</v>
      </c>
      <c r="B82">
        <v>6.1003299999999996</v>
      </c>
      <c r="C82">
        <v>6.49</v>
      </c>
      <c r="D82">
        <f>WEEKDAY(A82,14)</f>
        <v>2</v>
      </c>
      <c r="E82">
        <f t="shared" si="4"/>
        <v>0</v>
      </c>
      <c r="F82">
        <f t="shared" si="5"/>
        <v>2</v>
      </c>
      <c r="G82">
        <f>IF(F82&gt;F81,G81+B82*E82,B82*E82)</f>
        <v>0</v>
      </c>
      <c r="H82">
        <f t="shared" si="6"/>
        <v>0</v>
      </c>
      <c r="I82">
        <f t="shared" si="7"/>
        <v>0</v>
      </c>
      <c r="J82">
        <f>IF(I81=0,0,C81-I81)</f>
        <v>0</v>
      </c>
    </row>
    <row r="83" spans="1:10" x14ac:dyDescent="0.25">
      <c r="A83" s="1">
        <v>38838</v>
      </c>
      <c r="B83">
        <v>6.1676500000000001</v>
      </c>
      <c r="C83">
        <v>6.49</v>
      </c>
      <c r="D83">
        <f>WEEKDAY(A83,14)</f>
        <v>5</v>
      </c>
      <c r="E83">
        <f t="shared" si="4"/>
        <v>0.05</v>
      </c>
      <c r="F83">
        <f t="shared" si="5"/>
        <v>3</v>
      </c>
      <c r="G83">
        <f>IF(F83&gt;F82,G82+B83*E83,B83*E83)</f>
        <v>0.3083825</v>
      </c>
      <c r="H83">
        <f t="shared" si="6"/>
        <v>0.05</v>
      </c>
      <c r="I83">
        <f t="shared" si="7"/>
        <v>0</v>
      </c>
      <c r="J83">
        <f>IF(I82=0,0,C82-I82)</f>
        <v>0</v>
      </c>
    </row>
    <row r="84" spans="1:10" x14ac:dyDescent="0.25">
      <c r="A84" s="1">
        <v>38839</v>
      </c>
      <c r="B84">
        <v>6.1707799999999997</v>
      </c>
      <c r="C84">
        <v>6.49</v>
      </c>
      <c r="D84">
        <f>WEEKDAY(A84,14)</f>
        <v>6</v>
      </c>
      <c r="E84">
        <f t="shared" si="4"/>
        <v>0.7</v>
      </c>
      <c r="F84">
        <f t="shared" si="5"/>
        <v>4</v>
      </c>
      <c r="G84">
        <f>IF(F84&gt;F83,G83+B84*E84,B84*E84)</f>
        <v>4.6279284999999994</v>
      </c>
      <c r="H84">
        <f t="shared" si="6"/>
        <v>0.75</v>
      </c>
      <c r="I84">
        <f t="shared" si="7"/>
        <v>0</v>
      </c>
      <c r="J84">
        <f>IF(I83=0,0,C83-I83)</f>
        <v>0</v>
      </c>
    </row>
    <row r="85" spans="1:10" x14ac:dyDescent="0.25">
      <c r="A85" s="1">
        <v>38840</v>
      </c>
      <c r="B85">
        <v>6.2117500000000003</v>
      </c>
      <c r="C85">
        <v>6.49</v>
      </c>
      <c r="D85">
        <f>WEEKDAY(A85,14)</f>
        <v>7</v>
      </c>
      <c r="E85">
        <f t="shared" si="4"/>
        <v>0.25</v>
      </c>
      <c r="F85">
        <f t="shared" si="5"/>
        <v>5</v>
      </c>
      <c r="G85">
        <f>IF(F85&gt;F84,G84+B85*E85,B85*E85)</f>
        <v>6.180866</v>
      </c>
      <c r="H85">
        <f t="shared" si="6"/>
        <v>1</v>
      </c>
      <c r="I85">
        <f t="shared" si="7"/>
        <v>6.180866</v>
      </c>
      <c r="J85">
        <f>IF(I84=0,0,C84-I84)</f>
        <v>0</v>
      </c>
    </row>
    <row r="86" spans="1:10" x14ac:dyDescent="0.25">
      <c r="A86" s="1">
        <v>38841</v>
      </c>
      <c r="B86">
        <v>6.2185699999999997</v>
      </c>
      <c r="C86">
        <v>6.4550000000000001</v>
      </c>
      <c r="D86">
        <f>WEEKDAY(A86,14)</f>
        <v>1</v>
      </c>
      <c r="E86">
        <f t="shared" si="4"/>
        <v>0</v>
      </c>
      <c r="F86">
        <f t="shared" si="5"/>
        <v>1</v>
      </c>
      <c r="G86">
        <f>IF(F86&gt;F85,G85+B86*E86,B86*E86)</f>
        <v>0</v>
      </c>
      <c r="H86">
        <f t="shared" si="6"/>
        <v>0</v>
      </c>
      <c r="I86">
        <f t="shared" si="7"/>
        <v>0</v>
      </c>
      <c r="J86">
        <f>IF(I85=0,0,C85-I85)</f>
        <v>0.30913400000000024</v>
      </c>
    </row>
    <row r="87" spans="1:10" x14ac:dyDescent="0.25">
      <c r="A87" s="1">
        <v>38842</v>
      </c>
      <c r="B87">
        <v>6.1718000000000002</v>
      </c>
      <c r="C87">
        <v>6.4550000000000001</v>
      </c>
      <c r="D87">
        <f>WEEKDAY(A87,14)</f>
        <v>2</v>
      </c>
      <c r="E87">
        <f t="shared" si="4"/>
        <v>0</v>
      </c>
      <c r="F87">
        <f t="shared" si="5"/>
        <v>2</v>
      </c>
      <c r="G87">
        <f>IF(F87&gt;F86,G86+B87*E87,B87*E87)</f>
        <v>0</v>
      </c>
      <c r="H87">
        <f t="shared" si="6"/>
        <v>0</v>
      </c>
      <c r="I87">
        <f t="shared" si="7"/>
        <v>0</v>
      </c>
      <c r="J87">
        <f>IF(I86=0,0,C86-I86)</f>
        <v>0</v>
      </c>
    </row>
    <row r="88" spans="1:10" x14ac:dyDescent="0.25">
      <c r="A88" s="1">
        <v>38845</v>
      </c>
      <c r="B88">
        <v>6.1839399999999998</v>
      </c>
      <c r="C88">
        <v>6.4550000000000001</v>
      </c>
      <c r="D88">
        <f>WEEKDAY(A88,14)</f>
        <v>5</v>
      </c>
      <c r="E88">
        <f t="shared" si="4"/>
        <v>0.05</v>
      </c>
      <c r="F88">
        <f t="shared" si="5"/>
        <v>3</v>
      </c>
      <c r="G88">
        <f>IF(F88&gt;F87,G87+B88*E88,B88*E88)</f>
        <v>0.309197</v>
      </c>
      <c r="H88">
        <f t="shared" si="6"/>
        <v>0.05</v>
      </c>
      <c r="I88">
        <f t="shared" si="7"/>
        <v>0</v>
      </c>
      <c r="J88">
        <f>IF(I87=0,0,C87-I87)</f>
        <v>0</v>
      </c>
    </row>
    <row r="89" spans="1:10" x14ac:dyDescent="0.25">
      <c r="A89" s="1">
        <v>38846</v>
      </c>
      <c r="B89">
        <v>6.18872</v>
      </c>
      <c r="C89">
        <v>6.4550000000000001</v>
      </c>
      <c r="D89">
        <f>WEEKDAY(A89,14)</f>
        <v>6</v>
      </c>
      <c r="E89">
        <f t="shared" si="4"/>
        <v>0.7</v>
      </c>
      <c r="F89">
        <f t="shared" si="5"/>
        <v>4</v>
      </c>
      <c r="G89">
        <f>IF(F89&gt;F88,G88+B89*E89,B89*E89)</f>
        <v>4.6413009999999995</v>
      </c>
      <c r="H89">
        <f t="shared" si="6"/>
        <v>0.75</v>
      </c>
      <c r="I89">
        <f t="shared" si="7"/>
        <v>0</v>
      </c>
      <c r="J89">
        <f>IF(I88=0,0,C88-I88)</f>
        <v>0</v>
      </c>
    </row>
    <row r="90" spans="1:10" x14ac:dyDescent="0.25">
      <c r="A90" s="1">
        <v>38847</v>
      </c>
      <c r="B90">
        <v>6.1970700000000001</v>
      </c>
      <c r="C90">
        <v>6.4550000000000001</v>
      </c>
      <c r="D90">
        <f>WEEKDAY(A90,14)</f>
        <v>7</v>
      </c>
      <c r="E90">
        <f t="shared" si="4"/>
        <v>0.25</v>
      </c>
      <c r="F90">
        <f t="shared" si="5"/>
        <v>5</v>
      </c>
      <c r="G90">
        <f>IF(F90&gt;F89,G89+B90*E90,B90*E90)</f>
        <v>6.1905684999999995</v>
      </c>
      <c r="H90">
        <f t="shared" si="6"/>
        <v>1</v>
      </c>
      <c r="I90">
        <f t="shared" si="7"/>
        <v>6.1905684999999995</v>
      </c>
      <c r="J90">
        <f>IF(I89=0,0,C89-I89)</f>
        <v>0</v>
      </c>
    </row>
    <row r="91" spans="1:10" x14ac:dyDescent="0.25">
      <c r="A91" s="1">
        <v>38848</v>
      </c>
      <c r="B91">
        <v>6.2202099999999998</v>
      </c>
      <c r="C91">
        <v>6.4749999999999996</v>
      </c>
      <c r="D91">
        <f>WEEKDAY(A91,14)</f>
        <v>1</v>
      </c>
      <c r="E91">
        <f t="shared" si="4"/>
        <v>0</v>
      </c>
      <c r="F91">
        <f t="shared" si="5"/>
        <v>1</v>
      </c>
      <c r="G91">
        <f>IF(F91&gt;F90,G90+B91*E91,B91*E91)</f>
        <v>0</v>
      </c>
      <c r="H91">
        <f t="shared" si="6"/>
        <v>0</v>
      </c>
      <c r="I91">
        <f t="shared" si="7"/>
        <v>0</v>
      </c>
      <c r="J91">
        <f>IF(I90=0,0,C90-I90)</f>
        <v>0.2644315000000006</v>
      </c>
    </row>
    <row r="92" spans="1:10" x14ac:dyDescent="0.25">
      <c r="A92" s="1">
        <v>38849</v>
      </c>
      <c r="B92">
        <v>6.2636799999999999</v>
      </c>
      <c r="C92">
        <v>6.4749999999999996</v>
      </c>
      <c r="D92">
        <f>WEEKDAY(A92,14)</f>
        <v>2</v>
      </c>
      <c r="E92">
        <f t="shared" si="4"/>
        <v>0</v>
      </c>
      <c r="F92">
        <f t="shared" si="5"/>
        <v>2</v>
      </c>
      <c r="G92">
        <f>IF(F92&gt;F91,G91+B92*E92,B92*E92)</f>
        <v>0</v>
      </c>
      <c r="H92">
        <f t="shared" si="6"/>
        <v>0</v>
      </c>
      <c r="I92">
        <f t="shared" si="7"/>
        <v>0</v>
      </c>
      <c r="J92">
        <f>IF(I91=0,0,C91-I91)</f>
        <v>0</v>
      </c>
    </row>
    <row r="93" spans="1:10" x14ac:dyDescent="0.25">
      <c r="A93" s="1">
        <v>38852</v>
      </c>
      <c r="B93">
        <v>6.2413299999999996</v>
      </c>
      <c r="C93">
        <v>6.4749999999999996</v>
      </c>
      <c r="D93">
        <f>WEEKDAY(A93,14)</f>
        <v>5</v>
      </c>
      <c r="E93">
        <f t="shared" si="4"/>
        <v>0.05</v>
      </c>
      <c r="F93">
        <f t="shared" si="5"/>
        <v>3</v>
      </c>
      <c r="G93">
        <f>IF(F93&gt;F92,G92+B93*E93,B93*E93)</f>
        <v>0.31206650000000002</v>
      </c>
      <c r="H93">
        <f t="shared" si="6"/>
        <v>0.05</v>
      </c>
      <c r="I93">
        <f t="shared" si="7"/>
        <v>0</v>
      </c>
      <c r="J93">
        <f>IF(I92=0,0,C92-I92)</f>
        <v>0</v>
      </c>
    </row>
    <row r="94" spans="1:10" x14ac:dyDescent="0.25">
      <c r="A94" s="1">
        <v>38853</v>
      </c>
      <c r="B94">
        <v>6.1936900000000001</v>
      </c>
      <c r="C94">
        <v>6.4749999999999996</v>
      </c>
      <c r="D94">
        <f>WEEKDAY(A94,14)</f>
        <v>6</v>
      </c>
      <c r="E94">
        <f t="shared" si="4"/>
        <v>0.7</v>
      </c>
      <c r="F94">
        <f t="shared" si="5"/>
        <v>4</v>
      </c>
      <c r="G94">
        <f>IF(F94&gt;F93,G93+B94*E94,B94*E94)</f>
        <v>4.6476495</v>
      </c>
      <c r="H94">
        <f t="shared" si="6"/>
        <v>0.75</v>
      </c>
      <c r="I94">
        <f t="shared" si="7"/>
        <v>0</v>
      </c>
      <c r="J94">
        <f>IF(I93=0,0,C93-I93)</f>
        <v>0</v>
      </c>
    </row>
    <row r="95" spans="1:10" x14ac:dyDescent="0.25">
      <c r="A95" s="1">
        <v>38854</v>
      </c>
      <c r="B95">
        <v>6.2419399999999996</v>
      </c>
      <c r="C95">
        <v>6.4749999999999996</v>
      </c>
      <c r="D95">
        <f>WEEKDAY(A95,14)</f>
        <v>7</v>
      </c>
      <c r="E95">
        <f t="shared" si="4"/>
        <v>0.25</v>
      </c>
      <c r="F95">
        <f t="shared" si="5"/>
        <v>5</v>
      </c>
      <c r="G95">
        <f>IF(F95&gt;F94,G94+B95*E95,B95*E95)</f>
        <v>6.2081344999999999</v>
      </c>
      <c r="H95">
        <f t="shared" si="6"/>
        <v>1</v>
      </c>
      <c r="I95">
        <f t="shared" si="7"/>
        <v>6.2081344999999999</v>
      </c>
      <c r="J95">
        <f>IF(I94=0,0,C94-I94)</f>
        <v>0</v>
      </c>
    </row>
    <row r="96" spans="1:10" x14ac:dyDescent="0.25">
      <c r="A96" s="1">
        <v>38855</v>
      </c>
      <c r="B96">
        <v>6.1873300000000002</v>
      </c>
      <c r="C96">
        <v>6.47</v>
      </c>
      <c r="D96">
        <f>WEEKDAY(A96,14)</f>
        <v>1</v>
      </c>
      <c r="E96">
        <f t="shared" si="4"/>
        <v>0</v>
      </c>
      <c r="F96">
        <f t="shared" si="5"/>
        <v>1</v>
      </c>
      <c r="G96">
        <f>IF(F96&gt;F95,G95+B96*E96,B96*E96)</f>
        <v>0</v>
      </c>
      <c r="H96">
        <f t="shared" si="6"/>
        <v>0</v>
      </c>
      <c r="I96">
        <f t="shared" si="7"/>
        <v>0</v>
      </c>
      <c r="J96">
        <f>IF(I95=0,0,C95-I95)</f>
        <v>0.26686549999999976</v>
      </c>
    </row>
    <row r="97" spans="1:10" x14ac:dyDescent="0.25">
      <c r="A97" s="1">
        <v>38856</v>
      </c>
      <c r="B97">
        <v>6.1990299999999996</v>
      </c>
      <c r="C97">
        <v>6.47</v>
      </c>
      <c r="D97">
        <f>WEEKDAY(A97,14)</f>
        <v>2</v>
      </c>
      <c r="E97">
        <f t="shared" si="4"/>
        <v>0</v>
      </c>
      <c r="F97">
        <f t="shared" si="5"/>
        <v>2</v>
      </c>
      <c r="G97">
        <f>IF(F97&gt;F96,G96+B97*E97,B97*E97)</f>
        <v>0</v>
      </c>
      <c r="H97">
        <f t="shared" si="6"/>
        <v>0</v>
      </c>
      <c r="I97">
        <f t="shared" si="7"/>
        <v>0</v>
      </c>
      <c r="J97">
        <f>IF(I96=0,0,C96-I96)</f>
        <v>0</v>
      </c>
    </row>
    <row r="98" spans="1:10" x14ac:dyDescent="0.25">
      <c r="A98" s="1">
        <v>38859</v>
      </c>
      <c r="B98">
        <v>6.2031099999999997</v>
      </c>
      <c r="C98">
        <v>6.47</v>
      </c>
      <c r="D98">
        <f>WEEKDAY(A98,14)</f>
        <v>5</v>
      </c>
      <c r="E98">
        <f t="shared" si="4"/>
        <v>0.05</v>
      </c>
      <c r="F98">
        <f t="shared" si="5"/>
        <v>3</v>
      </c>
      <c r="G98">
        <f>IF(F98&gt;F97,G97+B98*E98,B98*E98)</f>
        <v>0.31015550000000003</v>
      </c>
      <c r="H98">
        <f t="shared" si="6"/>
        <v>0.05</v>
      </c>
      <c r="I98">
        <f t="shared" si="7"/>
        <v>0</v>
      </c>
      <c r="J98">
        <f>IF(I97=0,0,C97-I97)</f>
        <v>0</v>
      </c>
    </row>
    <row r="99" spans="1:10" x14ac:dyDescent="0.25">
      <c r="A99" s="1">
        <v>38860</v>
      </c>
      <c r="B99">
        <v>6.22234</v>
      </c>
      <c r="C99">
        <v>6.47</v>
      </c>
      <c r="D99">
        <f>WEEKDAY(A99,14)</f>
        <v>6</v>
      </c>
      <c r="E99">
        <f t="shared" si="4"/>
        <v>0.7</v>
      </c>
      <c r="F99">
        <f t="shared" si="5"/>
        <v>4</v>
      </c>
      <c r="G99">
        <f>IF(F99&gt;F98,G98+B99*E99,B99*E99)</f>
        <v>4.6657934999999995</v>
      </c>
      <c r="H99">
        <f t="shared" si="6"/>
        <v>0.75</v>
      </c>
      <c r="I99">
        <f t="shared" si="7"/>
        <v>0</v>
      </c>
      <c r="J99">
        <f>IF(I98=0,0,C98-I98)</f>
        <v>0</v>
      </c>
    </row>
    <row r="100" spans="1:10" x14ac:dyDescent="0.25">
      <c r="A100" s="1">
        <v>38861</v>
      </c>
      <c r="B100">
        <v>6.21225</v>
      </c>
      <c r="C100">
        <v>6.47</v>
      </c>
      <c r="D100">
        <f>WEEKDAY(A100,14)</f>
        <v>7</v>
      </c>
      <c r="E100">
        <f t="shared" si="4"/>
        <v>0.25</v>
      </c>
      <c r="F100">
        <f t="shared" si="5"/>
        <v>5</v>
      </c>
      <c r="G100">
        <f>IF(F100&gt;F99,G99+B100*E100,B100*E100)</f>
        <v>6.2188559999999997</v>
      </c>
      <c r="H100">
        <f t="shared" si="6"/>
        <v>1</v>
      </c>
      <c r="I100">
        <f t="shared" si="7"/>
        <v>6.2188559999999997</v>
      </c>
      <c r="J100">
        <f>IF(I99=0,0,C99-I99)</f>
        <v>0</v>
      </c>
    </row>
    <row r="101" spans="1:10" x14ac:dyDescent="0.25">
      <c r="A101" s="1">
        <v>38862</v>
      </c>
      <c r="B101">
        <v>6.2326499999999996</v>
      </c>
      <c r="C101">
        <v>6.52</v>
      </c>
      <c r="D101">
        <f>WEEKDAY(A101,14)</f>
        <v>1</v>
      </c>
      <c r="E101">
        <f t="shared" si="4"/>
        <v>0</v>
      </c>
      <c r="F101">
        <f t="shared" si="5"/>
        <v>1</v>
      </c>
      <c r="G101">
        <f>IF(F101&gt;F100,G100+B101*E101,B101*E101)</f>
        <v>0</v>
      </c>
      <c r="H101">
        <f t="shared" si="6"/>
        <v>0</v>
      </c>
      <c r="I101">
        <f t="shared" si="7"/>
        <v>0</v>
      </c>
      <c r="J101">
        <f>IF(I100=0,0,C100-I100)</f>
        <v>0.25114400000000003</v>
      </c>
    </row>
    <row r="102" spans="1:10" x14ac:dyDescent="0.25">
      <c r="A102" s="1">
        <v>38863</v>
      </c>
      <c r="B102">
        <v>6.2119499999999999</v>
      </c>
      <c r="C102">
        <v>6.52</v>
      </c>
      <c r="D102">
        <f>WEEKDAY(A102,14)</f>
        <v>2</v>
      </c>
      <c r="E102">
        <f t="shared" si="4"/>
        <v>0</v>
      </c>
      <c r="F102">
        <f t="shared" si="5"/>
        <v>2</v>
      </c>
      <c r="G102">
        <f>IF(F102&gt;F101,G101+B102*E102,B102*E102)</f>
        <v>0</v>
      </c>
      <c r="H102">
        <f t="shared" si="6"/>
        <v>0</v>
      </c>
      <c r="I102">
        <f t="shared" si="7"/>
        <v>0</v>
      </c>
      <c r="J102">
        <f>IF(I101=0,0,C101-I101)</f>
        <v>0</v>
      </c>
    </row>
    <row r="103" spans="1:10" x14ac:dyDescent="0.25">
      <c r="A103" s="1">
        <v>38867</v>
      </c>
      <c r="B103">
        <v>6.25047</v>
      </c>
      <c r="C103">
        <v>6.52</v>
      </c>
      <c r="D103">
        <f>WEEKDAY(A103,14)</f>
        <v>6</v>
      </c>
      <c r="E103">
        <f t="shared" si="4"/>
        <v>0.7</v>
      </c>
      <c r="F103">
        <f t="shared" si="5"/>
        <v>3</v>
      </c>
      <c r="G103">
        <f>IF(F103&gt;F102,G102+B103*E103,B103*E103)</f>
        <v>4.3753289999999998</v>
      </c>
      <c r="H103">
        <f t="shared" si="6"/>
        <v>0.7</v>
      </c>
      <c r="I103">
        <f t="shared" si="7"/>
        <v>0</v>
      </c>
      <c r="J103">
        <f>IF(I102=0,0,C102-I102)</f>
        <v>0</v>
      </c>
    </row>
    <row r="104" spans="1:10" x14ac:dyDescent="0.25">
      <c r="A104" s="1">
        <v>38868</v>
      </c>
      <c r="B104">
        <v>6.2857200000000004</v>
      </c>
      <c r="C104">
        <v>6.52</v>
      </c>
      <c r="D104">
        <f>WEEKDAY(A104,14)</f>
        <v>7</v>
      </c>
      <c r="E104">
        <f t="shared" si="4"/>
        <v>0.25</v>
      </c>
      <c r="F104">
        <f t="shared" si="5"/>
        <v>4</v>
      </c>
      <c r="G104">
        <f>IF(F104&gt;F103,G103+B104*E104,B104*E104)</f>
        <v>5.9467590000000001</v>
      </c>
      <c r="H104">
        <f t="shared" si="6"/>
        <v>0.95</v>
      </c>
      <c r="I104">
        <f t="shared" si="7"/>
        <v>6.2597463157894744</v>
      </c>
      <c r="J104">
        <f>IF(I103=0,0,C103-I103)</f>
        <v>0</v>
      </c>
    </row>
    <row r="105" spans="1:10" x14ac:dyDescent="0.25">
      <c r="A105" s="1">
        <v>38869</v>
      </c>
      <c r="B105">
        <v>6.28186</v>
      </c>
      <c r="C105">
        <v>6.4950000000000001</v>
      </c>
      <c r="D105">
        <f>WEEKDAY(A105,14)</f>
        <v>1</v>
      </c>
      <c r="E105">
        <f t="shared" si="4"/>
        <v>0</v>
      </c>
      <c r="F105">
        <f t="shared" si="5"/>
        <v>1</v>
      </c>
      <c r="G105">
        <f>IF(F105&gt;F104,G104+B105*E105,B105*E105)</f>
        <v>0</v>
      </c>
      <c r="H105">
        <f t="shared" si="6"/>
        <v>0</v>
      </c>
      <c r="I105">
        <f t="shared" si="7"/>
        <v>0</v>
      </c>
      <c r="J105">
        <f>IF(I104=0,0,C104-I104)</f>
        <v>0.26025368421052519</v>
      </c>
    </row>
    <row r="106" spans="1:10" x14ac:dyDescent="0.25">
      <c r="A106" s="1">
        <v>38870</v>
      </c>
      <c r="B106">
        <v>6.1632899999999999</v>
      </c>
      <c r="C106">
        <v>6.4950000000000001</v>
      </c>
      <c r="D106">
        <f>WEEKDAY(A106,14)</f>
        <v>2</v>
      </c>
      <c r="E106">
        <f t="shared" si="4"/>
        <v>0</v>
      </c>
      <c r="F106">
        <f t="shared" si="5"/>
        <v>2</v>
      </c>
      <c r="G106">
        <f>IF(F106&gt;F105,G105+B106*E106,B106*E106)</f>
        <v>0</v>
      </c>
      <c r="H106">
        <f t="shared" si="6"/>
        <v>0</v>
      </c>
      <c r="I106">
        <f t="shared" si="7"/>
        <v>0</v>
      </c>
      <c r="J106">
        <f>IF(I105=0,0,C105-I105)</f>
        <v>0</v>
      </c>
    </row>
    <row r="107" spans="1:10" x14ac:dyDescent="0.25">
      <c r="A107" s="1">
        <v>38873</v>
      </c>
      <c r="B107">
        <v>6.1950900000000004</v>
      </c>
      <c r="C107">
        <v>6.4950000000000001</v>
      </c>
      <c r="D107">
        <f>WEEKDAY(A107,14)</f>
        <v>5</v>
      </c>
      <c r="E107">
        <f t="shared" si="4"/>
        <v>0.05</v>
      </c>
      <c r="F107">
        <f t="shared" si="5"/>
        <v>3</v>
      </c>
      <c r="G107">
        <f>IF(F107&gt;F106,G106+B107*E107,B107*E107)</f>
        <v>0.30975450000000004</v>
      </c>
      <c r="H107">
        <f t="shared" si="6"/>
        <v>0.05</v>
      </c>
      <c r="I107">
        <f t="shared" si="7"/>
        <v>0</v>
      </c>
      <c r="J107">
        <f>IF(I106=0,0,C106-I106)</f>
        <v>0</v>
      </c>
    </row>
    <row r="108" spans="1:10" x14ac:dyDescent="0.25">
      <c r="A108" s="1">
        <v>38874</v>
      </c>
      <c r="B108">
        <v>6.18614</v>
      </c>
      <c r="C108">
        <v>6.4950000000000001</v>
      </c>
      <c r="D108">
        <f>WEEKDAY(A108,14)</f>
        <v>6</v>
      </c>
      <c r="E108">
        <f t="shared" si="4"/>
        <v>0.7</v>
      </c>
      <c r="F108">
        <f t="shared" si="5"/>
        <v>4</v>
      </c>
      <c r="G108">
        <f>IF(F108&gt;F107,G107+B108*E108,B108*E108)</f>
        <v>4.6400525000000004</v>
      </c>
      <c r="H108">
        <f t="shared" si="6"/>
        <v>0.75</v>
      </c>
      <c r="I108">
        <f t="shared" si="7"/>
        <v>0</v>
      </c>
      <c r="J108">
        <f>IF(I107=0,0,C107-I107)</f>
        <v>0</v>
      </c>
    </row>
    <row r="109" spans="1:10" x14ac:dyDescent="0.25">
      <c r="A109" s="1">
        <v>38875</v>
      </c>
      <c r="B109">
        <v>6.21197</v>
      </c>
      <c r="C109">
        <v>6.4950000000000001</v>
      </c>
      <c r="D109">
        <f>WEEKDAY(A109,14)</f>
        <v>7</v>
      </c>
      <c r="E109">
        <f t="shared" si="4"/>
        <v>0.25</v>
      </c>
      <c r="F109">
        <f t="shared" si="5"/>
        <v>5</v>
      </c>
      <c r="G109">
        <f>IF(F109&gt;F108,G108+B109*E109,B109*E109)</f>
        <v>6.1930450000000006</v>
      </c>
      <c r="H109">
        <f t="shared" si="6"/>
        <v>1</v>
      </c>
      <c r="I109">
        <f t="shared" si="7"/>
        <v>6.1930450000000006</v>
      </c>
      <c r="J109">
        <f>IF(I108=0,0,C108-I108)</f>
        <v>0</v>
      </c>
    </row>
    <row r="110" spans="1:10" x14ac:dyDescent="0.25">
      <c r="A110" s="1">
        <v>38876</v>
      </c>
      <c r="B110">
        <v>6.1878500000000001</v>
      </c>
      <c r="C110">
        <v>6.5049999999999999</v>
      </c>
      <c r="D110">
        <f>WEEKDAY(A110,14)</f>
        <v>1</v>
      </c>
      <c r="E110">
        <f t="shared" si="4"/>
        <v>0</v>
      </c>
      <c r="F110">
        <f t="shared" si="5"/>
        <v>1</v>
      </c>
      <c r="G110">
        <f>IF(F110&gt;F109,G109+B110*E110,B110*E110)</f>
        <v>0</v>
      </c>
      <c r="H110">
        <f t="shared" si="6"/>
        <v>0</v>
      </c>
      <c r="I110">
        <f t="shared" si="7"/>
        <v>0</v>
      </c>
      <c r="J110">
        <f>IF(I109=0,0,C109-I109)</f>
        <v>0.30195499999999953</v>
      </c>
    </row>
    <row r="111" spans="1:10" x14ac:dyDescent="0.25">
      <c r="A111" s="1">
        <v>38877</v>
      </c>
      <c r="B111">
        <v>6.1793899999999997</v>
      </c>
      <c r="C111">
        <v>6.5049999999999999</v>
      </c>
      <c r="D111">
        <f>WEEKDAY(A111,14)</f>
        <v>2</v>
      </c>
      <c r="E111">
        <f t="shared" si="4"/>
        <v>0</v>
      </c>
      <c r="F111">
        <f t="shared" si="5"/>
        <v>2</v>
      </c>
      <c r="G111">
        <f>IF(F111&gt;F110,G110+B111*E111,B111*E111)</f>
        <v>0</v>
      </c>
      <c r="H111">
        <f t="shared" si="6"/>
        <v>0</v>
      </c>
      <c r="I111">
        <f t="shared" si="7"/>
        <v>0</v>
      </c>
      <c r="J111">
        <f>IF(I110=0,0,C110-I110)</f>
        <v>0</v>
      </c>
    </row>
    <row r="112" spans="1:10" x14ac:dyDescent="0.25">
      <c r="A112" s="1">
        <v>38880</v>
      </c>
      <c r="B112">
        <v>6.2003500000000003</v>
      </c>
      <c r="C112">
        <v>6.5049999999999999</v>
      </c>
      <c r="D112">
        <f>WEEKDAY(A112,14)</f>
        <v>5</v>
      </c>
      <c r="E112">
        <f t="shared" si="4"/>
        <v>0.05</v>
      </c>
      <c r="F112">
        <f t="shared" si="5"/>
        <v>3</v>
      </c>
      <c r="G112">
        <f>IF(F112&gt;F111,G111+B112*E112,B112*E112)</f>
        <v>0.31001750000000006</v>
      </c>
      <c r="H112">
        <f t="shared" si="6"/>
        <v>0.05</v>
      </c>
      <c r="I112">
        <f t="shared" si="7"/>
        <v>0</v>
      </c>
      <c r="J112">
        <f>IF(I111=0,0,C111-I111)</f>
        <v>0</v>
      </c>
    </row>
    <row r="113" spans="1:10" x14ac:dyDescent="0.25">
      <c r="A113" s="1">
        <v>38881</v>
      </c>
      <c r="B113">
        <v>6.1862199999999996</v>
      </c>
      <c r="C113">
        <v>6.5049999999999999</v>
      </c>
      <c r="D113">
        <f>WEEKDAY(A113,14)</f>
        <v>6</v>
      </c>
      <c r="E113">
        <f t="shared" si="4"/>
        <v>0.7</v>
      </c>
      <c r="F113">
        <f t="shared" si="5"/>
        <v>4</v>
      </c>
      <c r="G113">
        <f>IF(F113&gt;F112,G112+B113*E113,B113*E113)</f>
        <v>4.6403714999999996</v>
      </c>
      <c r="H113">
        <f t="shared" si="6"/>
        <v>0.75</v>
      </c>
      <c r="I113">
        <f t="shared" si="7"/>
        <v>0</v>
      </c>
      <c r="J113">
        <f>IF(I112=0,0,C112-I112)</f>
        <v>0</v>
      </c>
    </row>
    <row r="114" spans="1:10" x14ac:dyDescent="0.25">
      <c r="A114" s="1">
        <v>38882</v>
      </c>
      <c r="B114">
        <v>6.2729499999999998</v>
      </c>
      <c r="C114">
        <v>6.5049999999999999</v>
      </c>
      <c r="D114">
        <f>WEEKDAY(A114,14)</f>
        <v>7</v>
      </c>
      <c r="E114">
        <f t="shared" si="4"/>
        <v>0.25</v>
      </c>
      <c r="F114">
        <f t="shared" si="5"/>
        <v>5</v>
      </c>
      <c r="G114">
        <f>IF(F114&gt;F113,G113+B114*E114,B114*E114)</f>
        <v>6.2086089999999992</v>
      </c>
      <c r="H114">
        <f t="shared" si="6"/>
        <v>1</v>
      </c>
      <c r="I114">
        <f t="shared" si="7"/>
        <v>6.2086089999999992</v>
      </c>
      <c r="J114">
        <f>IF(I113=0,0,C113-I113)</f>
        <v>0</v>
      </c>
    </row>
    <row r="115" spans="1:10" x14ac:dyDescent="0.25">
      <c r="A115" s="1">
        <v>38883</v>
      </c>
      <c r="B115">
        <v>6.3143200000000004</v>
      </c>
      <c r="C115">
        <v>6.585</v>
      </c>
      <c r="D115">
        <f>WEEKDAY(A115,14)</f>
        <v>1</v>
      </c>
      <c r="E115">
        <f t="shared" si="4"/>
        <v>0</v>
      </c>
      <c r="F115">
        <f t="shared" si="5"/>
        <v>1</v>
      </c>
      <c r="G115">
        <f>IF(F115&gt;F114,G114+B115*E115,B115*E115)</f>
        <v>0</v>
      </c>
      <c r="H115">
        <f t="shared" si="6"/>
        <v>0</v>
      </c>
      <c r="I115">
        <f t="shared" si="7"/>
        <v>0</v>
      </c>
      <c r="J115">
        <f>IF(I114=0,0,C114-I114)</f>
        <v>0.29639100000000074</v>
      </c>
    </row>
    <row r="116" spans="1:10" x14ac:dyDescent="0.25">
      <c r="A116" s="1">
        <v>38884</v>
      </c>
      <c r="B116">
        <v>6.3351100000000002</v>
      </c>
      <c r="C116">
        <v>6.585</v>
      </c>
      <c r="D116">
        <f>WEEKDAY(A116,14)</f>
        <v>2</v>
      </c>
      <c r="E116">
        <f t="shared" si="4"/>
        <v>0</v>
      </c>
      <c r="F116">
        <f t="shared" si="5"/>
        <v>2</v>
      </c>
      <c r="G116">
        <f>IF(F116&gt;F115,G115+B116*E116,B116*E116)</f>
        <v>0</v>
      </c>
      <c r="H116">
        <f t="shared" si="6"/>
        <v>0</v>
      </c>
      <c r="I116">
        <f t="shared" si="7"/>
        <v>0</v>
      </c>
      <c r="J116">
        <f>IF(I115=0,0,C115-I115)</f>
        <v>0</v>
      </c>
    </row>
    <row r="117" spans="1:10" x14ac:dyDescent="0.25">
      <c r="A117" s="1">
        <v>38887</v>
      </c>
      <c r="B117">
        <v>6.3483599999999996</v>
      </c>
      <c r="C117">
        <v>6.585</v>
      </c>
      <c r="D117">
        <f>WEEKDAY(A117,14)</f>
        <v>5</v>
      </c>
      <c r="E117">
        <f t="shared" si="4"/>
        <v>0.05</v>
      </c>
      <c r="F117">
        <f t="shared" si="5"/>
        <v>3</v>
      </c>
      <c r="G117">
        <f>IF(F117&gt;F116,G116+B117*E117,B117*E117)</f>
        <v>0.31741799999999998</v>
      </c>
      <c r="H117">
        <f t="shared" si="6"/>
        <v>0.05</v>
      </c>
      <c r="I117">
        <f t="shared" si="7"/>
        <v>0</v>
      </c>
      <c r="J117">
        <f>IF(I116=0,0,C116-I116)</f>
        <v>0</v>
      </c>
    </row>
    <row r="118" spans="1:10" x14ac:dyDescent="0.25">
      <c r="A118" s="1">
        <v>38888</v>
      </c>
      <c r="B118">
        <v>6.3677200000000003</v>
      </c>
      <c r="C118">
        <v>6.585</v>
      </c>
      <c r="D118">
        <f>WEEKDAY(A118,14)</f>
        <v>6</v>
      </c>
      <c r="E118">
        <f t="shared" si="4"/>
        <v>0.7</v>
      </c>
      <c r="F118">
        <f t="shared" si="5"/>
        <v>4</v>
      </c>
      <c r="G118">
        <f>IF(F118&gt;F117,G117+B118*E118,B118*E118)</f>
        <v>4.7748219999999995</v>
      </c>
      <c r="H118">
        <f t="shared" si="6"/>
        <v>0.75</v>
      </c>
      <c r="I118">
        <f t="shared" si="7"/>
        <v>0</v>
      </c>
      <c r="J118">
        <f>IF(I117=0,0,C117-I117)</f>
        <v>0</v>
      </c>
    </row>
    <row r="119" spans="1:10" x14ac:dyDescent="0.25">
      <c r="A119" s="1">
        <v>38889</v>
      </c>
      <c r="B119">
        <v>6.3755699999999997</v>
      </c>
      <c r="C119">
        <v>6.585</v>
      </c>
      <c r="D119">
        <f>WEEKDAY(A119,14)</f>
        <v>7</v>
      </c>
      <c r="E119">
        <f t="shared" si="4"/>
        <v>0.25</v>
      </c>
      <c r="F119">
        <f t="shared" si="5"/>
        <v>5</v>
      </c>
      <c r="G119">
        <f>IF(F119&gt;F118,G118+B119*E119,B119*E119)</f>
        <v>6.3687144999999994</v>
      </c>
      <c r="H119">
        <f t="shared" si="6"/>
        <v>1</v>
      </c>
      <c r="I119">
        <f t="shared" si="7"/>
        <v>6.3687144999999994</v>
      </c>
      <c r="J119">
        <f>IF(I118=0,0,C118-I118)</f>
        <v>0</v>
      </c>
    </row>
    <row r="120" spans="1:10" x14ac:dyDescent="0.25">
      <c r="A120" s="1">
        <v>38890</v>
      </c>
      <c r="B120">
        <v>6.4195900000000004</v>
      </c>
      <c r="C120">
        <v>6.6550000000000002</v>
      </c>
      <c r="D120">
        <f>WEEKDAY(A120,14)</f>
        <v>1</v>
      </c>
      <c r="E120">
        <f t="shared" si="4"/>
        <v>0</v>
      </c>
      <c r="F120">
        <f t="shared" si="5"/>
        <v>1</v>
      </c>
      <c r="G120">
        <f>IF(F120&gt;F119,G119+B120*E120,B120*E120)</f>
        <v>0</v>
      </c>
      <c r="H120">
        <f t="shared" si="6"/>
        <v>0</v>
      </c>
      <c r="I120">
        <f t="shared" si="7"/>
        <v>0</v>
      </c>
      <c r="J120">
        <f>IF(I119=0,0,C119-I119)</f>
        <v>0.21628550000000057</v>
      </c>
    </row>
    <row r="121" spans="1:10" x14ac:dyDescent="0.25">
      <c r="A121" s="1">
        <v>38891</v>
      </c>
      <c r="B121">
        <v>6.4599599999999997</v>
      </c>
      <c r="C121">
        <v>6.6550000000000002</v>
      </c>
      <c r="D121">
        <f>WEEKDAY(A121,14)</f>
        <v>2</v>
      </c>
      <c r="E121">
        <f t="shared" si="4"/>
        <v>0</v>
      </c>
      <c r="F121">
        <f t="shared" si="5"/>
        <v>2</v>
      </c>
      <c r="G121">
        <f>IF(F121&gt;F120,G120+B121*E121,B121*E121)</f>
        <v>0</v>
      </c>
      <c r="H121">
        <f t="shared" si="6"/>
        <v>0</v>
      </c>
      <c r="I121">
        <f t="shared" si="7"/>
        <v>0</v>
      </c>
      <c r="J121">
        <f>IF(I120=0,0,C120-I120)</f>
        <v>0</v>
      </c>
    </row>
    <row r="122" spans="1:10" x14ac:dyDescent="0.25">
      <c r="A122" s="1">
        <v>38894</v>
      </c>
      <c r="B122">
        <v>6.48238</v>
      </c>
      <c r="C122">
        <v>6.6550000000000002</v>
      </c>
      <c r="D122">
        <f>WEEKDAY(A122,14)</f>
        <v>5</v>
      </c>
      <c r="E122">
        <f t="shared" si="4"/>
        <v>0.05</v>
      </c>
      <c r="F122">
        <f t="shared" si="5"/>
        <v>3</v>
      </c>
      <c r="G122">
        <f>IF(F122&gt;F121,G121+B122*E122,B122*E122)</f>
        <v>0.32411900000000005</v>
      </c>
      <c r="H122">
        <f t="shared" si="6"/>
        <v>0.05</v>
      </c>
      <c r="I122">
        <f t="shared" si="7"/>
        <v>0</v>
      </c>
      <c r="J122">
        <f>IF(I121=0,0,C121-I121)</f>
        <v>0</v>
      </c>
    </row>
    <row r="123" spans="1:10" x14ac:dyDescent="0.25">
      <c r="A123" s="1">
        <v>38895</v>
      </c>
      <c r="B123">
        <v>6.4487699999999997</v>
      </c>
      <c r="C123">
        <v>6.6550000000000002</v>
      </c>
      <c r="D123">
        <f>WEEKDAY(A123,14)</f>
        <v>6</v>
      </c>
      <c r="E123">
        <f t="shared" si="4"/>
        <v>0.7</v>
      </c>
      <c r="F123">
        <f t="shared" si="5"/>
        <v>4</v>
      </c>
      <c r="G123">
        <f>IF(F123&gt;F122,G122+B123*E123,B123*E123)</f>
        <v>4.8382579999999997</v>
      </c>
      <c r="H123">
        <f t="shared" si="6"/>
        <v>0.75</v>
      </c>
      <c r="I123">
        <f t="shared" si="7"/>
        <v>0</v>
      </c>
      <c r="J123">
        <f>IF(I122=0,0,C122-I122)</f>
        <v>0</v>
      </c>
    </row>
    <row r="124" spans="1:10" x14ac:dyDescent="0.25">
      <c r="A124" s="1">
        <v>38896</v>
      </c>
      <c r="B124">
        <v>6.4646600000000003</v>
      </c>
      <c r="C124">
        <v>6.6550000000000002</v>
      </c>
      <c r="D124">
        <f>WEEKDAY(A124,14)</f>
        <v>7</v>
      </c>
      <c r="E124">
        <f t="shared" si="4"/>
        <v>0.25</v>
      </c>
      <c r="F124">
        <f t="shared" si="5"/>
        <v>5</v>
      </c>
      <c r="G124">
        <f>IF(F124&gt;F123,G123+B124*E124,B124*E124)</f>
        <v>6.4544230000000002</v>
      </c>
      <c r="H124">
        <f t="shared" si="6"/>
        <v>1</v>
      </c>
      <c r="I124">
        <f t="shared" si="7"/>
        <v>6.4544230000000002</v>
      </c>
      <c r="J124">
        <f>IF(I123=0,0,C123-I123)</f>
        <v>0</v>
      </c>
    </row>
    <row r="125" spans="1:10" x14ac:dyDescent="0.25">
      <c r="A125" s="1">
        <v>38897</v>
      </c>
      <c r="B125">
        <v>6.4165099999999997</v>
      </c>
      <c r="C125">
        <v>6.665</v>
      </c>
      <c r="D125">
        <f>WEEKDAY(A125,14)</f>
        <v>1</v>
      </c>
      <c r="E125">
        <f t="shared" si="4"/>
        <v>0</v>
      </c>
      <c r="F125">
        <f t="shared" si="5"/>
        <v>1</v>
      </c>
      <c r="G125">
        <f>IF(F125&gt;F124,G124+B125*E125,B125*E125)</f>
        <v>0</v>
      </c>
      <c r="H125">
        <f t="shared" si="6"/>
        <v>0</v>
      </c>
      <c r="I125">
        <f t="shared" si="7"/>
        <v>0</v>
      </c>
      <c r="J125">
        <f>IF(I124=0,0,C124-I124)</f>
        <v>0.20057700000000001</v>
      </c>
    </row>
    <row r="126" spans="1:10" x14ac:dyDescent="0.25">
      <c r="A126" s="1">
        <v>38898</v>
      </c>
      <c r="B126">
        <v>6.3710500000000003</v>
      </c>
      <c r="C126">
        <v>6.665</v>
      </c>
      <c r="D126">
        <f>WEEKDAY(A126,14)</f>
        <v>2</v>
      </c>
      <c r="E126">
        <f t="shared" si="4"/>
        <v>0</v>
      </c>
      <c r="F126">
        <f t="shared" si="5"/>
        <v>2</v>
      </c>
      <c r="G126">
        <f>IF(F126&gt;F125,G125+B126*E126,B126*E126)</f>
        <v>0</v>
      </c>
      <c r="H126">
        <f t="shared" si="6"/>
        <v>0</v>
      </c>
      <c r="I126">
        <f t="shared" si="7"/>
        <v>0</v>
      </c>
      <c r="J126">
        <f>IF(I125=0,0,C125-I125)</f>
        <v>0</v>
      </c>
    </row>
    <row r="127" spans="1:10" x14ac:dyDescent="0.25">
      <c r="A127" s="1">
        <v>38901</v>
      </c>
      <c r="B127">
        <v>6.3933999999999997</v>
      </c>
      <c r="C127">
        <v>6.665</v>
      </c>
      <c r="D127">
        <f>WEEKDAY(A127,14)</f>
        <v>5</v>
      </c>
      <c r="E127">
        <f t="shared" si="4"/>
        <v>0.05</v>
      </c>
      <c r="F127">
        <f t="shared" si="5"/>
        <v>3</v>
      </c>
      <c r="G127">
        <f>IF(F127&gt;F126,G126+B127*E127,B127*E127)</f>
        <v>0.31967000000000001</v>
      </c>
      <c r="H127">
        <f t="shared" si="6"/>
        <v>0.05</v>
      </c>
      <c r="I127">
        <f t="shared" si="7"/>
        <v>0</v>
      </c>
      <c r="J127">
        <f>IF(I126=0,0,C126-I126)</f>
        <v>0</v>
      </c>
    </row>
    <row r="128" spans="1:10" x14ac:dyDescent="0.25">
      <c r="A128" s="1">
        <v>38903</v>
      </c>
      <c r="B128">
        <v>6.4616400000000001</v>
      </c>
      <c r="C128">
        <v>6.665</v>
      </c>
      <c r="D128">
        <f>WEEKDAY(A128,14)</f>
        <v>7</v>
      </c>
      <c r="E128">
        <f t="shared" si="4"/>
        <v>0.25</v>
      </c>
      <c r="F128">
        <f t="shared" si="5"/>
        <v>4</v>
      </c>
      <c r="G128">
        <f>IF(F128&gt;F127,G127+B128*E128,B128*E128)</f>
        <v>1.9350800000000001</v>
      </c>
      <c r="H128">
        <f t="shared" si="6"/>
        <v>0.3</v>
      </c>
      <c r="I128">
        <f t="shared" si="7"/>
        <v>6.4502666666666677</v>
      </c>
      <c r="J128">
        <f>IF(I127=0,0,C127-I127)</f>
        <v>0</v>
      </c>
    </row>
    <row r="129" spans="1:10" x14ac:dyDescent="0.25">
      <c r="A129" s="1">
        <v>38904</v>
      </c>
      <c r="B129">
        <v>6.4276799999999996</v>
      </c>
      <c r="C129">
        <v>6.64</v>
      </c>
      <c r="D129">
        <f>WEEKDAY(A129,14)</f>
        <v>1</v>
      </c>
      <c r="E129">
        <f t="shared" si="4"/>
        <v>0</v>
      </c>
      <c r="F129">
        <f t="shared" si="5"/>
        <v>1</v>
      </c>
      <c r="G129">
        <f>IF(F129&gt;F128,G128+B129*E129,B129*E129)</f>
        <v>0</v>
      </c>
      <c r="H129">
        <f t="shared" si="6"/>
        <v>0</v>
      </c>
      <c r="I129">
        <f t="shared" si="7"/>
        <v>0</v>
      </c>
      <c r="J129">
        <f>IF(I128=0,0,C128-I128)</f>
        <v>0.21473333333333233</v>
      </c>
    </row>
    <row r="130" spans="1:10" x14ac:dyDescent="0.25">
      <c r="A130" s="1">
        <v>38905</v>
      </c>
      <c r="B130">
        <v>6.3772799999999998</v>
      </c>
      <c r="C130">
        <v>6.64</v>
      </c>
      <c r="D130">
        <f>WEEKDAY(A130,14)</f>
        <v>2</v>
      </c>
      <c r="E130">
        <f t="shared" si="4"/>
        <v>0</v>
      </c>
      <c r="F130">
        <f t="shared" si="5"/>
        <v>2</v>
      </c>
      <c r="G130">
        <f>IF(F130&gt;F129,G129+B130*E130,B130*E130)</f>
        <v>0</v>
      </c>
      <c r="H130">
        <f t="shared" si="6"/>
        <v>0</v>
      </c>
      <c r="I130">
        <f t="shared" si="7"/>
        <v>0</v>
      </c>
      <c r="J130">
        <f>IF(I129=0,0,C129-I129)</f>
        <v>0</v>
      </c>
    </row>
    <row r="131" spans="1:10" x14ac:dyDescent="0.25">
      <c r="A131" s="1">
        <v>38908</v>
      </c>
      <c r="B131">
        <v>6.3762600000000003</v>
      </c>
      <c r="C131">
        <v>6.64</v>
      </c>
      <c r="D131">
        <f>WEEKDAY(A131,14)</f>
        <v>5</v>
      </c>
      <c r="E131">
        <f t="shared" ref="E131:E194" si="8">VLOOKUP(D131,M$2:N$8,2,FALSE)</f>
        <v>0.05</v>
      </c>
      <c r="F131">
        <f t="shared" ref="F131:F194" si="9">IF(AND(D131&gt;D130,F130&lt;6),F130+1,1)</f>
        <v>3</v>
      </c>
      <c r="G131">
        <f>IF(F131&gt;F130,G130+B131*E131,B131*E131)</f>
        <v>0.31881300000000001</v>
      </c>
      <c r="H131">
        <f t="shared" si="6"/>
        <v>0.05</v>
      </c>
      <c r="I131">
        <f t="shared" si="7"/>
        <v>0</v>
      </c>
      <c r="J131">
        <f>IF(I130=0,0,C130-I130)</f>
        <v>0</v>
      </c>
    </row>
    <row r="132" spans="1:10" x14ac:dyDescent="0.25">
      <c r="A132" s="1">
        <v>38909</v>
      </c>
      <c r="B132">
        <v>6.3572600000000001</v>
      </c>
      <c r="C132">
        <v>6.64</v>
      </c>
      <c r="D132">
        <f>WEEKDAY(A132,14)</f>
        <v>6</v>
      </c>
      <c r="E132">
        <f t="shared" si="8"/>
        <v>0.7</v>
      </c>
      <c r="F132">
        <f t="shared" si="9"/>
        <v>4</v>
      </c>
      <c r="G132">
        <f>IF(F132&gt;F131,G131+B132*E132,B132*E132)</f>
        <v>4.7688950000000006</v>
      </c>
      <c r="H132">
        <f t="shared" ref="H132:H195" si="10">IF(AND(F132&lt;6,F132&gt;F131),E132+H131,E132)</f>
        <v>0.75</v>
      </c>
      <c r="I132">
        <f t="shared" ref="I132:I195" si="11">IF(F132&gt;F133,G132/H132,0)</f>
        <v>0</v>
      </c>
      <c r="J132">
        <f>IF(I131=0,0,C131-I131)</f>
        <v>0</v>
      </c>
    </row>
    <row r="133" spans="1:10" x14ac:dyDescent="0.25">
      <c r="A133" s="1">
        <v>38910</v>
      </c>
      <c r="B133">
        <v>6.3530600000000002</v>
      </c>
      <c r="C133">
        <v>6.64</v>
      </c>
      <c r="D133">
        <f>WEEKDAY(A133,14)</f>
        <v>7</v>
      </c>
      <c r="E133">
        <f t="shared" si="8"/>
        <v>0.25</v>
      </c>
      <c r="F133">
        <f t="shared" si="9"/>
        <v>5</v>
      </c>
      <c r="G133">
        <f>IF(F133&gt;F132,G132+B133*E133,B133*E133)</f>
        <v>6.3571600000000004</v>
      </c>
      <c r="H133">
        <f t="shared" si="10"/>
        <v>1</v>
      </c>
      <c r="I133">
        <f t="shared" si="11"/>
        <v>6.3571600000000004</v>
      </c>
      <c r="J133">
        <f>IF(I132=0,0,C132-I132)</f>
        <v>0</v>
      </c>
    </row>
    <row r="134" spans="1:10" x14ac:dyDescent="0.25">
      <c r="A134" s="1">
        <v>38911</v>
      </c>
      <c r="B134">
        <v>6.3382100000000001</v>
      </c>
      <c r="C134">
        <v>6.6749999999999998</v>
      </c>
      <c r="D134">
        <f>WEEKDAY(A134,14)</f>
        <v>1</v>
      </c>
      <c r="E134">
        <f t="shared" si="8"/>
        <v>0</v>
      </c>
      <c r="F134">
        <f t="shared" si="9"/>
        <v>1</v>
      </c>
      <c r="G134">
        <f>IF(F134&gt;F133,G133+B134*E134,B134*E134)</f>
        <v>0</v>
      </c>
      <c r="H134">
        <f t="shared" si="10"/>
        <v>0</v>
      </c>
      <c r="I134">
        <f t="shared" si="11"/>
        <v>0</v>
      </c>
      <c r="J134">
        <f>IF(I133=0,0,C133-I133)</f>
        <v>0.28283999999999931</v>
      </c>
    </row>
    <row r="135" spans="1:10" x14ac:dyDescent="0.25">
      <c r="A135" s="1">
        <v>38912</v>
      </c>
      <c r="B135">
        <v>6.3309300000000004</v>
      </c>
      <c r="C135">
        <v>6.6749999999999998</v>
      </c>
      <c r="D135">
        <f>WEEKDAY(A135,14)</f>
        <v>2</v>
      </c>
      <c r="E135">
        <f t="shared" si="8"/>
        <v>0</v>
      </c>
      <c r="F135">
        <f t="shared" si="9"/>
        <v>2</v>
      </c>
      <c r="G135">
        <f>IF(F135&gt;F134,G134+B135*E135,B135*E135)</f>
        <v>0</v>
      </c>
      <c r="H135">
        <f t="shared" si="10"/>
        <v>0</v>
      </c>
      <c r="I135">
        <f t="shared" si="11"/>
        <v>0</v>
      </c>
      <c r="J135">
        <f>IF(I134=0,0,C134-I134)</f>
        <v>0</v>
      </c>
    </row>
    <row r="136" spans="1:10" x14ac:dyDescent="0.25">
      <c r="A136" s="1">
        <v>38915</v>
      </c>
      <c r="B136">
        <v>6.3384400000000003</v>
      </c>
      <c r="C136">
        <v>6.6749999999999998</v>
      </c>
      <c r="D136">
        <f>WEEKDAY(A136,14)</f>
        <v>5</v>
      </c>
      <c r="E136">
        <f t="shared" si="8"/>
        <v>0.05</v>
      </c>
      <c r="F136">
        <f t="shared" si="9"/>
        <v>3</v>
      </c>
      <c r="G136">
        <f>IF(F136&gt;F135,G135+B136*E136,B136*E136)</f>
        <v>0.31692200000000004</v>
      </c>
      <c r="H136">
        <f t="shared" si="10"/>
        <v>0.05</v>
      </c>
      <c r="I136">
        <f t="shared" si="11"/>
        <v>0</v>
      </c>
      <c r="J136">
        <f>IF(I135=0,0,C135-I135)</f>
        <v>0</v>
      </c>
    </row>
    <row r="137" spans="1:10" x14ac:dyDescent="0.25">
      <c r="A137" s="1">
        <v>38916</v>
      </c>
      <c r="B137">
        <v>6.3852399999999996</v>
      </c>
      <c r="C137">
        <v>6.6749999999999998</v>
      </c>
      <c r="D137">
        <f>WEEKDAY(A137,14)</f>
        <v>6</v>
      </c>
      <c r="E137">
        <f t="shared" si="8"/>
        <v>0.7</v>
      </c>
      <c r="F137">
        <f t="shared" si="9"/>
        <v>4</v>
      </c>
      <c r="G137">
        <f>IF(F137&gt;F136,G136+B137*E137,B137*E137)</f>
        <v>4.7865899999999995</v>
      </c>
      <c r="H137">
        <f t="shared" si="10"/>
        <v>0.75</v>
      </c>
      <c r="I137">
        <f t="shared" si="11"/>
        <v>0</v>
      </c>
      <c r="J137">
        <f>IF(I136=0,0,C136-I136)</f>
        <v>0</v>
      </c>
    </row>
    <row r="138" spans="1:10" x14ac:dyDescent="0.25">
      <c r="A138" s="1">
        <v>38917</v>
      </c>
      <c r="B138">
        <v>6.30891</v>
      </c>
      <c r="C138">
        <v>6.6749999999999998</v>
      </c>
      <c r="D138">
        <f>WEEKDAY(A138,14)</f>
        <v>7</v>
      </c>
      <c r="E138">
        <f t="shared" si="8"/>
        <v>0.25</v>
      </c>
      <c r="F138">
        <f t="shared" si="9"/>
        <v>5</v>
      </c>
      <c r="G138">
        <f>IF(F138&gt;F137,G137+B138*E138,B138*E138)</f>
        <v>6.3638174999999997</v>
      </c>
      <c r="H138">
        <f t="shared" si="10"/>
        <v>1</v>
      </c>
      <c r="I138">
        <f t="shared" si="11"/>
        <v>6.3638174999999997</v>
      </c>
      <c r="J138">
        <f>IF(I137=0,0,C137-I137)</f>
        <v>0</v>
      </c>
    </row>
    <row r="139" spans="1:10" x14ac:dyDescent="0.25">
      <c r="A139" s="1">
        <v>38918</v>
      </c>
      <c r="B139">
        <v>6.2619800000000003</v>
      </c>
      <c r="C139">
        <v>6.5449999999999999</v>
      </c>
      <c r="D139">
        <f>WEEKDAY(A139,14)</f>
        <v>1</v>
      </c>
      <c r="E139">
        <f t="shared" si="8"/>
        <v>0</v>
      </c>
      <c r="F139">
        <f t="shared" si="9"/>
        <v>1</v>
      </c>
      <c r="G139">
        <f>IF(F139&gt;F138,G138+B139*E139,B139*E139)</f>
        <v>0</v>
      </c>
      <c r="H139">
        <f t="shared" si="10"/>
        <v>0</v>
      </c>
      <c r="I139">
        <f t="shared" si="11"/>
        <v>0</v>
      </c>
      <c r="J139">
        <f>IF(I138=0,0,C138-I138)</f>
        <v>0.31118250000000014</v>
      </c>
    </row>
    <row r="140" spans="1:10" x14ac:dyDescent="0.25">
      <c r="A140" s="1">
        <v>38919</v>
      </c>
      <c r="B140">
        <v>6.2692600000000001</v>
      </c>
      <c r="C140">
        <v>6.5449999999999999</v>
      </c>
      <c r="D140">
        <f>WEEKDAY(A140,14)</f>
        <v>2</v>
      </c>
      <c r="E140">
        <f t="shared" si="8"/>
        <v>0</v>
      </c>
      <c r="F140">
        <f t="shared" si="9"/>
        <v>2</v>
      </c>
      <c r="G140">
        <f>IF(F140&gt;F139,G139+B140*E140,B140*E140)</f>
        <v>0</v>
      </c>
      <c r="H140">
        <f t="shared" si="10"/>
        <v>0</v>
      </c>
      <c r="I140">
        <f t="shared" si="11"/>
        <v>0</v>
      </c>
      <c r="J140">
        <f>IF(I139=0,0,C139-I139)</f>
        <v>0</v>
      </c>
    </row>
    <row r="141" spans="1:10" x14ac:dyDescent="0.25">
      <c r="A141" s="1">
        <v>38922</v>
      </c>
      <c r="B141">
        <v>6.2682700000000002</v>
      </c>
      <c r="C141">
        <v>6.5449999999999999</v>
      </c>
      <c r="D141">
        <f>WEEKDAY(A141,14)</f>
        <v>5</v>
      </c>
      <c r="E141">
        <f t="shared" si="8"/>
        <v>0.05</v>
      </c>
      <c r="F141">
        <f t="shared" si="9"/>
        <v>3</v>
      </c>
      <c r="G141">
        <f>IF(F141&gt;F140,G140+B141*E141,B141*E141)</f>
        <v>0.31341350000000001</v>
      </c>
      <c r="H141">
        <f t="shared" si="10"/>
        <v>0.05</v>
      </c>
      <c r="I141">
        <f t="shared" si="11"/>
        <v>0</v>
      </c>
      <c r="J141">
        <f>IF(I140=0,0,C140-I140)</f>
        <v>0</v>
      </c>
    </row>
    <row r="142" spans="1:10" x14ac:dyDescent="0.25">
      <c r="A142" s="1">
        <v>38923</v>
      </c>
      <c r="B142">
        <v>6.2874499999999998</v>
      </c>
      <c r="C142">
        <v>6.5449999999999999</v>
      </c>
      <c r="D142">
        <f>WEEKDAY(A142,14)</f>
        <v>6</v>
      </c>
      <c r="E142">
        <f t="shared" si="8"/>
        <v>0.7</v>
      </c>
      <c r="F142">
        <f t="shared" si="9"/>
        <v>4</v>
      </c>
      <c r="G142">
        <f>IF(F142&gt;F141,G141+B142*E142,B142*E142)</f>
        <v>4.7146284999999999</v>
      </c>
      <c r="H142">
        <f t="shared" si="10"/>
        <v>0.75</v>
      </c>
      <c r="I142">
        <f t="shared" si="11"/>
        <v>0</v>
      </c>
      <c r="J142">
        <f>IF(I141=0,0,C141-I141)</f>
        <v>0</v>
      </c>
    </row>
    <row r="143" spans="1:10" x14ac:dyDescent="0.25">
      <c r="A143" s="1">
        <v>38924</v>
      </c>
      <c r="B143">
        <v>6.2465900000000003</v>
      </c>
      <c r="C143">
        <v>6.5449999999999999</v>
      </c>
      <c r="D143">
        <f>WEEKDAY(A143,14)</f>
        <v>7</v>
      </c>
      <c r="E143">
        <f t="shared" si="8"/>
        <v>0.25</v>
      </c>
      <c r="F143">
        <f t="shared" si="9"/>
        <v>5</v>
      </c>
      <c r="G143">
        <f>IF(F143&gt;F142,G142+B143*E143,B143*E143)</f>
        <v>6.2762760000000002</v>
      </c>
      <c r="H143">
        <f t="shared" si="10"/>
        <v>1</v>
      </c>
      <c r="I143">
        <f t="shared" si="11"/>
        <v>6.2762760000000002</v>
      </c>
      <c r="J143">
        <f>IF(I142=0,0,C142-I142)</f>
        <v>0</v>
      </c>
    </row>
    <row r="144" spans="1:10" x14ac:dyDescent="0.25">
      <c r="A144" s="1">
        <v>38925</v>
      </c>
      <c r="B144">
        <v>6.2366099999999998</v>
      </c>
      <c r="C144">
        <v>6.4550000000000001</v>
      </c>
      <c r="D144">
        <f>WEEKDAY(A144,14)</f>
        <v>1</v>
      </c>
      <c r="E144">
        <f t="shared" si="8"/>
        <v>0</v>
      </c>
      <c r="F144">
        <f t="shared" si="9"/>
        <v>1</v>
      </c>
      <c r="G144">
        <f>IF(F144&gt;F143,G143+B144*E144,B144*E144)</f>
        <v>0</v>
      </c>
      <c r="H144">
        <f t="shared" si="10"/>
        <v>0</v>
      </c>
      <c r="I144">
        <f t="shared" si="11"/>
        <v>0</v>
      </c>
      <c r="J144">
        <f>IF(I143=0,0,C143-I143)</f>
        <v>0.26872399999999974</v>
      </c>
    </row>
    <row r="145" spans="1:10" x14ac:dyDescent="0.25">
      <c r="A145" s="1">
        <v>38926</v>
      </c>
      <c r="B145">
        <v>6.1639600000000003</v>
      </c>
      <c r="C145">
        <v>6.4550000000000001</v>
      </c>
      <c r="D145">
        <f>WEEKDAY(A145,14)</f>
        <v>2</v>
      </c>
      <c r="E145">
        <f t="shared" si="8"/>
        <v>0</v>
      </c>
      <c r="F145">
        <f t="shared" si="9"/>
        <v>2</v>
      </c>
      <c r="G145">
        <f>IF(F145&gt;F144,G144+B145*E145,B145*E145)</f>
        <v>0</v>
      </c>
      <c r="H145">
        <f t="shared" si="10"/>
        <v>0</v>
      </c>
      <c r="I145">
        <f t="shared" si="11"/>
        <v>0</v>
      </c>
      <c r="J145">
        <f>IF(I144=0,0,C144-I144)</f>
        <v>0</v>
      </c>
    </row>
    <row r="146" spans="1:10" x14ac:dyDescent="0.25">
      <c r="A146" s="1">
        <v>38929</v>
      </c>
      <c r="B146">
        <v>6.157</v>
      </c>
      <c r="C146">
        <v>6.4550000000000001</v>
      </c>
      <c r="D146">
        <f>WEEKDAY(A146,14)</f>
        <v>5</v>
      </c>
      <c r="E146">
        <f t="shared" si="8"/>
        <v>0.05</v>
      </c>
      <c r="F146">
        <f t="shared" si="9"/>
        <v>3</v>
      </c>
      <c r="G146">
        <f>IF(F146&gt;F145,G145+B146*E146,B146*E146)</f>
        <v>0.30785000000000001</v>
      </c>
      <c r="H146">
        <f t="shared" si="10"/>
        <v>0.05</v>
      </c>
      <c r="I146">
        <f t="shared" si="11"/>
        <v>0</v>
      </c>
      <c r="J146">
        <f>IF(I145=0,0,C145-I145)</f>
        <v>0</v>
      </c>
    </row>
    <row r="147" spans="1:10" x14ac:dyDescent="0.25">
      <c r="A147" s="1">
        <v>38930</v>
      </c>
      <c r="B147">
        <v>6.1477599999999999</v>
      </c>
      <c r="C147">
        <v>6.4550000000000001</v>
      </c>
      <c r="D147">
        <f>WEEKDAY(A147,14)</f>
        <v>6</v>
      </c>
      <c r="E147">
        <f t="shared" si="8"/>
        <v>0.7</v>
      </c>
      <c r="F147">
        <f t="shared" si="9"/>
        <v>4</v>
      </c>
      <c r="G147">
        <f>IF(F147&gt;F146,G146+B147*E147,B147*E147)</f>
        <v>4.6112820000000001</v>
      </c>
      <c r="H147">
        <f t="shared" si="10"/>
        <v>0.75</v>
      </c>
      <c r="I147">
        <f t="shared" si="11"/>
        <v>0</v>
      </c>
      <c r="J147">
        <f>IF(I146=0,0,C146-I146)</f>
        <v>0</v>
      </c>
    </row>
    <row r="148" spans="1:10" x14ac:dyDescent="0.25">
      <c r="A148" s="1">
        <v>38931</v>
      </c>
      <c r="B148">
        <v>6.1257000000000001</v>
      </c>
      <c r="C148">
        <v>6.4550000000000001</v>
      </c>
      <c r="D148">
        <f>WEEKDAY(A148,14)</f>
        <v>7</v>
      </c>
      <c r="E148">
        <f t="shared" si="8"/>
        <v>0.25</v>
      </c>
      <c r="F148">
        <f t="shared" si="9"/>
        <v>5</v>
      </c>
      <c r="G148">
        <f>IF(F148&gt;F147,G147+B148*E148,B148*E148)</f>
        <v>6.1427069999999997</v>
      </c>
      <c r="H148">
        <f t="shared" si="10"/>
        <v>1</v>
      </c>
      <c r="I148">
        <f t="shared" si="11"/>
        <v>6.1427069999999997</v>
      </c>
      <c r="J148">
        <f>IF(I147=0,0,C147-I147)</f>
        <v>0</v>
      </c>
    </row>
    <row r="149" spans="1:10" x14ac:dyDescent="0.25">
      <c r="A149" s="1">
        <v>38932</v>
      </c>
      <c r="B149">
        <v>6.14072</v>
      </c>
      <c r="C149">
        <v>6.4</v>
      </c>
      <c r="D149">
        <f>WEEKDAY(A149,14)</f>
        <v>1</v>
      </c>
      <c r="E149">
        <f t="shared" si="8"/>
        <v>0</v>
      </c>
      <c r="F149">
        <f t="shared" si="9"/>
        <v>1</v>
      </c>
      <c r="G149">
        <f>IF(F149&gt;F148,G148+B149*E149,B149*E149)</f>
        <v>0</v>
      </c>
      <c r="H149">
        <f t="shared" si="10"/>
        <v>0</v>
      </c>
      <c r="I149">
        <f t="shared" si="11"/>
        <v>0</v>
      </c>
      <c r="J149">
        <f>IF(I148=0,0,C148-I148)</f>
        <v>0.31229300000000038</v>
      </c>
    </row>
    <row r="150" spans="1:10" x14ac:dyDescent="0.25">
      <c r="A150" s="1">
        <v>38933</v>
      </c>
      <c r="B150">
        <v>6.0519999999999996</v>
      </c>
      <c r="C150">
        <v>6.4</v>
      </c>
      <c r="D150">
        <f>WEEKDAY(A150,14)</f>
        <v>2</v>
      </c>
      <c r="E150">
        <f t="shared" si="8"/>
        <v>0</v>
      </c>
      <c r="F150">
        <f t="shared" si="9"/>
        <v>2</v>
      </c>
      <c r="G150">
        <f>IF(F150&gt;F149,G149+B150*E150,B150*E150)</f>
        <v>0</v>
      </c>
      <c r="H150">
        <f t="shared" si="10"/>
        <v>0</v>
      </c>
      <c r="I150">
        <f t="shared" si="11"/>
        <v>0</v>
      </c>
      <c r="J150">
        <f>IF(I149=0,0,C149-I149)</f>
        <v>0</v>
      </c>
    </row>
    <row r="151" spans="1:10" x14ac:dyDescent="0.25">
      <c r="A151" s="1">
        <v>38936</v>
      </c>
      <c r="B151">
        <v>6.0902799999999999</v>
      </c>
      <c r="C151">
        <v>6.4</v>
      </c>
      <c r="D151">
        <f>WEEKDAY(A151,14)</f>
        <v>5</v>
      </c>
      <c r="E151">
        <f t="shared" si="8"/>
        <v>0.05</v>
      </c>
      <c r="F151">
        <f t="shared" si="9"/>
        <v>3</v>
      </c>
      <c r="G151">
        <f>IF(F151&gt;F150,G150+B151*E151,B151*E151)</f>
        <v>0.30451400000000001</v>
      </c>
      <c r="H151">
        <f t="shared" si="10"/>
        <v>0.05</v>
      </c>
      <c r="I151">
        <f t="shared" si="11"/>
        <v>0</v>
      </c>
      <c r="J151">
        <f>IF(I150=0,0,C150-I150)</f>
        <v>0</v>
      </c>
    </row>
    <row r="152" spans="1:10" x14ac:dyDescent="0.25">
      <c r="A152" s="1">
        <v>38937</v>
      </c>
      <c r="B152">
        <v>6.0644600000000004</v>
      </c>
      <c r="C152">
        <v>6.4</v>
      </c>
      <c r="D152">
        <f>WEEKDAY(A152,14)</f>
        <v>6</v>
      </c>
      <c r="E152">
        <f t="shared" si="8"/>
        <v>0.7</v>
      </c>
      <c r="F152">
        <f t="shared" si="9"/>
        <v>4</v>
      </c>
      <c r="G152">
        <f>IF(F152&gt;F151,G151+B152*E152,B152*E152)</f>
        <v>4.5496360000000005</v>
      </c>
      <c r="H152">
        <f t="shared" si="10"/>
        <v>0.75</v>
      </c>
      <c r="I152">
        <f t="shared" si="11"/>
        <v>0</v>
      </c>
      <c r="J152">
        <f>IF(I151=0,0,C151-I151)</f>
        <v>0</v>
      </c>
    </row>
    <row r="153" spans="1:10" x14ac:dyDescent="0.25">
      <c r="A153" s="1">
        <v>38938</v>
      </c>
      <c r="B153">
        <v>6.0604199999999997</v>
      </c>
      <c r="C153">
        <v>6.4</v>
      </c>
      <c r="D153">
        <f>WEEKDAY(A153,14)</f>
        <v>7</v>
      </c>
      <c r="E153">
        <f t="shared" si="8"/>
        <v>0.25</v>
      </c>
      <c r="F153">
        <f t="shared" si="9"/>
        <v>5</v>
      </c>
      <c r="G153">
        <f>IF(F153&gt;F152,G152+B153*E153,B153*E153)</f>
        <v>6.0647410000000006</v>
      </c>
      <c r="H153">
        <f t="shared" si="10"/>
        <v>1</v>
      </c>
      <c r="I153">
        <f t="shared" si="11"/>
        <v>6.0647410000000006</v>
      </c>
      <c r="J153">
        <f>IF(I152=0,0,C152-I152)</f>
        <v>0</v>
      </c>
    </row>
    <row r="154" spans="1:10" x14ac:dyDescent="0.25">
      <c r="A154" s="1">
        <v>38939</v>
      </c>
      <c r="B154">
        <v>6.0658799999999999</v>
      </c>
      <c r="C154">
        <v>6.3449999999999998</v>
      </c>
      <c r="D154">
        <f>WEEKDAY(A154,14)</f>
        <v>1</v>
      </c>
      <c r="E154">
        <f t="shared" si="8"/>
        <v>0</v>
      </c>
      <c r="F154">
        <f t="shared" si="9"/>
        <v>1</v>
      </c>
      <c r="G154">
        <f>IF(F154&gt;F153,G153+B154*E154,B154*E154)</f>
        <v>0</v>
      </c>
      <c r="H154">
        <f t="shared" si="10"/>
        <v>0</v>
      </c>
      <c r="I154">
        <f t="shared" si="11"/>
        <v>0</v>
      </c>
      <c r="J154">
        <f>IF(I153=0,0,C153-I153)</f>
        <v>0.33525899999999975</v>
      </c>
    </row>
    <row r="155" spans="1:10" x14ac:dyDescent="0.25">
      <c r="A155" s="1">
        <v>38940</v>
      </c>
      <c r="B155">
        <v>6.1082999999999998</v>
      </c>
      <c r="C155">
        <v>6.3449999999999998</v>
      </c>
      <c r="D155">
        <f>WEEKDAY(A155,14)</f>
        <v>2</v>
      </c>
      <c r="E155">
        <f t="shared" si="8"/>
        <v>0</v>
      </c>
      <c r="F155">
        <f t="shared" si="9"/>
        <v>2</v>
      </c>
      <c r="G155">
        <f>IF(F155&gt;F154,G154+B155*E155,B155*E155)</f>
        <v>0</v>
      </c>
      <c r="H155">
        <f t="shared" si="10"/>
        <v>0</v>
      </c>
      <c r="I155">
        <f t="shared" si="11"/>
        <v>0</v>
      </c>
      <c r="J155">
        <f>IF(I154=0,0,C154-I154)</f>
        <v>0</v>
      </c>
    </row>
    <row r="156" spans="1:10" x14ac:dyDescent="0.25">
      <c r="A156" s="1">
        <v>38943</v>
      </c>
      <c r="B156">
        <v>6.1548699999999998</v>
      </c>
      <c r="C156">
        <v>6.3449999999999998</v>
      </c>
      <c r="D156">
        <f>WEEKDAY(A156,14)</f>
        <v>5</v>
      </c>
      <c r="E156">
        <f t="shared" si="8"/>
        <v>0.05</v>
      </c>
      <c r="F156">
        <f t="shared" si="9"/>
        <v>3</v>
      </c>
      <c r="G156">
        <f>IF(F156&gt;F155,G155+B156*E156,B156*E156)</f>
        <v>0.3077435</v>
      </c>
      <c r="H156">
        <f t="shared" si="10"/>
        <v>0.05</v>
      </c>
      <c r="I156">
        <f t="shared" si="11"/>
        <v>0</v>
      </c>
      <c r="J156">
        <f>IF(I155=0,0,C155-I155)</f>
        <v>0</v>
      </c>
    </row>
    <row r="157" spans="1:10" x14ac:dyDescent="0.25">
      <c r="A157" s="1">
        <v>38944</v>
      </c>
      <c r="B157">
        <v>6.0566199999999997</v>
      </c>
      <c r="C157">
        <v>6.3449999999999998</v>
      </c>
      <c r="D157">
        <f>WEEKDAY(A157,14)</f>
        <v>6</v>
      </c>
      <c r="E157">
        <f t="shared" si="8"/>
        <v>0.7</v>
      </c>
      <c r="F157">
        <f t="shared" si="9"/>
        <v>4</v>
      </c>
      <c r="G157">
        <f>IF(F157&gt;F156,G156+B157*E157,B157*E157)</f>
        <v>4.5473774999999996</v>
      </c>
      <c r="H157">
        <f t="shared" si="10"/>
        <v>0.75</v>
      </c>
      <c r="I157">
        <f t="shared" si="11"/>
        <v>0</v>
      </c>
      <c r="J157">
        <f>IF(I156=0,0,C156-I156)</f>
        <v>0</v>
      </c>
    </row>
    <row r="158" spans="1:10" x14ac:dyDescent="0.25">
      <c r="A158" s="1">
        <v>38945</v>
      </c>
      <c r="B158">
        <v>5.9685199999999998</v>
      </c>
      <c r="C158">
        <v>6.3449999999999998</v>
      </c>
      <c r="D158">
        <f>WEEKDAY(A158,14)</f>
        <v>7</v>
      </c>
      <c r="E158">
        <f t="shared" si="8"/>
        <v>0.25</v>
      </c>
      <c r="F158">
        <f t="shared" si="9"/>
        <v>5</v>
      </c>
      <c r="G158">
        <f>IF(F158&gt;F157,G157+B158*E158,B158*E158)</f>
        <v>6.0395074999999991</v>
      </c>
      <c r="H158">
        <f t="shared" si="10"/>
        <v>1</v>
      </c>
      <c r="I158">
        <f t="shared" si="11"/>
        <v>6.0395074999999991</v>
      </c>
      <c r="J158">
        <f>IF(I157=0,0,C157-I157)</f>
        <v>0</v>
      </c>
    </row>
    <row r="159" spans="1:10" x14ac:dyDescent="0.25">
      <c r="A159" s="1">
        <v>38946</v>
      </c>
      <c r="B159">
        <v>5.9877500000000001</v>
      </c>
      <c r="C159">
        <v>6.33</v>
      </c>
      <c r="D159">
        <f>WEEKDAY(A159,14)</f>
        <v>1</v>
      </c>
      <c r="E159">
        <f t="shared" si="8"/>
        <v>0</v>
      </c>
      <c r="F159">
        <f t="shared" si="9"/>
        <v>1</v>
      </c>
      <c r="G159">
        <f>IF(F159&gt;F158,G158+B159*E159,B159*E159)</f>
        <v>0</v>
      </c>
      <c r="H159">
        <f t="shared" si="10"/>
        <v>0</v>
      </c>
      <c r="I159">
        <f t="shared" si="11"/>
        <v>0</v>
      </c>
      <c r="J159">
        <f>IF(I158=0,0,C158-I158)</f>
        <v>0.30549250000000061</v>
      </c>
    </row>
    <row r="160" spans="1:10" x14ac:dyDescent="0.25">
      <c r="A160" s="1">
        <v>38947</v>
      </c>
      <c r="B160">
        <v>5.9580200000000003</v>
      </c>
      <c r="C160">
        <v>6.33</v>
      </c>
      <c r="D160">
        <f>WEEKDAY(A160,14)</f>
        <v>2</v>
      </c>
      <c r="E160">
        <f t="shared" si="8"/>
        <v>0</v>
      </c>
      <c r="F160">
        <f t="shared" si="9"/>
        <v>2</v>
      </c>
      <c r="G160">
        <f>IF(F160&gt;F159,G159+B160*E160,B160*E160)</f>
        <v>0</v>
      </c>
      <c r="H160">
        <f t="shared" si="10"/>
        <v>0</v>
      </c>
      <c r="I160">
        <f t="shared" si="11"/>
        <v>0</v>
      </c>
      <c r="J160">
        <f>IF(I159=0,0,C159-I159)</f>
        <v>0</v>
      </c>
    </row>
    <row r="161" spans="1:10" x14ac:dyDescent="0.25">
      <c r="A161" s="1">
        <v>38950</v>
      </c>
      <c r="B161">
        <v>5.9786400000000004</v>
      </c>
      <c r="C161">
        <v>6.33</v>
      </c>
      <c r="D161">
        <f>WEEKDAY(A161,14)</f>
        <v>5</v>
      </c>
      <c r="E161">
        <f t="shared" si="8"/>
        <v>0.05</v>
      </c>
      <c r="F161">
        <f t="shared" si="9"/>
        <v>3</v>
      </c>
      <c r="G161">
        <f>IF(F161&gt;F160,G160+B161*E161,B161*E161)</f>
        <v>0.29893200000000003</v>
      </c>
      <c r="H161">
        <f t="shared" si="10"/>
        <v>0.05</v>
      </c>
      <c r="I161">
        <f t="shared" si="11"/>
        <v>0</v>
      </c>
      <c r="J161">
        <f>IF(I160=0,0,C160-I160)</f>
        <v>0</v>
      </c>
    </row>
    <row r="162" spans="1:10" x14ac:dyDescent="0.25">
      <c r="A162" s="1">
        <v>38951</v>
      </c>
      <c r="B162">
        <v>5.9617699999999996</v>
      </c>
      <c r="C162">
        <v>6.33</v>
      </c>
      <c r="D162">
        <f>WEEKDAY(A162,14)</f>
        <v>6</v>
      </c>
      <c r="E162">
        <f t="shared" si="8"/>
        <v>0.7</v>
      </c>
      <c r="F162">
        <f t="shared" si="9"/>
        <v>4</v>
      </c>
      <c r="G162">
        <f>IF(F162&gt;F161,G161+B162*E162,B162*E162)</f>
        <v>4.4721709999999995</v>
      </c>
      <c r="H162">
        <f t="shared" si="10"/>
        <v>0.75</v>
      </c>
      <c r="I162">
        <f t="shared" si="11"/>
        <v>0</v>
      </c>
      <c r="J162">
        <f>IF(I161=0,0,C161-I161)</f>
        <v>0</v>
      </c>
    </row>
    <row r="163" spans="1:10" x14ac:dyDescent="0.25">
      <c r="A163" s="1">
        <v>38952</v>
      </c>
      <c r="B163">
        <v>5.96807</v>
      </c>
      <c r="C163">
        <v>6.33</v>
      </c>
      <c r="D163">
        <f>WEEKDAY(A163,14)</f>
        <v>7</v>
      </c>
      <c r="E163">
        <f t="shared" si="8"/>
        <v>0.25</v>
      </c>
      <c r="F163">
        <f t="shared" si="9"/>
        <v>5</v>
      </c>
      <c r="G163">
        <f>IF(F163&gt;F162,G162+B163*E163,B163*E163)</f>
        <v>5.9641884999999997</v>
      </c>
      <c r="H163">
        <f t="shared" si="10"/>
        <v>1</v>
      </c>
      <c r="I163">
        <f t="shared" si="11"/>
        <v>5.9641884999999997</v>
      </c>
      <c r="J163">
        <f>IF(I162=0,0,C162-I162)</f>
        <v>0</v>
      </c>
    </row>
    <row r="164" spans="1:10" x14ac:dyDescent="0.25">
      <c r="A164" s="1">
        <v>38953</v>
      </c>
      <c r="B164">
        <v>5.9625399999999997</v>
      </c>
      <c r="C164">
        <v>6.29</v>
      </c>
      <c r="D164">
        <f>WEEKDAY(A164,14)</f>
        <v>1</v>
      </c>
      <c r="E164">
        <f t="shared" si="8"/>
        <v>0</v>
      </c>
      <c r="F164">
        <f t="shared" si="9"/>
        <v>1</v>
      </c>
      <c r="G164">
        <f>IF(F164&gt;F163,G163+B164*E164,B164*E164)</f>
        <v>0</v>
      </c>
      <c r="H164">
        <f t="shared" si="10"/>
        <v>0</v>
      </c>
      <c r="I164">
        <f t="shared" si="11"/>
        <v>0</v>
      </c>
      <c r="J164">
        <f>IF(I163=0,0,C163-I163)</f>
        <v>0.3658115000000004</v>
      </c>
    </row>
    <row r="165" spans="1:10" x14ac:dyDescent="0.25">
      <c r="A165" s="1">
        <v>38954</v>
      </c>
      <c r="B165">
        <v>5.9806699999999999</v>
      </c>
      <c r="C165">
        <v>6.29</v>
      </c>
      <c r="D165">
        <f>WEEKDAY(A165,14)</f>
        <v>2</v>
      </c>
      <c r="E165">
        <f t="shared" si="8"/>
        <v>0</v>
      </c>
      <c r="F165">
        <f t="shared" si="9"/>
        <v>2</v>
      </c>
      <c r="G165">
        <f>IF(F165&gt;F164,G164+B165*E165,B165*E165)</f>
        <v>0</v>
      </c>
      <c r="H165">
        <f t="shared" si="10"/>
        <v>0</v>
      </c>
      <c r="I165">
        <f t="shared" si="11"/>
        <v>0</v>
      </c>
      <c r="J165">
        <f>IF(I164=0,0,C164-I164)</f>
        <v>0</v>
      </c>
    </row>
    <row r="166" spans="1:10" x14ac:dyDescent="0.25">
      <c r="A166" s="1">
        <v>38957</v>
      </c>
      <c r="B166">
        <v>5.9642400000000002</v>
      </c>
      <c r="C166">
        <v>6.29</v>
      </c>
      <c r="D166">
        <f>WEEKDAY(A166,14)</f>
        <v>5</v>
      </c>
      <c r="E166">
        <f t="shared" si="8"/>
        <v>0.05</v>
      </c>
      <c r="F166">
        <f t="shared" si="9"/>
        <v>3</v>
      </c>
      <c r="G166">
        <f>IF(F166&gt;F165,G165+B166*E166,B166*E166)</f>
        <v>0.29821200000000003</v>
      </c>
      <c r="H166">
        <f t="shared" si="10"/>
        <v>0.05</v>
      </c>
      <c r="I166">
        <f t="shared" si="11"/>
        <v>0</v>
      </c>
      <c r="J166">
        <f>IF(I165=0,0,C165-I165)</f>
        <v>0</v>
      </c>
    </row>
    <row r="167" spans="1:10" x14ac:dyDescent="0.25">
      <c r="A167" s="1">
        <v>38958</v>
      </c>
      <c r="B167">
        <v>5.9525600000000001</v>
      </c>
      <c r="C167">
        <v>6.29</v>
      </c>
      <c r="D167">
        <f>WEEKDAY(A167,14)</f>
        <v>6</v>
      </c>
      <c r="E167">
        <f t="shared" si="8"/>
        <v>0.7</v>
      </c>
      <c r="F167">
        <f t="shared" si="9"/>
        <v>4</v>
      </c>
      <c r="G167">
        <f>IF(F167&gt;F166,G166+B167*E167,B167*E167)</f>
        <v>4.4650040000000004</v>
      </c>
      <c r="H167">
        <f t="shared" si="10"/>
        <v>0.75</v>
      </c>
      <c r="I167">
        <f t="shared" si="11"/>
        <v>0</v>
      </c>
      <c r="J167">
        <f>IF(I166=0,0,C166-I166)</f>
        <v>0</v>
      </c>
    </row>
    <row r="168" spans="1:10" x14ac:dyDescent="0.25">
      <c r="A168" s="1">
        <v>38959</v>
      </c>
      <c r="B168">
        <v>5.9701899999999997</v>
      </c>
      <c r="C168">
        <v>6.29</v>
      </c>
      <c r="D168">
        <f>WEEKDAY(A168,14)</f>
        <v>7</v>
      </c>
      <c r="E168">
        <f t="shared" si="8"/>
        <v>0.25</v>
      </c>
      <c r="F168">
        <f t="shared" si="9"/>
        <v>5</v>
      </c>
      <c r="G168">
        <f>IF(F168&gt;F167,G167+B168*E168,B168*E168)</f>
        <v>5.9575515000000001</v>
      </c>
      <c r="H168">
        <f t="shared" si="10"/>
        <v>1</v>
      </c>
      <c r="I168">
        <f t="shared" si="11"/>
        <v>5.9575515000000001</v>
      </c>
      <c r="J168">
        <f>IF(I167=0,0,C167-I167)</f>
        <v>0</v>
      </c>
    </row>
    <row r="169" spans="1:10" x14ac:dyDescent="0.25">
      <c r="A169" s="1">
        <v>38960</v>
      </c>
      <c r="B169">
        <v>5.94217</v>
      </c>
      <c r="C169">
        <v>6.32</v>
      </c>
      <c r="D169">
        <f>WEEKDAY(A169,14)</f>
        <v>1</v>
      </c>
      <c r="E169">
        <f t="shared" si="8"/>
        <v>0</v>
      </c>
      <c r="F169">
        <f t="shared" si="9"/>
        <v>1</v>
      </c>
      <c r="G169">
        <f>IF(F169&gt;F168,G168+B169*E169,B169*E169)</f>
        <v>0</v>
      </c>
      <c r="H169">
        <f t="shared" si="10"/>
        <v>0</v>
      </c>
      <c r="I169">
        <f t="shared" si="11"/>
        <v>0</v>
      </c>
      <c r="J169">
        <f>IF(I168=0,0,C168-I168)</f>
        <v>0.33244849999999992</v>
      </c>
    </row>
    <row r="170" spans="1:10" x14ac:dyDescent="0.25">
      <c r="A170" s="1">
        <v>38961</v>
      </c>
      <c r="B170">
        <v>5.9284400000000002</v>
      </c>
      <c r="C170">
        <v>6.32</v>
      </c>
      <c r="D170">
        <f>WEEKDAY(A170,14)</f>
        <v>2</v>
      </c>
      <c r="E170">
        <f t="shared" si="8"/>
        <v>0</v>
      </c>
      <c r="F170">
        <f t="shared" si="9"/>
        <v>2</v>
      </c>
      <c r="G170">
        <f>IF(F170&gt;F169,G169+B170*E170,B170*E170)</f>
        <v>0</v>
      </c>
      <c r="H170">
        <f t="shared" si="10"/>
        <v>0</v>
      </c>
      <c r="I170">
        <f t="shared" si="11"/>
        <v>0</v>
      </c>
      <c r="J170">
        <f>IF(I169=0,0,C169-I169)</f>
        <v>0</v>
      </c>
    </row>
    <row r="171" spans="1:10" x14ac:dyDescent="0.25">
      <c r="A171" s="1">
        <v>38965</v>
      </c>
      <c r="B171">
        <v>5.9608400000000001</v>
      </c>
      <c r="C171">
        <v>6.32</v>
      </c>
      <c r="D171">
        <f>WEEKDAY(A171,14)</f>
        <v>6</v>
      </c>
      <c r="E171">
        <f t="shared" si="8"/>
        <v>0.7</v>
      </c>
      <c r="F171">
        <f t="shared" si="9"/>
        <v>3</v>
      </c>
      <c r="G171">
        <f>IF(F171&gt;F170,G170+B171*E171,B171*E171)</f>
        <v>4.1725880000000002</v>
      </c>
      <c r="H171">
        <f t="shared" si="10"/>
        <v>0.7</v>
      </c>
      <c r="I171">
        <f t="shared" si="11"/>
        <v>0</v>
      </c>
      <c r="J171">
        <f>IF(I170=0,0,C170-I170)</f>
        <v>0</v>
      </c>
    </row>
    <row r="172" spans="1:10" x14ac:dyDescent="0.25">
      <c r="A172" s="1">
        <v>38966</v>
      </c>
      <c r="B172">
        <v>5.9686399999999997</v>
      </c>
      <c r="C172">
        <v>6.32</v>
      </c>
      <c r="D172">
        <f>WEEKDAY(A172,14)</f>
        <v>7</v>
      </c>
      <c r="E172">
        <f t="shared" si="8"/>
        <v>0.25</v>
      </c>
      <c r="F172">
        <f t="shared" si="9"/>
        <v>4</v>
      </c>
      <c r="G172">
        <f>IF(F172&gt;F171,G171+B172*E172,B172*E172)</f>
        <v>5.6647480000000003</v>
      </c>
      <c r="H172">
        <f t="shared" si="10"/>
        <v>0.95</v>
      </c>
      <c r="I172">
        <f t="shared" si="11"/>
        <v>5.9628926315789483</v>
      </c>
      <c r="J172">
        <f>IF(I171=0,0,C171-I171)</f>
        <v>0</v>
      </c>
    </row>
    <row r="173" spans="1:10" x14ac:dyDescent="0.25">
      <c r="A173" s="1">
        <v>38967</v>
      </c>
      <c r="B173">
        <v>5.95526</v>
      </c>
      <c r="C173">
        <v>6.3049999999999997</v>
      </c>
      <c r="D173">
        <f>WEEKDAY(A173,14)</f>
        <v>1</v>
      </c>
      <c r="E173">
        <f t="shared" si="8"/>
        <v>0</v>
      </c>
      <c r="F173">
        <f t="shared" si="9"/>
        <v>1</v>
      </c>
      <c r="G173">
        <f>IF(F173&gt;F172,G172+B173*E173,B173*E173)</f>
        <v>0</v>
      </c>
      <c r="H173">
        <f t="shared" si="10"/>
        <v>0</v>
      </c>
      <c r="I173">
        <f t="shared" si="11"/>
        <v>0</v>
      </c>
      <c r="J173">
        <f>IF(I172=0,0,C172-I172)</f>
        <v>0.35710736842105195</v>
      </c>
    </row>
    <row r="174" spans="1:10" x14ac:dyDescent="0.25">
      <c r="A174" s="1">
        <v>38968</v>
      </c>
      <c r="B174">
        <v>5.9333799999999997</v>
      </c>
      <c r="C174">
        <v>6.3049999999999997</v>
      </c>
      <c r="D174">
        <f>WEEKDAY(A174,14)</f>
        <v>2</v>
      </c>
      <c r="E174">
        <f t="shared" si="8"/>
        <v>0</v>
      </c>
      <c r="F174">
        <f t="shared" si="9"/>
        <v>2</v>
      </c>
      <c r="G174">
        <f>IF(F174&gt;F173,G173+B174*E174,B174*E174)</f>
        <v>0</v>
      </c>
      <c r="H174">
        <f t="shared" si="10"/>
        <v>0</v>
      </c>
      <c r="I174">
        <f t="shared" si="11"/>
        <v>0</v>
      </c>
      <c r="J174">
        <f>IF(I173=0,0,C173-I173)</f>
        <v>0</v>
      </c>
    </row>
    <row r="175" spans="1:10" x14ac:dyDescent="0.25">
      <c r="A175" s="1">
        <v>38971</v>
      </c>
      <c r="B175">
        <v>5.9589800000000004</v>
      </c>
      <c r="C175">
        <v>6.3049999999999997</v>
      </c>
      <c r="D175">
        <f>WEEKDAY(A175,14)</f>
        <v>5</v>
      </c>
      <c r="E175">
        <f t="shared" si="8"/>
        <v>0.05</v>
      </c>
      <c r="F175">
        <f t="shared" si="9"/>
        <v>3</v>
      </c>
      <c r="G175">
        <f>IF(F175&gt;F174,G174+B175*E175,B175*E175)</f>
        <v>0.29794900000000002</v>
      </c>
      <c r="H175">
        <f t="shared" si="10"/>
        <v>0.05</v>
      </c>
      <c r="I175">
        <f t="shared" si="11"/>
        <v>0</v>
      </c>
      <c r="J175">
        <f>IF(I174=0,0,C174-I174)</f>
        <v>0</v>
      </c>
    </row>
    <row r="176" spans="1:10" x14ac:dyDescent="0.25">
      <c r="A176" s="1">
        <v>38972</v>
      </c>
      <c r="B176">
        <v>5.9401700000000002</v>
      </c>
      <c r="C176">
        <v>6.3049999999999997</v>
      </c>
      <c r="D176">
        <f>WEEKDAY(A176,14)</f>
        <v>6</v>
      </c>
      <c r="E176">
        <f t="shared" si="8"/>
        <v>0.7</v>
      </c>
      <c r="F176">
        <f t="shared" si="9"/>
        <v>4</v>
      </c>
      <c r="G176">
        <f>IF(F176&gt;F175,G175+B176*E176,B176*E176)</f>
        <v>4.4560680000000001</v>
      </c>
      <c r="H176">
        <f t="shared" si="10"/>
        <v>0.75</v>
      </c>
      <c r="I176">
        <f t="shared" si="11"/>
        <v>0</v>
      </c>
      <c r="J176">
        <f>IF(I175=0,0,C175-I175)</f>
        <v>0</v>
      </c>
    </row>
    <row r="177" spans="1:10" x14ac:dyDescent="0.25">
      <c r="A177" s="1">
        <v>38973</v>
      </c>
      <c r="B177">
        <v>5.9405599999999996</v>
      </c>
      <c r="C177">
        <v>6.3049999999999997</v>
      </c>
      <c r="D177">
        <f>WEEKDAY(A177,14)</f>
        <v>7</v>
      </c>
      <c r="E177">
        <f t="shared" si="8"/>
        <v>0.25</v>
      </c>
      <c r="F177">
        <f t="shared" si="9"/>
        <v>5</v>
      </c>
      <c r="G177">
        <f>IF(F177&gt;F176,G176+B177*E177,B177*E177)</f>
        <v>5.9412079999999996</v>
      </c>
      <c r="H177">
        <f t="shared" si="10"/>
        <v>1</v>
      </c>
      <c r="I177">
        <f t="shared" si="11"/>
        <v>5.9412079999999996</v>
      </c>
      <c r="J177">
        <f>IF(I176=0,0,C176-I176)</f>
        <v>0</v>
      </c>
    </row>
    <row r="178" spans="1:10" x14ac:dyDescent="0.25">
      <c r="A178" s="1">
        <v>38974</v>
      </c>
      <c r="B178">
        <v>5.9723199999999999</v>
      </c>
      <c r="C178">
        <v>6.2750000000000004</v>
      </c>
      <c r="D178">
        <f>WEEKDAY(A178,14)</f>
        <v>1</v>
      </c>
      <c r="E178">
        <f t="shared" si="8"/>
        <v>0</v>
      </c>
      <c r="F178">
        <f t="shared" si="9"/>
        <v>1</v>
      </c>
      <c r="G178">
        <f>IF(F178&gt;F177,G177+B178*E178,B178*E178)</f>
        <v>0</v>
      </c>
      <c r="H178">
        <f t="shared" si="10"/>
        <v>0</v>
      </c>
      <c r="I178">
        <f t="shared" si="11"/>
        <v>0</v>
      </c>
      <c r="J178">
        <f>IF(I177=0,0,C177-I177)</f>
        <v>0.36379200000000012</v>
      </c>
    </row>
    <row r="179" spans="1:10" x14ac:dyDescent="0.25">
      <c r="A179" s="1">
        <v>38975</v>
      </c>
      <c r="B179">
        <v>5.9597199999999999</v>
      </c>
      <c r="C179">
        <v>6.2750000000000004</v>
      </c>
      <c r="D179">
        <f>WEEKDAY(A179,14)</f>
        <v>2</v>
      </c>
      <c r="E179">
        <f t="shared" si="8"/>
        <v>0</v>
      </c>
      <c r="F179">
        <f t="shared" si="9"/>
        <v>2</v>
      </c>
      <c r="G179">
        <f>IF(F179&gt;F178,G178+B179*E179,B179*E179)</f>
        <v>0</v>
      </c>
      <c r="H179">
        <f t="shared" si="10"/>
        <v>0</v>
      </c>
      <c r="I179">
        <f t="shared" si="11"/>
        <v>0</v>
      </c>
      <c r="J179">
        <f>IF(I178=0,0,C178-I178)</f>
        <v>0</v>
      </c>
    </row>
    <row r="180" spans="1:10" x14ac:dyDescent="0.25">
      <c r="A180" s="1">
        <v>38978</v>
      </c>
      <c r="B180">
        <v>5.9754800000000001</v>
      </c>
      <c r="C180">
        <v>6.2750000000000004</v>
      </c>
      <c r="D180">
        <f>WEEKDAY(A180,14)</f>
        <v>5</v>
      </c>
      <c r="E180">
        <f t="shared" si="8"/>
        <v>0.05</v>
      </c>
      <c r="F180">
        <f t="shared" si="9"/>
        <v>3</v>
      </c>
      <c r="G180">
        <f>IF(F180&gt;F179,G179+B180*E180,B180*E180)</f>
        <v>0.29877400000000004</v>
      </c>
      <c r="H180">
        <f t="shared" si="10"/>
        <v>0.05</v>
      </c>
      <c r="I180">
        <f t="shared" si="11"/>
        <v>0</v>
      </c>
      <c r="J180">
        <f>IF(I179=0,0,C179-I179)</f>
        <v>0</v>
      </c>
    </row>
    <row r="181" spans="1:10" x14ac:dyDescent="0.25">
      <c r="A181" s="1">
        <v>38979</v>
      </c>
      <c r="B181">
        <v>5.9392399999999999</v>
      </c>
      <c r="C181">
        <v>6.2750000000000004</v>
      </c>
      <c r="D181">
        <f>WEEKDAY(A181,14)</f>
        <v>6</v>
      </c>
      <c r="E181">
        <f t="shared" si="8"/>
        <v>0.7</v>
      </c>
      <c r="F181">
        <f t="shared" si="9"/>
        <v>4</v>
      </c>
      <c r="G181">
        <f>IF(F181&gt;F180,G180+B181*E181,B181*E181)</f>
        <v>4.4562419999999996</v>
      </c>
      <c r="H181">
        <f t="shared" si="10"/>
        <v>0.75</v>
      </c>
      <c r="I181">
        <f t="shared" si="11"/>
        <v>0</v>
      </c>
      <c r="J181">
        <f>IF(I180=0,0,C180-I180)</f>
        <v>0</v>
      </c>
    </row>
    <row r="182" spans="1:10" x14ac:dyDescent="0.25">
      <c r="A182" s="1">
        <v>38980</v>
      </c>
      <c r="B182">
        <v>5.9304199999999998</v>
      </c>
      <c r="C182">
        <v>6.2750000000000004</v>
      </c>
      <c r="D182">
        <f>WEEKDAY(A182,14)</f>
        <v>7</v>
      </c>
      <c r="E182">
        <f t="shared" si="8"/>
        <v>0.25</v>
      </c>
      <c r="F182">
        <f t="shared" si="9"/>
        <v>5</v>
      </c>
      <c r="G182">
        <f>IF(F182&gt;F181,G181+B182*E182,B182*E182)</f>
        <v>5.9388469999999991</v>
      </c>
      <c r="H182">
        <f t="shared" si="10"/>
        <v>1</v>
      </c>
      <c r="I182">
        <f t="shared" si="11"/>
        <v>5.9388469999999991</v>
      </c>
      <c r="J182">
        <f>IF(I181=0,0,C181-I181)</f>
        <v>0</v>
      </c>
    </row>
    <row r="183" spans="1:10" x14ac:dyDescent="0.25">
      <c r="A183" s="1">
        <v>38981</v>
      </c>
      <c r="B183">
        <v>5.8559700000000001</v>
      </c>
      <c r="C183">
        <v>6.16</v>
      </c>
      <c r="D183">
        <f>WEEKDAY(A183,14)</f>
        <v>1</v>
      </c>
      <c r="E183">
        <f t="shared" si="8"/>
        <v>0</v>
      </c>
      <c r="F183">
        <f t="shared" si="9"/>
        <v>1</v>
      </c>
      <c r="G183">
        <f>IF(F183&gt;F182,G182+B183*E183,B183*E183)</f>
        <v>0</v>
      </c>
      <c r="H183">
        <f t="shared" si="10"/>
        <v>0</v>
      </c>
      <c r="I183">
        <f t="shared" si="11"/>
        <v>0</v>
      </c>
      <c r="J183">
        <f>IF(I182=0,0,C182-I182)</f>
        <v>0.33615300000000126</v>
      </c>
    </row>
    <row r="184" spans="1:10" x14ac:dyDescent="0.25">
      <c r="A184" s="1">
        <v>38982</v>
      </c>
      <c r="B184">
        <v>5.8206300000000004</v>
      </c>
      <c r="C184">
        <v>6.16</v>
      </c>
      <c r="D184">
        <f>WEEKDAY(A184,14)</f>
        <v>2</v>
      </c>
      <c r="E184">
        <f t="shared" si="8"/>
        <v>0</v>
      </c>
      <c r="F184">
        <f t="shared" si="9"/>
        <v>2</v>
      </c>
      <c r="G184">
        <f>IF(F184&gt;F183,G183+B184*E184,B184*E184)</f>
        <v>0</v>
      </c>
      <c r="H184">
        <f t="shared" si="10"/>
        <v>0</v>
      </c>
      <c r="I184">
        <f t="shared" si="11"/>
        <v>0</v>
      </c>
      <c r="J184">
        <f>IF(I183=0,0,C183-I183)</f>
        <v>0</v>
      </c>
    </row>
    <row r="185" spans="1:10" x14ac:dyDescent="0.25">
      <c r="A185" s="1">
        <v>38985</v>
      </c>
      <c r="B185">
        <v>5.7850200000000003</v>
      </c>
      <c r="C185">
        <v>6.16</v>
      </c>
      <c r="D185">
        <f>WEEKDAY(A185,14)</f>
        <v>5</v>
      </c>
      <c r="E185">
        <f t="shared" si="8"/>
        <v>0.05</v>
      </c>
      <c r="F185">
        <f t="shared" si="9"/>
        <v>3</v>
      </c>
      <c r="G185">
        <f>IF(F185&gt;F184,G184+B185*E185,B185*E185)</f>
        <v>0.28925100000000004</v>
      </c>
      <c r="H185">
        <f t="shared" si="10"/>
        <v>0.05</v>
      </c>
      <c r="I185">
        <f t="shared" si="11"/>
        <v>0</v>
      </c>
      <c r="J185">
        <f>IF(I184=0,0,C184-I184)</f>
        <v>0</v>
      </c>
    </row>
    <row r="186" spans="1:10" x14ac:dyDescent="0.25">
      <c r="A186" s="1">
        <v>38986</v>
      </c>
      <c r="B186">
        <v>5.8146300000000002</v>
      </c>
      <c r="C186">
        <v>6.16</v>
      </c>
      <c r="D186">
        <f>WEEKDAY(A186,14)</f>
        <v>6</v>
      </c>
      <c r="E186">
        <f t="shared" si="8"/>
        <v>0.7</v>
      </c>
      <c r="F186">
        <f t="shared" si="9"/>
        <v>4</v>
      </c>
      <c r="G186">
        <f>IF(F186&gt;F185,G185+B186*E186,B186*E186)</f>
        <v>4.3594920000000004</v>
      </c>
      <c r="H186">
        <f t="shared" si="10"/>
        <v>0.75</v>
      </c>
      <c r="I186">
        <f t="shared" si="11"/>
        <v>0</v>
      </c>
      <c r="J186">
        <f>IF(I185=0,0,C185-I185)</f>
        <v>0</v>
      </c>
    </row>
    <row r="187" spans="1:10" x14ac:dyDescent="0.25">
      <c r="A187" s="1">
        <v>38987</v>
      </c>
      <c r="B187">
        <v>5.8237399999999999</v>
      </c>
      <c r="C187">
        <v>6.16</v>
      </c>
      <c r="D187">
        <f>WEEKDAY(A187,14)</f>
        <v>7</v>
      </c>
      <c r="E187">
        <f t="shared" si="8"/>
        <v>0.25</v>
      </c>
      <c r="F187">
        <f t="shared" si="9"/>
        <v>5</v>
      </c>
      <c r="G187">
        <f>IF(F187&gt;F186,G186+B187*E187,B187*E187)</f>
        <v>5.8154270000000006</v>
      </c>
      <c r="H187">
        <f t="shared" si="10"/>
        <v>1</v>
      </c>
      <c r="I187">
        <f t="shared" si="11"/>
        <v>5.8154270000000006</v>
      </c>
      <c r="J187">
        <f>IF(I186=0,0,C186-I186)</f>
        <v>0</v>
      </c>
    </row>
    <row r="188" spans="1:10" x14ac:dyDescent="0.25">
      <c r="A188" s="1">
        <v>38988</v>
      </c>
      <c r="B188">
        <v>5.8448099999999998</v>
      </c>
      <c r="C188">
        <v>6.125</v>
      </c>
      <c r="D188">
        <f>WEEKDAY(A188,14)</f>
        <v>1</v>
      </c>
      <c r="E188">
        <f t="shared" si="8"/>
        <v>0</v>
      </c>
      <c r="F188">
        <f t="shared" si="9"/>
        <v>1</v>
      </c>
      <c r="G188">
        <f>IF(F188&gt;F187,G187+B188*E188,B188*E188)</f>
        <v>0</v>
      </c>
      <c r="H188">
        <f t="shared" si="10"/>
        <v>0</v>
      </c>
      <c r="I188">
        <f t="shared" si="11"/>
        <v>0</v>
      </c>
      <c r="J188">
        <f>IF(I187=0,0,C187-I187)</f>
        <v>0.34457299999999957</v>
      </c>
    </row>
    <row r="189" spans="1:10" x14ac:dyDescent="0.25">
      <c r="A189" s="1">
        <v>38989</v>
      </c>
      <c r="B189">
        <v>5.8644100000000003</v>
      </c>
      <c r="C189">
        <v>6.125</v>
      </c>
      <c r="D189">
        <f>WEEKDAY(A189,14)</f>
        <v>2</v>
      </c>
      <c r="E189">
        <f t="shared" si="8"/>
        <v>0</v>
      </c>
      <c r="F189">
        <f t="shared" si="9"/>
        <v>2</v>
      </c>
      <c r="G189">
        <f>IF(F189&gt;F188,G188+B189*E189,B189*E189)</f>
        <v>0</v>
      </c>
      <c r="H189">
        <f t="shared" si="10"/>
        <v>0</v>
      </c>
      <c r="I189">
        <f t="shared" si="11"/>
        <v>0</v>
      </c>
      <c r="J189">
        <f>IF(I188=0,0,C188-I188)</f>
        <v>0</v>
      </c>
    </row>
    <row r="190" spans="1:10" x14ac:dyDescent="0.25">
      <c r="A190" s="1">
        <v>38992</v>
      </c>
      <c r="B190">
        <v>5.8496600000000001</v>
      </c>
      <c r="C190">
        <v>6.125</v>
      </c>
      <c r="D190">
        <f>WEEKDAY(A190,14)</f>
        <v>5</v>
      </c>
      <c r="E190">
        <f t="shared" si="8"/>
        <v>0.05</v>
      </c>
      <c r="F190">
        <f t="shared" si="9"/>
        <v>3</v>
      </c>
      <c r="G190">
        <f>IF(F190&gt;F189,G189+B190*E190,B190*E190)</f>
        <v>0.29248299999999999</v>
      </c>
      <c r="H190">
        <f t="shared" si="10"/>
        <v>0.05</v>
      </c>
      <c r="I190">
        <f t="shared" si="11"/>
        <v>0</v>
      </c>
      <c r="J190">
        <f>IF(I189=0,0,C189-I189)</f>
        <v>0</v>
      </c>
    </row>
    <row r="191" spans="1:10" x14ac:dyDescent="0.25">
      <c r="A191" s="1">
        <v>38993</v>
      </c>
      <c r="B191">
        <v>5.8386399999999998</v>
      </c>
      <c r="C191">
        <v>6.125</v>
      </c>
      <c r="D191">
        <f>WEEKDAY(A191,14)</f>
        <v>6</v>
      </c>
      <c r="E191">
        <f t="shared" si="8"/>
        <v>0.7</v>
      </c>
      <c r="F191">
        <f t="shared" si="9"/>
        <v>4</v>
      </c>
      <c r="G191">
        <f>IF(F191&gt;F190,G190+B191*E191,B191*E191)</f>
        <v>4.3795309999999992</v>
      </c>
      <c r="H191">
        <f t="shared" si="10"/>
        <v>0.75</v>
      </c>
      <c r="I191">
        <f t="shared" si="11"/>
        <v>0</v>
      </c>
      <c r="J191">
        <f>IF(I190=0,0,C190-I190)</f>
        <v>0</v>
      </c>
    </row>
    <row r="192" spans="1:10" x14ac:dyDescent="0.25">
      <c r="A192" s="1">
        <v>38994</v>
      </c>
      <c r="B192">
        <v>5.7787300000000004</v>
      </c>
      <c r="C192">
        <v>6.125</v>
      </c>
      <c r="D192">
        <f>WEEKDAY(A192,14)</f>
        <v>7</v>
      </c>
      <c r="E192">
        <f t="shared" si="8"/>
        <v>0.25</v>
      </c>
      <c r="F192">
        <f t="shared" si="9"/>
        <v>5</v>
      </c>
      <c r="G192">
        <f>IF(F192&gt;F191,G191+B192*E192,B192*E192)</f>
        <v>5.824213499999999</v>
      </c>
      <c r="H192">
        <f t="shared" si="10"/>
        <v>1</v>
      </c>
      <c r="I192">
        <f t="shared" si="11"/>
        <v>5.824213499999999</v>
      </c>
      <c r="J192">
        <f>IF(I191=0,0,C191-I191)</f>
        <v>0</v>
      </c>
    </row>
    <row r="193" spans="1:10" x14ac:dyDescent="0.25">
      <c r="A193" s="1">
        <v>38995</v>
      </c>
      <c r="B193">
        <v>5.81752</v>
      </c>
      <c r="C193">
        <v>6.2450000000000001</v>
      </c>
      <c r="D193">
        <f>WEEKDAY(A193,14)</f>
        <v>1</v>
      </c>
      <c r="E193">
        <f t="shared" si="8"/>
        <v>0</v>
      </c>
      <c r="F193">
        <f t="shared" si="9"/>
        <v>1</v>
      </c>
      <c r="G193">
        <f>IF(F193&gt;F192,G192+B193*E193,B193*E193)</f>
        <v>0</v>
      </c>
      <c r="H193">
        <f t="shared" si="10"/>
        <v>0</v>
      </c>
      <c r="I193">
        <f t="shared" si="11"/>
        <v>0</v>
      </c>
      <c r="J193">
        <f>IF(I192=0,0,C192-I192)</f>
        <v>0.30078650000000096</v>
      </c>
    </row>
    <row r="194" spans="1:10" x14ac:dyDescent="0.25">
      <c r="A194" s="1">
        <v>38996</v>
      </c>
      <c r="B194">
        <v>5.90327</v>
      </c>
      <c r="C194">
        <v>6.2450000000000001</v>
      </c>
      <c r="D194">
        <f>WEEKDAY(A194,14)</f>
        <v>2</v>
      </c>
      <c r="E194">
        <f t="shared" si="8"/>
        <v>0</v>
      </c>
      <c r="F194">
        <f t="shared" si="9"/>
        <v>2</v>
      </c>
      <c r="G194">
        <f>IF(F194&gt;F193,G193+B194*E194,B194*E194)</f>
        <v>0</v>
      </c>
      <c r="H194">
        <f t="shared" si="10"/>
        <v>0</v>
      </c>
      <c r="I194">
        <f t="shared" si="11"/>
        <v>0</v>
      </c>
      <c r="J194">
        <f>IF(I193=0,0,C193-I193)</f>
        <v>0</v>
      </c>
    </row>
    <row r="195" spans="1:10" x14ac:dyDescent="0.25">
      <c r="A195" s="1">
        <v>39000</v>
      </c>
      <c r="B195">
        <v>5.95749</v>
      </c>
      <c r="C195">
        <v>6.2450000000000001</v>
      </c>
      <c r="D195">
        <f>WEEKDAY(A195,14)</f>
        <v>6</v>
      </c>
      <c r="E195">
        <f t="shared" ref="E195:E258" si="12">VLOOKUP(D195,M$2:N$8,2,FALSE)</f>
        <v>0.7</v>
      </c>
      <c r="F195">
        <f t="shared" ref="F195:F258" si="13">IF(AND(D195&gt;D194,F194&lt;6),F194+1,1)</f>
        <v>3</v>
      </c>
      <c r="G195">
        <f>IF(F195&gt;F194,G194+B195*E195,B195*E195)</f>
        <v>4.1702430000000001</v>
      </c>
      <c r="H195">
        <f t="shared" si="10"/>
        <v>0.7</v>
      </c>
      <c r="I195">
        <f t="shared" si="11"/>
        <v>0</v>
      </c>
      <c r="J195">
        <f>IF(I194=0,0,C194-I194)</f>
        <v>0</v>
      </c>
    </row>
    <row r="196" spans="1:10" x14ac:dyDescent="0.25">
      <c r="A196" s="1">
        <v>39001</v>
      </c>
      <c r="B196">
        <v>5.9658300000000004</v>
      </c>
      <c r="C196">
        <v>6.2450000000000001</v>
      </c>
      <c r="D196">
        <f>WEEKDAY(A196,14)</f>
        <v>7</v>
      </c>
      <c r="E196">
        <f t="shared" si="12"/>
        <v>0.25</v>
      </c>
      <c r="F196">
        <f t="shared" si="13"/>
        <v>4</v>
      </c>
      <c r="G196">
        <f>IF(F196&gt;F195,G195+B196*E196,B196*E196)</f>
        <v>5.6617005000000002</v>
      </c>
      <c r="H196">
        <f t="shared" ref="H196:H259" si="14">IF(AND(F196&lt;6,F196&gt;F195),E196+H195,E196)</f>
        <v>0.95</v>
      </c>
      <c r="I196">
        <f t="shared" ref="I196:I259" si="15">IF(F196&gt;F197,G196/H196,0)</f>
        <v>5.9596847368421058</v>
      </c>
      <c r="J196">
        <f>IF(I195=0,0,C195-I195)</f>
        <v>0</v>
      </c>
    </row>
    <row r="197" spans="1:10" x14ac:dyDescent="0.25">
      <c r="A197" s="1">
        <v>39002</v>
      </c>
      <c r="B197">
        <v>5.9770500000000002</v>
      </c>
      <c r="C197">
        <v>6.2350000000000003</v>
      </c>
      <c r="D197">
        <f>WEEKDAY(A197,14)</f>
        <v>1</v>
      </c>
      <c r="E197">
        <f t="shared" si="12"/>
        <v>0</v>
      </c>
      <c r="F197">
        <f t="shared" si="13"/>
        <v>1</v>
      </c>
      <c r="G197">
        <f>IF(F197&gt;F196,G196+B197*E197,B197*E197)</f>
        <v>0</v>
      </c>
      <c r="H197">
        <f t="shared" si="14"/>
        <v>0</v>
      </c>
      <c r="I197">
        <f t="shared" si="15"/>
        <v>0</v>
      </c>
      <c r="J197">
        <f>IF(I196=0,0,C196-I196)</f>
        <v>0.28531526315789435</v>
      </c>
    </row>
    <row r="198" spans="1:10" x14ac:dyDescent="0.25">
      <c r="A198" s="1">
        <v>39003</v>
      </c>
      <c r="B198">
        <v>5.9867100000000004</v>
      </c>
      <c r="C198">
        <v>6.2350000000000003</v>
      </c>
      <c r="D198">
        <f>WEEKDAY(A198,14)</f>
        <v>2</v>
      </c>
      <c r="E198">
        <f t="shared" si="12"/>
        <v>0</v>
      </c>
      <c r="F198">
        <f t="shared" si="13"/>
        <v>2</v>
      </c>
      <c r="G198">
        <f>IF(F198&gt;F197,G197+B198*E198,B198*E198)</f>
        <v>0</v>
      </c>
      <c r="H198">
        <f t="shared" si="14"/>
        <v>0</v>
      </c>
      <c r="I198">
        <f t="shared" si="15"/>
        <v>0</v>
      </c>
      <c r="J198">
        <f>IF(I197=0,0,C197-I197)</f>
        <v>0</v>
      </c>
    </row>
    <row r="199" spans="1:10" x14ac:dyDescent="0.25">
      <c r="A199" s="1">
        <v>39006</v>
      </c>
      <c r="B199">
        <v>5.9594800000000001</v>
      </c>
      <c r="C199">
        <v>6.2350000000000003</v>
      </c>
      <c r="D199">
        <f>WEEKDAY(A199,14)</f>
        <v>5</v>
      </c>
      <c r="E199">
        <f t="shared" si="12"/>
        <v>0.05</v>
      </c>
      <c r="F199">
        <f t="shared" si="13"/>
        <v>3</v>
      </c>
      <c r="G199">
        <f>IF(F199&gt;F198,G198+B199*E199,B199*E199)</f>
        <v>0.29797400000000002</v>
      </c>
      <c r="H199">
        <f t="shared" si="14"/>
        <v>0.05</v>
      </c>
      <c r="I199">
        <f t="shared" si="15"/>
        <v>0</v>
      </c>
      <c r="J199">
        <f>IF(I198=0,0,C198-I198)</f>
        <v>0</v>
      </c>
    </row>
    <row r="200" spans="1:10" x14ac:dyDescent="0.25">
      <c r="A200" s="1">
        <v>39007</v>
      </c>
      <c r="B200">
        <v>5.9447200000000002</v>
      </c>
      <c r="C200">
        <v>6.2350000000000003</v>
      </c>
      <c r="D200">
        <f>WEEKDAY(A200,14)</f>
        <v>6</v>
      </c>
      <c r="E200">
        <f t="shared" si="12"/>
        <v>0.7</v>
      </c>
      <c r="F200">
        <f t="shared" si="13"/>
        <v>4</v>
      </c>
      <c r="G200">
        <f>IF(F200&gt;F199,G199+B200*E200,B200*E200)</f>
        <v>4.4592780000000003</v>
      </c>
      <c r="H200">
        <f t="shared" si="14"/>
        <v>0.75</v>
      </c>
      <c r="I200">
        <f t="shared" si="15"/>
        <v>0</v>
      </c>
      <c r="J200">
        <f>IF(I199=0,0,C199-I199)</f>
        <v>0</v>
      </c>
    </row>
    <row r="201" spans="1:10" x14ac:dyDescent="0.25">
      <c r="A201" s="1">
        <v>39008</v>
      </c>
      <c r="B201">
        <v>5.9333499999999999</v>
      </c>
      <c r="C201">
        <v>6.2350000000000003</v>
      </c>
      <c r="D201">
        <f>WEEKDAY(A201,14)</f>
        <v>7</v>
      </c>
      <c r="E201">
        <f t="shared" si="12"/>
        <v>0.25</v>
      </c>
      <c r="F201">
        <f t="shared" si="13"/>
        <v>5</v>
      </c>
      <c r="G201">
        <f>IF(F201&gt;F200,G200+B201*E201,B201*E201)</f>
        <v>5.9426155000000005</v>
      </c>
      <c r="H201">
        <f t="shared" si="14"/>
        <v>1</v>
      </c>
      <c r="I201">
        <f t="shared" si="15"/>
        <v>5.9426155000000005</v>
      </c>
      <c r="J201">
        <f>IF(I200=0,0,C200-I200)</f>
        <v>0</v>
      </c>
    </row>
    <row r="202" spans="1:10" x14ac:dyDescent="0.25">
      <c r="A202" s="1">
        <v>39009</v>
      </c>
      <c r="B202">
        <v>5.9627600000000003</v>
      </c>
      <c r="C202">
        <v>6.25</v>
      </c>
      <c r="D202">
        <f>WEEKDAY(A202,14)</f>
        <v>1</v>
      </c>
      <c r="E202">
        <f t="shared" si="12"/>
        <v>0</v>
      </c>
      <c r="F202">
        <f t="shared" si="13"/>
        <v>1</v>
      </c>
      <c r="G202">
        <f>IF(F202&gt;F201,G201+B202*E202,B202*E202)</f>
        <v>0</v>
      </c>
      <c r="H202">
        <f t="shared" si="14"/>
        <v>0</v>
      </c>
      <c r="I202">
        <f t="shared" si="15"/>
        <v>0</v>
      </c>
      <c r="J202">
        <f>IF(I201=0,0,C201-I201)</f>
        <v>0.29238449999999983</v>
      </c>
    </row>
    <row r="203" spans="1:10" x14ac:dyDescent="0.25">
      <c r="A203" s="1">
        <v>39010</v>
      </c>
      <c r="B203">
        <v>5.9569599999999996</v>
      </c>
      <c r="C203">
        <v>6.25</v>
      </c>
      <c r="D203">
        <f>WEEKDAY(A203,14)</f>
        <v>2</v>
      </c>
      <c r="E203">
        <f t="shared" si="12"/>
        <v>0</v>
      </c>
      <c r="F203">
        <f t="shared" si="13"/>
        <v>2</v>
      </c>
      <c r="G203">
        <f>IF(F203&gt;F202,G202+B203*E203,B203*E203)</f>
        <v>0</v>
      </c>
      <c r="H203">
        <f t="shared" si="14"/>
        <v>0</v>
      </c>
      <c r="I203">
        <f t="shared" si="15"/>
        <v>0</v>
      </c>
      <c r="J203">
        <f>IF(I202=0,0,C202-I202)</f>
        <v>0</v>
      </c>
    </row>
    <row r="204" spans="1:10" x14ac:dyDescent="0.25">
      <c r="A204" s="1">
        <v>39013</v>
      </c>
      <c r="B204">
        <v>5.9640599999999999</v>
      </c>
      <c r="C204">
        <v>6.25</v>
      </c>
      <c r="D204">
        <f>WEEKDAY(A204,14)</f>
        <v>5</v>
      </c>
      <c r="E204">
        <f t="shared" si="12"/>
        <v>0.05</v>
      </c>
      <c r="F204">
        <f t="shared" si="13"/>
        <v>3</v>
      </c>
      <c r="G204">
        <f>IF(F204&gt;F203,G203+B204*E204,B204*E204)</f>
        <v>0.298203</v>
      </c>
      <c r="H204">
        <f t="shared" si="14"/>
        <v>0.05</v>
      </c>
      <c r="I204">
        <f t="shared" si="15"/>
        <v>0</v>
      </c>
      <c r="J204">
        <f>IF(I203=0,0,C203-I203)</f>
        <v>0</v>
      </c>
    </row>
    <row r="205" spans="1:10" x14ac:dyDescent="0.25">
      <c r="A205" s="1">
        <v>39014</v>
      </c>
      <c r="B205">
        <v>5.9672000000000001</v>
      </c>
      <c r="C205">
        <v>6.25</v>
      </c>
      <c r="D205">
        <f>WEEKDAY(A205,14)</f>
        <v>6</v>
      </c>
      <c r="E205">
        <f t="shared" si="12"/>
        <v>0.7</v>
      </c>
      <c r="F205">
        <f t="shared" si="13"/>
        <v>4</v>
      </c>
      <c r="G205">
        <f>IF(F205&gt;F204,G204+B205*E205,B205*E205)</f>
        <v>4.4752429999999999</v>
      </c>
      <c r="H205">
        <f t="shared" si="14"/>
        <v>0.75</v>
      </c>
      <c r="I205">
        <f t="shared" si="15"/>
        <v>0</v>
      </c>
      <c r="J205">
        <f>IF(I204=0,0,C204-I204)</f>
        <v>0</v>
      </c>
    </row>
    <row r="206" spans="1:10" x14ac:dyDescent="0.25">
      <c r="A206" s="1">
        <v>39015</v>
      </c>
      <c r="B206">
        <v>5.9511500000000002</v>
      </c>
      <c r="C206">
        <v>6.25</v>
      </c>
      <c r="D206">
        <f>WEEKDAY(A206,14)</f>
        <v>7</v>
      </c>
      <c r="E206">
        <f t="shared" si="12"/>
        <v>0.25</v>
      </c>
      <c r="F206">
        <f t="shared" si="13"/>
        <v>5</v>
      </c>
      <c r="G206">
        <f>IF(F206&gt;F205,G205+B206*E206,B206*E206)</f>
        <v>5.9630305000000003</v>
      </c>
      <c r="H206">
        <f t="shared" si="14"/>
        <v>1</v>
      </c>
      <c r="I206">
        <f t="shared" si="15"/>
        <v>5.9630305000000003</v>
      </c>
      <c r="J206">
        <f>IF(I205=0,0,C205-I205)</f>
        <v>0</v>
      </c>
    </row>
    <row r="207" spans="1:10" x14ac:dyDescent="0.25">
      <c r="A207" s="1">
        <v>39016</v>
      </c>
      <c r="B207">
        <v>5.89961</v>
      </c>
      <c r="C207">
        <v>6.16</v>
      </c>
      <c r="D207">
        <f>WEEKDAY(A207,14)</f>
        <v>1</v>
      </c>
      <c r="E207">
        <f t="shared" si="12"/>
        <v>0</v>
      </c>
      <c r="F207">
        <f t="shared" si="13"/>
        <v>1</v>
      </c>
      <c r="G207">
        <f>IF(F207&gt;F206,G206+B207*E207,B207*E207)</f>
        <v>0</v>
      </c>
      <c r="H207">
        <f t="shared" si="14"/>
        <v>0</v>
      </c>
      <c r="I207">
        <f t="shared" si="15"/>
        <v>0</v>
      </c>
      <c r="J207">
        <f>IF(I206=0,0,C206-I206)</f>
        <v>0.28696949999999966</v>
      </c>
    </row>
    <row r="208" spans="1:10" x14ac:dyDescent="0.25">
      <c r="A208" s="1">
        <v>39017</v>
      </c>
      <c r="B208">
        <v>5.86557</v>
      </c>
      <c r="C208">
        <v>6.16</v>
      </c>
      <c r="D208">
        <f>WEEKDAY(A208,14)</f>
        <v>2</v>
      </c>
      <c r="E208">
        <f t="shared" si="12"/>
        <v>0</v>
      </c>
      <c r="F208">
        <f t="shared" si="13"/>
        <v>2</v>
      </c>
      <c r="G208">
        <f>IF(F208&gt;F207,G207+B208*E208,B208*E208)</f>
        <v>0</v>
      </c>
      <c r="H208">
        <f t="shared" si="14"/>
        <v>0</v>
      </c>
      <c r="I208">
        <f t="shared" si="15"/>
        <v>0</v>
      </c>
      <c r="J208">
        <f>IF(I207=0,0,C207-I207)</f>
        <v>0</v>
      </c>
    </row>
    <row r="209" spans="1:10" x14ac:dyDescent="0.25">
      <c r="A209" s="1">
        <v>39020</v>
      </c>
      <c r="B209">
        <v>5.8670999999999998</v>
      </c>
      <c r="C209">
        <v>6.16</v>
      </c>
      <c r="D209">
        <f>WEEKDAY(A209,14)</f>
        <v>5</v>
      </c>
      <c r="E209">
        <f t="shared" si="12"/>
        <v>0.05</v>
      </c>
      <c r="F209">
        <f t="shared" si="13"/>
        <v>3</v>
      </c>
      <c r="G209">
        <f>IF(F209&gt;F208,G208+B209*E209,B209*E209)</f>
        <v>0.29335499999999998</v>
      </c>
      <c r="H209">
        <f t="shared" si="14"/>
        <v>0.05</v>
      </c>
      <c r="I209">
        <f t="shared" si="15"/>
        <v>0</v>
      </c>
      <c r="J209">
        <f>IF(I208=0,0,C208-I208)</f>
        <v>0</v>
      </c>
    </row>
    <row r="210" spans="1:10" x14ac:dyDescent="0.25">
      <c r="A210" s="1">
        <v>39021</v>
      </c>
      <c r="B210">
        <v>5.8017099999999999</v>
      </c>
      <c r="C210">
        <v>6.16</v>
      </c>
      <c r="D210">
        <f>WEEKDAY(A210,14)</f>
        <v>6</v>
      </c>
      <c r="E210">
        <f t="shared" si="12"/>
        <v>0.7</v>
      </c>
      <c r="F210">
        <f t="shared" si="13"/>
        <v>4</v>
      </c>
      <c r="G210">
        <f>IF(F210&gt;F209,G209+B210*E210,B210*E210)</f>
        <v>4.354552</v>
      </c>
      <c r="H210">
        <f t="shared" si="14"/>
        <v>0.75</v>
      </c>
      <c r="I210">
        <f t="shared" si="15"/>
        <v>0</v>
      </c>
      <c r="J210">
        <f>IF(I209=0,0,C209-I209)</f>
        <v>0</v>
      </c>
    </row>
    <row r="211" spans="1:10" x14ac:dyDescent="0.25">
      <c r="A211" s="1">
        <v>39022</v>
      </c>
      <c r="B211">
        <v>5.7592800000000004</v>
      </c>
      <c r="C211">
        <v>6.16</v>
      </c>
      <c r="D211">
        <f>WEEKDAY(A211,14)</f>
        <v>7</v>
      </c>
      <c r="E211">
        <f t="shared" si="12"/>
        <v>0.25</v>
      </c>
      <c r="F211">
        <f t="shared" si="13"/>
        <v>5</v>
      </c>
      <c r="G211">
        <f>IF(F211&gt;F210,G210+B211*E211,B211*E211)</f>
        <v>5.7943720000000001</v>
      </c>
      <c r="H211">
        <f t="shared" si="14"/>
        <v>1</v>
      </c>
      <c r="I211">
        <f t="shared" si="15"/>
        <v>5.7943720000000001</v>
      </c>
      <c r="J211">
        <f>IF(I210=0,0,C210-I210)</f>
        <v>0</v>
      </c>
    </row>
    <row r="212" spans="1:10" x14ac:dyDescent="0.25">
      <c r="A212" s="1">
        <v>39023</v>
      </c>
      <c r="B212">
        <v>5.7837800000000001</v>
      </c>
      <c r="C212">
        <v>6.23</v>
      </c>
      <c r="D212">
        <f>WEEKDAY(A212,14)</f>
        <v>1</v>
      </c>
      <c r="E212">
        <f t="shared" si="12"/>
        <v>0</v>
      </c>
      <c r="F212">
        <f t="shared" si="13"/>
        <v>1</v>
      </c>
      <c r="G212">
        <f>IF(F212&gt;F211,G211+B212*E212,B212*E212)</f>
        <v>0</v>
      </c>
      <c r="H212">
        <f t="shared" si="14"/>
        <v>0</v>
      </c>
      <c r="I212">
        <f t="shared" si="15"/>
        <v>0</v>
      </c>
      <c r="J212">
        <f>IF(I211=0,0,C211-I211)</f>
        <v>0.36562800000000006</v>
      </c>
    </row>
    <row r="213" spans="1:10" x14ac:dyDescent="0.25">
      <c r="A213" s="1">
        <v>39024</v>
      </c>
      <c r="B213">
        <v>5.8829900000000004</v>
      </c>
      <c r="C213">
        <v>6.23</v>
      </c>
      <c r="D213">
        <f>WEEKDAY(A213,14)</f>
        <v>2</v>
      </c>
      <c r="E213">
        <f t="shared" si="12"/>
        <v>0</v>
      </c>
      <c r="F213">
        <f t="shared" si="13"/>
        <v>2</v>
      </c>
      <c r="G213">
        <f>IF(F213&gt;F212,G212+B213*E213,B213*E213)</f>
        <v>0</v>
      </c>
      <c r="H213">
        <f t="shared" si="14"/>
        <v>0</v>
      </c>
      <c r="I213">
        <f t="shared" si="15"/>
        <v>0</v>
      </c>
      <c r="J213">
        <f>IF(I212=0,0,C212-I212)</f>
        <v>0</v>
      </c>
    </row>
    <row r="214" spans="1:10" x14ac:dyDescent="0.25">
      <c r="A214" s="1">
        <v>39027</v>
      </c>
      <c r="B214">
        <v>5.87026</v>
      </c>
      <c r="C214">
        <v>6.23</v>
      </c>
      <c r="D214">
        <f>WEEKDAY(A214,14)</f>
        <v>5</v>
      </c>
      <c r="E214">
        <f t="shared" si="12"/>
        <v>0.05</v>
      </c>
      <c r="F214">
        <f t="shared" si="13"/>
        <v>3</v>
      </c>
      <c r="G214">
        <f>IF(F214&gt;F213,G213+B214*E214,B214*E214)</f>
        <v>0.29351300000000002</v>
      </c>
      <c r="H214">
        <f t="shared" si="14"/>
        <v>0.05</v>
      </c>
      <c r="I214">
        <f t="shared" si="15"/>
        <v>0</v>
      </c>
      <c r="J214">
        <f>IF(I213=0,0,C213-I213)</f>
        <v>0</v>
      </c>
    </row>
    <row r="215" spans="1:10" x14ac:dyDescent="0.25">
      <c r="A215" s="1">
        <v>39028</v>
      </c>
      <c r="B215">
        <v>5.8219200000000004</v>
      </c>
      <c r="C215">
        <v>6.23</v>
      </c>
      <c r="D215">
        <f>WEEKDAY(A215,14)</f>
        <v>6</v>
      </c>
      <c r="E215">
        <f t="shared" si="12"/>
        <v>0.7</v>
      </c>
      <c r="F215">
        <f t="shared" si="13"/>
        <v>4</v>
      </c>
      <c r="G215">
        <f>IF(F215&gt;F214,G214+B215*E215,B215*E215)</f>
        <v>4.3688570000000002</v>
      </c>
      <c r="H215">
        <f t="shared" si="14"/>
        <v>0.75</v>
      </c>
      <c r="I215">
        <f t="shared" si="15"/>
        <v>0</v>
      </c>
      <c r="J215">
        <f>IF(I214=0,0,C214-I214)</f>
        <v>0</v>
      </c>
    </row>
    <row r="216" spans="1:10" x14ac:dyDescent="0.25">
      <c r="A216" s="1">
        <v>39029</v>
      </c>
      <c r="B216">
        <v>5.7933700000000004</v>
      </c>
      <c r="C216">
        <v>6.23</v>
      </c>
      <c r="D216">
        <f>WEEKDAY(A216,14)</f>
        <v>7</v>
      </c>
      <c r="E216">
        <f t="shared" si="12"/>
        <v>0.25</v>
      </c>
      <c r="F216">
        <f t="shared" si="13"/>
        <v>5</v>
      </c>
      <c r="G216">
        <f>IF(F216&gt;F215,G215+B216*E216,B216*E216)</f>
        <v>5.8171995000000001</v>
      </c>
      <c r="H216">
        <f t="shared" si="14"/>
        <v>1</v>
      </c>
      <c r="I216">
        <f t="shared" si="15"/>
        <v>5.8171995000000001</v>
      </c>
      <c r="J216">
        <f>IF(I215=0,0,C215-I215)</f>
        <v>0</v>
      </c>
    </row>
    <row r="217" spans="1:10" x14ac:dyDescent="0.25">
      <c r="A217" s="1">
        <v>39030</v>
      </c>
      <c r="B217">
        <v>5.7817400000000001</v>
      </c>
      <c r="C217">
        <v>6.1150000000000002</v>
      </c>
      <c r="D217">
        <f>WEEKDAY(A217,14)</f>
        <v>1</v>
      </c>
      <c r="E217">
        <f t="shared" si="12"/>
        <v>0</v>
      </c>
      <c r="F217">
        <f t="shared" si="13"/>
        <v>1</v>
      </c>
      <c r="G217">
        <f>IF(F217&gt;F216,G216+B217*E217,B217*E217)</f>
        <v>0</v>
      </c>
      <c r="H217">
        <f t="shared" si="14"/>
        <v>0</v>
      </c>
      <c r="I217">
        <f t="shared" si="15"/>
        <v>0</v>
      </c>
      <c r="J217">
        <f>IF(I216=0,0,C216-I216)</f>
        <v>0.41280050000000035</v>
      </c>
    </row>
    <row r="218" spans="1:10" x14ac:dyDescent="0.25">
      <c r="A218" s="1">
        <v>39031</v>
      </c>
      <c r="B218">
        <v>5.7464199999999996</v>
      </c>
      <c r="C218">
        <v>6.1150000000000002</v>
      </c>
      <c r="D218">
        <f>WEEKDAY(A218,14)</f>
        <v>2</v>
      </c>
      <c r="E218">
        <f t="shared" si="12"/>
        <v>0</v>
      </c>
      <c r="F218">
        <f t="shared" si="13"/>
        <v>2</v>
      </c>
      <c r="G218">
        <f>IF(F218&gt;F217,G217+B218*E218,B218*E218)</f>
        <v>0</v>
      </c>
      <c r="H218">
        <f t="shared" si="14"/>
        <v>0</v>
      </c>
      <c r="I218">
        <f t="shared" si="15"/>
        <v>0</v>
      </c>
      <c r="J218">
        <f>IF(I217=0,0,C217-I217)</f>
        <v>0</v>
      </c>
    </row>
    <row r="219" spans="1:10" x14ac:dyDescent="0.25">
      <c r="A219" s="1">
        <v>39034</v>
      </c>
      <c r="B219">
        <v>5.77515</v>
      </c>
      <c r="C219">
        <v>6.1150000000000002</v>
      </c>
      <c r="D219">
        <f>WEEKDAY(A219,14)</f>
        <v>5</v>
      </c>
      <c r="E219">
        <f t="shared" si="12"/>
        <v>0.05</v>
      </c>
      <c r="F219">
        <f t="shared" si="13"/>
        <v>3</v>
      </c>
      <c r="G219">
        <f>IF(F219&gt;F218,G218+B219*E219,B219*E219)</f>
        <v>0.2887575</v>
      </c>
      <c r="H219">
        <f t="shared" si="14"/>
        <v>0.05</v>
      </c>
      <c r="I219">
        <f t="shared" si="15"/>
        <v>0</v>
      </c>
      <c r="J219">
        <f>IF(I218=0,0,C218-I218)</f>
        <v>0</v>
      </c>
    </row>
    <row r="220" spans="1:10" x14ac:dyDescent="0.25">
      <c r="A220" s="1">
        <v>39035</v>
      </c>
      <c r="B220">
        <v>5.74146</v>
      </c>
      <c r="C220">
        <v>6.1150000000000002</v>
      </c>
      <c r="D220">
        <f>WEEKDAY(A220,14)</f>
        <v>6</v>
      </c>
      <c r="E220">
        <f t="shared" si="12"/>
        <v>0.7</v>
      </c>
      <c r="F220">
        <f t="shared" si="13"/>
        <v>4</v>
      </c>
      <c r="G220">
        <f>IF(F220&gt;F219,G219+B220*E220,B220*E220)</f>
        <v>4.3077794999999997</v>
      </c>
      <c r="H220">
        <f t="shared" si="14"/>
        <v>0.75</v>
      </c>
      <c r="I220">
        <f t="shared" si="15"/>
        <v>0</v>
      </c>
      <c r="J220">
        <f>IF(I219=0,0,C219-I219)</f>
        <v>0</v>
      </c>
    </row>
    <row r="221" spans="1:10" x14ac:dyDescent="0.25">
      <c r="A221" s="1">
        <v>39036</v>
      </c>
      <c r="B221">
        <v>5.7756499999999997</v>
      </c>
      <c r="C221">
        <v>6.1150000000000002</v>
      </c>
      <c r="D221">
        <f>WEEKDAY(A221,14)</f>
        <v>7</v>
      </c>
      <c r="E221">
        <f t="shared" si="12"/>
        <v>0.25</v>
      </c>
      <c r="F221">
        <f t="shared" si="13"/>
        <v>5</v>
      </c>
      <c r="G221">
        <f>IF(F221&gt;F220,G220+B221*E221,B221*E221)</f>
        <v>5.7516919999999994</v>
      </c>
      <c r="H221">
        <f t="shared" si="14"/>
        <v>1</v>
      </c>
      <c r="I221">
        <f t="shared" si="15"/>
        <v>5.7516919999999994</v>
      </c>
      <c r="J221">
        <f>IF(I220=0,0,C220-I220)</f>
        <v>0</v>
      </c>
    </row>
    <row r="222" spans="1:10" x14ac:dyDescent="0.25">
      <c r="A222" s="1">
        <v>39037</v>
      </c>
      <c r="B222">
        <v>5.7968099999999998</v>
      </c>
      <c r="C222">
        <v>6.0549999999999997</v>
      </c>
      <c r="D222">
        <f>WEEKDAY(A222,14)</f>
        <v>1</v>
      </c>
      <c r="E222">
        <f t="shared" si="12"/>
        <v>0</v>
      </c>
      <c r="F222">
        <f t="shared" si="13"/>
        <v>1</v>
      </c>
      <c r="G222">
        <f>IF(F222&gt;F221,G221+B222*E222,B222*E222)</f>
        <v>0</v>
      </c>
      <c r="H222">
        <f t="shared" si="14"/>
        <v>0</v>
      </c>
      <c r="I222">
        <f t="shared" si="15"/>
        <v>0</v>
      </c>
      <c r="J222">
        <f>IF(I221=0,0,C221-I221)</f>
        <v>0.36330800000000085</v>
      </c>
    </row>
    <row r="223" spans="1:10" x14ac:dyDescent="0.25">
      <c r="A223" s="1">
        <v>39038</v>
      </c>
      <c r="B223">
        <v>5.7250199999999998</v>
      </c>
      <c r="C223">
        <v>6.0549999999999997</v>
      </c>
      <c r="D223">
        <f>WEEKDAY(A223,14)</f>
        <v>2</v>
      </c>
      <c r="E223">
        <f t="shared" si="12"/>
        <v>0</v>
      </c>
      <c r="F223">
        <f t="shared" si="13"/>
        <v>2</v>
      </c>
      <c r="G223">
        <f>IF(F223&gt;F222,G222+B223*E223,B223*E223)</f>
        <v>0</v>
      </c>
      <c r="H223">
        <f t="shared" si="14"/>
        <v>0</v>
      </c>
      <c r="I223">
        <f t="shared" si="15"/>
        <v>0</v>
      </c>
      <c r="J223">
        <f>IF(I222=0,0,C222-I222)</f>
        <v>0</v>
      </c>
    </row>
    <row r="224" spans="1:10" x14ac:dyDescent="0.25">
      <c r="A224" s="1">
        <v>39041</v>
      </c>
      <c r="B224">
        <v>5.7110700000000003</v>
      </c>
      <c r="C224">
        <v>6.0549999999999997</v>
      </c>
      <c r="D224">
        <f>WEEKDAY(A224,14)</f>
        <v>5</v>
      </c>
      <c r="E224">
        <f t="shared" si="12"/>
        <v>0.05</v>
      </c>
      <c r="F224">
        <f t="shared" si="13"/>
        <v>3</v>
      </c>
      <c r="G224">
        <f>IF(F224&gt;F223,G223+B224*E224,B224*E224)</f>
        <v>0.28555350000000002</v>
      </c>
      <c r="H224">
        <f t="shared" si="14"/>
        <v>0.05</v>
      </c>
      <c r="I224">
        <f t="shared" si="15"/>
        <v>0</v>
      </c>
      <c r="J224">
        <f>IF(I223=0,0,C223-I223)</f>
        <v>0</v>
      </c>
    </row>
    <row r="225" spans="1:10" x14ac:dyDescent="0.25">
      <c r="A225" s="1">
        <v>39042</v>
      </c>
      <c r="B225">
        <v>5.71028</v>
      </c>
      <c r="C225">
        <v>6.0549999999999997</v>
      </c>
      <c r="D225">
        <f>WEEKDAY(A225,14)</f>
        <v>6</v>
      </c>
      <c r="E225">
        <f t="shared" si="12"/>
        <v>0.7</v>
      </c>
      <c r="F225">
        <f t="shared" si="13"/>
        <v>4</v>
      </c>
      <c r="G225">
        <f>IF(F225&gt;F224,G224+B225*E225,B225*E225)</f>
        <v>4.2827494999999995</v>
      </c>
      <c r="H225">
        <f t="shared" si="14"/>
        <v>0.75</v>
      </c>
      <c r="I225">
        <f t="shared" si="15"/>
        <v>0</v>
      </c>
      <c r="J225">
        <f>IF(I224=0,0,C224-I224)</f>
        <v>0</v>
      </c>
    </row>
    <row r="226" spans="1:10" x14ac:dyDescent="0.25">
      <c r="A226" s="1">
        <v>39043</v>
      </c>
      <c r="B226">
        <v>5.7086600000000001</v>
      </c>
      <c r="C226">
        <v>5.99</v>
      </c>
      <c r="D226">
        <f>WEEKDAY(A226,14)</f>
        <v>7</v>
      </c>
      <c r="E226">
        <f t="shared" si="12"/>
        <v>0.25</v>
      </c>
      <c r="F226">
        <f t="shared" si="13"/>
        <v>5</v>
      </c>
      <c r="G226">
        <f>IF(F226&gt;F225,G225+B226*E226,B226*E226)</f>
        <v>5.7099145</v>
      </c>
      <c r="H226">
        <f t="shared" si="14"/>
        <v>1</v>
      </c>
      <c r="I226">
        <f t="shared" si="15"/>
        <v>5.7099145</v>
      </c>
      <c r="J226">
        <f>IF(I225=0,0,C225-I225)</f>
        <v>0</v>
      </c>
    </row>
    <row r="227" spans="1:10" x14ac:dyDescent="0.25">
      <c r="A227" s="1">
        <v>39045</v>
      </c>
      <c r="B227">
        <v>5.7000099999999998</v>
      </c>
      <c r="C227">
        <v>5.99</v>
      </c>
      <c r="D227">
        <f>WEEKDAY(A227,14)</f>
        <v>2</v>
      </c>
      <c r="E227">
        <f t="shared" si="12"/>
        <v>0</v>
      </c>
      <c r="F227">
        <f t="shared" si="13"/>
        <v>1</v>
      </c>
      <c r="G227">
        <f>IF(F227&gt;F226,G226+B227*E227,B227*E227)</f>
        <v>0</v>
      </c>
      <c r="H227">
        <f t="shared" si="14"/>
        <v>0</v>
      </c>
      <c r="I227">
        <f t="shared" si="15"/>
        <v>0</v>
      </c>
      <c r="J227">
        <f>IF(I226=0,0,C226-I226)</f>
        <v>0.28008550000000021</v>
      </c>
    </row>
    <row r="228" spans="1:10" x14ac:dyDescent="0.25">
      <c r="A228" s="1">
        <v>39048</v>
      </c>
      <c r="B228">
        <v>5.6883699999999999</v>
      </c>
      <c r="C228">
        <v>5.99</v>
      </c>
      <c r="D228">
        <f>WEEKDAY(A228,14)</f>
        <v>5</v>
      </c>
      <c r="E228">
        <f t="shared" si="12"/>
        <v>0.05</v>
      </c>
      <c r="F228">
        <f t="shared" si="13"/>
        <v>2</v>
      </c>
      <c r="G228">
        <f>IF(F228&gt;F227,G227+B228*E228,B228*E228)</f>
        <v>0.28441850000000002</v>
      </c>
      <c r="H228">
        <f t="shared" si="14"/>
        <v>0.05</v>
      </c>
      <c r="I228">
        <f t="shared" si="15"/>
        <v>0</v>
      </c>
      <c r="J228">
        <f>IF(I227=0,0,C227-I227)</f>
        <v>0</v>
      </c>
    </row>
    <row r="229" spans="1:10" x14ac:dyDescent="0.25">
      <c r="A229" s="1">
        <v>39049</v>
      </c>
      <c r="B229">
        <v>5.6563400000000001</v>
      </c>
      <c r="C229">
        <v>5.99</v>
      </c>
      <c r="D229">
        <f>WEEKDAY(A229,14)</f>
        <v>6</v>
      </c>
      <c r="E229">
        <f t="shared" si="12"/>
        <v>0.7</v>
      </c>
      <c r="F229">
        <f t="shared" si="13"/>
        <v>3</v>
      </c>
      <c r="G229">
        <f>IF(F229&gt;F228,G228+B229*E229,B229*E229)</f>
        <v>4.2438564999999997</v>
      </c>
      <c r="H229">
        <f t="shared" si="14"/>
        <v>0.75</v>
      </c>
      <c r="I229">
        <f t="shared" si="15"/>
        <v>0</v>
      </c>
      <c r="J229">
        <f>IF(I228=0,0,C228-I228)</f>
        <v>0</v>
      </c>
    </row>
    <row r="230" spans="1:10" x14ac:dyDescent="0.25">
      <c r="A230" s="1">
        <v>39050</v>
      </c>
      <c r="B230">
        <v>5.6553599999999999</v>
      </c>
      <c r="C230">
        <v>5.99</v>
      </c>
      <c r="D230">
        <f>WEEKDAY(A230,14)</f>
        <v>7</v>
      </c>
      <c r="E230">
        <f t="shared" si="12"/>
        <v>0.25</v>
      </c>
      <c r="F230">
        <f t="shared" si="13"/>
        <v>4</v>
      </c>
      <c r="G230">
        <f>IF(F230&gt;F229,G229+B230*E230,B230*E230)</f>
        <v>5.6576965000000001</v>
      </c>
      <c r="H230">
        <f t="shared" si="14"/>
        <v>1</v>
      </c>
      <c r="I230">
        <f t="shared" si="15"/>
        <v>5.6576965000000001</v>
      </c>
      <c r="J230">
        <f>IF(I229=0,0,C229-I229)</f>
        <v>0</v>
      </c>
    </row>
    <row r="231" spans="1:10" x14ac:dyDescent="0.25">
      <c r="A231" s="1">
        <v>39051</v>
      </c>
      <c r="B231">
        <v>5.5715300000000001</v>
      </c>
      <c r="C231">
        <v>5.9850000000000003</v>
      </c>
      <c r="D231">
        <f>WEEKDAY(A231,14)</f>
        <v>1</v>
      </c>
      <c r="E231">
        <f t="shared" si="12"/>
        <v>0</v>
      </c>
      <c r="F231">
        <f t="shared" si="13"/>
        <v>1</v>
      </c>
      <c r="G231">
        <f>IF(F231&gt;F230,G230+B231*E231,B231*E231)</f>
        <v>0</v>
      </c>
      <c r="H231">
        <f t="shared" si="14"/>
        <v>0</v>
      </c>
      <c r="I231">
        <f t="shared" si="15"/>
        <v>0</v>
      </c>
      <c r="J231">
        <f>IF(I230=0,0,C230-I230)</f>
        <v>0.33230350000000008</v>
      </c>
    </row>
    <row r="232" spans="1:10" x14ac:dyDescent="0.25">
      <c r="A232" s="1">
        <v>39052</v>
      </c>
      <c r="B232">
        <v>5.5116399999999999</v>
      </c>
      <c r="C232">
        <v>5.9850000000000003</v>
      </c>
      <c r="D232">
        <f>WEEKDAY(A232,14)</f>
        <v>2</v>
      </c>
      <c r="E232">
        <f t="shared" si="12"/>
        <v>0</v>
      </c>
      <c r="F232">
        <f t="shared" si="13"/>
        <v>2</v>
      </c>
      <c r="G232">
        <f>IF(F232&gt;F231,G231+B232*E232,B232*E232)</f>
        <v>0</v>
      </c>
      <c r="H232">
        <f t="shared" si="14"/>
        <v>0</v>
      </c>
      <c r="I232">
        <f t="shared" si="15"/>
        <v>0</v>
      </c>
      <c r="J232">
        <f>IF(I231=0,0,C231-I231)</f>
        <v>0</v>
      </c>
    </row>
    <row r="233" spans="1:10" x14ac:dyDescent="0.25">
      <c r="A233" s="1">
        <v>39055</v>
      </c>
      <c r="B233">
        <v>5.5033500000000002</v>
      </c>
      <c r="C233">
        <v>5.9850000000000003</v>
      </c>
      <c r="D233">
        <f>WEEKDAY(A233,14)</f>
        <v>5</v>
      </c>
      <c r="E233">
        <f t="shared" si="12"/>
        <v>0.05</v>
      </c>
      <c r="F233">
        <f t="shared" si="13"/>
        <v>3</v>
      </c>
      <c r="G233">
        <f>IF(F233&gt;F232,G232+B233*E233,B233*E233)</f>
        <v>0.27516750000000001</v>
      </c>
      <c r="H233">
        <f t="shared" si="14"/>
        <v>0.05</v>
      </c>
      <c r="I233">
        <f t="shared" si="15"/>
        <v>0</v>
      </c>
      <c r="J233">
        <f>IF(I232=0,0,C232-I232)</f>
        <v>0</v>
      </c>
    </row>
    <row r="234" spans="1:10" x14ac:dyDescent="0.25">
      <c r="A234" s="1">
        <v>39056</v>
      </c>
      <c r="B234">
        <v>5.5082899999999997</v>
      </c>
      <c r="C234">
        <v>5.9850000000000003</v>
      </c>
      <c r="D234">
        <f>WEEKDAY(A234,14)</f>
        <v>6</v>
      </c>
      <c r="E234">
        <f t="shared" si="12"/>
        <v>0.7</v>
      </c>
      <c r="F234">
        <f t="shared" si="13"/>
        <v>4</v>
      </c>
      <c r="G234">
        <f>IF(F234&gt;F233,G233+B234*E234,B234*E234)</f>
        <v>4.1309704999999992</v>
      </c>
      <c r="H234">
        <f t="shared" si="14"/>
        <v>0.75</v>
      </c>
      <c r="I234">
        <f t="shared" si="15"/>
        <v>0</v>
      </c>
      <c r="J234">
        <f>IF(I233=0,0,C233-I233)</f>
        <v>0</v>
      </c>
    </row>
    <row r="235" spans="1:10" x14ac:dyDescent="0.25">
      <c r="A235" s="1">
        <v>39057</v>
      </c>
      <c r="B235">
        <v>5.5667099999999996</v>
      </c>
      <c r="C235">
        <v>5.9850000000000003</v>
      </c>
      <c r="D235">
        <f>WEEKDAY(A235,14)</f>
        <v>7</v>
      </c>
      <c r="E235">
        <f t="shared" si="12"/>
        <v>0.25</v>
      </c>
      <c r="F235">
        <f t="shared" si="13"/>
        <v>5</v>
      </c>
      <c r="G235">
        <f>IF(F235&gt;F234,G234+B235*E235,B235*E235)</f>
        <v>5.5226479999999993</v>
      </c>
      <c r="H235">
        <f t="shared" si="14"/>
        <v>1</v>
      </c>
      <c r="I235">
        <f t="shared" si="15"/>
        <v>5.5226479999999993</v>
      </c>
      <c r="J235">
        <f>IF(I234=0,0,C234-I234)</f>
        <v>0</v>
      </c>
    </row>
    <row r="236" spans="1:10" x14ac:dyDescent="0.25">
      <c r="A236" s="1">
        <v>39058</v>
      </c>
      <c r="B236">
        <v>5.5938800000000004</v>
      </c>
      <c r="C236">
        <v>5.97</v>
      </c>
      <c r="D236">
        <f>WEEKDAY(A236,14)</f>
        <v>1</v>
      </c>
      <c r="E236">
        <f t="shared" si="12"/>
        <v>0</v>
      </c>
      <c r="F236">
        <f t="shared" si="13"/>
        <v>1</v>
      </c>
      <c r="G236">
        <f>IF(F236&gt;F235,G235+B236*E236,B236*E236)</f>
        <v>0</v>
      </c>
      <c r="H236">
        <f t="shared" si="14"/>
        <v>0</v>
      </c>
      <c r="I236">
        <f t="shared" si="15"/>
        <v>0</v>
      </c>
      <c r="J236">
        <f>IF(I235=0,0,C235-I235)</f>
        <v>0.46235200000000098</v>
      </c>
    </row>
    <row r="237" spans="1:10" x14ac:dyDescent="0.25">
      <c r="A237" s="1">
        <v>39059</v>
      </c>
      <c r="B237">
        <v>5.6646400000000003</v>
      </c>
      <c r="C237">
        <v>5.97</v>
      </c>
      <c r="D237">
        <f>WEEKDAY(A237,14)</f>
        <v>2</v>
      </c>
      <c r="E237">
        <f t="shared" si="12"/>
        <v>0</v>
      </c>
      <c r="F237">
        <f t="shared" si="13"/>
        <v>2</v>
      </c>
      <c r="G237">
        <f>IF(F237&gt;F236,G236+B237*E237,B237*E237)</f>
        <v>0</v>
      </c>
      <c r="H237">
        <f t="shared" si="14"/>
        <v>0</v>
      </c>
      <c r="I237">
        <f t="shared" si="15"/>
        <v>0</v>
      </c>
      <c r="J237">
        <f>IF(I236=0,0,C236-I236)</f>
        <v>0</v>
      </c>
    </row>
    <row r="238" spans="1:10" x14ac:dyDescent="0.25">
      <c r="A238" s="1">
        <v>39062</v>
      </c>
      <c r="B238">
        <v>5.63028</v>
      </c>
      <c r="C238">
        <v>5.97</v>
      </c>
      <c r="D238">
        <f>WEEKDAY(A238,14)</f>
        <v>5</v>
      </c>
      <c r="E238">
        <f t="shared" si="12"/>
        <v>0.05</v>
      </c>
      <c r="F238">
        <f t="shared" si="13"/>
        <v>3</v>
      </c>
      <c r="G238">
        <f>IF(F238&gt;F237,G237+B238*E238,B238*E238)</f>
        <v>0.28151399999999999</v>
      </c>
      <c r="H238">
        <f t="shared" si="14"/>
        <v>0.05</v>
      </c>
      <c r="I238">
        <f t="shared" si="15"/>
        <v>0</v>
      </c>
      <c r="J238">
        <f>IF(I237=0,0,C237-I237)</f>
        <v>0</v>
      </c>
    </row>
    <row r="239" spans="1:10" x14ac:dyDescent="0.25">
      <c r="A239" s="1">
        <v>39063</v>
      </c>
      <c r="B239">
        <v>5.5712799999999998</v>
      </c>
      <c r="C239">
        <v>5.97</v>
      </c>
      <c r="D239">
        <f>WEEKDAY(A239,14)</f>
        <v>6</v>
      </c>
      <c r="E239">
        <f t="shared" si="12"/>
        <v>0.7</v>
      </c>
      <c r="F239">
        <f t="shared" si="13"/>
        <v>4</v>
      </c>
      <c r="G239">
        <f>IF(F239&gt;F238,G238+B239*E239,B239*E239)</f>
        <v>4.1814099999999996</v>
      </c>
      <c r="H239">
        <f t="shared" si="14"/>
        <v>0.75</v>
      </c>
      <c r="I239">
        <f t="shared" si="15"/>
        <v>0</v>
      </c>
      <c r="J239">
        <f>IF(I238=0,0,C238-I238)</f>
        <v>0</v>
      </c>
    </row>
    <row r="240" spans="1:10" x14ac:dyDescent="0.25">
      <c r="A240" s="1">
        <v>39064</v>
      </c>
      <c r="B240">
        <v>5.6597099999999996</v>
      </c>
      <c r="C240">
        <v>5.97</v>
      </c>
      <c r="D240">
        <f>WEEKDAY(A240,14)</f>
        <v>7</v>
      </c>
      <c r="E240">
        <f t="shared" si="12"/>
        <v>0.25</v>
      </c>
      <c r="F240">
        <f t="shared" si="13"/>
        <v>5</v>
      </c>
      <c r="G240">
        <f>IF(F240&gt;F239,G239+B240*E240,B240*E240)</f>
        <v>5.5963374999999997</v>
      </c>
      <c r="H240">
        <f t="shared" si="14"/>
        <v>1</v>
      </c>
      <c r="I240">
        <f t="shared" si="15"/>
        <v>5.5963374999999997</v>
      </c>
      <c r="J240">
        <f>IF(I239=0,0,C239-I239)</f>
        <v>0</v>
      </c>
    </row>
    <row r="241" spans="1:10" x14ac:dyDescent="0.25">
      <c r="A241" s="1">
        <v>39065</v>
      </c>
      <c r="B241">
        <v>5.6811400000000001</v>
      </c>
      <c r="C241">
        <v>5.98</v>
      </c>
      <c r="D241">
        <f>WEEKDAY(A241,14)</f>
        <v>1</v>
      </c>
      <c r="E241">
        <f t="shared" si="12"/>
        <v>0</v>
      </c>
      <c r="F241">
        <f t="shared" si="13"/>
        <v>1</v>
      </c>
      <c r="G241">
        <f>IF(F241&gt;F240,G240+B241*E241,B241*E241)</f>
        <v>0</v>
      </c>
      <c r="H241">
        <f t="shared" si="14"/>
        <v>0</v>
      </c>
      <c r="I241">
        <f t="shared" si="15"/>
        <v>0</v>
      </c>
      <c r="J241">
        <f>IF(I240=0,0,C240-I240)</f>
        <v>0.37366250000000001</v>
      </c>
    </row>
    <row r="242" spans="1:10" x14ac:dyDescent="0.25">
      <c r="A242" s="1">
        <v>39066</v>
      </c>
      <c r="B242">
        <v>5.6871400000000003</v>
      </c>
      <c r="C242">
        <v>5.98</v>
      </c>
      <c r="D242">
        <f>WEEKDAY(A242,14)</f>
        <v>2</v>
      </c>
      <c r="E242">
        <f t="shared" si="12"/>
        <v>0</v>
      </c>
      <c r="F242">
        <f t="shared" si="13"/>
        <v>2</v>
      </c>
      <c r="G242">
        <f>IF(F242&gt;F241,G241+B242*E242,B242*E242)</f>
        <v>0</v>
      </c>
      <c r="H242">
        <f t="shared" si="14"/>
        <v>0</v>
      </c>
      <c r="I242">
        <f t="shared" si="15"/>
        <v>0</v>
      </c>
      <c r="J242">
        <f>IF(I241=0,0,C241-I241)</f>
        <v>0</v>
      </c>
    </row>
    <row r="243" spans="1:10" x14ac:dyDescent="0.25">
      <c r="A243" s="1">
        <v>39069</v>
      </c>
      <c r="B243">
        <v>5.6945899999999998</v>
      </c>
      <c r="C243">
        <v>5.98</v>
      </c>
      <c r="D243">
        <f>WEEKDAY(A243,14)</f>
        <v>5</v>
      </c>
      <c r="E243">
        <f t="shared" si="12"/>
        <v>0.05</v>
      </c>
      <c r="F243">
        <f t="shared" si="13"/>
        <v>3</v>
      </c>
      <c r="G243">
        <f>IF(F243&gt;F242,G242+B243*E243,B243*E243)</f>
        <v>0.28472950000000002</v>
      </c>
      <c r="H243">
        <f t="shared" si="14"/>
        <v>0.05</v>
      </c>
      <c r="I243">
        <f t="shared" si="15"/>
        <v>0</v>
      </c>
      <c r="J243">
        <f>IF(I242=0,0,C242-I242)</f>
        <v>0</v>
      </c>
    </row>
    <row r="244" spans="1:10" x14ac:dyDescent="0.25">
      <c r="A244" s="1">
        <v>39070</v>
      </c>
      <c r="B244">
        <v>5.7004799999999998</v>
      </c>
      <c r="C244">
        <v>5.98</v>
      </c>
      <c r="D244">
        <f>WEEKDAY(A244,14)</f>
        <v>6</v>
      </c>
      <c r="E244">
        <f t="shared" si="12"/>
        <v>0.7</v>
      </c>
      <c r="F244">
        <f t="shared" si="13"/>
        <v>4</v>
      </c>
      <c r="G244">
        <f>IF(F244&gt;F243,G243+B244*E244,B244*E244)</f>
        <v>4.2750654999999993</v>
      </c>
      <c r="H244">
        <f t="shared" si="14"/>
        <v>0.75</v>
      </c>
      <c r="I244">
        <f t="shared" si="15"/>
        <v>0</v>
      </c>
      <c r="J244">
        <f>IF(I243=0,0,C243-I243)</f>
        <v>0</v>
      </c>
    </row>
    <row r="245" spans="1:10" x14ac:dyDescent="0.25">
      <c r="A245" s="1">
        <v>39071</v>
      </c>
      <c r="B245">
        <v>5.6925699999999999</v>
      </c>
      <c r="C245">
        <v>5.98</v>
      </c>
      <c r="D245">
        <f>WEEKDAY(A245,14)</f>
        <v>7</v>
      </c>
      <c r="E245">
        <f t="shared" si="12"/>
        <v>0.25</v>
      </c>
      <c r="F245">
        <f t="shared" si="13"/>
        <v>5</v>
      </c>
      <c r="G245">
        <f>IF(F245&gt;F244,G244+B245*E245,B245*E245)</f>
        <v>5.6982079999999993</v>
      </c>
      <c r="H245">
        <f t="shared" si="14"/>
        <v>1</v>
      </c>
      <c r="I245">
        <f t="shared" si="15"/>
        <v>5.6982079999999993</v>
      </c>
      <c r="J245">
        <f>IF(I244=0,0,C244-I244)</f>
        <v>0</v>
      </c>
    </row>
    <row r="246" spans="1:10" x14ac:dyDescent="0.25">
      <c r="A246" s="1">
        <v>39072</v>
      </c>
      <c r="B246">
        <v>5.6332899999999997</v>
      </c>
      <c r="C246">
        <v>6.03</v>
      </c>
      <c r="D246">
        <f>WEEKDAY(A246,14)</f>
        <v>1</v>
      </c>
      <c r="E246">
        <f t="shared" si="12"/>
        <v>0</v>
      </c>
      <c r="F246">
        <f t="shared" si="13"/>
        <v>1</v>
      </c>
      <c r="G246">
        <f>IF(F246&gt;F245,G245+B246*E246,B246*E246)</f>
        <v>0</v>
      </c>
      <c r="H246">
        <f t="shared" si="14"/>
        <v>0</v>
      </c>
      <c r="I246">
        <f t="shared" si="15"/>
        <v>0</v>
      </c>
      <c r="J246">
        <f>IF(I245=0,0,C245-I245)</f>
        <v>0.28179200000000115</v>
      </c>
    </row>
    <row r="247" spans="1:10" x14ac:dyDescent="0.25">
      <c r="A247" s="1">
        <v>39073</v>
      </c>
      <c r="B247">
        <v>5.7068700000000003</v>
      </c>
      <c r="C247">
        <v>6.03</v>
      </c>
      <c r="D247">
        <f>WEEKDAY(A247,14)</f>
        <v>2</v>
      </c>
      <c r="E247">
        <f t="shared" si="12"/>
        <v>0</v>
      </c>
      <c r="F247">
        <f t="shared" si="13"/>
        <v>2</v>
      </c>
      <c r="G247">
        <f>IF(F247&gt;F246,G246+B247*E247,B247*E247)</f>
        <v>0</v>
      </c>
      <c r="H247">
        <f t="shared" si="14"/>
        <v>0</v>
      </c>
      <c r="I247">
        <f t="shared" si="15"/>
        <v>0</v>
      </c>
      <c r="J247">
        <f>IF(I246=0,0,C246-I246)</f>
        <v>0</v>
      </c>
    </row>
    <row r="248" spans="1:10" x14ac:dyDescent="0.25">
      <c r="A248" s="1">
        <v>39077</v>
      </c>
      <c r="B248">
        <v>5.6947000000000001</v>
      </c>
      <c r="C248">
        <v>6.03</v>
      </c>
      <c r="D248">
        <f>WEEKDAY(A248,14)</f>
        <v>6</v>
      </c>
      <c r="E248">
        <f t="shared" si="12"/>
        <v>0.7</v>
      </c>
      <c r="F248">
        <f t="shared" si="13"/>
        <v>3</v>
      </c>
      <c r="G248">
        <f>IF(F248&gt;F247,G247+B248*E248,B248*E248)</f>
        <v>3.9862899999999999</v>
      </c>
      <c r="H248">
        <f t="shared" si="14"/>
        <v>0.7</v>
      </c>
      <c r="I248">
        <f t="shared" si="15"/>
        <v>0</v>
      </c>
      <c r="J248">
        <f>IF(I247=0,0,C247-I247)</f>
        <v>0</v>
      </c>
    </row>
    <row r="249" spans="1:10" x14ac:dyDescent="0.25">
      <c r="A249" s="1">
        <v>39078</v>
      </c>
      <c r="B249">
        <v>5.74329</v>
      </c>
      <c r="C249">
        <v>6.03</v>
      </c>
      <c r="D249">
        <f>WEEKDAY(A249,14)</f>
        <v>7</v>
      </c>
      <c r="E249">
        <f t="shared" si="12"/>
        <v>0.25</v>
      </c>
      <c r="F249">
        <f t="shared" si="13"/>
        <v>4</v>
      </c>
      <c r="G249">
        <f>IF(F249&gt;F248,G248+B249*E249,B249*E249)</f>
        <v>5.4221124999999999</v>
      </c>
      <c r="H249">
        <f t="shared" si="14"/>
        <v>0.95</v>
      </c>
      <c r="I249">
        <f t="shared" si="15"/>
        <v>5.7074868421052631</v>
      </c>
      <c r="J249">
        <f>IF(I248=0,0,C248-I248)</f>
        <v>0</v>
      </c>
    </row>
    <row r="250" spans="1:10" x14ac:dyDescent="0.25">
      <c r="A250" s="1">
        <v>39079</v>
      </c>
      <c r="B250">
        <v>5.7784800000000001</v>
      </c>
      <c r="C250">
        <v>6.03</v>
      </c>
      <c r="D250">
        <f>WEEKDAY(A250,14)</f>
        <v>1</v>
      </c>
      <c r="E250">
        <f t="shared" si="12"/>
        <v>0</v>
      </c>
      <c r="F250">
        <f t="shared" si="13"/>
        <v>1</v>
      </c>
      <c r="G250">
        <f>IF(F250&gt;F249,G249+B250*E250,B250*E250)</f>
        <v>0</v>
      </c>
      <c r="H250">
        <f t="shared" si="14"/>
        <v>0</v>
      </c>
      <c r="I250">
        <f t="shared" si="15"/>
        <v>0</v>
      </c>
      <c r="J250">
        <f>IF(I249=0,0,C249-I249)</f>
        <v>0.32251315789473711</v>
      </c>
    </row>
    <row r="251" spans="1:10" x14ac:dyDescent="0.25">
      <c r="A251" s="1">
        <v>39080</v>
      </c>
      <c r="B251">
        <v>5.7846599999999997</v>
      </c>
      <c r="C251">
        <v>6.03</v>
      </c>
      <c r="D251">
        <f>WEEKDAY(A251,14)</f>
        <v>2</v>
      </c>
      <c r="E251">
        <f t="shared" si="12"/>
        <v>0</v>
      </c>
      <c r="F251">
        <f t="shared" si="13"/>
        <v>2</v>
      </c>
      <c r="G251">
        <f>IF(F251&gt;F250,G250+B251*E251,B251*E251)</f>
        <v>0</v>
      </c>
      <c r="H251">
        <f t="shared" si="14"/>
        <v>0</v>
      </c>
      <c r="I251">
        <f t="shared" si="15"/>
        <v>0</v>
      </c>
      <c r="J251">
        <f>IF(I250=0,0,C250-I250)</f>
        <v>0</v>
      </c>
    </row>
    <row r="252" spans="1:10" x14ac:dyDescent="0.25">
      <c r="A252" s="1">
        <v>39084</v>
      </c>
      <c r="B252">
        <v>5.7513199999999998</v>
      </c>
      <c r="C252">
        <v>6.03</v>
      </c>
      <c r="D252">
        <f>WEEKDAY(A252,14)</f>
        <v>6</v>
      </c>
      <c r="E252">
        <f t="shared" si="12"/>
        <v>0.7</v>
      </c>
      <c r="F252">
        <f t="shared" si="13"/>
        <v>3</v>
      </c>
      <c r="G252">
        <f>IF(F252&gt;F251,G251+B252*E252,B252*E252)</f>
        <v>4.0259239999999998</v>
      </c>
      <c r="H252">
        <f t="shared" si="14"/>
        <v>0.7</v>
      </c>
      <c r="I252">
        <f t="shared" si="15"/>
        <v>0</v>
      </c>
      <c r="J252">
        <f>IF(I251=0,0,C251-I251)</f>
        <v>0</v>
      </c>
    </row>
    <row r="253" spans="1:10" x14ac:dyDescent="0.25">
      <c r="A253" s="1">
        <v>39085</v>
      </c>
      <c r="B253">
        <v>5.7061900000000003</v>
      </c>
      <c r="C253">
        <v>6.03</v>
      </c>
      <c r="D253">
        <f>WEEKDAY(A253,14)</f>
        <v>7</v>
      </c>
      <c r="E253">
        <f t="shared" si="12"/>
        <v>0.25</v>
      </c>
      <c r="F253">
        <f t="shared" si="13"/>
        <v>4</v>
      </c>
      <c r="G253">
        <f>IF(F253&gt;F252,G252+B253*E253,B253*E253)</f>
        <v>5.4524714999999997</v>
      </c>
      <c r="H253">
        <f t="shared" si="14"/>
        <v>0.95</v>
      </c>
      <c r="I253">
        <f t="shared" si="15"/>
        <v>5.7394436842105261</v>
      </c>
      <c r="J253">
        <f>IF(I252=0,0,C252-I252)</f>
        <v>0</v>
      </c>
    </row>
    <row r="254" spans="1:10" x14ac:dyDescent="0.25">
      <c r="A254" s="1">
        <v>39086</v>
      </c>
      <c r="B254">
        <v>5.64398</v>
      </c>
      <c r="C254">
        <v>6.06</v>
      </c>
      <c r="D254">
        <f>WEEKDAY(A254,14)</f>
        <v>1</v>
      </c>
      <c r="E254">
        <f t="shared" si="12"/>
        <v>0</v>
      </c>
      <c r="F254">
        <f t="shared" si="13"/>
        <v>1</v>
      </c>
      <c r="G254">
        <f>IF(F254&gt;F253,G253+B254*E254,B254*E254)</f>
        <v>0</v>
      </c>
      <c r="H254">
        <f t="shared" si="14"/>
        <v>0</v>
      </c>
      <c r="I254">
        <f t="shared" si="15"/>
        <v>0</v>
      </c>
      <c r="J254">
        <f>IF(I253=0,0,C253-I253)</f>
        <v>0.29055631578947416</v>
      </c>
    </row>
    <row r="255" spans="1:10" x14ac:dyDescent="0.25">
      <c r="A255" s="1">
        <v>39087</v>
      </c>
      <c r="B255">
        <v>5.6641000000000004</v>
      </c>
      <c r="C255">
        <v>6.06</v>
      </c>
      <c r="D255">
        <f>WEEKDAY(A255,14)</f>
        <v>2</v>
      </c>
      <c r="E255">
        <f t="shared" si="12"/>
        <v>0</v>
      </c>
      <c r="F255">
        <f t="shared" si="13"/>
        <v>2</v>
      </c>
      <c r="G255">
        <f>IF(F255&gt;F254,G254+B255*E255,B255*E255)</f>
        <v>0</v>
      </c>
      <c r="H255">
        <f t="shared" si="14"/>
        <v>0</v>
      </c>
      <c r="I255">
        <f t="shared" si="15"/>
        <v>0</v>
      </c>
      <c r="J255">
        <f>IF(I254=0,0,C254-I254)</f>
        <v>0</v>
      </c>
    </row>
    <row r="256" spans="1:10" x14ac:dyDescent="0.25">
      <c r="A256" s="1">
        <v>39090</v>
      </c>
      <c r="B256">
        <v>5.6893900000000004</v>
      </c>
      <c r="C256">
        <v>6.06</v>
      </c>
      <c r="D256">
        <f>WEEKDAY(A256,14)</f>
        <v>5</v>
      </c>
      <c r="E256">
        <f t="shared" si="12"/>
        <v>0.05</v>
      </c>
      <c r="F256">
        <f t="shared" si="13"/>
        <v>3</v>
      </c>
      <c r="G256">
        <f>IF(F256&gt;F255,G255+B256*E256,B256*E256)</f>
        <v>0.28446950000000004</v>
      </c>
      <c r="H256">
        <f t="shared" si="14"/>
        <v>0.05</v>
      </c>
      <c r="I256">
        <f t="shared" si="15"/>
        <v>0</v>
      </c>
      <c r="J256">
        <f>IF(I255=0,0,C255-I255)</f>
        <v>0</v>
      </c>
    </row>
    <row r="257" spans="1:10" x14ac:dyDescent="0.25">
      <c r="A257" s="1">
        <v>39091</v>
      </c>
      <c r="B257">
        <v>5.6923399999999997</v>
      </c>
      <c r="C257">
        <v>6.06</v>
      </c>
      <c r="D257">
        <f>WEEKDAY(A257,14)</f>
        <v>6</v>
      </c>
      <c r="E257">
        <f t="shared" si="12"/>
        <v>0.7</v>
      </c>
      <c r="F257">
        <f t="shared" si="13"/>
        <v>4</v>
      </c>
      <c r="G257">
        <f>IF(F257&gt;F256,G256+B257*E257,B257*E257)</f>
        <v>4.2691074999999996</v>
      </c>
      <c r="H257">
        <f t="shared" si="14"/>
        <v>0.75</v>
      </c>
      <c r="I257">
        <f t="shared" si="15"/>
        <v>0</v>
      </c>
      <c r="J257">
        <f>IF(I256=0,0,C256-I256)</f>
        <v>0</v>
      </c>
    </row>
    <row r="258" spans="1:10" x14ac:dyDescent="0.25">
      <c r="A258" s="1">
        <v>39092</v>
      </c>
      <c r="B258">
        <v>5.7309799999999997</v>
      </c>
      <c r="C258">
        <v>6.06</v>
      </c>
      <c r="D258">
        <f>WEEKDAY(A258,14)</f>
        <v>7</v>
      </c>
      <c r="E258">
        <f t="shared" si="12"/>
        <v>0.25</v>
      </c>
      <c r="F258">
        <f t="shared" si="13"/>
        <v>5</v>
      </c>
      <c r="G258">
        <f>IF(F258&gt;F257,G257+B258*E258,B258*E258)</f>
        <v>5.7018524999999993</v>
      </c>
      <c r="H258">
        <f t="shared" si="14"/>
        <v>1</v>
      </c>
      <c r="I258">
        <f t="shared" si="15"/>
        <v>5.7018524999999993</v>
      </c>
      <c r="J258">
        <f>IF(I257=0,0,C257-I257)</f>
        <v>0</v>
      </c>
    </row>
    <row r="259" spans="1:10" x14ac:dyDescent="0.25">
      <c r="A259" s="1">
        <v>39093</v>
      </c>
      <c r="B259">
        <v>5.7831299999999999</v>
      </c>
      <c r="C259">
        <v>6.08</v>
      </c>
      <c r="D259">
        <f>WEEKDAY(A259,14)</f>
        <v>1</v>
      </c>
      <c r="E259">
        <f t="shared" ref="E259:E322" si="16">VLOOKUP(D259,M$2:N$8,2,FALSE)</f>
        <v>0</v>
      </c>
      <c r="F259">
        <f t="shared" ref="F259:F322" si="17">IF(AND(D259&gt;D258,F258&lt;6),F258+1,1)</f>
        <v>1</v>
      </c>
      <c r="G259">
        <f>IF(F259&gt;F258,G258+B259*E259,B259*E259)</f>
        <v>0</v>
      </c>
      <c r="H259">
        <f t="shared" si="14"/>
        <v>0</v>
      </c>
      <c r="I259">
        <f t="shared" si="15"/>
        <v>0</v>
      </c>
      <c r="J259">
        <f>IF(I258=0,0,C258-I258)</f>
        <v>0.35814750000000029</v>
      </c>
    </row>
    <row r="260" spans="1:10" x14ac:dyDescent="0.25">
      <c r="A260" s="1">
        <v>39094</v>
      </c>
      <c r="B260">
        <v>5.7994899999999996</v>
      </c>
      <c r="C260">
        <v>6.08</v>
      </c>
      <c r="D260">
        <f>WEEKDAY(A260,14)</f>
        <v>2</v>
      </c>
      <c r="E260">
        <f t="shared" si="16"/>
        <v>0</v>
      </c>
      <c r="F260">
        <f t="shared" si="17"/>
        <v>2</v>
      </c>
      <c r="G260">
        <f>IF(F260&gt;F259,G259+B260*E260,B260*E260)</f>
        <v>0</v>
      </c>
      <c r="H260">
        <f t="shared" ref="H260:H323" si="18">IF(AND(F260&lt;6,F260&gt;F259),E260+H259,E260)</f>
        <v>0</v>
      </c>
      <c r="I260">
        <f t="shared" ref="I260:I323" si="19">IF(F260&gt;F261,G260/H260,0)</f>
        <v>0</v>
      </c>
      <c r="J260">
        <f>IF(I259=0,0,C259-I259)</f>
        <v>0</v>
      </c>
    </row>
    <row r="261" spans="1:10" x14ac:dyDescent="0.25">
      <c r="A261" s="1">
        <v>39098</v>
      </c>
      <c r="B261">
        <v>5.7928800000000003</v>
      </c>
      <c r="C261">
        <v>6.08</v>
      </c>
      <c r="D261">
        <f>WEEKDAY(A261,14)</f>
        <v>6</v>
      </c>
      <c r="E261">
        <f t="shared" si="16"/>
        <v>0.7</v>
      </c>
      <c r="F261">
        <f t="shared" si="17"/>
        <v>3</v>
      </c>
      <c r="G261">
        <f>IF(F261&gt;F260,G260+B261*E261,B261*E261)</f>
        <v>4.0550160000000002</v>
      </c>
      <c r="H261">
        <f t="shared" si="18"/>
        <v>0.7</v>
      </c>
      <c r="I261">
        <f t="shared" si="19"/>
        <v>0</v>
      </c>
      <c r="J261">
        <f>IF(I260=0,0,C260-I260)</f>
        <v>0</v>
      </c>
    </row>
    <row r="262" spans="1:10" x14ac:dyDescent="0.25">
      <c r="A262" s="1">
        <v>39099</v>
      </c>
      <c r="B262">
        <v>5.8289499999999999</v>
      </c>
      <c r="C262">
        <v>6.08</v>
      </c>
      <c r="D262">
        <f>WEEKDAY(A262,14)</f>
        <v>7</v>
      </c>
      <c r="E262">
        <f t="shared" si="16"/>
        <v>0.25</v>
      </c>
      <c r="F262">
        <f t="shared" si="17"/>
        <v>4</v>
      </c>
      <c r="G262">
        <f>IF(F262&gt;F261,G261+B262*E262,B262*E262)</f>
        <v>5.5122534999999999</v>
      </c>
      <c r="H262">
        <f t="shared" si="18"/>
        <v>0.95</v>
      </c>
      <c r="I262">
        <f t="shared" si="19"/>
        <v>5.8023721052631583</v>
      </c>
      <c r="J262">
        <f>IF(I261=0,0,C261-I261)</f>
        <v>0</v>
      </c>
    </row>
    <row r="263" spans="1:10" x14ac:dyDescent="0.25">
      <c r="A263" s="1">
        <v>39100</v>
      </c>
      <c r="B263">
        <v>5.8008100000000002</v>
      </c>
      <c r="C263">
        <v>6.1</v>
      </c>
      <c r="D263">
        <f>WEEKDAY(A263,14)</f>
        <v>1</v>
      </c>
      <c r="E263">
        <f t="shared" si="16"/>
        <v>0</v>
      </c>
      <c r="F263">
        <f t="shared" si="17"/>
        <v>1</v>
      </c>
      <c r="G263">
        <f>IF(F263&gt;F262,G262+B263*E263,B263*E263)</f>
        <v>0</v>
      </c>
      <c r="H263">
        <f t="shared" si="18"/>
        <v>0</v>
      </c>
      <c r="I263">
        <f t="shared" si="19"/>
        <v>0</v>
      </c>
      <c r="J263">
        <f>IF(I262=0,0,C262-I262)</f>
        <v>0.2776278947368418</v>
      </c>
    </row>
    <row r="264" spans="1:10" x14ac:dyDescent="0.25">
      <c r="A264" s="1">
        <v>39101</v>
      </c>
      <c r="B264">
        <v>5.8239799999999997</v>
      </c>
      <c r="C264">
        <v>6.1</v>
      </c>
      <c r="D264">
        <f>WEEKDAY(A264,14)</f>
        <v>2</v>
      </c>
      <c r="E264">
        <f t="shared" si="16"/>
        <v>0</v>
      </c>
      <c r="F264">
        <f t="shared" si="17"/>
        <v>2</v>
      </c>
      <c r="G264">
        <f>IF(F264&gt;F263,G263+B264*E264,B264*E264)</f>
        <v>0</v>
      </c>
      <c r="H264">
        <f t="shared" si="18"/>
        <v>0</v>
      </c>
      <c r="I264">
        <f t="shared" si="19"/>
        <v>0</v>
      </c>
      <c r="J264">
        <f>IF(I263=0,0,C263-I263)</f>
        <v>0</v>
      </c>
    </row>
    <row r="265" spans="1:10" x14ac:dyDescent="0.25">
      <c r="A265" s="1">
        <v>39104</v>
      </c>
      <c r="B265">
        <v>5.8119300000000003</v>
      </c>
      <c r="C265">
        <v>6.1</v>
      </c>
      <c r="D265">
        <f>WEEKDAY(A265,14)</f>
        <v>5</v>
      </c>
      <c r="E265">
        <f t="shared" si="16"/>
        <v>0.05</v>
      </c>
      <c r="F265">
        <f t="shared" si="17"/>
        <v>3</v>
      </c>
      <c r="G265">
        <f>IF(F265&gt;F264,G264+B265*E265,B265*E265)</f>
        <v>0.29059650000000004</v>
      </c>
      <c r="H265">
        <f t="shared" si="18"/>
        <v>0.05</v>
      </c>
      <c r="I265">
        <f t="shared" si="19"/>
        <v>0</v>
      </c>
      <c r="J265">
        <f>IF(I264=0,0,C264-I264)</f>
        <v>0</v>
      </c>
    </row>
    <row r="266" spans="1:10" x14ac:dyDescent="0.25">
      <c r="A266" s="1">
        <v>39105</v>
      </c>
      <c r="B266">
        <v>5.8571600000000004</v>
      </c>
      <c r="C266">
        <v>6.1</v>
      </c>
      <c r="D266">
        <f>WEEKDAY(A266,14)</f>
        <v>6</v>
      </c>
      <c r="E266">
        <f t="shared" si="16"/>
        <v>0.7</v>
      </c>
      <c r="F266">
        <f t="shared" si="17"/>
        <v>4</v>
      </c>
      <c r="G266">
        <f>IF(F266&gt;F265,G265+B266*E266,B266*E266)</f>
        <v>4.3906085000000008</v>
      </c>
      <c r="H266">
        <f t="shared" si="18"/>
        <v>0.75</v>
      </c>
      <c r="I266">
        <f t="shared" si="19"/>
        <v>0</v>
      </c>
      <c r="J266">
        <f>IF(I265=0,0,C265-I265)</f>
        <v>0</v>
      </c>
    </row>
    <row r="267" spans="1:10" x14ac:dyDescent="0.25">
      <c r="A267" s="1">
        <v>39106</v>
      </c>
      <c r="B267">
        <v>5.8689099999999996</v>
      </c>
      <c r="C267">
        <v>6.1</v>
      </c>
      <c r="D267">
        <f>WEEKDAY(A267,14)</f>
        <v>7</v>
      </c>
      <c r="E267">
        <f t="shared" si="16"/>
        <v>0.25</v>
      </c>
      <c r="F267">
        <f t="shared" si="17"/>
        <v>5</v>
      </c>
      <c r="G267">
        <f>IF(F267&gt;F266,G266+B267*E267,B267*E267)</f>
        <v>5.8578360000000007</v>
      </c>
      <c r="H267">
        <f t="shared" si="18"/>
        <v>1</v>
      </c>
      <c r="I267">
        <f t="shared" si="19"/>
        <v>5.8578360000000007</v>
      </c>
      <c r="J267">
        <f>IF(I266=0,0,C266-I266)</f>
        <v>0</v>
      </c>
    </row>
    <row r="268" spans="1:10" x14ac:dyDescent="0.25">
      <c r="A268" s="1">
        <v>39107</v>
      </c>
      <c r="B268">
        <v>5.93337</v>
      </c>
      <c r="C268">
        <v>6.19</v>
      </c>
      <c r="D268">
        <f>WEEKDAY(A268,14)</f>
        <v>1</v>
      </c>
      <c r="E268">
        <f t="shared" si="16"/>
        <v>0</v>
      </c>
      <c r="F268">
        <f t="shared" si="17"/>
        <v>1</v>
      </c>
      <c r="G268">
        <f>IF(F268&gt;F267,G267+B268*E268,B268*E268)</f>
        <v>0</v>
      </c>
      <c r="H268">
        <f t="shared" si="18"/>
        <v>0</v>
      </c>
      <c r="I268">
        <f t="shared" si="19"/>
        <v>0</v>
      </c>
      <c r="J268">
        <f>IF(I267=0,0,C267-I267)</f>
        <v>0.24216399999999894</v>
      </c>
    </row>
    <row r="269" spans="1:10" x14ac:dyDescent="0.25">
      <c r="A269" s="1">
        <v>39108</v>
      </c>
      <c r="B269">
        <v>5.9437899999999999</v>
      </c>
      <c r="C269">
        <v>6.19</v>
      </c>
      <c r="D269">
        <f>WEEKDAY(A269,14)</f>
        <v>2</v>
      </c>
      <c r="E269">
        <f t="shared" si="16"/>
        <v>0</v>
      </c>
      <c r="F269">
        <f t="shared" si="17"/>
        <v>2</v>
      </c>
      <c r="G269">
        <f>IF(F269&gt;F268,G268+B269*E269,B269*E269)</f>
        <v>0</v>
      </c>
      <c r="H269">
        <f t="shared" si="18"/>
        <v>0</v>
      </c>
      <c r="I269">
        <f t="shared" si="19"/>
        <v>0</v>
      </c>
      <c r="J269">
        <f>IF(I268=0,0,C268-I268)</f>
        <v>0</v>
      </c>
    </row>
    <row r="270" spans="1:10" x14ac:dyDescent="0.25">
      <c r="A270" s="1">
        <v>39111</v>
      </c>
      <c r="B270">
        <v>5.9644500000000003</v>
      </c>
      <c r="C270">
        <v>6.19</v>
      </c>
      <c r="D270">
        <f>WEEKDAY(A270,14)</f>
        <v>5</v>
      </c>
      <c r="E270">
        <f t="shared" si="16"/>
        <v>0.05</v>
      </c>
      <c r="F270">
        <f t="shared" si="17"/>
        <v>3</v>
      </c>
      <c r="G270">
        <f>IF(F270&gt;F269,G269+B270*E270,B270*E270)</f>
        <v>0.2982225</v>
      </c>
      <c r="H270">
        <f t="shared" si="18"/>
        <v>0.05</v>
      </c>
      <c r="I270">
        <f t="shared" si="19"/>
        <v>0</v>
      </c>
      <c r="J270">
        <f>IF(I269=0,0,C269-I269)</f>
        <v>0</v>
      </c>
    </row>
    <row r="271" spans="1:10" x14ac:dyDescent="0.25">
      <c r="A271" s="1">
        <v>39112</v>
      </c>
      <c r="B271">
        <v>5.9530399999999997</v>
      </c>
      <c r="C271">
        <v>6.19</v>
      </c>
      <c r="D271">
        <f>WEEKDAY(A271,14)</f>
        <v>6</v>
      </c>
      <c r="E271">
        <f t="shared" si="16"/>
        <v>0.7</v>
      </c>
      <c r="F271">
        <f t="shared" si="17"/>
        <v>4</v>
      </c>
      <c r="G271">
        <f>IF(F271&gt;F270,G270+B271*E271,B271*E271)</f>
        <v>4.4653504999999996</v>
      </c>
      <c r="H271">
        <f t="shared" si="18"/>
        <v>0.75</v>
      </c>
      <c r="I271">
        <f t="shared" si="19"/>
        <v>0</v>
      </c>
      <c r="J271">
        <f>IF(I270=0,0,C270-I270)</f>
        <v>0</v>
      </c>
    </row>
    <row r="272" spans="1:10" x14ac:dyDescent="0.25">
      <c r="A272" s="1">
        <v>39113</v>
      </c>
      <c r="B272">
        <v>5.89771</v>
      </c>
      <c r="C272">
        <v>6.19</v>
      </c>
      <c r="D272">
        <f>WEEKDAY(A272,14)</f>
        <v>7</v>
      </c>
      <c r="E272">
        <f t="shared" si="16"/>
        <v>0.25</v>
      </c>
      <c r="F272">
        <f t="shared" si="17"/>
        <v>5</v>
      </c>
      <c r="G272">
        <f>IF(F272&gt;F271,G271+B272*E272,B272*E272)</f>
        <v>5.9397779999999996</v>
      </c>
      <c r="H272">
        <f t="shared" si="18"/>
        <v>1</v>
      </c>
      <c r="I272">
        <f t="shared" si="19"/>
        <v>5.9397779999999996</v>
      </c>
      <c r="J272">
        <f>IF(I271=0,0,C271-I271)</f>
        <v>0</v>
      </c>
    </row>
    <row r="273" spans="1:10" x14ac:dyDescent="0.25">
      <c r="A273" s="1">
        <v>39114</v>
      </c>
      <c r="B273">
        <v>5.8977199999999996</v>
      </c>
      <c r="C273">
        <v>6.1050000000000004</v>
      </c>
      <c r="D273">
        <f>WEEKDAY(A273,14)</f>
        <v>1</v>
      </c>
      <c r="E273">
        <f t="shared" si="16"/>
        <v>0</v>
      </c>
      <c r="F273">
        <f t="shared" si="17"/>
        <v>1</v>
      </c>
      <c r="G273">
        <f>IF(F273&gt;F272,G272+B273*E273,B273*E273)</f>
        <v>0</v>
      </c>
      <c r="H273">
        <f t="shared" si="18"/>
        <v>0</v>
      </c>
      <c r="I273">
        <f t="shared" si="19"/>
        <v>0</v>
      </c>
      <c r="J273">
        <f>IF(I272=0,0,C272-I272)</f>
        <v>0.25022200000000083</v>
      </c>
    </row>
    <row r="274" spans="1:10" x14ac:dyDescent="0.25">
      <c r="A274" s="1">
        <v>39115</v>
      </c>
      <c r="B274">
        <v>5.86395</v>
      </c>
      <c r="C274">
        <v>6.1050000000000004</v>
      </c>
      <c r="D274">
        <f>WEEKDAY(A274,14)</f>
        <v>2</v>
      </c>
      <c r="E274">
        <f t="shared" si="16"/>
        <v>0</v>
      </c>
      <c r="F274">
        <f t="shared" si="17"/>
        <v>2</v>
      </c>
      <c r="G274">
        <f>IF(F274&gt;F273,G273+B274*E274,B274*E274)</f>
        <v>0</v>
      </c>
      <c r="H274">
        <f t="shared" si="18"/>
        <v>0</v>
      </c>
      <c r="I274">
        <f t="shared" si="19"/>
        <v>0</v>
      </c>
      <c r="J274">
        <f>IF(I273=0,0,C273-I273)</f>
        <v>0</v>
      </c>
    </row>
    <row r="275" spans="1:10" x14ac:dyDescent="0.25">
      <c r="A275" s="1">
        <v>39118</v>
      </c>
      <c r="B275">
        <v>5.8258000000000001</v>
      </c>
      <c r="C275">
        <v>6.1050000000000004</v>
      </c>
      <c r="D275">
        <f>WEEKDAY(A275,14)</f>
        <v>5</v>
      </c>
      <c r="E275">
        <f t="shared" si="16"/>
        <v>0.05</v>
      </c>
      <c r="F275">
        <f t="shared" si="17"/>
        <v>3</v>
      </c>
      <c r="G275">
        <f>IF(F275&gt;F274,G274+B275*E275,B275*E275)</f>
        <v>0.29128999999999999</v>
      </c>
      <c r="H275">
        <f t="shared" si="18"/>
        <v>0.05</v>
      </c>
      <c r="I275">
        <f t="shared" si="19"/>
        <v>0</v>
      </c>
      <c r="J275">
        <f>IF(I274=0,0,C274-I274)</f>
        <v>0</v>
      </c>
    </row>
    <row r="276" spans="1:10" x14ac:dyDescent="0.25">
      <c r="A276" s="1">
        <v>39119</v>
      </c>
      <c r="B276">
        <v>5.7884500000000001</v>
      </c>
      <c r="C276">
        <v>6.1050000000000004</v>
      </c>
      <c r="D276">
        <f>WEEKDAY(A276,14)</f>
        <v>6</v>
      </c>
      <c r="E276">
        <f t="shared" si="16"/>
        <v>0.7</v>
      </c>
      <c r="F276">
        <f t="shared" si="17"/>
        <v>4</v>
      </c>
      <c r="G276">
        <f>IF(F276&gt;F275,G275+B276*E276,B276*E276)</f>
        <v>4.3432050000000002</v>
      </c>
      <c r="H276">
        <f t="shared" si="18"/>
        <v>0.75</v>
      </c>
      <c r="I276">
        <f t="shared" si="19"/>
        <v>0</v>
      </c>
      <c r="J276">
        <f>IF(I275=0,0,C275-I275)</f>
        <v>0</v>
      </c>
    </row>
    <row r="277" spans="1:10" x14ac:dyDescent="0.25">
      <c r="A277" s="1">
        <v>39120</v>
      </c>
      <c r="B277">
        <v>5.7765000000000004</v>
      </c>
      <c r="C277">
        <v>6.1050000000000004</v>
      </c>
      <c r="D277">
        <f>WEEKDAY(A277,14)</f>
        <v>7</v>
      </c>
      <c r="E277">
        <f t="shared" si="16"/>
        <v>0.25</v>
      </c>
      <c r="F277">
        <f t="shared" si="17"/>
        <v>5</v>
      </c>
      <c r="G277">
        <f>IF(F277&gt;F276,G276+B277*E277,B277*E277)</f>
        <v>5.7873300000000008</v>
      </c>
      <c r="H277">
        <f t="shared" si="18"/>
        <v>1</v>
      </c>
      <c r="I277">
        <f t="shared" si="19"/>
        <v>5.7873300000000008</v>
      </c>
      <c r="J277">
        <f>IF(I276=0,0,C276-I276)</f>
        <v>0</v>
      </c>
    </row>
    <row r="278" spans="1:10" x14ac:dyDescent="0.25">
      <c r="A278" s="1">
        <v>39121</v>
      </c>
      <c r="B278">
        <v>5.7790699999999999</v>
      </c>
      <c r="C278">
        <v>6.15</v>
      </c>
      <c r="D278">
        <f>WEEKDAY(A278,14)</f>
        <v>1</v>
      </c>
      <c r="E278">
        <f t="shared" si="16"/>
        <v>0</v>
      </c>
      <c r="F278">
        <f t="shared" si="17"/>
        <v>1</v>
      </c>
      <c r="G278">
        <f>IF(F278&gt;F277,G277+B278*E278,B278*E278)</f>
        <v>0</v>
      </c>
      <c r="H278">
        <f t="shared" si="18"/>
        <v>0</v>
      </c>
      <c r="I278">
        <f t="shared" si="19"/>
        <v>0</v>
      </c>
      <c r="J278">
        <f>IF(I277=0,0,C277-I277)</f>
        <v>0.31766999999999967</v>
      </c>
    </row>
    <row r="279" spans="1:10" x14ac:dyDescent="0.25">
      <c r="A279" s="1">
        <v>39122</v>
      </c>
      <c r="B279">
        <v>5.8345500000000001</v>
      </c>
      <c r="C279">
        <v>6.15</v>
      </c>
      <c r="D279">
        <f>WEEKDAY(A279,14)</f>
        <v>2</v>
      </c>
      <c r="E279">
        <f t="shared" si="16"/>
        <v>0</v>
      </c>
      <c r="F279">
        <f t="shared" si="17"/>
        <v>2</v>
      </c>
      <c r="G279">
        <f>IF(F279&gt;F278,G278+B279*E279,B279*E279)</f>
        <v>0</v>
      </c>
      <c r="H279">
        <f t="shared" si="18"/>
        <v>0</v>
      </c>
      <c r="I279">
        <f t="shared" si="19"/>
        <v>0</v>
      </c>
      <c r="J279">
        <f>IF(I278=0,0,C278-I278)</f>
        <v>0</v>
      </c>
    </row>
    <row r="280" spans="1:10" x14ac:dyDescent="0.25">
      <c r="A280" s="1">
        <v>39125</v>
      </c>
      <c r="B280">
        <v>5.8661000000000003</v>
      </c>
      <c r="C280">
        <v>6.15</v>
      </c>
      <c r="D280">
        <f>WEEKDAY(A280,14)</f>
        <v>5</v>
      </c>
      <c r="E280">
        <f t="shared" si="16"/>
        <v>0.05</v>
      </c>
      <c r="F280">
        <f t="shared" si="17"/>
        <v>3</v>
      </c>
      <c r="G280">
        <f>IF(F280&gt;F279,G279+B280*E280,B280*E280)</f>
        <v>0.29330500000000004</v>
      </c>
      <c r="H280">
        <f t="shared" si="18"/>
        <v>0.05</v>
      </c>
      <c r="I280">
        <f t="shared" si="19"/>
        <v>0</v>
      </c>
      <c r="J280">
        <f>IF(I279=0,0,C279-I279)</f>
        <v>0</v>
      </c>
    </row>
    <row r="281" spans="1:10" x14ac:dyDescent="0.25">
      <c r="A281" s="1">
        <v>39126</v>
      </c>
      <c r="B281">
        <v>5.8739999999999997</v>
      </c>
      <c r="C281">
        <v>6.15</v>
      </c>
      <c r="D281">
        <f>WEEKDAY(A281,14)</f>
        <v>6</v>
      </c>
      <c r="E281">
        <f t="shared" si="16"/>
        <v>0.7</v>
      </c>
      <c r="F281">
        <f t="shared" si="17"/>
        <v>4</v>
      </c>
      <c r="G281">
        <f>IF(F281&gt;F280,G280+B281*E281,B281*E281)</f>
        <v>4.4051049999999998</v>
      </c>
      <c r="H281">
        <f t="shared" si="18"/>
        <v>0.75</v>
      </c>
      <c r="I281">
        <f t="shared" si="19"/>
        <v>0</v>
      </c>
      <c r="J281">
        <f>IF(I280=0,0,C280-I280)</f>
        <v>0</v>
      </c>
    </row>
    <row r="282" spans="1:10" x14ac:dyDescent="0.25">
      <c r="A282" s="1">
        <v>39127</v>
      </c>
      <c r="B282">
        <v>5.7817100000000003</v>
      </c>
      <c r="C282">
        <v>6.15</v>
      </c>
      <c r="D282">
        <f>WEEKDAY(A282,14)</f>
        <v>7</v>
      </c>
      <c r="E282">
        <f t="shared" si="16"/>
        <v>0.25</v>
      </c>
      <c r="F282">
        <f t="shared" si="17"/>
        <v>5</v>
      </c>
      <c r="G282">
        <f>IF(F282&gt;F281,G281+B282*E282,B282*E282)</f>
        <v>5.8505324999999999</v>
      </c>
      <c r="H282">
        <f t="shared" si="18"/>
        <v>1</v>
      </c>
      <c r="I282">
        <f t="shared" si="19"/>
        <v>5.8505324999999999</v>
      </c>
      <c r="J282">
        <f>IF(I281=0,0,C281-I281)</f>
        <v>0</v>
      </c>
    </row>
    <row r="283" spans="1:10" x14ac:dyDescent="0.25">
      <c r="A283" s="1">
        <v>39128</v>
      </c>
      <c r="B283">
        <v>5.7657499999999997</v>
      </c>
      <c r="C283">
        <v>6.0949999999999998</v>
      </c>
      <c r="D283">
        <f>WEEKDAY(A283,14)</f>
        <v>1</v>
      </c>
      <c r="E283">
        <f t="shared" si="16"/>
        <v>0</v>
      </c>
      <c r="F283">
        <f t="shared" si="17"/>
        <v>1</v>
      </c>
      <c r="G283">
        <f>IF(F283&gt;F282,G282+B283*E283,B283*E283)</f>
        <v>0</v>
      </c>
      <c r="H283">
        <f t="shared" si="18"/>
        <v>0</v>
      </c>
      <c r="I283">
        <f t="shared" si="19"/>
        <v>0</v>
      </c>
      <c r="J283">
        <f>IF(I282=0,0,C282-I282)</f>
        <v>0.29946750000000044</v>
      </c>
    </row>
    <row r="284" spans="1:10" x14ac:dyDescent="0.25">
      <c r="A284" s="1">
        <v>39129</v>
      </c>
      <c r="B284">
        <v>5.7670399999999997</v>
      </c>
      <c r="C284">
        <v>6.0949999999999998</v>
      </c>
      <c r="D284">
        <f>WEEKDAY(A284,14)</f>
        <v>2</v>
      </c>
      <c r="E284">
        <f t="shared" si="16"/>
        <v>0</v>
      </c>
      <c r="F284">
        <f t="shared" si="17"/>
        <v>2</v>
      </c>
      <c r="G284">
        <f>IF(F284&gt;F283,G283+B284*E284,B284*E284)</f>
        <v>0</v>
      </c>
      <c r="H284">
        <f t="shared" si="18"/>
        <v>0</v>
      </c>
      <c r="I284">
        <f t="shared" si="19"/>
        <v>0</v>
      </c>
      <c r="J284">
        <f>IF(I283=0,0,C283-I283)</f>
        <v>0</v>
      </c>
    </row>
    <row r="285" spans="1:10" x14ac:dyDescent="0.25">
      <c r="A285" s="1">
        <v>39133</v>
      </c>
      <c r="B285">
        <v>5.7596699999999998</v>
      </c>
      <c r="C285">
        <v>6.0949999999999998</v>
      </c>
      <c r="D285">
        <f>WEEKDAY(A285,14)</f>
        <v>6</v>
      </c>
      <c r="E285">
        <f t="shared" si="16"/>
        <v>0.7</v>
      </c>
      <c r="F285">
        <f t="shared" si="17"/>
        <v>3</v>
      </c>
      <c r="G285">
        <f>IF(F285&gt;F284,G284+B285*E285,B285*E285)</f>
        <v>4.0317689999999997</v>
      </c>
      <c r="H285">
        <f t="shared" si="18"/>
        <v>0.7</v>
      </c>
      <c r="I285">
        <f t="shared" si="19"/>
        <v>0</v>
      </c>
      <c r="J285">
        <f>IF(I284=0,0,C284-I284)</f>
        <v>0</v>
      </c>
    </row>
    <row r="286" spans="1:10" x14ac:dyDescent="0.25">
      <c r="A286" s="1">
        <v>39134</v>
      </c>
      <c r="B286">
        <v>5.7664799999999996</v>
      </c>
      <c r="C286">
        <v>6.0949999999999998</v>
      </c>
      <c r="D286">
        <f>WEEKDAY(A286,14)</f>
        <v>7</v>
      </c>
      <c r="E286">
        <f t="shared" si="16"/>
        <v>0.25</v>
      </c>
      <c r="F286">
        <f t="shared" si="17"/>
        <v>4</v>
      </c>
      <c r="G286">
        <f>IF(F286&gt;F285,G285+B286*E286,B286*E286)</f>
        <v>5.4733889999999992</v>
      </c>
      <c r="H286">
        <f t="shared" si="18"/>
        <v>0.95</v>
      </c>
      <c r="I286">
        <f t="shared" si="19"/>
        <v>5.7614621052631572</v>
      </c>
      <c r="J286">
        <f>IF(I285=0,0,C285-I285)</f>
        <v>0</v>
      </c>
    </row>
    <row r="287" spans="1:10" x14ac:dyDescent="0.25">
      <c r="A287" s="1">
        <v>39135</v>
      </c>
      <c r="B287">
        <v>5.7982500000000003</v>
      </c>
      <c r="C287">
        <v>6.03</v>
      </c>
      <c r="D287">
        <f>WEEKDAY(A287,14)</f>
        <v>1</v>
      </c>
      <c r="E287">
        <f t="shared" si="16"/>
        <v>0</v>
      </c>
      <c r="F287">
        <f t="shared" si="17"/>
        <v>1</v>
      </c>
      <c r="G287">
        <f>IF(F287&gt;F286,G286+B287*E287,B287*E287)</f>
        <v>0</v>
      </c>
      <c r="H287">
        <f t="shared" si="18"/>
        <v>0</v>
      </c>
      <c r="I287">
        <f t="shared" si="19"/>
        <v>0</v>
      </c>
      <c r="J287">
        <f>IF(I286=0,0,C286-I286)</f>
        <v>0.33353789473684259</v>
      </c>
    </row>
    <row r="288" spans="1:10" x14ac:dyDescent="0.25">
      <c r="A288" s="1">
        <v>39136</v>
      </c>
      <c r="B288">
        <v>5.7685700000000004</v>
      </c>
      <c r="C288">
        <v>6.03</v>
      </c>
      <c r="D288">
        <f>WEEKDAY(A288,14)</f>
        <v>2</v>
      </c>
      <c r="E288">
        <f t="shared" si="16"/>
        <v>0</v>
      </c>
      <c r="F288">
        <f t="shared" si="17"/>
        <v>2</v>
      </c>
      <c r="G288">
        <f>IF(F288&gt;F287,G287+B288*E288,B288*E288)</f>
        <v>0</v>
      </c>
      <c r="H288">
        <f t="shared" si="18"/>
        <v>0</v>
      </c>
      <c r="I288">
        <f t="shared" si="19"/>
        <v>0</v>
      </c>
      <c r="J288">
        <f>IF(I287=0,0,C287-I287)</f>
        <v>0</v>
      </c>
    </row>
    <row r="289" spans="1:10" x14ac:dyDescent="0.25">
      <c r="A289" s="1">
        <v>39139</v>
      </c>
      <c r="B289">
        <v>5.7385599999999997</v>
      </c>
      <c r="C289">
        <v>6.03</v>
      </c>
      <c r="D289">
        <f>WEEKDAY(A289,14)</f>
        <v>5</v>
      </c>
      <c r="E289">
        <f t="shared" si="16"/>
        <v>0.05</v>
      </c>
      <c r="F289">
        <f t="shared" si="17"/>
        <v>3</v>
      </c>
      <c r="G289">
        <f>IF(F289&gt;F288,G288+B289*E289,B289*E289)</f>
        <v>0.28692800000000002</v>
      </c>
      <c r="H289">
        <f t="shared" si="18"/>
        <v>0.05</v>
      </c>
      <c r="I289">
        <f t="shared" si="19"/>
        <v>0</v>
      </c>
      <c r="J289">
        <f>IF(I288=0,0,C288-I288)</f>
        <v>0</v>
      </c>
    </row>
    <row r="290" spans="1:10" x14ac:dyDescent="0.25">
      <c r="A290" s="1">
        <v>39140</v>
      </c>
      <c r="B290">
        <v>5.6660000000000004</v>
      </c>
      <c r="C290">
        <v>6.03</v>
      </c>
      <c r="D290">
        <f>WEEKDAY(A290,14)</f>
        <v>6</v>
      </c>
      <c r="E290">
        <f t="shared" si="16"/>
        <v>0.7</v>
      </c>
      <c r="F290">
        <f t="shared" si="17"/>
        <v>4</v>
      </c>
      <c r="G290">
        <f>IF(F290&gt;F289,G289+B290*E290,B290*E290)</f>
        <v>4.2531280000000002</v>
      </c>
      <c r="H290">
        <f t="shared" si="18"/>
        <v>0.75</v>
      </c>
      <c r="I290">
        <f t="shared" si="19"/>
        <v>0</v>
      </c>
      <c r="J290">
        <f>IF(I289=0,0,C289-I289)</f>
        <v>0</v>
      </c>
    </row>
    <row r="291" spans="1:10" x14ac:dyDescent="0.25">
      <c r="A291" s="1">
        <v>39141</v>
      </c>
      <c r="B291">
        <v>5.6979300000000004</v>
      </c>
      <c r="C291">
        <v>6.03</v>
      </c>
      <c r="D291">
        <f>WEEKDAY(A291,14)</f>
        <v>7</v>
      </c>
      <c r="E291">
        <f t="shared" si="16"/>
        <v>0.25</v>
      </c>
      <c r="F291">
        <f t="shared" si="17"/>
        <v>5</v>
      </c>
      <c r="G291">
        <f>IF(F291&gt;F290,G290+B291*E291,B291*E291)</f>
        <v>5.6776105000000001</v>
      </c>
      <c r="H291">
        <f t="shared" si="18"/>
        <v>1</v>
      </c>
      <c r="I291">
        <f t="shared" si="19"/>
        <v>5.6776105000000001</v>
      </c>
      <c r="J291">
        <f>IF(I290=0,0,C290-I290)</f>
        <v>0</v>
      </c>
    </row>
    <row r="292" spans="1:10" x14ac:dyDescent="0.25">
      <c r="A292" s="1">
        <v>39142</v>
      </c>
      <c r="B292">
        <v>5.7008799999999997</v>
      </c>
      <c r="C292">
        <v>6.0149999999999997</v>
      </c>
      <c r="D292">
        <f>WEEKDAY(A292,14)</f>
        <v>1</v>
      </c>
      <c r="E292">
        <f t="shared" si="16"/>
        <v>0</v>
      </c>
      <c r="F292">
        <f t="shared" si="17"/>
        <v>1</v>
      </c>
      <c r="G292">
        <f>IF(F292&gt;F291,G291+B292*E292,B292*E292)</f>
        <v>0</v>
      </c>
      <c r="H292">
        <f t="shared" si="18"/>
        <v>0</v>
      </c>
      <c r="I292">
        <f t="shared" si="19"/>
        <v>0</v>
      </c>
      <c r="J292">
        <f>IF(I291=0,0,C291-I291)</f>
        <v>0.35238950000000013</v>
      </c>
    </row>
    <row r="293" spans="1:10" x14ac:dyDescent="0.25">
      <c r="A293" s="1">
        <v>39143</v>
      </c>
      <c r="B293">
        <v>5.6856999999999998</v>
      </c>
      <c r="C293">
        <v>6.0149999999999997</v>
      </c>
      <c r="D293">
        <f>WEEKDAY(A293,14)</f>
        <v>2</v>
      </c>
      <c r="E293">
        <f t="shared" si="16"/>
        <v>0</v>
      </c>
      <c r="F293">
        <f t="shared" si="17"/>
        <v>2</v>
      </c>
      <c r="G293">
        <f>IF(F293&gt;F292,G292+B293*E293,B293*E293)</f>
        <v>0</v>
      </c>
      <c r="H293">
        <f t="shared" si="18"/>
        <v>0</v>
      </c>
      <c r="I293">
        <f t="shared" si="19"/>
        <v>0</v>
      </c>
      <c r="J293">
        <f>IF(I292=0,0,C292-I292)</f>
        <v>0</v>
      </c>
    </row>
    <row r="294" spans="1:10" x14ac:dyDescent="0.25">
      <c r="A294" s="1">
        <v>39146</v>
      </c>
      <c r="B294">
        <v>5.6960199999999999</v>
      </c>
      <c r="C294">
        <v>6.0149999999999997</v>
      </c>
      <c r="D294">
        <f>WEEKDAY(A294,14)</f>
        <v>5</v>
      </c>
      <c r="E294">
        <f t="shared" si="16"/>
        <v>0.05</v>
      </c>
      <c r="F294">
        <f t="shared" si="17"/>
        <v>3</v>
      </c>
      <c r="G294">
        <f>IF(F294&gt;F293,G293+B294*E294,B294*E294)</f>
        <v>0.28480100000000003</v>
      </c>
      <c r="H294">
        <f t="shared" si="18"/>
        <v>0.05</v>
      </c>
      <c r="I294">
        <f t="shared" si="19"/>
        <v>0</v>
      </c>
      <c r="J294">
        <f>IF(I293=0,0,C293-I293)</f>
        <v>0</v>
      </c>
    </row>
    <row r="295" spans="1:10" x14ac:dyDescent="0.25">
      <c r="A295" s="1">
        <v>39147</v>
      </c>
      <c r="B295">
        <v>5.6803100000000004</v>
      </c>
      <c r="C295">
        <v>6.0149999999999997</v>
      </c>
      <c r="D295">
        <f>WEEKDAY(A295,14)</f>
        <v>6</v>
      </c>
      <c r="E295">
        <f t="shared" si="16"/>
        <v>0.7</v>
      </c>
      <c r="F295">
        <f t="shared" si="17"/>
        <v>4</v>
      </c>
      <c r="G295">
        <f>IF(F295&gt;F294,G294+B295*E295,B295*E295)</f>
        <v>4.261018</v>
      </c>
      <c r="H295">
        <f t="shared" si="18"/>
        <v>0.75</v>
      </c>
      <c r="I295">
        <f t="shared" si="19"/>
        <v>0</v>
      </c>
      <c r="J295">
        <f>IF(I294=0,0,C294-I294)</f>
        <v>0</v>
      </c>
    </row>
    <row r="296" spans="1:10" x14ac:dyDescent="0.25">
      <c r="A296" s="1">
        <v>39148</v>
      </c>
      <c r="B296">
        <v>5.6406499999999999</v>
      </c>
      <c r="C296">
        <v>6.0149999999999997</v>
      </c>
      <c r="D296">
        <f>WEEKDAY(A296,14)</f>
        <v>7</v>
      </c>
      <c r="E296">
        <f t="shared" si="16"/>
        <v>0.25</v>
      </c>
      <c r="F296">
        <f t="shared" si="17"/>
        <v>5</v>
      </c>
      <c r="G296">
        <f>IF(F296&gt;F295,G295+B296*E296,B296*E296)</f>
        <v>5.6711805000000002</v>
      </c>
      <c r="H296">
        <f t="shared" si="18"/>
        <v>1</v>
      </c>
      <c r="I296">
        <f t="shared" si="19"/>
        <v>5.6711805000000002</v>
      </c>
      <c r="J296">
        <f>IF(I295=0,0,C295-I295)</f>
        <v>0</v>
      </c>
    </row>
    <row r="297" spans="1:10" x14ac:dyDescent="0.25">
      <c r="A297" s="1">
        <v>39149</v>
      </c>
      <c r="B297">
        <v>5.6362500000000004</v>
      </c>
      <c r="C297">
        <v>5.99</v>
      </c>
      <c r="D297">
        <f>WEEKDAY(A297,14)</f>
        <v>1</v>
      </c>
      <c r="E297">
        <f t="shared" si="16"/>
        <v>0</v>
      </c>
      <c r="F297">
        <f t="shared" si="17"/>
        <v>1</v>
      </c>
      <c r="G297">
        <f>IF(F297&gt;F296,G296+B297*E297,B297*E297)</f>
        <v>0</v>
      </c>
      <c r="H297">
        <f t="shared" si="18"/>
        <v>0</v>
      </c>
      <c r="I297">
        <f t="shared" si="19"/>
        <v>0</v>
      </c>
      <c r="J297">
        <f>IF(I296=0,0,C296-I296)</f>
        <v>0.3438194999999995</v>
      </c>
    </row>
    <row r="298" spans="1:10" x14ac:dyDescent="0.25">
      <c r="A298" s="1">
        <v>39150</v>
      </c>
      <c r="B298">
        <v>5.7082800000000002</v>
      </c>
      <c r="C298">
        <v>5.99</v>
      </c>
      <c r="D298">
        <f>WEEKDAY(A298,14)</f>
        <v>2</v>
      </c>
      <c r="E298">
        <f t="shared" si="16"/>
        <v>0</v>
      </c>
      <c r="F298">
        <f t="shared" si="17"/>
        <v>2</v>
      </c>
      <c r="G298">
        <f>IF(F298&gt;F297,G297+B298*E298,B298*E298)</f>
        <v>0</v>
      </c>
      <c r="H298">
        <f t="shared" si="18"/>
        <v>0</v>
      </c>
      <c r="I298">
        <f t="shared" si="19"/>
        <v>0</v>
      </c>
      <c r="J298">
        <f>IF(I297=0,0,C297-I297)</f>
        <v>0</v>
      </c>
    </row>
    <row r="299" spans="1:10" x14ac:dyDescent="0.25">
      <c r="A299" s="1">
        <v>39153</v>
      </c>
      <c r="B299">
        <v>5.6818</v>
      </c>
      <c r="C299">
        <v>5.99</v>
      </c>
      <c r="D299">
        <f>WEEKDAY(A299,14)</f>
        <v>5</v>
      </c>
      <c r="E299">
        <f t="shared" si="16"/>
        <v>0.05</v>
      </c>
      <c r="F299">
        <f t="shared" si="17"/>
        <v>3</v>
      </c>
      <c r="G299">
        <f>IF(F299&gt;F298,G298+B299*E299,B299*E299)</f>
        <v>0.28409000000000001</v>
      </c>
      <c r="H299">
        <f t="shared" si="18"/>
        <v>0.05</v>
      </c>
      <c r="I299">
        <f t="shared" si="19"/>
        <v>0</v>
      </c>
      <c r="J299">
        <f>IF(I298=0,0,C298-I298)</f>
        <v>0</v>
      </c>
    </row>
    <row r="300" spans="1:10" x14ac:dyDescent="0.25">
      <c r="A300" s="1">
        <v>39154</v>
      </c>
      <c r="B300">
        <v>5.6249900000000004</v>
      </c>
      <c r="C300">
        <v>5.99</v>
      </c>
      <c r="D300">
        <f>WEEKDAY(A300,14)</f>
        <v>6</v>
      </c>
      <c r="E300">
        <f t="shared" si="16"/>
        <v>0.7</v>
      </c>
      <c r="F300">
        <f t="shared" si="17"/>
        <v>4</v>
      </c>
      <c r="G300">
        <f>IF(F300&gt;F299,G299+B300*E300,B300*E300)</f>
        <v>4.2215829999999999</v>
      </c>
      <c r="H300">
        <f t="shared" si="18"/>
        <v>0.75</v>
      </c>
      <c r="I300">
        <f t="shared" si="19"/>
        <v>0</v>
      </c>
      <c r="J300">
        <f>IF(I299=0,0,C299-I299)</f>
        <v>0</v>
      </c>
    </row>
    <row r="301" spans="1:10" x14ac:dyDescent="0.25">
      <c r="A301" s="1">
        <v>39155</v>
      </c>
      <c r="B301">
        <v>5.6497799999999998</v>
      </c>
      <c r="C301">
        <v>5.99</v>
      </c>
      <c r="D301">
        <f>WEEKDAY(A301,14)</f>
        <v>7</v>
      </c>
      <c r="E301">
        <f t="shared" si="16"/>
        <v>0.25</v>
      </c>
      <c r="F301">
        <f t="shared" si="17"/>
        <v>5</v>
      </c>
      <c r="G301">
        <f>IF(F301&gt;F300,G300+B301*E301,B301*E301)</f>
        <v>5.6340279999999998</v>
      </c>
      <c r="H301">
        <f t="shared" si="18"/>
        <v>1</v>
      </c>
      <c r="I301">
        <f t="shared" si="19"/>
        <v>5.6340279999999998</v>
      </c>
      <c r="J301">
        <f>IF(I300=0,0,C300-I300)</f>
        <v>0</v>
      </c>
    </row>
    <row r="302" spans="1:10" x14ac:dyDescent="0.25">
      <c r="A302" s="1">
        <v>39156</v>
      </c>
      <c r="B302">
        <v>5.6610699999999996</v>
      </c>
      <c r="C302">
        <v>6.01</v>
      </c>
      <c r="D302">
        <f>WEEKDAY(A302,14)</f>
        <v>1</v>
      </c>
      <c r="E302">
        <f t="shared" si="16"/>
        <v>0</v>
      </c>
      <c r="F302">
        <f t="shared" si="17"/>
        <v>1</v>
      </c>
      <c r="G302">
        <f>IF(F302&gt;F301,G301+B302*E302,B302*E302)</f>
        <v>0</v>
      </c>
      <c r="H302">
        <f t="shared" si="18"/>
        <v>0</v>
      </c>
      <c r="I302">
        <f t="shared" si="19"/>
        <v>0</v>
      </c>
      <c r="J302">
        <f>IF(I301=0,0,C301-I301)</f>
        <v>0.3559720000000004</v>
      </c>
    </row>
    <row r="303" spans="1:10" x14ac:dyDescent="0.25">
      <c r="A303" s="1">
        <v>39157</v>
      </c>
      <c r="B303">
        <v>5.6711600000000004</v>
      </c>
      <c r="C303">
        <v>6.01</v>
      </c>
      <c r="D303">
        <f>WEEKDAY(A303,14)</f>
        <v>2</v>
      </c>
      <c r="E303">
        <f t="shared" si="16"/>
        <v>0</v>
      </c>
      <c r="F303">
        <f t="shared" si="17"/>
        <v>2</v>
      </c>
      <c r="G303">
        <f>IF(F303&gt;F302,G302+B303*E303,B303*E303)</f>
        <v>0</v>
      </c>
      <c r="H303">
        <f t="shared" si="18"/>
        <v>0</v>
      </c>
      <c r="I303">
        <f t="shared" si="19"/>
        <v>0</v>
      </c>
      <c r="J303">
        <f>IF(I302=0,0,C302-I302)</f>
        <v>0</v>
      </c>
    </row>
    <row r="304" spans="1:10" x14ac:dyDescent="0.25">
      <c r="A304" s="1">
        <v>39160</v>
      </c>
      <c r="B304">
        <v>5.6853199999999999</v>
      </c>
      <c r="C304">
        <v>6.01</v>
      </c>
      <c r="D304">
        <f>WEEKDAY(A304,14)</f>
        <v>5</v>
      </c>
      <c r="E304">
        <f t="shared" si="16"/>
        <v>0.05</v>
      </c>
      <c r="F304">
        <f t="shared" si="17"/>
        <v>3</v>
      </c>
      <c r="G304">
        <f>IF(F304&gt;F303,G303+B304*E304,B304*E304)</f>
        <v>0.28426600000000002</v>
      </c>
      <c r="H304">
        <f t="shared" si="18"/>
        <v>0.05</v>
      </c>
      <c r="I304">
        <f t="shared" si="19"/>
        <v>0</v>
      </c>
      <c r="J304">
        <f>IF(I303=0,0,C303-I303)</f>
        <v>0</v>
      </c>
    </row>
    <row r="305" spans="1:10" x14ac:dyDescent="0.25">
      <c r="A305" s="1">
        <v>39161</v>
      </c>
      <c r="B305">
        <v>5.6575800000000003</v>
      </c>
      <c r="C305">
        <v>6.01</v>
      </c>
      <c r="D305">
        <f>WEEKDAY(A305,14)</f>
        <v>6</v>
      </c>
      <c r="E305">
        <f t="shared" si="16"/>
        <v>0.7</v>
      </c>
      <c r="F305">
        <f t="shared" si="17"/>
        <v>4</v>
      </c>
      <c r="G305">
        <f>IF(F305&gt;F304,G304+B305*E305,B305*E305)</f>
        <v>4.2445719999999998</v>
      </c>
      <c r="H305">
        <f t="shared" si="18"/>
        <v>0.75</v>
      </c>
      <c r="I305">
        <f t="shared" si="19"/>
        <v>0</v>
      </c>
      <c r="J305">
        <f>IF(I304=0,0,C304-I304)</f>
        <v>0</v>
      </c>
    </row>
    <row r="306" spans="1:10" x14ac:dyDescent="0.25">
      <c r="A306" s="1">
        <v>39162</v>
      </c>
      <c r="B306">
        <v>5.6112799999999998</v>
      </c>
      <c r="C306">
        <v>6.01</v>
      </c>
      <c r="D306">
        <f>WEEKDAY(A306,14)</f>
        <v>7</v>
      </c>
      <c r="E306">
        <f t="shared" si="16"/>
        <v>0.25</v>
      </c>
      <c r="F306">
        <f t="shared" si="17"/>
        <v>5</v>
      </c>
      <c r="G306">
        <f>IF(F306&gt;F305,G305+B306*E306,B306*E306)</f>
        <v>5.647392</v>
      </c>
      <c r="H306">
        <f t="shared" si="18"/>
        <v>1</v>
      </c>
      <c r="I306">
        <f t="shared" si="19"/>
        <v>5.647392</v>
      </c>
      <c r="J306">
        <f>IF(I305=0,0,C305-I305)</f>
        <v>0</v>
      </c>
    </row>
    <row r="307" spans="1:10" x14ac:dyDescent="0.25">
      <c r="A307" s="1">
        <v>39163</v>
      </c>
      <c r="B307">
        <v>5.6721599999999999</v>
      </c>
      <c r="C307">
        <v>6.01</v>
      </c>
      <c r="D307">
        <f>WEEKDAY(A307,14)</f>
        <v>1</v>
      </c>
      <c r="E307">
        <f t="shared" si="16"/>
        <v>0</v>
      </c>
      <c r="F307">
        <f t="shared" si="17"/>
        <v>1</v>
      </c>
      <c r="G307">
        <f>IF(F307&gt;F306,G306+B307*E307,B307*E307)</f>
        <v>0</v>
      </c>
      <c r="H307">
        <f t="shared" si="18"/>
        <v>0</v>
      </c>
      <c r="I307">
        <f t="shared" si="19"/>
        <v>0</v>
      </c>
      <c r="J307">
        <f>IF(I306=0,0,C306-I306)</f>
        <v>0.36260799999999982</v>
      </c>
    </row>
    <row r="308" spans="1:10" x14ac:dyDescent="0.25">
      <c r="A308" s="1">
        <v>39164</v>
      </c>
      <c r="B308">
        <v>5.7079199999999997</v>
      </c>
      <c r="C308">
        <v>6.01</v>
      </c>
      <c r="D308">
        <f>WEEKDAY(A308,14)</f>
        <v>2</v>
      </c>
      <c r="E308">
        <f t="shared" si="16"/>
        <v>0</v>
      </c>
      <c r="F308">
        <f t="shared" si="17"/>
        <v>2</v>
      </c>
      <c r="G308">
        <f>IF(F308&gt;F307,G307+B308*E308,B308*E308)</f>
        <v>0</v>
      </c>
      <c r="H308">
        <f t="shared" si="18"/>
        <v>0</v>
      </c>
      <c r="I308">
        <f t="shared" si="19"/>
        <v>0</v>
      </c>
      <c r="J308">
        <f>IF(I307=0,0,C307-I307)</f>
        <v>0</v>
      </c>
    </row>
    <row r="309" spans="1:10" x14ac:dyDescent="0.25">
      <c r="A309" s="1">
        <v>39167</v>
      </c>
      <c r="B309">
        <v>5.69346</v>
      </c>
      <c r="C309">
        <v>6.01</v>
      </c>
      <c r="D309">
        <f>WEEKDAY(A309,14)</f>
        <v>5</v>
      </c>
      <c r="E309">
        <f t="shared" si="16"/>
        <v>0.05</v>
      </c>
      <c r="F309">
        <f t="shared" si="17"/>
        <v>3</v>
      </c>
      <c r="G309">
        <f>IF(F309&gt;F308,G308+B309*E309,B309*E309)</f>
        <v>0.28467300000000001</v>
      </c>
      <c r="H309">
        <f t="shared" si="18"/>
        <v>0.05</v>
      </c>
      <c r="I309">
        <f t="shared" si="19"/>
        <v>0</v>
      </c>
      <c r="J309">
        <f>IF(I308=0,0,C308-I308)</f>
        <v>0</v>
      </c>
    </row>
    <row r="310" spans="1:10" x14ac:dyDescent="0.25">
      <c r="A310" s="1">
        <v>39168</v>
      </c>
      <c r="B310">
        <v>5.7202299999999999</v>
      </c>
      <c r="C310">
        <v>6.01</v>
      </c>
      <c r="D310">
        <f>WEEKDAY(A310,14)</f>
        <v>6</v>
      </c>
      <c r="E310">
        <f t="shared" si="16"/>
        <v>0.7</v>
      </c>
      <c r="F310">
        <f t="shared" si="17"/>
        <v>4</v>
      </c>
      <c r="G310">
        <f>IF(F310&gt;F309,G309+B310*E310,B310*E310)</f>
        <v>4.2888339999999996</v>
      </c>
      <c r="H310">
        <f t="shared" si="18"/>
        <v>0.75</v>
      </c>
      <c r="I310">
        <f t="shared" si="19"/>
        <v>0</v>
      </c>
      <c r="J310">
        <f>IF(I309=0,0,C309-I309)</f>
        <v>0</v>
      </c>
    </row>
    <row r="311" spans="1:10" x14ac:dyDescent="0.25">
      <c r="A311" s="1">
        <v>39169</v>
      </c>
      <c r="B311">
        <v>5.7347900000000003</v>
      </c>
      <c r="C311">
        <v>6.01</v>
      </c>
      <c r="D311">
        <f>WEEKDAY(A311,14)</f>
        <v>7</v>
      </c>
      <c r="E311">
        <f t="shared" si="16"/>
        <v>0.25</v>
      </c>
      <c r="F311">
        <f t="shared" si="17"/>
        <v>5</v>
      </c>
      <c r="G311">
        <f>IF(F311&gt;F310,G310+B311*E311,B311*E311)</f>
        <v>5.7225314999999997</v>
      </c>
      <c r="H311">
        <f t="shared" si="18"/>
        <v>1</v>
      </c>
      <c r="I311">
        <f t="shared" si="19"/>
        <v>5.7225314999999997</v>
      </c>
      <c r="J311">
        <f>IF(I310=0,0,C310-I310)</f>
        <v>0</v>
      </c>
    </row>
    <row r="312" spans="1:10" x14ac:dyDescent="0.25">
      <c r="A312" s="1">
        <v>39170</v>
      </c>
      <c r="B312">
        <v>5.7461099999999998</v>
      </c>
      <c r="C312">
        <v>6.02</v>
      </c>
      <c r="D312">
        <f>WEEKDAY(A312,14)</f>
        <v>1</v>
      </c>
      <c r="E312">
        <f t="shared" si="16"/>
        <v>0</v>
      </c>
      <c r="F312">
        <f t="shared" si="17"/>
        <v>1</v>
      </c>
      <c r="G312">
        <f>IF(F312&gt;F311,G311+B312*E312,B312*E312)</f>
        <v>0</v>
      </c>
      <c r="H312">
        <f t="shared" si="18"/>
        <v>0</v>
      </c>
      <c r="I312">
        <f t="shared" si="19"/>
        <v>0</v>
      </c>
      <c r="J312">
        <f>IF(I311=0,0,C311-I311)</f>
        <v>0.28746850000000013</v>
      </c>
    </row>
    <row r="313" spans="1:10" x14ac:dyDescent="0.25">
      <c r="A313" s="1">
        <v>39171</v>
      </c>
      <c r="B313">
        <v>5.7615100000000004</v>
      </c>
      <c r="C313">
        <v>6.02</v>
      </c>
      <c r="D313">
        <f>WEEKDAY(A313,14)</f>
        <v>2</v>
      </c>
      <c r="E313">
        <f t="shared" si="16"/>
        <v>0</v>
      </c>
      <c r="F313">
        <f t="shared" si="17"/>
        <v>2</v>
      </c>
      <c r="G313">
        <f>IF(F313&gt;F312,G312+B313*E313,B313*E313)</f>
        <v>0</v>
      </c>
      <c r="H313">
        <f t="shared" si="18"/>
        <v>0</v>
      </c>
      <c r="I313">
        <f t="shared" si="19"/>
        <v>0</v>
      </c>
      <c r="J313">
        <f>IF(I312=0,0,C312-I312)</f>
        <v>0</v>
      </c>
    </row>
    <row r="314" spans="1:10" x14ac:dyDescent="0.25">
      <c r="A314" s="1">
        <v>39174</v>
      </c>
      <c r="B314">
        <v>5.7550400000000002</v>
      </c>
      <c r="C314">
        <v>6.02</v>
      </c>
      <c r="D314">
        <f>WEEKDAY(A314,14)</f>
        <v>5</v>
      </c>
      <c r="E314">
        <f t="shared" si="16"/>
        <v>0.05</v>
      </c>
      <c r="F314">
        <f t="shared" si="17"/>
        <v>3</v>
      </c>
      <c r="G314">
        <f>IF(F314&gt;F313,G313+B314*E314,B314*E314)</f>
        <v>0.28775200000000001</v>
      </c>
      <c r="H314">
        <f t="shared" si="18"/>
        <v>0.05</v>
      </c>
      <c r="I314">
        <f t="shared" si="19"/>
        <v>0</v>
      </c>
      <c r="J314">
        <f>IF(I313=0,0,C313-I313)</f>
        <v>0</v>
      </c>
    </row>
    <row r="315" spans="1:10" x14ac:dyDescent="0.25">
      <c r="A315" s="1">
        <v>39175</v>
      </c>
      <c r="B315">
        <v>5.76023</v>
      </c>
      <c r="C315">
        <v>6.02</v>
      </c>
      <c r="D315">
        <f>WEEKDAY(A315,14)</f>
        <v>6</v>
      </c>
      <c r="E315">
        <f t="shared" si="16"/>
        <v>0.7</v>
      </c>
      <c r="F315">
        <f t="shared" si="17"/>
        <v>4</v>
      </c>
      <c r="G315">
        <f>IF(F315&gt;F314,G314+B315*E315,B315*E315)</f>
        <v>4.3199129999999997</v>
      </c>
      <c r="H315">
        <f t="shared" si="18"/>
        <v>0.75</v>
      </c>
      <c r="I315">
        <f t="shared" si="19"/>
        <v>0</v>
      </c>
      <c r="J315">
        <f>IF(I314=0,0,C314-I314)</f>
        <v>0</v>
      </c>
    </row>
    <row r="316" spans="1:10" x14ac:dyDescent="0.25">
      <c r="A316" s="1">
        <v>39176</v>
      </c>
      <c r="B316">
        <v>5.7556200000000004</v>
      </c>
      <c r="C316">
        <v>6.02</v>
      </c>
      <c r="D316">
        <f>WEEKDAY(A316,14)</f>
        <v>7</v>
      </c>
      <c r="E316">
        <f t="shared" si="16"/>
        <v>0.25</v>
      </c>
      <c r="F316">
        <f t="shared" si="17"/>
        <v>5</v>
      </c>
      <c r="G316">
        <f>IF(F316&gt;F315,G315+B316*E316,B316*E316)</f>
        <v>5.7588179999999998</v>
      </c>
      <c r="H316">
        <f t="shared" si="18"/>
        <v>1</v>
      </c>
      <c r="I316">
        <f t="shared" si="19"/>
        <v>5.7588179999999998</v>
      </c>
      <c r="J316">
        <f>IF(I315=0,0,C315-I315)</f>
        <v>0</v>
      </c>
    </row>
    <row r="317" spans="1:10" x14ac:dyDescent="0.25">
      <c r="A317" s="1">
        <v>39177</v>
      </c>
      <c r="B317">
        <v>5.7698499999999999</v>
      </c>
      <c r="C317">
        <v>6.07</v>
      </c>
      <c r="D317">
        <f>WEEKDAY(A317,14)</f>
        <v>1</v>
      </c>
      <c r="E317">
        <f t="shared" si="16"/>
        <v>0</v>
      </c>
      <c r="F317">
        <f t="shared" si="17"/>
        <v>1</v>
      </c>
      <c r="G317">
        <f>IF(F317&gt;F316,G316+B317*E317,B317*E317)</f>
        <v>0</v>
      </c>
      <c r="H317">
        <f t="shared" si="18"/>
        <v>0</v>
      </c>
      <c r="I317">
        <f t="shared" si="19"/>
        <v>0</v>
      </c>
      <c r="J317">
        <f>IF(I316=0,0,C316-I316)</f>
        <v>0.2611819999999998</v>
      </c>
    </row>
    <row r="318" spans="1:10" x14ac:dyDescent="0.25">
      <c r="A318" s="1">
        <v>39181</v>
      </c>
      <c r="B318">
        <v>5.8338900000000002</v>
      </c>
      <c r="C318">
        <v>6.07</v>
      </c>
      <c r="D318">
        <f>WEEKDAY(A318,14)</f>
        <v>5</v>
      </c>
      <c r="E318">
        <f t="shared" si="16"/>
        <v>0.05</v>
      </c>
      <c r="F318">
        <f t="shared" si="17"/>
        <v>2</v>
      </c>
      <c r="G318">
        <f>IF(F318&gt;F317,G317+B318*E318,B318*E318)</f>
        <v>0.29169450000000002</v>
      </c>
      <c r="H318">
        <f t="shared" si="18"/>
        <v>0.05</v>
      </c>
      <c r="I318">
        <f t="shared" si="19"/>
        <v>0</v>
      </c>
      <c r="J318">
        <f>IF(I317=0,0,C317-I317)</f>
        <v>0</v>
      </c>
    </row>
    <row r="319" spans="1:10" x14ac:dyDescent="0.25">
      <c r="A319" s="1">
        <v>39182</v>
      </c>
      <c r="B319">
        <v>5.8159999999999998</v>
      </c>
      <c r="C319">
        <v>6.07</v>
      </c>
      <c r="D319">
        <f>WEEKDAY(A319,14)</f>
        <v>6</v>
      </c>
      <c r="E319">
        <f t="shared" si="16"/>
        <v>0.7</v>
      </c>
      <c r="F319">
        <f t="shared" si="17"/>
        <v>3</v>
      </c>
      <c r="G319">
        <f>IF(F319&gt;F318,G318+B319*E319,B319*E319)</f>
        <v>4.3628944999999995</v>
      </c>
      <c r="H319">
        <f t="shared" si="18"/>
        <v>0.75</v>
      </c>
      <c r="I319">
        <f t="shared" si="19"/>
        <v>0</v>
      </c>
      <c r="J319">
        <f>IF(I318=0,0,C318-I318)</f>
        <v>0</v>
      </c>
    </row>
    <row r="320" spans="1:10" x14ac:dyDescent="0.25">
      <c r="A320" s="1">
        <v>39183</v>
      </c>
      <c r="B320">
        <v>5.8286699999999998</v>
      </c>
      <c r="C320">
        <v>6.07</v>
      </c>
      <c r="D320">
        <f>WEEKDAY(A320,14)</f>
        <v>7</v>
      </c>
      <c r="E320">
        <f t="shared" si="16"/>
        <v>0.25</v>
      </c>
      <c r="F320">
        <f t="shared" si="17"/>
        <v>4</v>
      </c>
      <c r="G320">
        <f>IF(F320&gt;F319,G319+B320*E320,B320*E320)</f>
        <v>5.8200619999999992</v>
      </c>
      <c r="H320">
        <f t="shared" si="18"/>
        <v>1</v>
      </c>
      <c r="I320">
        <f t="shared" si="19"/>
        <v>5.8200619999999992</v>
      </c>
      <c r="J320">
        <f>IF(I319=0,0,C319-I319)</f>
        <v>0</v>
      </c>
    </row>
    <row r="321" spans="1:10" x14ac:dyDescent="0.25">
      <c r="A321" s="1">
        <v>39184</v>
      </c>
      <c r="B321">
        <v>5.8340399999999999</v>
      </c>
      <c r="C321">
        <v>6.0449999999999999</v>
      </c>
      <c r="D321">
        <f>WEEKDAY(A321,14)</f>
        <v>1</v>
      </c>
      <c r="E321">
        <f t="shared" si="16"/>
        <v>0</v>
      </c>
      <c r="F321">
        <f t="shared" si="17"/>
        <v>1</v>
      </c>
      <c r="G321">
        <f>IF(F321&gt;F320,G320+B321*E321,B321*E321)</f>
        <v>0</v>
      </c>
      <c r="H321">
        <f t="shared" si="18"/>
        <v>0</v>
      </c>
      <c r="I321">
        <f t="shared" si="19"/>
        <v>0</v>
      </c>
      <c r="J321">
        <f>IF(I320=0,0,C320-I320)</f>
        <v>0.2499380000000011</v>
      </c>
    </row>
    <row r="322" spans="1:10" x14ac:dyDescent="0.25">
      <c r="A322" s="1">
        <v>39185</v>
      </c>
      <c r="B322">
        <v>5.8542800000000002</v>
      </c>
      <c r="C322">
        <v>6.0449999999999999</v>
      </c>
      <c r="D322">
        <f>WEEKDAY(A322,14)</f>
        <v>2</v>
      </c>
      <c r="E322">
        <f t="shared" si="16"/>
        <v>0</v>
      </c>
      <c r="F322">
        <f t="shared" si="17"/>
        <v>2</v>
      </c>
      <c r="G322">
        <f>IF(F322&gt;F321,G321+B322*E322,B322*E322)</f>
        <v>0</v>
      </c>
      <c r="H322">
        <f t="shared" si="18"/>
        <v>0</v>
      </c>
      <c r="I322">
        <f t="shared" si="19"/>
        <v>0</v>
      </c>
      <c r="J322">
        <f>IF(I321=0,0,C321-I321)</f>
        <v>0</v>
      </c>
    </row>
    <row r="323" spans="1:10" x14ac:dyDescent="0.25">
      <c r="A323" s="1">
        <v>39188</v>
      </c>
      <c r="B323">
        <v>5.8369799999999996</v>
      </c>
      <c r="C323">
        <v>6.0449999999999999</v>
      </c>
      <c r="D323">
        <f>WEEKDAY(A323,14)</f>
        <v>5</v>
      </c>
      <c r="E323">
        <f t="shared" ref="E323:E386" si="20">VLOOKUP(D323,M$2:N$8,2,FALSE)</f>
        <v>0.05</v>
      </c>
      <c r="F323">
        <f t="shared" ref="F323:F386" si="21">IF(AND(D323&gt;D322,F322&lt;6),F322+1,1)</f>
        <v>3</v>
      </c>
      <c r="G323">
        <f>IF(F323&gt;F322,G322+B323*E323,B323*E323)</f>
        <v>0.29184899999999997</v>
      </c>
      <c r="H323">
        <f t="shared" si="18"/>
        <v>0.05</v>
      </c>
      <c r="I323">
        <f t="shared" si="19"/>
        <v>0</v>
      </c>
      <c r="J323">
        <f>IF(I322=0,0,C322-I322)</f>
        <v>0</v>
      </c>
    </row>
    <row r="324" spans="1:10" x14ac:dyDescent="0.25">
      <c r="A324" s="1">
        <v>39189</v>
      </c>
      <c r="B324">
        <v>5.7923900000000001</v>
      </c>
      <c r="C324">
        <v>6.0449999999999999</v>
      </c>
      <c r="D324">
        <f>WEEKDAY(A324,14)</f>
        <v>6</v>
      </c>
      <c r="E324">
        <f t="shared" si="20"/>
        <v>0.7</v>
      </c>
      <c r="F324">
        <f t="shared" si="21"/>
        <v>4</v>
      </c>
      <c r="G324">
        <f>IF(F324&gt;F323,G323+B324*E324,B324*E324)</f>
        <v>4.3465220000000002</v>
      </c>
      <c r="H324">
        <f t="shared" ref="H324:H387" si="22">IF(AND(F324&lt;6,F324&gt;F323),E324+H323,E324)</f>
        <v>0.75</v>
      </c>
      <c r="I324">
        <f t="shared" ref="I324:I387" si="23">IF(F324&gt;F325,G324/H324,0)</f>
        <v>0</v>
      </c>
      <c r="J324">
        <f>IF(I323=0,0,C323-I323)</f>
        <v>0</v>
      </c>
    </row>
    <row r="325" spans="1:10" x14ac:dyDescent="0.25">
      <c r="A325" s="1">
        <v>39190</v>
      </c>
      <c r="B325">
        <v>5.7615499999999997</v>
      </c>
      <c r="C325">
        <v>6.0449999999999999</v>
      </c>
      <c r="D325">
        <f>WEEKDAY(A325,14)</f>
        <v>7</v>
      </c>
      <c r="E325">
        <f t="shared" si="20"/>
        <v>0.25</v>
      </c>
      <c r="F325">
        <f t="shared" si="21"/>
        <v>5</v>
      </c>
      <c r="G325">
        <f>IF(F325&gt;F324,G324+B325*E325,B325*E325)</f>
        <v>5.7869095000000002</v>
      </c>
      <c r="H325">
        <f t="shared" si="22"/>
        <v>1</v>
      </c>
      <c r="I325">
        <f t="shared" si="23"/>
        <v>5.7869095000000002</v>
      </c>
      <c r="J325">
        <f>IF(I324=0,0,C324-I324)</f>
        <v>0</v>
      </c>
    </row>
    <row r="326" spans="1:10" x14ac:dyDescent="0.25">
      <c r="A326" s="1">
        <v>39191</v>
      </c>
      <c r="B326">
        <v>5.7670000000000003</v>
      </c>
      <c r="C326">
        <v>6.0350000000000001</v>
      </c>
      <c r="D326">
        <f>WEEKDAY(A326,14)</f>
        <v>1</v>
      </c>
      <c r="E326">
        <f t="shared" si="20"/>
        <v>0</v>
      </c>
      <c r="F326">
        <f t="shared" si="21"/>
        <v>1</v>
      </c>
      <c r="G326">
        <f>IF(F326&gt;F325,G325+B326*E326,B326*E326)</f>
        <v>0</v>
      </c>
      <c r="H326">
        <f t="shared" si="22"/>
        <v>0</v>
      </c>
      <c r="I326">
        <f t="shared" si="23"/>
        <v>0</v>
      </c>
      <c r="J326">
        <f>IF(I325=0,0,C325-I325)</f>
        <v>0.25809049999999978</v>
      </c>
    </row>
    <row r="327" spans="1:10" x14ac:dyDescent="0.25">
      <c r="A327" s="1">
        <v>39192</v>
      </c>
      <c r="B327">
        <v>5.7794699999999999</v>
      </c>
      <c r="C327">
        <v>6.0350000000000001</v>
      </c>
      <c r="D327">
        <f>WEEKDAY(A327,14)</f>
        <v>2</v>
      </c>
      <c r="E327">
        <f t="shared" si="20"/>
        <v>0</v>
      </c>
      <c r="F327">
        <f t="shared" si="21"/>
        <v>2</v>
      </c>
      <c r="G327">
        <f>IF(F327&gt;F326,G326+B327*E327,B327*E327)</f>
        <v>0</v>
      </c>
      <c r="H327">
        <f t="shared" si="22"/>
        <v>0</v>
      </c>
      <c r="I327">
        <f t="shared" si="23"/>
        <v>0</v>
      </c>
      <c r="J327">
        <f>IF(I326=0,0,C326-I326)</f>
        <v>0</v>
      </c>
    </row>
    <row r="328" spans="1:10" x14ac:dyDescent="0.25">
      <c r="A328" s="1">
        <v>39195</v>
      </c>
      <c r="B328">
        <v>5.7636099999999999</v>
      </c>
      <c r="C328">
        <v>6.0350000000000001</v>
      </c>
      <c r="D328">
        <f>WEEKDAY(A328,14)</f>
        <v>5</v>
      </c>
      <c r="E328">
        <f t="shared" si="20"/>
        <v>0.05</v>
      </c>
      <c r="F328">
        <f t="shared" si="21"/>
        <v>3</v>
      </c>
      <c r="G328">
        <f>IF(F328&gt;F327,G327+B328*E328,B328*E328)</f>
        <v>0.28818050000000001</v>
      </c>
      <c r="H328">
        <f t="shared" si="22"/>
        <v>0.05</v>
      </c>
      <c r="I328">
        <f t="shared" si="23"/>
        <v>0</v>
      </c>
      <c r="J328">
        <f>IF(I327=0,0,C327-I327)</f>
        <v>0</v>
      </c>
    </row>
    <row r="329" spans="1:10" x14ac:dyDescent="0.25">
      <c r="A329" s="1">
        <v>39196</v>
      </c>
      <c r="B329">
        <v>5.7367499999999998</v>
      </c>
      <c r="C329">
        <v>6.0350000000000001</v>
      </c>
      <c r="D329">
        <f>WEEKDAY(A329,14)</f>
        <v>6</v>
      </c>
      <c r="E329">
        <f t="shared" si="20"/>
        <v>0.7</v>
      </c>
      <c r="F329">
        <f t="shared" si="21"/>
        <v>4</v>
      </c>
      <c r="G329">
        <f>IF(F329&gt;F328,G328+B329*E329,B329*E329)</f>
        <v>4.3039054999999999</v>
      </c>
      <c r="H329">
        <f t="shared" si="22"/>
        <v>0.75</v>
      </c>
      <c r="I329">
        <f t="shared" si="23"/>
        <v>0</v>
      </c>
      <c r="J329">
        <f>IF(I328=0,0,C328-I328)</f>
        <v>0</v>
      </c>
    </row>
    <row r="330" spans="1:10" x14ac:dyDescent="0.25">
      <c r="A330" s="1">
        <v>39197</v>
      </c>
      <c r="B330">
        <v>5.7622299999999997</v>
      </c>
      <c r="C330">
        <v>6.0350000000000001</v>
      </c>
      <c r="D330">
        <f>WEEKDAY(A330,14)</f>
        <v>7</v>
      </c>
      <c r="E330">
        <f t="shared" si="20"/>
        <v>0.25</v>
      </c>
      <c r="F330">
        <f t="shared" si="21"/>
        <v>5</v>
      </c>
      <c r="G330">
        <f>IF(F330&gt;F329,G329+B330*E330,B330*E330)</f>
        <v>5.7444629999999997</v>
      </c>
      <c r="H330">
        <f t="shared" si="22"/>
        <v>1</v>
      </c>
      <c r="I330">
        <f t="shared" si="23"/>
        <v>5.7444629999999997</v>
      </c>
      <c r="J330">
        <f>IF(I329=0,0,C329-I329)</f>
        <v>0</v>
      </c>
    </row>
    <row r="331" spans="1:10" x14ac:dyDescent="0.25">
      <c r="A331" s="1">
        <v>39198</v>
      </c>
      <c r="B331">
        <v>5.8034600000000003</v>
      </c>
      <c r="C331">
        <v>6.0350000000000001</v>
      </c>
      <c r="D331">
        <f>WEEKDAY(A331,14)</f>
        <v>1</v>
      </c>
      <c r="E331">
        <f t="shared" si="20"/>
        <v>0</v>
      </c>
      <c r="F331">
        <f t="shared" si="21"/>
        <v>1</v>
      </c>
      <c r="G331">
        <f>IF(F331&gt;F330,G330+B331*E331,B331*E331)</f>
        <v>0</v>
      </c>
      <c r="H331">
        <f t="shared" si="22"/>
        <v>0</v>
      </c>
      <c r="I331">
        <f t="shared" si="23"/>
        <v>0</v>
      </c>
      <c r="J331">
        <f>IF(I330=0,0,C330-I330)</f>
        <v>0.29053700000000049</v>
      </c>
    </row>
    <row r="332" spans="1:10" x14ac:dyDescent="0.25">
      <c r="A332" s="1">
        <v>39199</v>
      </c>
      <c r="B332">
        <v>5.8201099999999997</v>
      </c>
      <c r="C332">
        <v>6.0350000000000001</v>
      </c>
      <c r="D332">
        <f>WEEKDAY(A332,14)</f>
        <v>2</v>
      </c>
      <c r="E332">
        <f t="shared" si="20"/>
        <v>0</v>
      </c>
      <c r="F332">
        <f t="shared" si="21"/>
        <v>2</v>
      </c>
      <c r="G332">
        <f>IF(F332&gt;F331,G331+B332*E332,B332*E332)</f>
        <v>0</v>
      </c>
      <c r="H332">
        <f t="shared" si="22"/>
        <v>0</v>
      </c>
      <c r="I332">
        <f t="shared" si="23"/>
        <v>0</v>
      </c>
      <c r="J332">
        <f>IF(I331=0,0,C331-I331)</f>
        <v>0</v>
      </c>
    </row>
    <row r="333" spans="1:10" x14ac:dyDescent="0.25">
      <c r="A333" s="1">
        <v>39202</v>
      </c>
      <c r="B333">
        <v>5.7690000000000001</v>
      </c>
      <c r="C333">
        <v>6.0350000000000001</v>
      </c>
      <c r="D333">
        <f>WEEKDAY(A333,14)</f>
        <v>5</v>
      </c>
      <c r="E333">
        <f t="shared" si="20"/>
        <v>0.05</v>
      </c>
      <c r="F333">
        <f t="shared" si="21"/>
        <v>3</v>
      </c>
      <c r="G333">
        <f>IF(F333&gt;F332,G332+B333*E333,B333*E333)</f>
        <v>0.28845000000000004</v>
      </c>
      <c r="H333">
        <f t="shared" si="22"/>
        <v>0.05</v>
      </c>
      <c r="I333">
        <f t="shared" si="23"/>
        <v>0</v>
      </c>
      <c r="J333">
        <f>IF(I332=0,0,C332-I332)</f>
        <v>0</v>
      </c>
    </row>
    <row r="334" spans="1:10" x14ac:dyDescent="0.25">
      <c r="A334" s="1">
        <v>39203</v>
      </c>
      <c r="B334">
        <v>5.7801299999999998</v>
      </c>
      <c r="C334">
        <v>6.0350000000000001</v>
      </c>
      <c r="D334">
        <f>WEEKDAY(A334,14)</f>
        <v>6</v>
      </c>
      <c r="E334">
        <f t="shared" si="20"/>
        <v>0.7</v>
      </c>
      <c r="F334">
        <f t="shared" si="21"/>
        <v>4</v>
      </c>
      <c r="G334">
        <f>IF(F334&gt;F333,G333+B334*E334,B334*E334)</f>
        <v>4.3345409999999998</v>
      </c>
      <c r="H334">
        <f t="shared" si="22"/>
        <v>0.75</v>
      </c>
      <c r="I334">
        <f t="shared" si="23"/>
        <v>0</v>
      </c>
      <c r="J334">
        <f>IF(I333=0,0,C333-I333)</f>
        <v>0</v>
      </c>
    </row>
    <row r="335" spans="1:10" x14ac:dyDescent="0.25">
      <c r="A335" s="1">
        <v>39204</v>
      </c>
      <c r="B335">
        <v>5.7779100000000003</v>
      </c>
      <c r="C335">
        <v>6.0350000000000001</v>
      </c>
      <c r="D335">
        <f>WEEKDAY(A335,14)</f>
        <v>7</v>
      </c>
      <c r="E335">
        <f t="shared" si="20"/>
        <v>0.25</v>
      </c>
      <c r="F335">
        <f t="shared" si="21"/>
        <v>5</v>
      </c>
      <c r="G335">
        <f>IF(F335&gt;F334,G334+B335*E335,B335*E335)</f>
        <v>5.7790184999999994</v>
      </c>
      <c r="H335">
        <f t="shared" si="22"/>
        <v>1</v>
      </c>
      <c r="I335">
        <f t="shared" si="23"/>
        <v>5.7790184999999994</v>
      </c>
      <c r="J335">
        <f>IF(I334=0,0,C334-I334)</f>
        <v>0</v>
      </c>
    </row>
    <row r="336" spans="1:10" x14ac:dyDescent="0.25">
      <c r="A336" s="1">
        <v>39205</v>
      </c>
      <c r="B336">
        <v>5.8079900000000002</v>
      </c>
      <c r="C336">
        <v>6.0250000000000004</v>
      </c>
      <c r="D336">
        <f>WEEKDAY(A336,14)</f>
        <v>1</v>
      </c>
      <c r="E336">
        <f t="shared" si="20"/>
        <v>0</v>
      </c>
      <c r="F336">
        <f t="shared" si="21"/>
        <v>1</v>
      </c>
      <c r="G336">
        <f>IF(F336&gt;F335,G335+B336*E336,B336*E336)</f>
        <v>0</v>
      </c>
      <c r="H336">
        <f t="shared" si="22"/>
        <v>0</v>
      </c>
      <c r="I336">
        <f t="shared" si="23"/>
        <v>0</v>
      </c>
      <c r="J336">
        <f>IF(I335=0,0,C335-I335)</f>
        <v>0.25598150000000075</v>
      </c>
    </row>
    <row r="337" spans="1:10" x14ac:dyDescent="0.25">
      <c r="A337" s="1">
        <v>39206</v>
      </c>
      <c r="B337">
        <v>5.7703300000000004</v>
      </c>
      <c r="C337">
        <v>6.0250000000000004</v>
      </c>
      <c r="D337">
        <f>WEEKDAY(A337,14)</f>
        <v>2</v>
      </c>
      <c r="E337">
        <f t="shared" si="20"/>
        <v>0</v>
      </c>
      <c r="F337">
        <f t="shared" si="21"/>
        <v>2</v>
      </c>
      <c r="G337">
        <f>IF(F337&gt;F336,G336+B337*E337,B337*E337)</f>
        <v>0</v>
      </c>
      <c r="H337">
        <f t="shared" si="22"/>
        <v>0</v>
      </c>
      <c r="I337">
        <f t="shared" si="23"/>
        <v>0</v>
      </c>
      <c r="J337">
        <f>IF(I336=0,0,C336-I336)</f>
        <v>0</v>
      </c>
    </row>
    <row r="338" spans="1:10" x14ac:dyDescent="0.25">
      <c r="A338" s="1">
        <v>39209</v>
      </c>
      <c r="B338">
        <v>5.7632399999999997</v>
      </c>
      <c r="C338">
        <v>6.0250000000000004</v>
      </c>
      <c r="D338">
        <f>WEEKDAY(A338,14)</f>
        <v>5</v>
      </c>
      <c r="E338">
        <f t="shared" si="20"/>
        <v>0.05</v>
      </c>
      <c r="F338">
        <f t="shared" si="21"/>
        <v>3</v>
      </c>
      <c r="G338">
        <f>IF(F338&gt;F337,G337+B338*E338,B338*E338)</f>
        <v>0.28816199999999997</v>
      </c>
      <c r="H338">
        <f t="shared" si="22"/>
        <v>0.05</v>
      </c>
      <c r="I338">
        <f t="shared" si="23"/>
        <v>0</v>
      </c>
      <c r="J338">
        <f>IF(I337=0,0,C337-I337)</f>
        <v>0</v>
      </c>
    </row>
    <row r="339" spans="1:10" x14ac:dyDescent="0.25">
      <c r="A339" s="1">
        <v>39210</v>
      </c>
      <c r="B339">
        <v>5.7647700000000004</v>
      </c>
      <c r="C339">
        <v>6.0250000000000004</v>
      </c>
      <c r="D339">
        <f>WEEKDAY(A339,14)</f>
        <v>6</v>
      </c>
      <c r="E339">
        <f t="shared" si="20"/>
        <v>0.7</v>
      </c>
      <c r="F339">
        <f t="shared" si="21"/>
        <v>4</v>
      </c>
      <c r="G339">
        <f>IF(F339&gt;F338,G338+B339*E339,B339*E339)</f>
        <v>4.3235010000000003</v>
      </c>
      <c r="H339">
        <f t="shared" si="22"/>
        <v>0.75</v>
      </c>
      <c r="I339">
        <f t="shared" si="23"/>
        <v>0</v>
      </c>
      <c r="J339">
        <f>IF(I338=0,0,C338-I338)</f>
        <v>0</v>
      </c>
    </row>
    <row r="340" spans="1:10" x14ac:dyDescent="0.25">
      <c r="A340" s="1">
        <v>39211</v>
      </c>
      <c r="B340">
        <v>5.7979700000000003</v>
      </c>
      <c r="C340">
        <v>6.0250000000000004</v>
      </c>
      <c r="D340">
        <f>WEEKDAY(A340,14)</f>
        <v>7</v>
      </c>
      <c r="E340">
        <f t="shared" si="20"/>
        <v>0.25</v>
      </c>
      <c r="F340">
        <f t="shared" si="21"/>
        <v>5</v>
      </c>
      <c r="G340">
        <f>IF(F340&gt;F339,G339+B340*E340,B340*E340)</f>
        <v>5.7729935000000001</v>
      </c>
      <c r="H340">
        <f t="shared" si="22"/>
        <v>1</v>
      </c>
      <c r="I340">
        <f t="shared" si="23"/>
        <v>5.7729935000000001</v>
      </c>
      <c r="J340">
        <f>IF(I339=0,0,C339-I339)</f>
        <v>0</v>
      </c>
    </row>
    <row r="341" spans="1:10" x14ac:dyDescent="0.25">
      <c r="A341" s="1">
        <v>39212</v>
      </c>
      <c r="B341">
        <v>5.78653</v>
      </c>
      <c r="C341">
        <v>6.06</v>
      </c>
      <c r="D341">
        <f>WEEKDAY(A341,14)</f>
        <v>1</v>
      </c>
      <c r="E341">
        <f t="shared" si="20"/>
        <v>0</v>
      </c>
      <c r="F341">
        <f t="shared" si="21"/>
        <v>1</v>
      </c>
      <c r="G341">
        <f>IF(F341&gt;F340,G340+B341*E341,B341*E341)</f>
        <v>0</v>
      </c>
      <c r="H341">
        <f t="shared" si="22"/>
        <v>0</v>
      </c>
      <c r="I341">
        <f t="shared" si="23"/>
        <v>0</v>
      </c>
      <c r="J341">
        <f>IF(I340=0,0,C340-I340)</f>
        <v>0.25200650000000024</v>
      </c>
    </row>
    <row r="342" spans="1:10" x14ac:dyDescent="0.25">
      <c r="A342" s="1">
        <v>39213</v>
      </c>
      <c r="B342">
        <v>5.8067599999999997</v>
      </c>
      <c r="C342">
        <v>6.06</v>
      </c>
      <c r="D342">
        <f>WEEKDAY(A342,14)</f>
        <v>2</v>
      </c>
      <c r="E342">
        <f t="shared" si="20"/>
        <v>0</v>
      </c>
      <c r="F342">
        <f t="shared" si="21"/>
        <v>2</v>
      </c>
      <c r="G342">
        <f>IF(F342&gt;F341,G341+B342*E342,B342*E342)</f>
        <v>0</v>
      </c>
      <c r="H342">
        <f t="shared" si="22"/>
        <v>0</v>
      </c>
      <c r="I342">
        <f t="shared" si="23"/>
        <v>0</v>
      </c>
      <c r="J342">
        <f>IF(I341=0,0,C341-I341)</f>
        <v>0</v>
      </c>
    </row>
    <row r="343" spans="1:10" x14ac:dyDescent="0.25">
      <c r="A343" s="1">
        <v>39216</v>
      </c>
      <c r="B343">
        <v>5.8304200000000002</v>
      </c>
      <c r="C343">
        <v>6.06</v>
      </c>
      <c r="D343">
        <f>WEEKDAY(A343,14)</f>
        <v>5</v>
      </c>
      <c r="E343">
        <f t="shared" si="20"/>
        <v>0.05</v>
      </c>
      <c r="F343">
        <f t="shared" si="21"/>
        <v>3</v>
      </c>
      <c r="G343">
        <f>IF(F343&gt;F342,G342+B343*E343,B343*E343)</f>
        <v>0.29152100000000003</v>
      </c>
      <c r="H343">
        <f t="shared" si="22"/>
        <v>0.05</v>
      </c>
      <c r="I343">
        <f t="shared" si="23"/>
        <v>0</v>
      </c>
      <c r="J343">
        <f>IF(I342=0,0,C342-I342)</f>
        <v>0</v>
      </c>
    </row>
    <row r="344" spans="1:10" x14ac:dyDescent="0.25">
      <c r="A344" s="1">
        <v>39217</v>
      </c>
      <c r="B344">
        <v>5.84727</v>
      </c>
      <c r="C344">
        <v>6.06</v>
      </c>
      <c r="D344">
        <f>WEEKDAY(A344,14)</f>
        <v>6</v>
      </c>
      <c r="E344">
        <f t="shared" si="20"/>
        <v>0.7</v>
      </c>
      <c r="F344">
        <f t="shared" si="21"/>
        <v>4</v>
      </c>
      <c r="G344">
        <f>IF(F344&gt;F343,G343+B344*E344,B344*E344)</f>
        <v>4.3846100000000003</v>
      </c>
      <c r="H344">
        <f t="shared" si="22"/>
        <v>0.75</v>
      </c>
      <c r="I344">
        <f t="shared" si="23"/>
        <v>0</v>
      </c>
      <c r="J344">
        <f>IF(I343=0,0,C343-I343)</f>
        <v>0</v>
      </c>
    </row>
    <row r="345" spans="1:10" x14ac:dyDescent="0.25">
      <c r="A345" s="1">
        <v>39218</v>
      </c>
      <c r="B345">
        <v>5.8439100000000002</v>
      </c>
      <c r="C345">
        <v>6.06</v>
      </c>
      <c r="D345">
        <f>WEEKDAY(A345,14)</f>
        <v>7</v>
      </c>
      <c r="E345">
        <f t="shared" si="20"/>
        <v>0.25</v>
      </c>
      <c r="F345">
        <f t="shared" si="21"/>
        <v>5</v>
      </c>
      <c r="G345">
        <f>IF(F345&gt;F344,G344+B345*E345,B345*E345)</f>
        <v>5.8455875000000006</v>
      </c>
      <c r="H345">
        <f t="shared" si="22"/>
        <v>1</v>
      </c>
      <c r="I345">
        <f t="shared" si="23"/>
        <v>5.8455875000000006</v>
      </c>
      <c r="J345">
        <f>IF(I344=0,0,C344-I344)</f>
        <v>0</v>
      </c>
    </row>
    <row r="346" spans="1:10" x14ac:dyDescent="0.25">
      <c r="A346" s="1">
        <v>39219</v>
      </c>
      <c r="B346">
        <v>5.8856000000000002</v>
      </c>
      <c r="C346">
        <v>6.22</v>
      </c>
      <c r="D346">
        <f>WEEKDAY(A346,14)</f>
        <v>1</v>
      </c>
      <c r="E346">
        <f t="shared" si="20"/>
        <v>0</v>
      </c>
      <c r="F346">
        <f t="shared" si="21"/>
        <v>1</v>
      </c>
      <c r="G346">
        <f>IF(F346&gt;F345,G345+B346*E346,B346*E346)</f>
        <v>0</v>
      </c>
      <c r="H346">
        <f t="shared" si="22"/>
        <v>0</v>
      </c>
      <c r="I346">
        <f t="shared" si="23"/>
        <v>0</v>
      </c>
      <c r="J346">
        <f>IF(I345=0,0,C345-I345)</f>
        <v>0.21441249999999901</v>
      </c>
    </row>
    <row r="347" spans="1:10" x14ac:dyDescent="0.25">
      <c r="A347" s="1">
        <v>39220</v>
      </c>
      <c r="B347">
        <v>5.9250699999999998</v>
      </c>
      <c r="C347">
        <v>6.22</v>
      </c>
      <c r="D347">
        <f>WEEKDAY(A347,14)</f>
        <v>2</v>
      </c>
      <c r="E347">
        <f t="shared" si="20"/>
        <v>0</v>
      </c>
      <c r="F347">
        <f t="shared" si="21"/>
        <v>2</v>
      </c>
      <c r="G347">
        <f>IF(F347&gt;F346,G346+B347*E347,B347*E347)</f>
        <v>0</v>
      </c>
      <c r="H347">
        <f t="shared" si="22"/>
        <v>0</v>
      </c>
      <c r="I347">
        <f t="shared" si="23"/>
        <v>0</v>
      </c>
      <c r="J347">
        <f>IF(I346=0,0,C346-I346)</f>
        <v>0</v>
      </c>
    </row>
    <row r="348" spans="1:10" x14ac:dyDescent="0.25">
      <c r="A348" s="1">
        <v>39223</v>
      </c>
      <c r="B348">
        <v>5.9146700000000001</v>
      </c>
      <c r="C348">
        <v>6.22</v>
      </c>
      <c r="D348">
        <f>WEEKDAY(A348,14)</f>
        <v>5</v>
      </c>
      <c r="E348">
        <f t="shared" si="20"/>
        <v>0.05</v>
      </c>
      <c r="F348">
        <f t="shared" si="21"/>
        <v>3</v>
      </c>
      <c r="G348">
        <f>IF(F348&gt;F347,G347+B348*E348,B348*E348)</f>
        <v>0.29573350000000004</v>
      </c>
      <c r="H348">
        <f t="shared" si="22"/>
        <v>0.05</v>
      </c>
      <c r="I348">
        <f t="shared" si="23"/>
        <v>0</v>
      </c>
      <c r="J348">
        <f>IF(I347=0,0,C347-I347)</f>
        <v>0</v>
      </c>
    </row>
    <row r="349" spans="1:10" x14ac:dyDescent="0.25">
      <c r="A349" s="1">
        <v>39224</v>
      </c>
      <c r="B349">
        <v>5.9490100000000004</v>
      </c>
      <c r="C349">
        <v>6.22</v>
      </c>
      <c r="D349">
        <f>WEEKDAY(A349,14)</f>
        <v>6</v>
      </c>
      <c r="E349">
        <f t="shared" si="20"/>
        <v>0.7</v>
      </c>
      <c r="F349">
        <f t="shared" si="21"/>
        <v>4</v>
      </c>
      <c r="G349">
        <f>IF(F349&gt;F348,G348+B349*E349,B349*E349)</f>
        <v>4.4600404999999999</v>
      </c>
      <c r="H349">
        <f t="shared" si="22"/>
        <v>0.75</v>
      </c>
      <c r="I349">
        <f t="shared" si="23"/>
        <v>0</v>
      </c>
      <c r="J349">
        <f>IF(I348=0,0,C348-I348)</f>
        <v>0</v>
      </c>
    </row>
    <row r="350" spans="1:10" x14ac:dyDescent="0.25">
      <c r="A350" s="1">
        <v>39225</v>
      </c>
      <c r="B350">
        <v>5.9742899999999999</v>
      </c>
      <c r="C350">
        <v>6.22</v>
      </c>
      <c r="D350">
        <f>WEEKDAY(A350,14)</f>
        <v>7</v>
      </c>
      <c r="E350">
        <f t="shared" si="20"/>
        <v>0.25</v>
      </c>
      <c r="F350">
        <f t="shared" si="21"/>
        <v>5</v>
      </c>
      <c r="G350">
        <f>IF(F350&gt;F349,G349+B350*E350,B350*E350)</f>
        <v>5.9536129999999998</v>
      </c>
      <c r="H350">
        <f t="shared" si="22"/>
        <v>1</v>
      </c>
      <c r="I350">
        <f t="shared" si="23"/>
        <v>5.9536129999999998</v>
      </c>
      <c r="J350">
        <f>IF(I349=0,0,C349-I349)</f>
        <v>0</v>
      </c>
    </row>
    <row r="351" spans="1:10" x14ac:dyDescent="0.25">
      <c r="A351" s="1">
        <v>39226</v>
      </c>
      <c r="B351">
        <v>5.98156</v>
      </c>
      <c r="C351">
        <v>6.27</v>
      </c>
      <c r="D351">
        <f>WEEKDAY(A351,14)</f>
        <v>1</v>
      </c>
      <c r="E351">
        <f t="shared" si="20"/>
        <v>0</v>
      </c>
      <c r="F351">
        <f t="shared" si="21"/>
        <v>1</v>
      </c>
      <c r="G351">
        <f>IF(F351&gt;F350,G350+B351*E351,B351*E351)</f>
        <v>0</v>
      </c>
      <c r="H351">
        <f t="shared" si="22"/>
        <v>0</v>
      </c>
      <c r="I351">
        <f t="shared" si="23"/>
        <v>0</v>
      </c>
      <c r="J351">
        <f>IF(I350=0,0,C350-I350)</f>
        <v>0.26638699999999993</v>
      </c>
    </row>
    <row r="352" spans="1:10" x14ac:dyDescent="0.25">
      <c r="A352" s="1">
        <v>39227</v>
      </c>
      <c r="B352">
        <v>5.9644300000000001</v>
      </c>
      <c r="C352">
        <v>6.27</v>
      </c>
      <c r="D352">
        <f>WEEKDAY(A352,14)</f>
        <v>2</v>
      </c>
      <c r="E352">
        <f t="shared" si="20"/>
        <v>0</v>
      </c>
      <c r="F352">
        <f t="shared" si="21"/>
        <v>2</v>
      </c>
      <c r="G352">
        <f>IF(F352&gt;F351,G351+B352*E352,B352*E352)</f>
        <v>0</v>
      </c>
      <c r="H352">
        <f t="shared" si="22"/>
        <v>0</v>
      </c>
      <c r="I352">
        <f t="shared" si="23"/>
        <v>0</v>
      </c>
      <c r="J352">
        <f>IF(I351=0,0,C351-I351)</f>
        <v>0</v>
      </c>
    </row>
    <row r="353" spans="1:10" x14ac:dyDescent="0.25">
      <c r="A353" s="1">
        <v>39231</v>
      </c>
      <c r="B353">
        <v>5.9921899999999999</v>
      </c>
      <c r="C353">
        <v>6.27</v>
      </c>
      <c r="D353">
        <f>WEEKDAY(A353,14)</f>
        <v>6</v>
      </c>
      <c r="E353">
        <f t="shared" si="20"/>
        <v>0.7</v>
      </c>
      <c r="F353">
        <f t="shared" si="21"/>
        <v>3</v>
      </c>
      <c r="G353">
        <f>IF(F353&gt;F352,G352+B353*E353,B353*E353)</f>
        <v>4.1945329999999998</v>
      </c>
      <c r="H353">
        <f t="shared" si="22"/>
        <v>0.7</v>
      </c>
      <c r="I353">
        <f t="shared" si="23"/>
        <v>0</v>
      </c>
      <c r="J353">
        <f>IF(I352=0,0,C352-I352)</f>
        <v>0</v>
      </c>
    </row>
    <row r="354" spans="1:10" x14ac:dyDescent="0.25">
      <c r="A354" s="1">
        <v>39232</v>
      </c>
      <c r="B354">
        <v>5.99207</v>
      </c>
      <c r="C354">
        <v>6.27</v>
      </c>
      <c r="D354">
        <f>WEEKDAY(A354,14)</f>
        <v>7</v>
      </c>
      <c r="E354">
        <f t="shared" si="20"/>
        <v>0.25</v>
      </c>
      <c r="F354">
        <f t="shared" si="21"/>
        <v>4</v>
      </c>
      <c r="G354">
        <f>IF(F354&gt;F353,G353+B354*E354,B354*E354)</f>
        <v>5.6925504999999994</v>
      </c>
      <c r="H354">
        <f t="shared" si="22"/>
        <v>0.95</v>
      </c>
      <c r="I354">
        <f t="shared" si="23"/>
        <v>5.9921584210526309</v>
      </c>
      <c r="J354">
        <f>IF(I353=0,0,C353-I353)</f>
        <v>0</v>
      </c>
    </row>
    <row r="355" spans="1:10" x14ac:dyDescent="0.25">
      <c r="A355" s="1">
        <v>39233</v>
      </c>
      <c r="B355">
        <v>6.0072700000000001</v>
      </c>
      <c r="C355">
        <v>6.38</v>
      </c>
      <c r="D355">
        <f>WEEKDAY(A355,14)</f>
        <v>1</v>
      </c>
      <c r="E355">
        <f t="shared" si="20"/>
        <v>0</v>
      </c>
      <c r="F355">
        <f t="shared" si="21"/>
        <v>1</v>
      </c>
      <c r="G355">
        <f>IF(F355&gt;F354,G354+B355*E355,B355*E355)</f>
        <v>0</v>
      </c>
      <c r="H355">
        <f t="shared" si="22"/>
        <v>0</v>
      </c>
      <c r="I355">
        <f t="shared" si="23"/>
        <v>0</v>
      </c>
      <c r="J355">
        <f>IF(I354=0,0,C354-I354)</f>
        <v>0.27784157894736872</v>
      </c>
    </row>
    <row r="356" spans="1:10" x14ac:dyDescent="0.25">
      <c r="A356" s="1">
        <v>39234</v>
      </c>
      <c r="B356">
        <v>6.0737199999999998</v>
      </c>
      <c r="C356">
        <v>6.38</v>
      </c>
      <c r="D356">
        <f>WEEKDAY(A356,14)</f>
        <v>2</v>
      </c>
      <c r="E356">
        <f t="shared" si="20"/>
        <v>0</v>
      </c>
      <c r="F356">
        <f t="shared" si="21"/>
        <v>2</v>
      </c>
      <c r="G356">
        <f>IF(F356&gt;F355,G355+B356*E356,B356*E356)</f>
        <v>0</v>
      </c>
      <c r="H356">
        <f t="shared" si="22"/>
        <v>0</v>
      </c>
      <c r="I356">
        <f t="shared" si="23"/>
        <v>0</v>
      </c>
      <c r="J356">
        <f>IF(I355=0,0,C355-I355)</f>
        <v>0</v>
      </c>
    </row>
    <row r="357" spans="1:10" x14ac:dyDescent="0.25">
      <c r="A357" s="1">
        <v>39237</v>
      </c>
      <c r="B357">
        <v>6.06</v>
      </c>
      <c r="C357">
        <v>6.38</v>
      </c>
      <c r="D357">
        <f>WEEKDAY(A357,14)</f>
        <v>5</v>
      </c>
      <c r="E357">
        <f t="shared" si="20"/>
        <v>0.05</v>
      </c>
      <c r="F357">
        <f t="shared" si="21"/>
        <v>3</v>
      </c>
      <c r="G357">
        <f>IF(F357&gt;F356,G356+B357*E357,B357*E357)</f>
        <v>0.30299999999999999</v>
      </c>
      <c r="H357">
        <f t="shared" si="22"/>
        <v>0.05</v>
      </c>
      <c r="I357">
        <f t="shared" si="23"/>
        <v>0</v>
      </c>
      <c r="J357">
        <f>IF(I356=0,0,C356-I356)</f>
        <v>0</v>
      </c>
    </row>
    <row r="358" spans="1:10" x14ac:dyDescent="0.25">
      <c r="A358" s="1">
        <v>39238</v>
      </c>
      <c r="B358">
        <v>6.1189600000000004</v>
      </c>
      <c r="C358">
        <v>6.38</v>
      </c>
      <c r="D358">
        <f>WEEKDAY(A358,14)</f>
        <v>6</v>
      </c>
      <c r="E358">
        <f t="shared" si="20"/>
        <v>0.7</v>
      </c>
      <c r="F358">
        <f t="shared" si="21"/>
        <v>4</v>
      </c>
      <c r="G358">
        <f>IF(F358&gt;F357,G357+B358*E358,B358*E358)</f>
        <v>4.5862720000000001</v>
      </c>
      <c r="H358">
        <f t="shared" si="22"/>
        <v>0.75</v>
      </c>
      <c r="I358">
        <f t="shared" si="23"/>
        <v>0</v>
      </c>
      <c r="J358">
        <f>IF(I357=0,0,C357-I357)</f>
        <v>0</v>
      </c>
    </row>
    <row r="359" spans="1:10" x14ac:dyDescent="0.25">
      <c r="A359" s="1">
        <v>39239</v>
      </c>
      <c r="B359">
        <v>6.1242900000000002</v>
      </c>
      <c r="C359">
        <v>6.38</v>
      </c>
      <c r="D359">
        <f>WEEKDAY(A359,14)</f>
        <v>7</v>
      </c>
      <c r="E359">
        <f t="shared" si="20"/>
        <v>0.25</v>
      </c>
      <c r="F359">
        <f t="shared" si="21"/>
        <v>5</v>
      </c>
      <c r="G359">
        <f>IF(F359&gt;F358,G358+B359*E359,B359*E359)</f>
        <v>6.1173444999999997</v>
      </c>
      <c r="H359">
        <f t="shared" si="22"/>
        <v>1</v>
      </c>
      <c r="I359">
        <f t="shared" si="23"/>
        <v>6.1173444999999997</v>
      </c>
      <c r="J359">
        <f>IF(I358=0,0,C358-I358)</f>
        <v>0</v>
      </c>
    </row>
    <row r="360" spans="1:10" x14ac:dyDescent="0.25">
      <c r="A360" s="1">
        <v>39240</v>
      </c>
      <c r="B360">
        <v>6.2644200000000003</v>
      </c>
      <c r="C360">
        <v>6.59</v>
      </c>
      <c r="D360">
        <f>WEEKDAY(A360,14)</f>
        <v>1</v>
      </c>
      <c r="E360">
        <f t="shared" si="20"/>
        <v>0</v>
      </c>
      <c r="F360">
        <f t="shared" si="21"/>
        <v>1</v>
      </c>
      <c r="G360">
        <f>IF(F360&gt;F359,G359+B360*E360,B360*E360)</f>
        <v>0</v>
      </c>
      <c r="H360">
        <f t="shared" si="22"/>
        <v>0</v>
      </c>
      <c r="I360">
        <f t="shared" si="23"/>
        <v>0</v>
      </c>
      <c r="J360">
        <f>IF(I359=0,0,C359-I359)</f>
        <v>0.26265550000000015</v>
      </c>
    </row>
    <row r="361" spans="1:10" x14ac:dyDescent="0.25">
      <c r="A361" s="1">
        <v>39241</v>
      </c>
      <c r="B361">
        <v>6.28132</v>
      </c>
      <c r="C361">
        <v>6.59</v>
      </c>
      <c r="D361">
        <f>WEEKDAY(A361,14)</f>
        <v>2</v>
      </c>
      <c r="E361">
        <f t="shared" si="20"/>
        <v>0</v>
      </c>
      <c r="F361">
        <f t="shared" si="21"/>
        <v>2</v>
      </c>
      <c r="G361">
        <f>IF(F361&gt;F360,G360+B361*E361,B361*E361)</f>
        <v>0</v>
      </c>
      <c r="H361">
        <f t="shared" si="22"/>
        <v>0</v>
      </c>
      <c r="I361">
        <f t="shared" si="23"/>
        <v>0</v>
      </c>
      <c r="J361">
        <f>IF(I360=0,0,C360-I360)</f>
        <v>0</v>
      </c>
    </row>
    <row r="362" spans="1:10" x14ac:dyDescent="0.25">
      <c r="A362" s="1">
        <v>39244</v>
      </c>
      <c r="B362">
        <v>6.2855699999999999</v>
      </c>
      <c r="C362">
        <v>6.59</v>
      </c>
      <c r="D362">
        <f>WEEKDAY(A362,14)</f>
        <v>5</v>
      </c>
      <c r="E362">
        <f t="shared" si="20"/>
        <v>0.05</v>
      </c>
      <c r="F362">
        <f t="shared" si="21"/>
        <v>3</v>
      </c>
      <c r="G362">
        <f>IF(F362&gt;F361,G361+B362*E362,B362*E362)</f>
        <v>0.31427850000000002</v>
      </c>
      <c r="H362">
        <f t="shared" si="22"/>
        <v>0.05</v>
      </c>
      <c r="I362">
        <f t="shared" si="23"/>
        <v>0</v>
      </c>
      <c r="J362">
        <f>IF(I361=0,0,C361-I361)</f>
        <v>0</v>
      </c>
    </row>
    <row r="363" spans="1:10" x14ac:dyDescent="0.25">
      <c r="A363" s="1">
        <v>39245</v>
      </c>
      <c r="B363">
        <v>6.3898299999999999</v>
      </c>
      <c r="C363">
        <v>6.59</v>
      </c>
      <c r="D363">
        <f>WEEKDAY(A363,14)</f>
        <v>6</v>
      </c>
      <c r="E363">
        <f t="shared" si="20"/>
        <v>0.7</v>
      </c>
      <c r="F363">
        <f t="shared" si="21"/>
        <v>4</v>
      </c>
      <c r="G363">
        <f>IF(F363&gt;F362,G362+B363*E363,B363*E363)</f>
        <v>4.7871594999999996</v>
      </c>
      <c r="H363">
        <f t="shared" si="22"/>
        <v>0.75</v>
      </c>
      <c r="I363">
        <f t="shared" si="23"/>
        <v>0</v>
      </c>
      <c r="J363">
        <f>IF(I362=0,0,C362-I362)</f>
        <v>0</v>
      </c>
    </row>
    <row r="364" spans="1:10" x14ac:dyDescent="0.25">
      <c r="A364" s="1">
        <v>39246</v>
      </c>
      <c r="B364">
        <v>6.3626699999999996</v>
      </c>
      <c r="C364">
        <v>6.59</v>
      </c>
      <c r="D364">
        <f>WEEKDAY(A364,14)</f>
        <v>7</v>
      </c>
      <c r="E364">
        <f t="shared" si="20"/>
        <v>0.25</v>
      </c>
      <c r="F364">
        <f t="shared" si="21"/>
        <v>5</v>
      </c>
      <c r="G364">
        <f>IF(F364&gt;F363,G363+B364*E364,B364*E364)</f>
        <v>6.3778269999999999</v>
      </c>
      <c r="H364">
        <f t="shared" si="22"/>
        <v>1</v>
      </c>
      <c r="I364">
        <f t="shared" si="23"/>
        <v>6.3778269999999999</v>
      </c>
      <c r="J364">
        <f>IF(I363=0,0,C363-I363)</f>
        <v>0</v>
      </c>
    </row>
    <row r="365" spans="1:10" x14ac:dyDescent="0.25">
      <c r="A365" s="1">
        <v>39247</v>
      </c>
      <c r="B365">
        <v>6.3553600000000001</v>
      </c>
      <c r="C365">
        <v>6.5650000000000004</v>
      </c>
      <c r="D365">
        <f>WEEKDAY(A365,14)</f>
        <v>1</v>
      </c>
      <c r="E365">
        <f t="shared" si="20"/>
        <v>0</v>
      </c>
      <c r="F365">
        <f t="shared" si="21"/>
        <v>1</v>
      </c>
      <c r="G365">
        <f>IF(F365&gt;F364,G364+B365*E365,B365*E365)</f>
        <v>0</v>
      </c>
      <c r="H365">
        <f t="shared" si="22"/>
        <v>0</v>
      </c>
      <c r="I365">
        <f t="shared" si="23"/>
        <v>0</v>
      </c>
      <c r="J365">
        <f>IF(I364=0,0,C364-I364)</f>
        <v>0.21217299999999994</v>
      </c>
    </row>
    <row r="366" spans="1:10" x14ac:dyDescent="0.25">
      <c r="A366" s="1">
        <v>39248</v>
      </c>
      <c r="B366">
        <v>6.29718</v>
      </c>
      <c r="C366">
        <v>6.5650000000000004</v>
      </c>
      <c r="D366">
        <f>WEEKDAY(A366,14)</f>
        <v>2</v>
      </c>
      <c r="E366">
        <f t="shared" si="20"/>
        <v>0</v>
      </c>
      <c r="F366">
        <f t="shared" si="21"/>
        <v>2</v>
      </c>
      <c r="G366">
        <f>IF(F366&gt;F365,G365+B366*E366,B366*E366)</f>
        <v>0</v>
      </c>
      <c r="H366">
        <f t="shared" si="22"/>
        <v>0</v>
      </c>
      <c r="I366">
        <f t="shared" si="23"/>
        <v>0</v>
      </c>
      <c r="J366">
        <f>IF(I365=0,0,C365-I365)</f>
        <v>0</v>
      </c>
    </row>
    <row r="367" spans="1:10" x14ac:dyDescent="0.25">
      <c r="A367" s="1">
        <v>39251</v>
      </c>
      <c r="B367">
        <v>6.2774299999999998</v>
      </c>
      <c r="C367">
        <v>6.5650000000000004</v>
      </c>
      <c r="D367">
        <f>WEEKDAY(A367,14)</f>
        <v>5</v>
      </c>
      <c r="E367">
        <f t="shared" si="20"/>
        <v>0.05</v>
      </c>
      <c r="F367">
        <f t="shared" si="21"/>
        <v>3</v>
      </c>
      <c r="G367">
        <f>IF(F367&gt;F366,G366+B367*E367,B367*E367)</f>
        <v>0.31387150000000003</v>
      </c>
      <c r="H367">
        <f t="shared" si="22"/>
        <v>0.05</v>
      </c>
      <c r="I367">
        <f t="shared" si="23"/>
        <v>0</v>
      </c>
      <c r="J367">
        <f>IF(I366=0,0,C366-I366)</f>
        <v>0</v>
      </c>
    </row>
    <row r="368" spans="1:10" x14ac:dyDescent="0.25">
      <c r="A368" s="1">
        <v>39252</v>
      </c>
      <c r="B368">
        <v>6.22539</v>
      </c>
      <c r="C368">
        <v>6.5650000000000004</v>
      </c>
      <c r="D368">
        <f>WEEKDAY(A368,14)</f>
        <v>6</v>
      </c>
      <c r="E368">
        <f t="shared" si="20"/>
        <v>0.7</v>
      </c>
      <c r="F368">
        <f t="shared" si="21"/>
        <v>4</v>
      </c>
      <c r="G368">
        <f>IF(F368&gt;F367,G367+B368*E368,B368*E368)</f>
        <v>4.6716445000000002</v>
      </c>
      <c r="H368">
        <f t="shared" si="22"/>
        <v>0.75</v>
      </c>
      <c r="I368">
        <f t="shared" si="23"/>
        <v>0</v>
      </c>
      <c r="J368">
        <f>IF(I367=0,0,C367-I367)</f>
        <v>0</v>
      </c>
    </row>
    <row r="369" spans="1:10" x14ac:dyDescent="0.25">
      <c r="A369" s="1">
        <v>39253</v>
      </c>
      <c r="B369">
        <v>6.2887300000000002</v>
      </c>
      <c r="C369">
        <v>6.5650000000000004</v>
      </c>
      <c r="D369">
        <f>WEEKDAY(A369,14)</f>
        <v>7</v>
      </c>
      <c r="E369">
        <f t="shared" si="20"/>
        <v>0.25</v>
      </c>
      <c r="F369">
        <f t="shared" si="21"/>
        <v>5</v>
      </c>
      <c r="G369">
        <f>IF(F369&gt;F368,G368+B369*E369,B369*E369)</f>
        <v>6.2438270000000005</v>
      </c>
      <c r="H369">
        <f t="shared" si="22"/>
        <v>1</v>
      </c>
      <c r="I369">
        <f t="shared" si="23"/>
        <v>6.2438270000000005</v>
      </c>
      <c r="J369">
        <f>IF(I368=0,0,C368-I368)</f>
        <v>0</v>
      </c>
    </row>
    <row r="370" spans="1:10" x14ac:dyDescent="0.25">
      <c r="A370" s="1">
        <v>39254</v>
      </c>
      <c r="B370">
        <v>6.3248699999999998</v>
      </c>
      <c r="C370">
        <v>6.52</v>
      </c>
      <c r="D370">
        <f>WEEKDAY(A370,14)</f>
        <v>1</v>
      </c>
      <c r="E370">
        <f t="shared" si="20"/>
        <v>0</v>
      </c>
      <c r="F370">
        <f t="shared" si="21"/>
        <v>1</v>
      </c>
      <c r="G370">
        <f>IF(F370&gt;F369,G369+B370*E370,B370*E370)</f>
        <v>0</v>
      </c>
      <c r="H370">
        <f t="shared" si="22"/>
        <v>0</v>
      </c>
      <c r="I370">
        <f t="shared" si="23"/>
        <v>0</v>
      </c>
      <c r="J370">
        <f>IF(I369=0,0,C369-I369)</f>
        <v>0.32117299999999993</v>
      </c>
    </row>
    <row r="371" spans="1:10" x14ac:dyDescent="0.25">
      <c r="A371" s="1">
        <v>39255</v>
      </c>
      <c r="B371">
        <v>6.3038400000000001</v>
      </c>
      <c r="C371">
        <v>6.52</v>
      </c>
      <c r="D371">
        <f>WEEKDAY(A371,14)</f>
        <v>2</v>
      </c>
      <c r="E371">
        <f t="shared" si="20"/>
        <v>0</v>
      </c>
      <c r="F371">
        <f t="shared" si="21"/>
        <v>2</v>
      </c>
      <c r="G371">
        <f>IF(F371&gt;F370,G370+B371*E371,B371*E371)</f>
        <v>0</v>
      </c>
      <c r="H371">
        <f t="shared" si="22"/>
        <v>0</v>
      </c>
      <c r="I371">
        <f t="shared" si="23"/>
        <v>0</v>
      </c>
      <c r="J371">
        <f>IF(I370=0,0,C370-I370)</f>
        <v>0</v>
      </c>
    </row>
    <row r="372" spans="1:10" x14ac:dyDescent="0.25">
      <c r="A372" s="1">
        <v>39258</v>
      </c>
      <c r="B372">
        <v>6.2647000000000004</v>
      </c>
      <c r="C372">
        <v>6.52</v>
      </c>
      <c r="D372">
        <f>WEEKDAY(A372,14)</f>
        <v>5</v>
      </c>
      <c r="E372">
        <f t="shared" si="20"/>
        <v>0.05</v>
      </c>
      <c r="F372">
        <f t="shared" si="21"/>
        <v>3</v>
      </c>
      <c r="G372">
        <f>IF(F372&gt;F371,G371+B372*E372,B372*E372)</f>
        <v>0.31323500000000004</v>
      </c>
      <c r="H372">
        <f t="shared" si="22"/>
        <v>0.05</v>
      </c>
      <c r="I372">
        <f t="shared" si="23"/>
        <v>0</v>
      </c>
      <c r="J372">
        <f>IF(I371=0,0,C371-I371)</f>
        <v>0</v>
      </c>
    </row>
    <row r="373" spans="1:10" x14ac:dyDescent="0.25">
      <c r="A373" s="1">
        <v>39259</v>
      </c>
      <c r="B373">
        <v>6.2823399999999996</v>
      </c>
      <c r="C373">
        <v>6.52</v>
      </c>
      <c r="D373">
        <f>WEEKDAY(A373,14)</f>
        <v>6</v>
      </c>
      <c r="E373">
        <f t="shared" si="20"/>
        <v>0.7</v>
      </c>
      <c r="F373">
        <f t="shared" si="21"/>
        <v>4</v>
      </c>
      <c r="G373">
        <f>IF(F373&gt;F372,G372+B373*E373,B373*E373)</f>
        <v>4.7108729999999994</v>
      </c>
      <c r="H373">
        <f t="shared" si="22"/>
        <v>0.75</v>
      </c>
      <c r="I373">
        <f t="shared" si="23"/>
        <v>0</v>
      </c>
      <c r="J373">
        <f>IF(I372=0,0,C372-I372)</f>
        <v>0</v>
      </c>
    </row>
    <row r="374" spans="1:10" x14ac:dyDescent="0.25">
      <c r="A374" s="1">
        <v>39260</v>
      </c>
      <c r="B374">
        <v>6.2663900000000003</v>
      </c>
      <c r="C374">
        <v>6.52</v>
      </c>
      <c r="D374">
        <f>WEEKDAY(A374,14)</f>
        <v>7</v>
      </c>
      <c r="E374">
        <f t="shared" si="20"/>
        <v>0.25</v>
      </c>
      <c r="F374">
        <f t="shared" si="21"/>
        <v>5</v>
      </c>
      <c r="G374">
        <f>IF(F374&gt;F373,G373+B374*E374,B374*E374)</f>
        <v>6.2774704999999997</v>
      </c>
      <c r="H374">
        <f t="shared" si="22"/>
        <v>1</v>
      </c>
      <c r="I374">
        <f t="shared" si="23"/>
        <v>6.2774704999999997</v>
      </c>
      <c r="J374">
        <f>IF(I373=0,0,C373-I373)</f>
        <v>0</v>
      </c>
    </row>
    <row r="375" spans="1:10" x14ac:dyDescent="0.25">
      <c r="A375" s="1">
        <v>39261</v>
      </c>
      <c r="B375">
        <v>6.2981999999999996</v>
      </c>
      <c r="C375">
        <v>6.48</v>
      </c>
      <c r="D375">
        <f>WEEKDAY(A375,14)</f>
        <v>1</v>
      </c>
      <c r="E375">
        <f t="shared" si="20"/>
        <v>0</v>
      </c>
      <c r="F375">
        <f t="shared" si="21"/>
        <v>1</v>
      </c>
      <c r="G375">
        <f>IF(F375&gt;F374,G374+B375*E375,B375*E375)</f>
        <v>0</v>
      </c>
      <c r="H375">
        <f t="shared" si="22"/>
        <v>0</v>
      </c>
      <c r="I375">
        <f t="shared" si="23"/>
        <v>0</v>
      </c>
      <c r="J375">
        <f>IF(I374=0,0,C374-I374)</f>
        <v>0.24252949999999984</v>
      </c>
    </row>
    <row r="376" spans="1:10" x14ac:dyDescent="0.25">
      <c r="A376" s="1">
        <v>39262</v>
      </c>
      <c r="B376">
        <v>6.25387</v>
      </c>
      <c r="C376">
        <v>6.48</v>
      </c>
      <c r="D376">
        <f>WEEKDAY(A376,14)</f>
        <v>2</v>
      </c>
      <c r="E376">
        <f t="shared" si="20"/>
        <v>0</v>
      </c>
      <c r="F376">
        <f t="shared" si="21"/>
        <v>2</v>
      </c>
      <c r="G376">
        <f>IF(F376&gt;F375,G375+B376*E376,B376*E376)</f>
        <v>0</v>
      </c>
      <c r="H376">
        <f t="shared" si="22"/>
        <v>0</v>
      </c>
      <c r="I376">
        <f t="shared" si="23"/>
        <v>0</v>
      </c>
      <c r="J376">
        <f>IF(I375=0,0,C375-I375)</f>
        <v>0</v>
      </c>
    </row>
    <row r="377" spans="1:10" x14ac:dyDescent="0.25">
      <c r="A377" s="1">
        <v>39265</v>
      </c>
      <c r="B377">
        <v>6.2266500000000002</v>
      </c>
      <c r="C377">
        <v>6.48</v>
      </c>
      <c r="D377">
        <f>WEEKDAY(A377,14)</f>
        <v>5</v>
      </c>
      <c r="E377">
        <f t="shared" si="20"/>
        <v>0.05</v>
      </c>
      <c r="F377">
        <f t="shared" si="21"/>
        <v>3</v>
      </c>
      <c r="G377">
        <f>IF(F377&gt;F376,G376+B377*E377,B377*E377)</f>
        <v>0.31133250000000001</v>
      </c>
      <c r="H377">
        <f t="shared" si="22"/>
        <v>0.05</v>
      </c>
      <c r="I377">
        <f t="shared" si="23"/>
        <v>0</v>
      </c>
      <c r="J377">
        <f>IF(I376=0,0,C376-I376)</f>
        <v>0</v>
      </c>
    </row>
    <row r="378" spans="1:10" x14ac:dyDescent="0.25">
      <c r="A378" s="1">
        <v>39266</v>
      </c>
      <c r="B378">
        <v>6.2596299999999996</v>
      </c>
      <c r="C378">
        <v>6.48</v>
      </c>
      <c r="D378">
        <f>WEEKDAY(A378,14)</f>
        <v>6</v>
      </c>
      <c r="E378">
        <f t="shared" si="20"/>
        <v>0.7</v>
      </c>
      <c r="F378">
        <f t="shared" si="21"/>
        <v>4</v>
      </c>
      <c r="G378">
        <f>IF(F378&gt;F377,G377+B378*E378,B378*E378)</f>
        <v>4.6930734999999988</v>
      </c>
      <c r="H378">
        <f t="shared" si="22"/>
        <v>0.75</v>
      </c>
      <c r="I378">
        <f t="shared" si="23"/>
        <v>6.257431333333332</v>
      </c>
      <c r="J378">
        <f>IF(I377=0,0,C377-I377)</f>
        <v>0</v>
      </c>
    </row>
    <row r="379" spans="1:10" x14ac:dyDescent="0.25">
      <c r="A379" s="1">
        <v>39268</v>
      </c>
      <c r="B379">
        <v>6.3398000000000003</v>
      </c>
      <c r="C379">
        <v>6.58</v>
      </c>
      <c r="D379">
        <f>WEEKDAY(A379,14)</f>
        <v>1</v>
      </c>
      <c r="E379">
        <f t="shared" si="20"/>
        <v>0</v>
      </c>
      <c r="F379">
        <f t="shared" si="21"/>
        <v>1</v>
      </c>
      <c r="G379">
        <f>IF(F379&gt;F378,G378+B379*E379,B379*E379)</f>
        <v>0</v>
      </c>
      <c r="H379">
        <f t="shared" si="22"/>
        <v>0</v>
      </c>
      <c r="I379">
        <f t="shared" si="23"/>
        <v>0</v>
      </c>
      <c r="J379">
        <f>IF(I378=0,0,C378-I378)</f>
        <v>0.22256866666666841</v>
      </c>
    </row>
    <row r="380" spans="1:10" x14ac:dyDescent="0.25">
      <c r="A380" s="1">
        <v>39269</v>
      </c>
      <c r="B380">
        <v>6.3727</v>
      </c>
      <c r="C380">
        <v>6.58</v>
      </c>
      <c r="D380">
        <f>WEEKDAY(A380,14)</f>
        <v>2</v>
      </c>
      <c r="E380">
        <f t="shared" si="20"/>
        <v>0</v>
      </c>
      <c r="F380">
        <f t="shared" si="21"/>
        <v>2</v>
      </c>
      <c r="G380">
        <f>IF(F380&gt;F379,G379+B380*E380,B380*E380)</f>
        <v>0</v>
      </c>
      <c r="H380">
        <f t="shared" si="22"/>
        <v>0</v>
      </c>
      <c r="I380">
        <f t="shared" si="23"/>
        <v>0</v>
      </c>
      <c r="J380">
        <f>IF(I379=0,0,C379-I379)</f>
        <v>0</v>
      </c>
    </row>
    <row r="381" spans="1:10" x14ac:dyDescent="0.25">
      <c r="A381" s="1">
        <v>39272</v>
      </c>
      <c r="B381">
        <v>6.3504100000000001</v>
      </c>
      <c r="C381">
        <v>6.58</v>
      </c>
      <c r="D381">
        <f>WEEKDAY(A381,14)</f>
        <v>5</v>
      </c>
      <c r="E381">
        <f t="shared" si="20"/>
        <v>0.05</v>
      </c>
      <c r="F381">
        <f t="shared" si="21"/>
        <v>3</v>
      </c>
      <c r="G381">
        <f>IF(F381&gt;F380,G380+B381*E381,B381*E381)</f>
        <v>0.31752050000000004</v>
      </c>
      <c r="H381">
        <f t="shared" si="22"/>
        <v>0.05</v>
      </c>
      <c r="I381">
        <f t="shared" si="23"/>
        <v>0</v>
      </c>
      <c r="J381">
        <f>IF(I380=0,0,C380-I380)</f>
        <v>0</v>
      </c>
    </row>
    <row r="382" spans="1:10" x14ac:dyDescent="0.25">
      <c r="A382" s="1">
        <v>39273</v>
      </c>
      <c r="B382">
        <v>6.2829100000000002</v>
      </c>
      <c r="C382">
        <v>6.58</v>
      </c>
      <c r="D382">
        <f>WEEKDAY(A382,14)</f>
        <v>6</v>
      </c>
      <c r="E382">
        <f t="shared" si="20"/>
        <v>0.7</v>
      </c>
      <c r="F382">
        <f t="shared" si="21"/>
        <v>4</v>
      </c>
      <c r="G382">
        <f>IF(F382&gt;F381,G381+B382*E382,B382*E382)</f>
        <v>4.7155574999999992</v>
      </c>
      <c r="H382">
        <f t="shared" si="22"/>
        <v>0.75</v>
      </c>
      <c r="I382">
        <f t="shared" si="23"/>
        <v>0</v>
      </c>
      <c r="J382">
        <f>IF(I381=0,0,C381-I381)</f>
        <v>0</v>
      </c>
    </row>
    <row r="383" spans="1:10" x14ac:dyDescent="0.25">
      <c r="A383" s="1">
        <v>39274</v>
      </c>
      <c r="B383">
        <v>6.3106999999999998</v>
      </c>
      <c r="C383">
        <v>6.58</v>
      </c>
      <c r="D383">
        <f>WEEKDAY(A383,14)</f>
        <v>7</v>
      </c>
      <c r="E383">
        <f t="shared" si="20"/>
        <v>0.25</v>
      </c>
      <c r="F383">
        <f t="shared" si="21"/>
        <v>5</v>
      </c>
      <c r="G383">
        <f>IF(F383&gt;F382,G382+B383*E383,B383*E383)</f>
        <v>6.2932324999999993</v>
      </c>
      <c r="H383">
        <f t="shared" si="22"/>
        <v>1</v>
      </c>
      <c r="I383">
        <f t="shared" si="23"/>
        <v>6.2932324999999993</v>
      </c>
      <c r="J383">
        <f>IF(I382=0,0,C382-I382)</f>
        <v>0</v>
      </c>
    </row>
    <row r="384" spans="1:10" x14ac:dyDescent="0.25">
      <c r="A384" s="1">
        <v>39275</v>
      </c>
      <c r="B384">
        <v>6.3354100000000004</v>
      </c>
      <c r="C384">
        <v>6.58</v>
      </c>
      <c r="D384">
        <f>WEEKDAY(A384,14)</f>
        <v>1</v>
      </c>
      <c r="E384">
        <f t="shared" si="20"/>
        <v>0</v>
      </c>
      <c r="F384">
        <f t="shared" si="21"/>
        <v>1</v>
      </c>
      <c r="G384">
        <f>IF(F384&gt;F383,G383+B384*E384,B384*E384)</f>
        <v>0</v>
      </c>
      <c r="H384">
        <f t="shared" si="22"/>
        <v>0</v>
      </c>
      <c r="I384">
        <f t="shared" si="23"/>
        <v>0</v>
      </c>
      <c r="J384">
        <f>IF(I383=0,0,C383-I383)</f>
        <v>0.28676750000000073</v>
      </c>
    </row>
    <row r="385" spans="1:10" x14ac:dyDescent="0.25">
      <c r="A385" s="1">
        <v>39276</v>
      </c>
      <c r="B385">
        <v>6.3314500000000002</v>
      </c>
      <c r="C385">
        <v>6.58</v>
      </c>
      <c r="D385">
        <f>WEEKDAY(A385,14)</f>
        <v>2</v>
      </c>
      <c r="E385">
        <f t="shared" si="20"/>
        <v>0</v>
      </c>
      <c r="F385">
        <f t="shared" si="21"/>
        <v>2</v>
      </c>
      <c r="G385">
        <f>IF(F385&gt;F384,G384+B385*E385,B385*E385)</f>
        <v>0</v>
      </c>
      <c r="H385">
        <f t="shared" si="22"/>
        <v>0</v>
      </c>
      <c r="I385">
        <f t="shared" si="23"/>
        <v>0</v>
      </c>
      <c r="J385">
        <f>IF(I384=0,0,C384-I384)</f>
        <v>0</v>
      </c>
    </row>
    <row r="386" spans="1:10" x14ac:dyDescent="0.25">
      <c r="A386" s="1">
        <v>39279</v>
      </c>
      <c r="B386">
        <v>6.3007299999999997</v>
      </c>
      <c r="C386">
        <v>6.58</v>
      </c>
      <c r="D386">
        <f>WEEKDAY(A386,14)</f>
        <v>5</v>
      </c>
      <c r="E386">
        <f t="shared" si="20"/>
        <v>0.05</v>
      </c>
      <c r="F386">
        <f t="shared" si="21"/>
        <v>3</v>
      </c>
      <c r="G386">
        <f>IF(F386&gt;F385,G385+B386*E386,B386*E386)</f>
        <v>0.3150365</v>
      </c>
      <c r="H386">
        <f t="shared" si="22"/>
        <v>0.05</v>
      </c>
      <c r="I386">
        <f t="shared" si="23"/>
        <v>0</v>
      </c>
      <c r="J386">
        <f>IF(I385=0,0,C385-I385)</f>
        <v>0</v>
      </c>
    </row>
    <row r="387" spans="1:10" x14ac:dyDescent="0.25">
      <c r="A387" s="1">
        <v>39280</v>
      </c>
      <c r="B387">
        <v>6.3352899999999996</v>
      </c>
      <c r="C387">
        <v>6.58</v>
      </c>
      <c r="D387">
        <f>WEEKDAY(A387,14)</f>
        <v>6</v>
      </c>
      <c r="E387">
        <f t="shared" ref="E387:E450" si="24">VLOOKUP(D387,M$2:N$8,2,FALSE)</f>
        <v>0.7</v>
      </c>
      <c r="F387">
        <f t="shared" ref="F387:F450" si="25">IF(AND(D387&gt;D386,F386&lt;6),F386+1,1)</f>
        <v>4</v>
      </c>
      <c r="G387">
        <f>IF(F387&gt;F386,G386+B387*E387,B387*E387)</f>
        <v>4.7497394999999996</v>
      </c>
      <c r="H387">
        <f t="shared" si="22"/>
        <v>0.75</v>
      </c>
      <c r="I387">
        <f t="shared" si="23"/>
        <v>0</v>
      </c>
      <c r="J387">
        <f>IF(I386=0,0,C386-I386)</f>
        <v>0</v>
      </c>
    </row>
    <row r="388" spans="1:10" x14ac:dyDescent="0.25">
      <c r="A388" s="1">
        <v>39281</v>
      </c>
      <c r="B388">
        <v>6.2857200000000004</v>
      </c>
      <c r="C388">
        <v>6.58</v>
      </c>
      <c r="D388">
        <f>WEEKDAY(A388,14)</f>
        <v>7</v>
      </c>
      <c r="E388">
        <f t="shared" si="24"/>
        <v>0.25</v>
      </c>
      <c r="F388">
        <f t="shared" si="25"/>
        <v>5</v>
      </c>
      <c r="G388">
        <f>IF(F388&gt;F387,G387+B388*E388,B388*E388)</f>
        <v>6.3211694999999999</v>
      </c>
      <c r="H388">
        <f t="shared" ref="H388:H451" si="26">IF(AND(F388&lt;6,F388&gt;F387),E388+H387,E388)</f>
        <v>1</v>
      </c>
      <c r="I388">
        <f t="shared" ref="I388:I451" si="27">IF(F388&gt;F389,G388/H388,0)</f>
        <v>6.3211694999999999</v>
      </c>
      <c r="J388">
        <f>IF(I387=0,0,C387-I387)</f>
        <v>0</v>
      </c>
    </row>
    <row r="389" spans="1:10" x14ac:dyDescent="0.25">
      <c r="A389" s="1">
        <v>39282</v>
      </c>
      <c r="B389">
        <v>6.3040599999999998</v>
      </c>
      <c r="C389">
        <v>6.54</v>
      </c>
      <c r="D389">
        <f>WEEKDAY(A389,14)</f>
        <v>1</v>
      </c>
      <c r="E389">
        <f t="shared" si="24"/>
        <v>0</v>
      </c>
      <c r="F389">
        <f t="shared" si="25"/>
        <v>1</v>
      </c>
      <c r="G389">
        <f>IF(F389&gt;F388,G388+B389*E389,B389*E389)</f>
        <v>0</v>
      </c>
      <c r="H389">
        <f t="shared" si="26"/>
        <v>0</v>
      </c>
      <c r="I389">
        <f t="shared" si="27"/>
        <v>0</v>
      </c>
      <c r="J389">
        <f>IF(I388=0,0,C388-I388)</f>
        <v>0.25883050000000019</v>
      </c>
    </row>
    <row r="390" spans="1:10" x14ac:dyDescent="0.25">
      <c r="A390" s="1">
        <v>39283</v>
      </c>
      <c r="B390">
        <v>6.2649999999999997</v>
      </c>
      <c r="C390">
        <v>6.54</v>
      </c>
      <c r="D390">
        <f>WEEKDAY(A390,14)</f>
        <v>2</v>
      </c>
      <c r="E390">
        <f t="shared" si="24"/>
        <v>0</v>
      </c>
      <c r="F390">
        <f t="shared" si="25"/>
        <v>2</v>
      </c>
      <c r="G390">
        <f>IF(F390&gt;F389,G389+B390*E390,B390*E390)</f>
        <v>0</v>
      </c>
      <c r="H390">
        <f t="shared" si="26"/>
        <v>0</v>
      </c>
      <c r="I390">
        <f t="shared" si="27"/>
        <v>0</v>
      </c>
      <c r="J390">
        <f>IF(I389=0,0,C389-I389)</f>
        <v>0</v>
      </c>
    </row>
    <row r="391" spans="1:10" x14ac:dyDescent="0.25">
      <c r="A391" s="1">
        <v>39286</v>
      </c>
      <c r="B391">
        <v>6.2811199999999996</v>
      </c>
      <c r="C391">
        <v>6.54</v>
      </c>
      <c r="D391">
        <f>WEEKDAY(A391,14)</f>
        <v>5</v>
      </c>
      <c r="E391">
        <f t="shared" si="24"/>
        <v>0.05</v>
      </c>
      <c r="F391">
        <f t="shared" si="25"/>
        <v>3</v>
      </c>
      <c r="G391">
        <f>IF(F391&gt;F390,G390+B391*E391,B391*E391)</f>
        <v>0.314056</v>
      </c>
      <c r="H391">
        <f t="shared" si="26"/>
        <v>0.05</v>
      </c>
      <c r="I391">
        <f t="shared" si="27"/>
        <v>0</v>
      </c>
      <c r="J391">
        <f>IF(I390=0,0,C390-I390)</f>
        <v>0</v>
      </c>
    </row>
    <row r="392" spans="1:10" x14ac:dyDescent="0.25">
      <c r="A392" s="1">
        <v>39287</v>
      </c>
      <c r="B392">
        <v>6.2825800000000003</v>
      </c>
      <c r="C392">
        <v>6.54</v>
      </c>
      <c r="D392">
        <f>WEEKDAY(A392,14)</f>
        <v>6</v>
      </c>
      <c r="E392">
        <f t="shared" si="24"/>
        <v>0.7</v>
      </c>
      <c r="F392">
        <f t="shared" si="25"/>
        <v>4</v>
      </c>
      <c r="G392">
        <f>IF(F392&gt;F391,G391+B392*E392,B392*E392)</f>
        <v>4.711862</v>
      </c>
      <c r="H392">
        <f t="shared" si="26"/>
        <v>0.75</v>
      </c>
      <c r="I392">
        <f t="shared" si="27"/>
        <v>0</v>
      </c>
      <c r="J392">
        <f>IF(I391=0,0,C391-I391)</f>
        <v>0</v>
      </c>
    </row>
    <row r="393" spans="1:10" x14ac:dyDescent="0.25">
      <c r="A393" s="1">
        <v>39288</v>
      </c>
      <c r="B393">
        <v>6.2744099999999996</v>
      </c>
      <c r="C393">
        <v>6.54</v>
      </c>
      <c r="D393">
        <f>WEEKDAY(A393,14)</f>
        <v>7</v>
      </c>
      <c r="E393">
        <f t="shared" si="24"/>
        <v>0.25</v>
      </c>
      <c r="F393">
        <f t="shared" si="25"/>
        <v>5</v>
      </c>
      <c r="G393">
        <f>IF(F393&gt;F392,G392+B393*E393,B393*E393)</f>
        <v>6.2804644999999999</v>
      </c>
      <c r="H393">
        <f t="shared" si="26"/>
        <v>1</v>
      </c>
      <c r="I393">
        <f t="shared" si="27"/>
        <v>6.2804644999999999</v>
      </c>
      <c r="J393">
        <f>IF(I392=0,0,C392-I392)</f>
        <v>0</v>
      </c>
    </row>
    <row r="394" spans="1:10" x14ac:dyDescent="0.25">
      <c r="A394" s="1">
        <v>39289</v>
      </c>
      <c r="B394">
        <v>6.2137000000000002</v>
      </c>
      <c r="C394">
        <v>6.5049999999999999</v>
      </c>
      <c r="D394">
        <f>WEEKDAY(A394,14)</f>
        <v>1</v>
      </c>
      <c r="E394">
        <f t="shared" si="24"/>
        <v>0</v>
      </c>
      <c r="F394">
        <f t="shared" si="25"/>
        <v>1</v>
      </c>
      <c r="G394">
        <f>IF(F394&gt;F393,G393+B394*E394,B394*E394)</f>
        <v>0</v>
      </c>
      <c r="H394">
        <f t="shared" si="26"/>
        <v>0</v>
      </c>
      <c r="I394">
        <f t="shared" si="27"/>
        <v>0</v>
      </c>
      <c r="J394">
        <f>IF(I393=0,0,C393-I393)</f>
        <v>0.25953550000000014</v>
      </c>
    </row>
    <row r="395" spans="1:10" x14ac:dyDescent="0.25">
      <c r="A395" s="1">
        <v>39290</v>
      </c>
      <c r="B395">
        <v>6.21896</v>
      </c>
      <c r="C395">
        <v>6.5049999999999999</v>
      </c>
      <c r="D395">
        <f>WEEKDAY(A395,14)</f>
        <v>2</v>
      </c>
      <c r="E395">
        <f t="shared" si="24"/>
        <v>0</v>
      </c>
      <c r="F395">
        <f t="shared" si="25"/>
        <v>2</v>
      </c>
      <c r="G395">
        <f>IF(F395&gt;F394,G394+B395*E395,B395*E395)</f>
        <v>0</v>
      </c>
      <c r="H395">
        <f t="shared" si="26"/>
        <v>0</v>
      </c>
      <c r="I395">
        <f t="shared" si="27"/>
        <v>0</v>
      </c>
      <c r="J395">
        <f>IF(I394=0,0,C394-I394)</f>
        <v>0</v>
      </c>
    </row>
    <row r="396" spans="1:10" x14ac:dyDescent="0.25">
      <c r="A396" s="1">
        <v>39293</v>
      </c>
      <c r="B396">
        <v>6.2471699999999997</v>
      </c>
      <c r="C396">
        <v>6.5049999999999999</v>
      </c>
      <c r="D396">
        <f>WEEKDAY(A396,14)</f>
        <v>5</v>
      </c>
      <c r="E396">
        <f t="shared" si="24"/>
        <v>0.05</v>
      </c>
      <c r="F396">
        <f t="shared" si="25"/>
        <v>3</v>
      </c>
      <c r="G396">
        <f>IF(F396&gt;F395,G395+B396*E396,B396*E396)</f>
        <v>0.31235849999999998</v>
      </c>
      <c r="H396">
        <f t="shared" si="26"/>
        <v>0.05</v>
      </c>
      <c r="I396">
        <f t="shared" si="27"/>
        <v>0</v>
      </c>
      <c r="J396">
        <f>IF(I395=0,0,C395-I395)</f>
        <v>0</v>
      </c>
    </row>
    <row r="397" spans="1:10" x14ac:dyDescent="0.25">
      <c r="A397" s="1">
        <v>39294</v>
      </c>
      <c r="B397">
        <v>6.2235500000000004</v>
      </c>
      <c r="C397">
        <v>6.5049999999999999</v>
      </c>
      <c r="D397">
        <f>WEEKDAY(A397,14)</f>
        <v>6</v>
      </c>
      <c r="E397">
        <f t="shared" si="24"/>
        <v>0.7</v>
      </c>
      <c r="F397">
        <f t="shared" si="25"/>
        <v>4</v>
      </c>
      <c r="G397">
        <f>IF(F397&gt;F396,G396+B397*E397,B397*E397)</f>
        <v>4.6688435000000004</v>
      </c>
      <c r="H397">
        <f t="shared" si="26"/>
        <v>0.75</v>
      </c>
      <c r="I397">
        <f t="shared" si="27"/>
        <v>0</v>
      </c>
      <c r="J397">
        <f>IF(I396=0,0,C396-I396)</f>
        <v>0</v>
      </c>
    </row>
    <row r="398" spans="1:10" x14ac:dyDescent="0.25">
      <c r="A398" s="1">
        <v>39295</v>
      </c>
      <c r="B398">
        <v>6.2023400000000004</v>
      </c>
      <c r="C398">
        <v>6.5049999999999999</v>
      </c>
      <c r="D398">
        <f>WEEKDAY(A398,14)</f>
        <v>7</v>
      </c>
      <c r="E398">
        <f t="shared" si="24"/>
        <v>0.25</v>
      </c>
      <c r="F398">
        <f t="shared" si="25"/>
        <v>5</v>
      </c>
      <c r="G398">
        <f>IF(F398&gt;F397,G397+B398*E398,B398*E398)</f>
        <v>6.2194285000000002</v>
      </c>
      <c r="H398">
        <f t="shared" si="26"/>
        <v>1</v>
      </c>
      <c r="I398">
        <f t="shared" si="27"/>
        <v>6.2194285000000002</v>
      </c>
      <c r="J398">
        <f>IF(I397=0,0,C397-I397)</f>
        <v>0</v>
      </c>
    </row>
    <row r="399" spans="1:10" x14ac:dyDescent="0.25">
      <c r="A399" s="1">
        <v>39296</v>
      </c>
      <c r="B399">
        <v>6.17056</v>
      </c>
      <c r="C399">
        <v>6.44</v>
      </c>
      <c r="D399">
        <f>WEEKDAY(A399,14)</f>
        <v>1</v>
      </c>
      <c r="E399">
        <f t="shared" si="24"/>
        <v>0</v>
      </c>
      <c r="F399">
        <f t="shared" si="25"/>
        <v>1</v>
      </c>
      <c r="G399">
        <f>IF(F399&gt;F398,G398+B399*E399,B399*E399)</f>
        <v>0</v>
      </c>
      <c r="H399">
        <f t="shared" si="26"/>
        <v>0</v>
      </c>
      <c r="I399">
        <f t="shared" si="27"/>
        <v>0</v>
      </c>
      <c r="J399">
        <f>IF(I398=0,0,C398-I398)</f>
        <v>0.28557149999999965</v>
      </c>
    </row>
    <row r="400" spans="1:10" x14ac:dyDescent="0.25">
      <c r="A400" s="1">
        <v>39297</v>
      </c>
      <c r="B400">
        <v>6.1039700000000003</v>
      </c>
      <c r="C400">
        <v>6.44</v>
      </c>
      <c r="D400">
        <f>WEEKDAY(A400,14)</f>
        <v>2</v>
      </c>
      <c r="E400">
        <f t="shared" si="24"/>
        <v>0</v>
      </c>
      <c r="F400">
        <f t="shared" si="25"/>
        <v>2</v>
      </c>
      <c r="G400">
        <f>IF(F400&gt;F399,G399+B400*E400,B400*E400)</f>
        <v>0</v>
      </c>
      <c r="H400">
        <f t="shared" si="26"/>
        <v>0</v>
      </c>
      <c r="I400">
        <f t="shared" si="27"/>
        <v>0</v>
      </c>
      <c r="J400">
        <f>IF(I399=0,0,C399-I399)</f>
        <v>0</v>
      </c>
    </row>
    <row r="401" spans="1:10" x14ac:dyDescent="0.25">
      <c r="A401" s="1">
        <v>39300</v>
      </c>
      <c r="B401">
        <v>6.1213300000000004</v>
      </c>
      <c r="C401">
        <v>6.44</v>
      </c>
      <c r="D401">
        <f>WEEKDAY(A401,14)</f>
        <v>5</v>
      </c>
      <c r="E401">
        <f t="shared" si="24"/>
        <v>0.05</v>
      </c>
      <c r="F401">
        <f t="shared" si="25"/>
        <v>3</v>
      </c>
      <c r="G401">
        <f>IF(F401&gt;F400,G400+B401*E401,B401*E401)</f>
        <v>0.30606650000000002</v>
      </c>
      <c r="H401">
        <f t="shared" si="26"/>
        <v>0.05</v>
      </c>
      <c r="I401">
        <f t="shared" si="27"/>
        <v>0</v>
      </c>
      <c r="J401">
        <f>IF(I400=0,0,C400-I400)</f>
        <v>0</v>
      </c>
    </row>
    <row r="402" spans="1:10" x14ac:dyDescent="0.25">
      <c r="A402" s="1">
        <v>39301</v>
      </c>
      <c r="B402">
        <v>6.1072800000000003</v>
      </c>
      <c r="C402">
        <v>6.44</v>
      </c>
      <c r="D402">
        <f>WEEKDAY(A402,14)</f>
        <v>6</v>
      </c>
      <c r="E402">
        <f t="shared" si="24"/>
        <v>0.7</v>
      </c>
      <c r="F402">
        <f t="shared" si="25"/>
        <v>4</v>
      </c>
      <c r="G402">
        <f>IF(F402&gt;F401,G401+B402*E402,B402*E402)</f>
        <v>4.5811624999999996</v>
      </c>
      <c r="H402">
        <f t="shared" si="26"/>
        <v>0.75</v>
      </c>
      <c r="I402">
        <f t="shared" si="27"/>
        <v>0</v>
      </c>
      <c r="J402">
        <f>IF(I401=0,0,C401-I401)</f>
        <v>0</v>
      </c>
    </row>
    <row r="403" spans="1:10" x14ac:dyDescent="0.25">
      <c r="A403" s="1">
        <v>39302</v>
      </c>
      <c r="B403">
        <v>6.1660300000000001</v>
      </c>
      <c r="C403">
        <v>6.44</v>
      </c>
      <c r="D403">
        <f>WEEKDAY(A403,14)</f>
        <v>7</v>
      </c>
      <c r="E403">
        <f t="shared" si="24"/>
        <v>0.25</v>
      </c>
      <c r="F403">
        <f t="shared" si="25"/>
        <v>5</v>
      </c>
      <c r="G403">
        <f>IF(F403&gt;F402,G402+B403*E403,B403*E403)</f>
        <v>6.1226699999999994</v>
      </c>
      <c r="H403">
        <f t="shared" si="26"/>
        <v>1</v>
      </c>
      <c r="I403">
        <f t="shared" si="27"/>
        <v>6.1226699999999994</v>
      </c>
      <c r="J403">
        <f>IF(I402=0,0,C402-I402)</f>
        <v>0</v>
      </c>
    </row>
    <row r="404" spans="1:10" x14ac:dyDescent="0.25">
      <c r="A404" s="1">
        <v>39303</v>
      </c>
      <c r="B404">
        <v>6.1261299999999999</v>
      </c>
      <c r="C404">
        <v>6.47</v>
      </c>
      <c r="D404">
        <f>WEEKDAY(A404,14)</f>
        <v>1</v>
      </c>
      <c r="E404">
        <f t="shared" si="24"/>
        <v>0</v>
      </c>
      <c r="F404">
        <f t="shared" si="25"/>
        <v>1</v>
      </c>
      <c r="G404">
        <f>IF(F404&gt;F403,G403+B404*E404,B404*E404)</f>
        <v>0</v>
      </c>
      <c r="H404">
        <f t="shared" si="26"/>
        <v>0</v>
      </c>
      <c r="I404">
        <f t="shared" si="27"/>
        <v>0</v>
      </c>
      <c r="J404">
        <f>IF(I403=0,0,C403-I403)</f>
        <v>0.317330000000001</v>
      </c>
    </row>
    <row r="405" spans="1:10" x14ac:dyDescent="0.25">
      <c r="A405" s="1">
        <v>39304</v>
      </c>
      <c r="B405">
        <v>6.1506299999999996</v>
      </c>
      <c r="C405">
        <v>6.47</v>
      </c>
      <c r="D405">
        <f>WEEKDAY(A405,14)</f>
        <v>2</v>
      </c>
      <c r="E405">
        <f t="shared" si="24"/>
        <v>0</v>
      </c>
      <c r="F405">
        <f t="shared" si="25"/>
        <v>2</v>
      </c>
      <c r="G405">
        <f>IF(F405&gt;F404,G404+B405*E405,B405*E405)</f>
        <v>0</v>
      </c>
      <c r="H405">
        <f t="shared" si="26"/>
        <v>0</v>
      </c>
      <c r="I405">
        <f t="shared" si="27"/>
        <v>0</v>
      </c>
      <c r="J405">
        <f>IF(I404=0,0,C404-I404)</f>
        <v>0</v>
      </c>
    </row>
    <row r="406" spans="1:10" x14ac:dyDescent="0.25">
      <c r="A406" s="1">
        <v>39307</v>
      </c>
      <c r="B406">
        <v>6.16927</v>
      </c>
      <c r="C406">
        <v>6.47</v>
      </c>
      <c r="D406">
        <f>WEEKDAY(A406,14)</f>
        <v>5</v>
      </c>
      <c r="E406">
        <f t="shared" si="24"/>
        <v>0.05</v>
      </c>
      <c r="F406">
        <f t="shared" si="25"/>
        <v>3</v>
      </c>
      <c r="G406">
        <f>IF(F406&gt;F405,G405+B406*E406,B406*E406)</f>
        <v>0.3084635</v>
      </c>
      <c r="H406">
        <f t="shared" si="26"/>
        <v>0.05</v>
      </c>
      <c r="I406">
        <f t="shared" si="27"/>
        <v>0</v>
      </c>
      <c r="J406">
        <f>IF(I405=0,0,C405-I405)</f>
        <v>0</v>
      </c>
    </row>
    <row r="407" spans="1:10" x14ac:dyDescent="0.25">
      <c r="A407" s="1">
        <v>39308</v>
      </c>
      <c r="B407">
        <v>6.1677</v>
      </c>
      <c r="C407">
        <v>6.47</v>
      </c>
      <c r="D407">
        <f>WEEKDAY(A407,14)</f>
        <v>6</v>
      </c>
      <c r="E407">
        <f t="shared" si="24"/>
        <v>0.7</v>
      </c>
      <c r="F407">
        <f t="shared" si="25"/>
        <v>4</v>
      </c>
      <c r="G407">
        <f>IF(F407&gt;F406,G406+B407*E407,B407*E407)</f>
        <v>4.6258534999999998</v>
      </c>
      <c r="H407">
        <f t="shared" si="26"/>
        <v>0.75</v>
      </c>
      <c r="I407">
        <f t="shared" si="27"/>
        <v>0</v>
      </c>
      <c r="J407">
        <f>IF(I406=0,0,C406-I406)</f>
        <v>0</v>
      </c>
    </row>
    <row r="408" spans="1:10" x14ac:dyDescent="0.25">
      <c r="A408" s="1">
        <v>39309</v>
      </c>
      <c r="B408">
        <v>6.2066400000000002</v>
      </c>
      <c r="C408">
        <v>6.47</v>
      </c>
      <c r="D408">
        <f>WEEKDAY(A408,14)</f>
        <v>7</v>
      </c>
      <c r="E408">
        <f t="shared" si="24"/>
        <v>0.25</v>
      </c>
      <c r="F408">
        <f t="shared" si="25"/>
        <v>5</v>
      </c>
      <c r="G408">
        <f>IF(F408&gt;F407,G407+B408*E408,B408*E408)</f>
        <v>6.1775134999999999</v>
      </c>
      <c r="H408">
        <f t="shared" si="26"/>
        <v>1</v>
      </c>
      <c r="I408">
        <f t="shared" si="27"/>
        <v>6.1775134999999999</v>
      </c>
      <c r="J408">
        <f>IF(I407=0,0,C407-I407)</f>
        <v>0</v>
      </c>
    </row>
    <row r="409" spans="1:10" x14ac:dyDescent="0.25">
      <c r="A409" s="1">
        <v>39310</v>
      </c>
      <c r="B409">
        <v>6.1416899999999996</v>
      </c>
      <c r="C409">
        <v>6.37</v>
      </c>
      <c r="D409">
        <f>WEEKDAY(A409,14)</f>
        <v>1</v>
      </c>
      <c r="E409">
        <f t="shared" si="24"/>
        <v>0</v>
      </c>
      <c r="F409">
        <f t="shared" si="25"/>
        <v>1</v>
      </c>
      <c r="G409">
        <f>IF(F409&gt;F408,G408+B409*E409,B409*E409)</f>
        <v>0</v>
      </c>
      <c r="H409">
        <f t="shared" si="26"/>
        <v>0</v>
      </c>
      <c r="I409">
        <f t="shared" si="27"/>
        <v>0</v>
      </c>
      <c r="J409">
        <f>IF(I408=0,0,C408-I408)</f>
        <v>0.29248649999999987</v>
      </c>
    </row>
    <row r="410" spans="1:10" x14ac:dyDescent="0.25">
      <c r="A410" s="1">
        <v>39311</v>
      </c>
      <c r="B410">
        <v>6.1112799999999998</v>
      </c>
      <c r="C410">
        <v>6.37</v>
      </c>
      <c r="D410">
        <f>WEEKDAY(A410,14)</f>
        <v>2</v>
      </c>
      <c r="E410">
        <f t="shared" si="24"/>
        <v>0</v>
      </c>
      <c r="F410">
        <f t="shared" si="25"/>
        <v>2</v>
      </c>
      <c r="G410">
        <f>IF(F410&gt;F409,G409+B410*E410,B410*E410)</f>
        <v>0</v>
      </c>
      <c r="H410">
        <f t="shared" si="26"/>
        <v>0</v>
      </c>
      <c r="I410">
        <f t="shared" si="27"/>
        <v>0</v>
      </c>
      <c r="J410">
        <f>IF(I409=0,0,C409-I409)</f>
        <v>0</v>
      </c>
    </row>
    <row r="411" spans="1:10" x14ac:dyDescent="0.25">
      <c r="A411" s="1">
        <v>39314</v>
      </c>
      <c r="B411">
        <v>6.0763299999999996</v>
      </c>
      <c r="C411">
        <v>6.37</v>
      </c>
      <c r="D411">
        <f>WEEKDAY(A411,14)</f>
        <v>5</v>
      </c>
      <c r="E411">
        <f t="shared" si="24"/>
        <v>0.05</v>
      </c>
      <c r="F411">
        <f t="shared" si="25"/>
        <v>3</v>
      </c>
      <c r="G411">
        <f>IF(F411&gt;F410,G410+B411*E411,B411*E411)</f>
        <v>0.30381649999999999</v>
      </c>
      <c r="H411">
        <f t="shared" si="26"/>
        <v>0.05</v>
      </c>
      <c r="I411">
        <f t="shared" si="27"/>
        <v>0</v>
      </c>
      <c r="J411">
        <f>IF(I410=0,0,C410-I410)</f>
        <v>0</v>
      </c>
    </row>
    <row r="412" spans="1:10" x14ac:dyDescent="0.25">
      <c r="A412" s="1">
        <v>39315</v>
      </c>
      <c r="B412">
        <v>6.0129799999999998</v>
      </c>
      <c r="C412">
        <v>6.37</v>
      </c>
      <c r="D412">
        <f>WEEKDAY(A412,14)</f>
        <v>6</v>
      </c>
      <c r="E412">
        <f t="shared" si="24"/>
        <v>0.7</v>
      </c>
      <c r="F412">
        <f t="shared" si="25"/>
        <v>4</v>
      </c>
      <c r="G412">
        <f>IF(F412&gt;F411,G411+B412*E412,B412*E412)</f>
        <v>4.5129024999999992</v>
      </c>
      <c r="H412">
        <f t="shared" si="26"/>
        <v>0.75</v>
      </c>
      <c r="I412">
        <f t="shared" si="27"/>
        <v>0</v>
      </c>
      <c r="J412">
        <f>IF(I411=0,0,C411-I411)</f>
        <v>0</v>
      </c>
    </row>
    <row r="413" spans="1:10" x14ac:dyDescent="0.25">
      <c r="A413" s="1">
        <v>39316</v>
      </c>
      <c r="B413">
        <v>6.0298499999999997</v>
      </c>
      <c r="C413">
        <v>6.37</v>
      </c>
      <c r="D413">
        <f>WEEKDAY(A413,14)</f>
        <v>7</v>
      </c>
      <c r="E413">
        <f t="shared" si="24"/>
        <v>0.25</v>
      </c>
      <c r="F413">
        <f t="shared" si="25"/>
        <v>5</v>
      </c>
      <c r="G413">
        <f>IF(F413&gt;F412,G412+B413*E413,B413*E413)</f>
        <v>6.0203649999999991</v>
      </c>
      <c r="H413">
        <f t="shared" si="26"/>
        <v>1</v>
      </c>
      <c r="I413">
        <f t="shared" si="27"/>
        <v>6.0203649999999991</v>
      </c>
      <c r="J413">
        <f>IF(I412=0,0,C412-I412)</f>
        <v>0</v>
      </c>
    </row>
    <row r="414" spans="1:10" x14ac:dyDescent="0.25">
      <c r="A414" s="1">
        <v>39317</v>
      </c>
      <c r="B414">
        <v>6.0202099999999996</v>
      </c>
      <c r="C414">
        <v>6.3250000000000002</v>
      </c>
      <c r="D414">
        <f>WEEKDAY(A414,14)</f>
        <v>1</v>
      </c>
      <c r="E414">
        <f t="shared" si="24"/>
        <v>0</v>
      </c>
      <c r="F414">
        <f t="shared" si="25"/>
        <v>1</v>
      </c>
      <c r="G414">
        <f>IF(F414&gt;F413,G413+B414*E414,B414*E414)</f>
        <v>0</v>
      </c>
      <c r="H414">
        <f t="shared" si="26"/>
        <v>0</v>
      </c>
      <c r="I414">
        <f t="shared" si="27"/>
        <v>0</v>
      </c>
      <c r="J414">
        <f>IF(I413=0,0,C413-I413)</f>
        <v>0.34963500000000103</v>
      </c>
    </row>
    <row r="415" spans="1:10" x14ac:dyDescent="0.25">
      <c r="A415" s="1">
        <v>39318</v>
      </c>
      <c r="B415">
        <v>5.9870299999999999</v>
      </c>
      <c r="C415">
        <v>6.3250000000000002</v>
      </c>
      <c r="D415">
        <f>WEEKDAY(A415,14)</f>
        <v>2</v>
      </c>
      <c r="E415">
        <f t="shared" si="24"/>
        <v>0</v>
      </c>
      <c r="F415">
        <f t="shared" si="25"/>
        <v>2</v>
      </c>
      <c r="G415">
        <f>IF(F415&gt;F414,G414+B415*E415,B415*E415)</f>
        <v>0</v>
      </c>
      <c r="H415">
        <f t="shared" si="26"/>
        <v>0</v>
      </c>
      <c r="I415">
        <f t="shared" si="27"/>
        <v>0</v>
      </c>
      <c r="J415">
        <f>IF(I414=0,0,C414-I414)</f>
        <v>0</v>
      </c>
    </row>
    <row r="416" spans="1:10" x14ac:dyDescent="0.25">
      <c r="A416" s="1">
        <v>39321</v>
      </c>
      <c r="B416">
        <v>5.9704100000000002</v>
      </c>
      <c r="C416">
        <v>6.3250000000000002</v>
      </c>
      <c r="D416">
        <f>WEEKDAY(A416,14)</f>
        <v>5</v>
      </c>
      <c r="E416">
        <f t="shared" si="24"/>
        <v>0.05</v>
      </c>
      <c r="F416">
        <f t="shared" si="25"/>
        <v>3</v>
      </c>
      <c r="G416">
        <f>IF(F416&gt;F415,G415+B416*E416,B416*E416)</f>
        <v>0.29852050000000002</v>
      </c>
      <c r="H416">
        <f t="shared" si="26"/>
        <v>0.05</v>
      </c>
      <c r="I416">
        <f t="shared" si="27"/>
        <v>0</v>
      </c>
      <c r="J416">
        <f>IF(I415=0,0,C415-I415)</f>
        <v>0</v>
      </c>
    </row>
    <row r="417" spans="1:10" x14ac:dyDescent="0.25">
      <c r="A417" s="1">
        <v>39322</v>
      </c>
      <c r="B417">
        <v>5.9438000000000004</v>
      </c>
      <c r="C417">
        <v>6.3250000000000002</v>
      </c>
      <c r="D417">
        <f>WEEKDAY(A417,14)</f>
        <v>6</v>
      </c>
      <c r="E417">
        <f t="shared" si="24"/>
        <v>0.7</v>
      </c>
      <c r="F417">
        <f t="shared" si="25"/>
        <v>4</v>
      </c>
      <c r="G417">
        <f>IF(F417&gt;F416,G416+B417*E417,B417*E417)</f>
        <v>4.4591805000000004</v>
      </c>
      <c r="H417">
        <f t="shared" si="26"/>
        <v>0.75</v>
      </c>
      <c r="I417">
        <f t="shared" si="27"/>
        <v>0</v>
      </c>
      <c r="J417">
        <f>IF(I416=0,0,C416-I416)</f>
        <v>0</v>
      </c>
    </row>
    <row r="418" spans="1:10" x14ac:dyDescent="0.25">
      <c r="A418" s="1">
        <v>39323</v>
      </c>
      <c r="B418">
        <v>5.9792699999999996</v>
      </c>
      <c r="C418">
        <v>6.3250000000000002</v>
      </c>
      <c r="D418">
        <f>WEEKDAY(A418,14)</f>
        <v>7</v>
      </c>
      <c r="E418">
        <f t="shared" si="24"/>
        <v>0.25</v>
      </c>
      <c r="F418">
        <f t="shared" si="25"/>
        <v>5</v>
      </c>
      <c r="G418">
        <f>IF(F418&gt;F417,G417+B418*E418,B418*E418)</f>
        <v>5.9539980000000003</v>
      </c>
      <c r="H418">
        <f t="shared" si="26"/>
        <v>1</v>
      </c>
      <c r="I418">
        <f t="shared" si="27"/>
        <v>5.9539980000000003</v>
      </c>
      <c r="J418">
        <f>IF(I417=0,0,C417-I417)</f>
        <v>0</v>
      </c>
    </row>
    <row r="419" spans="1:10" x14ac:dyDescent="0.25">
      <c r="A419" s="1">
        <v>39324</v>
      </c>
      <c r="B419">
        <v>5.9711400000000001</v>
      </c>
      <c r="C419">
        <v>6.335</v>
      </c>
      <c r="D419">
        <f>WEEKDAY(A419,14)</f>
        <v>1</v>
      </c>
      <c r="E419">
        <f t="shared" si="24"/>
        <v>0</v>
      </c>
      <c r="F419">
        <f t="shared" si="25"/>
        <v>1</v>
      </c>
      <c r="G419">
        <f>IF(F419&gt;F418,G418+B419*E419,B419*E419)</f>
        <v>0</v>
      </c>
      <c r="H419">
        <f t="shared" si="26"/>
        <v>0</v>
      </c>
      <c r="I419">
        <f t="shared" si="27"/>
        <v>0</v>
      </c>
      <c r="J419">
        <f>IF(I418=0,0,C418-I418)</f>
        <v>0.37100199999999983</v>
      </c>
    </row>
    <row r="420" spans="1:10" x14ac:dyDescent="0.25">
      <c r="A420" s="1">
        <v>39325</v>
      </c>
      <c r="B420">
        <v>5.9934399999999997</v>
      </c>
      <c r="C420">
        <v>6.335</v>
      </c>
      <c r="D420">
        <f>WEEKDAY(A420,14)</f>
        <v>2</v>
      </c>
      <c r="E420">
        <f t="shared" si="24"/>
        <v>0</v>
      </c>
      <c r="F420">
        <f t="shared" si="25"/>
        <v>2</v>
      </c>
      <c r="G420">
        <f>IF(F420&gt;F419,G419+B420*E420,B420*E420)</f>
        <v>0</v>
      </c>
      <c r="H420">
        <f t="shared" si="26"/>
        <v>0</v>
      </c>
      <c r="I420">
        <f t="shared" si="27"/>
        <v>0</v>
      </c>
      <c r="J420">
        <f>IF(I419=0,0,C419-I419)</f>
        <v>0</v>
      </c>
    </row>
    <row r="421" spans="1:10" x14ac:dyDescent="0.25">
      <c r="A421" s="1">
        <v>39329</v>
      </c>
      <c r="B421">
        <v>6.0156700000000001</v>
      </c>
      <c r="C421">
        <v>6.335</v>
      </c>
      <c r="D421">
        <f>WEEKDAY(A421,14)</f>
        <v>6</v>
      </c>
      <c r="E421">
        <f t="shared" si="24"/>
        <v>0.7</v>
      </c>
      <c r="F421">
        <f t="shared" si="25"/>
        <v>3</v>
      </c>
      <c r="G421">
        <f>IF(F421&gt;F420,G420+B421*E421,B421*E421)</f>
        <v>4.2109689999999995</v>
      </c>
      <c r="H421">
        <f t="shared" si="26"/>
        <v>0.7</v>
      </c>
      <c r="I421">
        <f t="shared" si="27"/>
        <v>0</v>
      </c>
      <c r="J421">
        <f>IF(I420=0,0,C420-I420)</f>
        <v>0</v>
      </c>
    </row>
    <row r="422" spans="1:10" x14ac:dyDescent="0.25">
      <c r="A422" s="1">
        <v>39330</v>
      </c>
      <c r="B422">
        <v>5.9270699999999996</v>
      </c>
      <c r="C422">
        <v>6.335</v>
      </c>
      <c r="D422">
        <f>WEEKDAY(A422,14)</f>
        <v>7</v>
      </c>
      <c r="E422">
        <f t="shared" si="24"/>
        <v>0.25</v>
      </c>
      <c r="F422">
        <f t="shared" si="25"/>
        <v>4</v>
      </c>
      <c r="G422">
        <f>IF(F422&gt;F421,G421+B422*E422,B422*E422)</f>
        <v>5.6927364999999996</v>
      </c>
      <c r="H422">
        <f t="shared" si="26"/>
        <v>0.95</v>
      </c>
      <c r="I422">
        <f t="shared" si="27"/>
        <v>5.9923542105263161</v>
      </c>
      <c r="J422">
        <f>IF(I421=0,0,C421-I421)</f>
        <v>0</v>
      </c>
    </row>
    <row r="423" spans="1:10" x14ac:dyDescent="0.25">
      <c r="A423" s="1">
        <v>39331</v>
      </c>
      <c r="B423">
        <v>5.9335000000000004</v>
      </c>
      <c r="C423">
        <v>6.1849999999999996</v>
      </c>
      <c r="D423">
        <f>WEEKDAY(A423,14)</f>
        <v>1</v>
      </c>
      <c r="E423">
        <f t="shared" si="24"/>
        <v>0</v>
      </c>
      <c r="F423">
        <f t="shared" si="25"/>
        <v>1</v>
      </c>
      <c r="G423">
        <f>IF(F423&gt;F422,G422+B423*E423,B423*E423)</f>
        <v>0</v>
      </c>
      <c r="H423">
        <f t="shared" si="26"/>
        <v>0</v>
      </c>
      <c r="I423">
        <f t="shared" si="27"/>
        <v>0</v>
      </c>
      <c r="J423">
        <f>IF(I422=0,0,C422-I422)</f>
        <v>0.34264578947368385</v>
      </c>
    </row>
    <row r="424" spans="1:10" x14ac:dyDescent="0.25">
      <c r="A424" s="1">
        <v>39332</v>
      </c>
      <c r="B424">
        <v>5.7613300000000001</v>
      </c>
      <c r="C424">
        <v>6.1849999999999996</v>
      </c>
      <c r="D424">
        <f>WEEKDAY(A424,14)</f>
        <v>2</v>
      </c>
      <c r="E424">
        <f t="shared" si="24"/>
        <v>0</v>
      </c>
      <c r="F424">
        <f t="shared" si="25"/>
        <v>2</v>
      </c>
      <c r="G424">
        <f>IF(F424&gt;F423,G423+B424*E424,B424*E424)</f>
        <v>0</v>
      </c>
      <c r="H424">
        <f t="shared" si="26"/>
        <v>0</v>
      </c>
      <c r="I424">
        <f t="shared" si="27"/>
        <v>0</v>
      </c>
      <c r="J424">
        <f>IF(I423=0,0,C423-I423)</f>
        <v>0</v>
      </c>
    </row>
    <row r="425" spans="1:10" x14ac:dyDescent="0.25">
      <c r="A425" s="1">
        <v>39335</v>
      </c>
      <c r="B425">
        <v>5.7311300000000003</v>
      </c>
      <c r="C425">
        <v>6.1849999999999996</v>
      </c>
      <c r="D425">
        <f>WEEKDAY(A425,14)</f>
        <v>5</v>
      </c>
      <c r="E425">
        <f t="shared" si="24"/>
        <v>0.05</v>
      </c>
      <c r="F425">
        <f t="shared" si="25"/>
        <v>3</v>
      </c>
      <c r="G425">
        <f>IF(F425&gt;F424,G424+B425*E425,B425*E425)</f>
        <v>0.28655650000000005</v>
      </c>
      <c r="H425">
        <f t="shared" si="26"/>
        <v>0.05</v>
      </c>
      <c r="I425">
        <f t="shared" si="27"/>
        <v>0</v>
      </c>
      <c r="J425">
        <f>IF(I424=0,0,C424-I424)</f>
        <v>0</v>
      </c>
    </row>
    <row r="426" spans="1:10" x14ac:dyDescent="0.25">
      <c r="A426" s="1">
        <v>39336</v>
      </c>
      <c r="B426">
        <v>5.8036500000000002</v>
      </c>
      <c r="C426">
        <v>6.1849999999999996</v>
      </c>
      <c r="D426">
        <f>WEEKDAY(A426,14)</f>
        <v>6</v>
      </c>
      <c r="E426">
        <f t="shared" si="24"/>
        <v>0.7</v>
      </c>
      <c r="F426">
        <f t="shared" si="25"/>
        <v>4</v>
      </c>
      <c r="G426">
        <f>IF(F426&gt;F425,G425+B426*E426,B426*E426)</f>
        <v>4.3491114999999994</v>
      </c>
      <c r="H426">
        <f t="shared" si="26"/>
        <v>0.75</v>
      </c>
      <c r="I426">
        <f t="shared" si="27"/>
        <v>0</v>
      </c>
      <c r="J426">
        <f>IF(I425=0,0,C425-I425)</f>
        <v>0</v>
      </c>
    </row>
    <row r="427" spans="1:10" x14ac:dyDescent="0.25">
      <c r="A427" s="1">
        <v>39337</v>
      </c>
      <c r="B427">
        <v>5.8702199999999998</v>
      </c>
      <c r="C427">
        <v>6.1849999999999996</v>
      </c>
      <c r="D427">
        <f>WEEKDAY(A427,14)</f>
        <v>7</v>
      </c>
      <c r="E427">
        <f t="shared" si="24"/>
        <v>0.25</v>
      </c>
      <c r="F427">
        <f t="shared" si="25"/>
        <v>5</v>
      </c>
      <c r="G427">
        <f>IF(F427&gt;F426,G426+B427*E427,B427*E427)</f>
        <v>5.8166664999999993</v>
      </c>
      <c r="H427">
        <f t="shared" si="26"/>
        <v>1</v>
      </c>
      <c r="I427">
        <f t="shared" si="27"/>
        <v>5.8166664999999993</v>
      </c>
      <c r="J427">
        <f>IF(I426=0,0,C426-I426)</f>
        <v>0</v>
      </c>
    </row>
    <row r="428" spans="1:10" x14ac:dyDescent="0.25">
      <c r="A428" s="1">
        <v>39338</v>
      </c>
      <c r="B428">
        <v>5.9126000000000003</v>
      </c>
      <c r="C428">
        <v>6.2149999999999999</v>
      </c>
      <c r="D428">
        <f>WEEKDAY(A428,14)</f>
        <v>1</v>
      </c>
      <c r="E428">
        <f t="shared" si="24"/>
        <v>0</v>
      </c>
      <c r="F428">
        <f t="shared" si="25"/>
        <v>1</v>
      </c>
      <c r="G428">
        <f>IF(F428&gt;F427,G427+B428*E428,B428*E428)</f>
        <v>0</v>
      </c>
      <c r="H428">
        <f t="shared" si="26"/>
        <v>0</v>
      </c>
      <c r="I428">
        <f t="shared" si="27"/>
        <v>0</v>
      </c>
      <c r="J428">
        <f>IF(I427=0,0,C427-I427)</f>
        <v>0.36833350000000031</v>
      </c>
    </row>
    <row r="429" spans="1:10" x14ac:dyDescent="0.25">
      <c r="A429" s="1">
        <v>39339</v>
      </c>
      <c r="B429">
        <v>5.8910600000000004</v>
      </c>
      <c r="C429">
        <v>6.2149999999999999</v>
      </c>
      <c r="D429">
        <f>WEEKDAY(A429,14)</f>
        <v>2</v>
      </c>
      <c r="E429">
        <f t="shared" si="24"/>
        <v>0</v>
      </c>
      <c r="F429">
        <f t="shared" si="25"/>
        <v>2</v>
      </c>
      <c r="G429">
        <f>IF(F429&gt;F428,G428+B429*E429,B429*E429)</f>
        <v>0</v>
      </c>
      <c r="H429">
        <f t="shared" si="26"/>
        <v>0</v>
      </c>
      <c r="I429">
        <f t="shared" si="27"/>
        <v>0</v>
      </c>
      <c r="J429">
        <f>IF(I428=0,0,C428-I428)</f>
        <v>0</v>
      </c>
    </row>
    <row r="430" spans="1:10" x14ac:dyDescent="0.25">
      <c r="A430" s="1">
        <v>39342</v>
      </c>
      <c r="B430">
        <v>5.8940000000000001</v>
      </c>
      <c r="C430">
        <v>6.2149999999999999</v>
      </c>
      <c r="D430">
        <f>WEEKDAY(A430,14)</f>
        <v>5</v>
      </c>
      <c r="E430">
        <f t="shared" si="24"/>
        <v>0.05</v>
      </c>
      <c r="F430">
        <f t="shared" si="25"/>
        <v>3</v>
      </c>
      <c r="G430">
        <f>IF(F430&gt;F429,G429+B430*E430,B430*E430)</f>
        <v>0.29470000000000002</v>
      </c>
      <c r="H430">
        <f t="shared" si="26"/>
        <v>0.05</v>
      </c>
      <c r="I430">
        <f t="shared" si="27"/>
        <v>0</v>
      </c>
      <c r="J430">
        <f>IF(I429=0,0,C429-I429)</f>
        <v>0</v>
      </c>
    </row>
    <row r="431" spans="1:10" x14ac:dyDescent="0.25">
      <c r="A431" s="1">
        <v>39343</v>
      </c>
      <c r="B431">
        <v>5.7982300000000002</v>
      </c>
      <c r="C431">
        <v>6.2149999999999999</v>
      </c>
      <c r="D431">
        <f>WEEKDAY(A431,14)</f>
        <v>6</v>
      </c>
      <c r="E431">
        <f t="shared" si="24"/>
        <v>0.7</v>
      </c>
      <c r="F431">
        <f t="shared" si="25"/>
        <v>4</v>
      </c>
      <c r="G431">
        <f>IF(F431&gt;F430,G430+B431*E431,B431*E431)</f>
        <v>4.3534609999999994</v>
      </c>
      <c r="H431">
        <f t="shared" si="26"/>
        <v>0.75</v>
      </c>
      <c r="I431">
        <f t="shared" si="27"/>
        <v>0</v>
      </c>
      <c r="J431">
        <f>IF(I430=0,0,C430-I430)</f>
        <v>0</v>
      </c>
    </row>
    <row r="432" spans="1:10" x14ac:dyDescent="0.25">
      <c r="A432" s="1">
        <v>39344</v>
      </c>
      <c r="B432">
        <v>5.7949999999999999</v>
      </c>
      <c r="C432">
        <v>6.2149999999999999</v>
      </c>
      <c r="D432">
        <f>WEEKDAY(A432,14)</f>
        <v>7</v>
      </c>
      <c r="E432">
        <f t="shared" si="24"/>
        <v>0.25</v>
      </c>
      <c r="F432">
        <f t="shared" si="25"/>
        <v>5</v>
      </c>
      <c r="G432">
        <f>IF(F432&gt;F431,G431+B432*E432,B432*E432)</f>
        <v>5.8022109999999998</v>
      </c>
      <c r="H432">
        <f t="shared" si="26"/>
        <v>1</v>
      </c>
      <c r="I432">
        <f t="shared" si="27"/>
        <v>5.8022109999999998</v>
      </c>
      <c r="J432">
        <f>IF(I431=0,0,C431-I431)</f>
        <v>0</v>
      </c>
    </row>
    <row r="433" spans="1:10" x14ac:dyDescent="0.25">
      <c r="A433" s="1">
        <v>39345</v>
      </c>
      <c r="B433">
        <v>5.9655399999999998</v>
      </c>
      <c r="C433">
        <v>6.2949999999999999</v>
      </c>
      <c r="D433">
        <f>WEEKDAY(A433,14)</f>
        <v>1</v>
      </c>
      <c r="E433">
        <f t="shared" si="24"/>
        <v>0</v>
      </c>
      <c r="F433">
        <f t="shared" si="25"/>
        <v>1</v>
      </c>
      <c r="G433">
        <f>IF(F433&gt;F432,G432+B433*E433,B433*E433)</f>
        <v>0</v>
      </c>
      <c r="H433">
        <f t="shared" si="26"/>
        <v>0</v>
      </c>
      <c r="I433">
        <f t="shared" si="27"/>
        <v>0</v>
      </c>
      <c r="J433">
        <f>IF(I432=0,0,C432-I432)</f>
        <v>0.41278900000000007</v>
      </c>
    </row>
    <row r="434" spans="1:10" x14ac:dyDescent="0.25">
      <c r="A434" s="1">
        <v>39346</v>
      </c>
      <c r="B434">
        <v>5.9516400000000003</v>
      </c>
      <c r="C434">
        <v>6.2949999999999999</v>
      </c>
      <c r="D434">
        <f>WEEKDAY(A434,14)</f>
        <v>2</v>
      </c>
      <c r="E434">
        <f t="shared" si="24"/>
        <v>0</v>
      </c>
      <c r="F434">
        <f t="shared" si="25"/>
        <v>2</v>
      </c>
      <c r="G434">
        <f>IF(F434&gt;F433,G433+B434*E434,B434*E434)</f>
        <v>0</v>
      </c>
      <c r="H434">
        <f t="shared" si="26"/>
        <v>0</v>
      </c>
      <c r="I434">
        <f t="shared" si="27"/>
        <v>0</v>
      </c>
      <c r="J434">
        <f>IF(I433=0,0,C433-I433)</f>
        <v>0</v>
      </c>
    </row>
    <row r="435" spans="1:10" x14ac:dyDescent="0.25">
      <c r="A435" s="1">
        <v>39349</v>
      </c>
      <c r="B435">
        <v>5.9749600000000003</v>
      </c>
      <c r="C435">
        <v>6.2949999999999999</v>
      </c>
      <c r="D435">
        <f>WEEKDAY(A435,14)</f>
        <v>5</v>
      </c>
      <c r="E435">
        <f t="shared" si="24"/>
        <v>0.05</v>
      </c>
      <c r="F435">
        <f t="shared" si="25"/>
        <v>3</v>
      </c>
      <c r="G435">
        <f>IF(F435&gt;F434,G434+B435*E435,B435*E435)</f>
        <v>0.29874800000000001</v>
      </c>
      <c r="H435">
        <f t="shared" si="26"/>
        <v>0.05</v>
      </c>
      <c r="I435">
        <f t="shared" si="27"/>
        <v>0</v>
      </c>
      <c r="J435">
        <f>IF(I434=0,0,C434-I434)</f>
        <v>0</v>
      </c>
    </row>
    <row r="436" spans="1:10" x14ac:dyDescent="0.25">
      <c r="A436" s="1">
        <v>39350</v>
      </c>
      <c r="B436">
        <v>5.97037</v>
      </c>
      <c r="C436">
        <v>6.2949999999999999</v>
      </c>
      <c r="D436">
        <f>WEEKDAY(A436,14)</f>
        <v>6</v>
      </c>
      <c r="E436">
        <f t="shared" si="24"/>
        <v>0.7</v>
      </c>
      <c r="F436">
        <f t="shared" si="25"/>
        <v>4</v>
      </c>
      <c r="G436">
        <f>IF(F436&gt;F435,G435+B436*E436,B436*E436)</f>
        <v>4.4780069999999998</v>
      </c>
      <c r="H436">
        <f t="shared" si="26"/>
        <v>0.75</v>
      </c>
      <c r="I436">
        <f t="shared" si="27"/>
        <v>0</v>
      </c>
      <c r="J436">
        <f>IF(I435=0,0,C435-I435)</f>
        <v>0</v>
      </c>
    </row>
    <row r="437" spans="1:10" x14ac:dyDescent="0.25">
      <c r="A437" s="1">
        <v>39351</v>
      </c>
      <c r="B437">
        <v>5.98048</v>
      </c>
      <c r="C437">
        <v>6.2949999999999999</v>
      </c>
      <c r="D437">
        <f>WEEKDAY(A437,14)</f>
        <v>7</v>
      </c>
      <c r="E437">
        <f t="shared" si="24"/>
        <v>0.25</v>
      </c>
      <c r="F437">
        <f t="shared" si="25"/>
        <v>5</v>
      </c>
      <c r="G437">
        <f>IF(F437&gt;F436,G436+B437*E437,B437*E437)</f>
        <v>5.9731269999999999</v>
      </c>
      <c r="H437">
        <f t="shared" si="26"/>
        <v>1</v>
      </c>
      <c r="I437">
        <f t="shared" si="27"/>
        <v>5.9731269999999999</v>
      </c>
      <c r="J437">
        <f>IF(I436=0,0,C436-I436)</f>
        <v>0</v>
      </c>
    </row>
    <row r="438" spans="1:10" x14ac:dyDescent="0.25">
      <c r="A438" s="1">
        <v>39352</v>
      </c>
      <c r="B438">
        <v>5.9237299999999999</v>
      </c>
      <c r="C438">
        <v>6.2450000000000001</v>
      </c>
      <c r="D438">
        <f>WEEKDAY(A438,14)</f>
        <v>1</v>
      </c>
      <c r="E438">
        <f t="shared" si="24"/>
        <v>0</v>
      </c>
      <c r="F438">
        <f t="shared" si="25"/>
        <v>1</v>
      </c>
      <c r="G438">
        <f>IF(F438&gt;F437,G437+B438*E438,B438*E438)</f>
        <v>0</v>
      </c>
      <c r="H438">
        <f t="shared" si="26"/>
        <v>0</v>
      </c>
      <c r="I438">
        <f t="shared" si="27"/>
        <v>0</v>
      </c>
      <c r="J438">
        <f>IF(I437=0,0,C437-I437)</f>
        <v>0.32187300000000008</v>
      </c>
    </row>
    <row r="439" spans="1:10" x14ac:dyDescent="0.25">
      <c r="A439" s="1">
        <v>39353</v>
      </c>
      <c r="B439">
        <v>5.9506600000000001</v>
      </c>
      <c r="C439">
        <v>6.2450000000000001</v>
      </c>
      <c r="D439">
        <f>WEEKDAY(A439,14)</f>
        <v>2</v>
      </c>
      <c r="E439">
        <f t="shared" si="24"/>
        <v>0</v>
      </c>
      <c r="F439">
        <f t="shared" si="25"/>
        <v>2</v>
      </c>
      <c r="G439">
        <f>IF(F439&gt;F438,G438+B439*E439,B439*E439)</f>
        <v>0</v>
      </c>
      <c r="H439">
        <f t="shared" si="26"/>
        <v>0</v>
      </c>
      <c r="I439">
        <f t="shared" si="27"/>
        <v>0</v>
      </c>
      <c r="J439">
        <f>IF(I438=0,0,C438-I438)</f>
        <v>0</v>
      </c>
    </row>
    <row r="440" spans="1:10" x14ac:dyDescent="0.25">
      <c r="A440" s="1">
        <v>39356</v>
      </c>
      <c r="B440">
        <v>5.93729</v>
      </c>
      <c r="C440">
        <v>6.2450000000000001</v>
      </c>
      <c r="D440">
        <f>WEEKDAY(A440,14)</f>
        <v>5</v>
      </c>
      <c r="E440">
        <f t="shared" si="24"/>
        <v>0.05</v>
      </c>
      <c r="F440">
        <f t="shared" si="25"/>
        <v>3</v>
      </c>
      <c r="G440">
        <f>IF(F440&gt;F439,G439+B440*E440,B440*E440)</f>
        <v>0.29686450000000003</v>
      </c>
      <c r="H440">
        <f t="shared" si="26"/>
        <v>0.05</v>
      </c>
      <c r="I440">
        <f t="shared" si="27"/>
        <v>0</v>
      </c>
      <c r="J440">
        <f>IF(I439=0,0,C439-I439)</f>
        <v>0</v>
      </c>
    </row>
    <row r="441" spans="1:10" x14ac:dyDescent="0.25">
      <c r="A441" s="1">
        <v>39357</v>
      </c>
      <c r="B441">
        <v>5.9181100000000004</v>
      </c>
      <c r="C441">
        <v>6.2450000000000001</v>
      </c>
      <c r="D441">
        <f>WEEKDAY(A441,14)</f>
        <v>6</v>
      </c>
      <c r="E441">
        <f t="shared" si="24"/>
        <v>0.7</v>
      </c>
      <c r="F441">
        <f t="shared" si="25"/>
        <v>4</v>
      </c>
      <c r="G441">
        <f>IF(F441&gt;F440,G440+B441*E441,B441*E441)</f>
        <v>4.4395414999999998</v>
      </c>
      <c r="H441">
        <f t="shared" si="26"/>
        <v>0.75</v>
      </c>
      <c r="I441">
        <f t="shared" si="27"/>
        <v>0</v>
      </c>
      <c r="J441">
        <f>IF(I440=0,0,C440-I440)</f>
        <v>0</v>
      </c>
    </row>
    <row r="442" spans="1:10" x14ac:dyDescent="0.25">
      <c r="A442" s="1">
        <v>39358</v>
      </c>
      <c r="B442">
        <v>5.9055099999999996</v>
      </c>
      <c r="C442">
        <v>6.2450000000000001</v>
      </c>
      <c r="D442">
        <f>WEEKDAY(A442,14)</f>
        <v>7</v>
      </c>
      <c r="E442">
        <f t="shared" si="24"/>
        <v>0.25</v>
      </c>
      <c r="F442">
        <f t="shared" si="25"/>
        <v>5</v>
      </c>
      <c r="G442">
        <f>IF(F442&gt;F441,G441+B442*E442,B442*E442)</f>
        <v>5.9159189999999997</v>
      </c>
      <c r="H442">
        <f t="shared" si="26"/>
        <v>1</v>
      </c>
      <c r="I442">
        <f t="shared" si="27"/>
        <v>5.9159189999999997</v>
      </c>
      <c r="J442">
        <f>IF(I441=0,0,C441-I441)</f>
        <v>0</v>
      </c>
    </row>
    <row r="443" spans="1:10" x14ac:dyDescent="0.25">
      <c r="A443" s="1">
        <v>39359</v>
      </c>
      <c r="B443">
        <v>5.8890900000000004</v>
      </c>
      <c r="C443">
        <v>6.25</v>
      </c>
      <c r="D443">
        <f>WEEKDAY(A443,14)</f>
        <v>1</v>
      </c>
      <c r="E443">
        <f t="shared" si="24"/>
        <v>0</v>
      </c>
      <c r="F443">
        <f t="shared" si="25"/>
        <v>1</v>
      </c>
      <c r="G443">
        <f>IF(F443&gt;F442,G442+B443*E443,B443*E443)</f>
        <v>0</v>
      </c>
      <c r="H443">
        <f t="shared" si="26"/>
        <v>0</v>
      </c>
      <c r="I443">
        <f t="shared" si="27"/>
        <v>0</v>
      </c>
      <c r="J443">
        <f>IF(I442=0,0,C442-I442)</f>
        <v>0.3290810000000004</v>
      </c>
    </row>
    <row r="444" spans="1:10" x14ac:dyDescent="0.25">
      <c r="A444" s="1">
        <v>39360</v>
      </c>
      <c r="B444">
        <v>5.9848699999999999</v>
      </c>
      <c r="C444">
        <v>6.25</v>
      </c>
      <c r="D444">
        <f>WEEKDAY(A444,14)</f>
        <v>2</v>
      </c>
      <c r="E444">
        <f t="shared" si="24"/>
        <v>0</v>
      </c>
      <c r="F444">
        <f t="shared" si="25"/>
        <v>2</v>
      </c>
      <c r="G444">
        <f>IF(F444&gt;F443,G443+B444*E444,B444*E444)</f>
        <v>0</v>
      </c>
      <c r="H444">
        <f t="shared" si="26"/>
        <v>0</v>
      </c>
      <c r="I444">
        <f t="shared" si="27"/>
        <v>0</v>
      </c>
      <c r="J444">
        <f>IF(I443=0,0,C443-I443)</f>
        <v>0</v>
      </c>
    </row>
    <row r="445" spans="1:10" x14ac:dyDescent="0.25">
      <c r="A445" s="1">
        <v>39364</v>
      </c>
      <c r="B445">
        <v>5.9840799999999996</v>
      </c>
      <c r="C445">
        <v>6.25</v>
      </c>
      <c r="D445">
        <f>WEEKDAY(A445,14)</f>
        <v>6</v>
      </c>
      <c r="E445">
        <f t="shared" si="24"/>
        <v>0.7</v>
      </c>
      <c r="F445">
        <f t="shared" si="25"/>
        <v>3</v>
      </c>
      <c r="G445">
        <f>IF(F445&gt;F444,G444+B445*E445,B445*E445)</f>
        <v>4.1888559999999995</v>
      </c>
      <c r="H445">
        <f t="shared" si="26"/>
        <v>0.7</v>
      </c>
      <c r="I445">
        <f t="shared" si="27"/>
        <v>0</v>
      </c>
      <c r="J445">
        <f>IF(I444=0,0,C444-I444)</f>
        <v>0</v>
      </c>
    </row>
    <row r="446" spans="1:10" x14ac:dyDescent="0.25">
      <c r="A446" s="1">
        <v>39365</v>
      </c>
      <c r="B446">
        <v>5.9849699999999997</v>
      </c>
      <c r="C446">
        <v>6.25</v>
      </c>
      <c r="D446">
        <f>WEEKDAY(A446,14)</f>
        <v>7</v>
      </c>
      <c r="E446">
        <f t="shared" si="24"/>
        <v>0.25</v>
      </c>
      <c r="F446">
        <f t="shared" si="25"/>
        <v>4</v>
      </c>
      <c r="G446">
        <f>IF(F446&gt;F445,G445+B446*E446,B446*E446)</f>
        <v>5.6850984999999996</v>
      </c>
      <c r="H446">
        <f t="shared" si="26"/>
        <v>0.95</v>
      </c>
      <c r="I446">
        <f t="shared" si="27"/>
        <v>5.9843142105263158</v>
      </c>
      <c r="J446">
        <f>IF(I445=0,0,C445-I445)</f>
        <v>0</v>
      </c>
    </row>
    <row r="447" spans="1:10" x14ac:dyDescent="0.25">
      <c r="A447" s="1">
        <v>39366</v>
      </c>
      <c r="B447">
        <v>5.9680999999999997</v>
      </c>
      <c r="C447">
        <v>6.2750000000000004</v>
      </c>
      <c r="D447">
        <f>WEEKDAY(A447,14)</f>
        <v>1</v>
      </c>
      <c r="E447">
        <f t="shared" si="24"/>
        <v>0</v>
      </c>
      <c r="F447">
        <f t="shared" si="25"/>
        <v>1</v>
      </c>
      <c r="G447">
        <f>IF(F447&gt;F446,G446+B447*E447,B447*E447)</f>
        <v>0</v>
      </c>
      <c r="H447">
        <f t="shared" si="26"/>
        <v>0</v>
      </c>
      <c r="I447">
        <f t="shared" si="27"/>
        <v>0</v>
      </c>
      <c r="J447">
        <f>IF(I446=0,0,C446-I446)</f>
        <v>0.26568578947368415</v>
      </c>
    </row>
    <row r="448" spans="1:10" x14ac:dyDescent="0.25">
      <c r="A448" s="1">
        <v>39367</v>
      </c>
      <c r="B448">
        <v>5.9816099999999999</v>
      </c>
      <c r="C448">
        <v>6.2750000000000004</v>
      </c>
      <c r="D448">
        <f>WEEKDAY(A448,14)</f>
        <v>2</v>
      </c>
      <c r="E448">
        <f t="shared" si="24"/>
        <v>0</v>
      </c>
      <c r="F448">
        <f t="shared" si="25"/>
        <v>2</v>
      </c>
      <c r="G448">
        <f>IF(F448&gt;F447,G447+B448*E448,B448*E448)</f>
        <v>0</v>
      </c>
      <c r="H448">
        <f t="shared" si="26"/>
        <v>0</v>
      </c>
      <c r="I448">
        <f t="shared" si="27"/>
        <v>0</v>
      </c>
      <c r="J448">
        <f>IF(I447=0,0,C447-I447)</f>
        <v>0</v>
      </c>
    </row>
    <row r="449" spans="1:10" x14ac:dyDescent="0.25">
      <c r="A449" s="1">
        <v>39370</v>
      </c>
      <c r="B449">
        <v>5.9821299999999997</v>
      </c>
      <c r="C449">
        <v>6.2750000000000004</v>
      </c>
      <c r="D449">
        <f>WEEKDAY(A449,14)</f>
        <v>5</v>
      </c>
      <c r="E449">
        <f t="shared" si="24"/>
        <v>0.05</v>
      </c>
      <c r="F449">
        <f t="shared" si="25"/>
        <v>3</v>
      </c>
      <c r="G449">
        <f>IF(F449&gt;F448,G448+B449*E449,B449*E449)</f>
        <v>0.2991065</v>
      </c>
      <c r="H449">
        <f t="shared" si="26"/>
        <v>0.05</v>
      </c>
      <c r="I449">
        <f t="shared" si="27"/>
        <v>0</v>
      </c>
      <c r="J449">
        <f>IF(I448=0,0,C448-I448)</f>
        <v>0</v>
      </c>
    </row>
    <row r="450" spans="1:10" x14ac:dyDescent="0.25">
      <c r="A450" s="1">
        <v>39371</v>
      </c>
      <c r="B450">
        <v>5.9741</v>
      </c>
      <c r="C450">
        <v>6.2750000000000004</v>
      </c>
      <c r="D450">
        <f>WEEKDAY(A450,14)</f>
        <v>6</v>
      </c>
      <c r="E450">
        <f t="shared" si="24"/>
        <v>0.7</v>
      </c>
      <c r="F450">
        <f t="shared" si="25"/>
        <v>4</v>
      </c>
      <c r="G450">
        <f>IF(F450&gt;F449,G449+B450*E450,B450*E450)</f>
        <v>4.4809764999999997</v>
      </c>
      <c r="H450">
        <f t="shared" si="26"/>
        <v>0.75</v>
      </c>
      <c r="I450">
        <f t="shared" si="27"/>
        <v>0</v>
      </c>
      <c r="J450">
        <f>IF(I449=0,0,C449-I449)</f>
        <v>0</v>
      </c>
    </row>
    <row r="451" spans="1:10" x14ac:dyDescent="0.25">
      <c r="A451" s="1">
        <v>39372</v>
      </c>
      <c r="B451">
        <v>5.9041399999999999</v>
      </c>
      <c r="C451">
        <v>6.2750000000000004</v>
      </c>
      <c r="D451">
        <f>WEEKDAY(A451,14)</f>
        <v>7</v>
      </c>
      <c r="E451">
        <f t="shared" ref="E451:E514" si="28">VLOOKUP(D451,M$2:N$8,2,FALSE)</f>
        <v>0.25</v>
      </c>
      <c r="F451">
        <f t="shared" ref="F451:F514" si="29">IF(AND(D451&gt;D450,F450&lt;6),F450+1,1)</f>
        <v>5</v>
      </c>
      <c r="G451">
        <f>IF(F451&gt;F450,G450+B451*E451,B451*E451)</f>
        <v>5.9570115000000001</v>
      </c>
      <c r="H451">
        <f t="shared" si="26"/>
        <v>1</v>
      </c>
      <c r="I451">
        <f t="shared" si="27"/>
        <v>5.9570115000000001</v>
      </c>
      <c r="J451">
        <f>IF(I450=0,0,C450-I450)</f>
        <v>0</v>
      </c>
    </row>
    <row r="452" spans="1:10" x14ac:dyDescent="0.25">
      <c r="A452" s="1">
        <v>39373</v>
      </c>
      <c r="B452">
        <v>5.85501</v>
      </c>
      <c r="C452">
        <v>6.2050000000000001</v>
      </c>
      <c r="D452">
        <f>WEEKDAY(A452,14)</f>
        <v>1</v>
      </c>
      <c r="E452">
        <f t="shared" si="28"/>
        <v>0</v>
      </c>
      <c r="F452">
        <f t="shared" si="29"/>
        <v>1</v>
      </c>
      <c r="G452">
        <f>IF(F452&gt;F451,G451+B452*E452,B452*E452)</f>
        <v>0</v>
      </c>
      <c r="H452">
        <f t="shared" ref="H452:H515" si="30">IF(AND(F452&lt;6,F452&gt;F451),E452+H451,E452)</f>
        <v>0</v>
      </c>
      <c r="I452">
        <f t="shared" ref="I452:I515" si="31">IF(F452&gt;F453,G452/H452,0)</f>
        <v>0</v>
      </c>
      <c r="J452">
        <f>IF(I451=0,0,C451-I451)</f>
        <v>0.31798850000000023</v>
      </c>
    </row>
    <row r="453" spans="1:10" x14ac:dyDescent="0.25">
      <c r="A453" s="1">
        <v>39374</v>
      </c>
      <c r="B453">
        <v>5.7882600000000002</v>
      </c>
      <c r="C453">
        <v>6.2050000000000001</v>
      </c>
      <c r="D453">
        <f>WEEKDAY(A453,14)</f>
        <v>2</v>
      </c>
      <c r="E453">
        <f t="shared" si="28"/>
        <v>0</v>
      </c>
      <c r="F453">
        <f t="shared" si="29"/>
        <v>2</v>
      </c>
      <c r="G453">
        <f>IF(F453&gt;F452,G452+B453*E453,B453*E453)</f>
        <v>0</v>
      </c>
      <c r="H453">
        <f t="shared" si="30"/>
        <v>0</v>
      </c>
      <c r="I453">
        <f t="shared" si="31"/>
        <v>0</v>
      </c>
      <c r="J453">
        <f>IF(I452=0,0,C452-I452)</f>
        <v>0</v>
      </c>
    </row>
    <row r="454" spans="1:10" x14ac:dyDescent="0.25">
      <c r="A454" s="1">
        <v>39377</v>
      </c>
      <c r="B454">
        <v>5.7905300000000004</v>
      </c>
      <c r="C454">
        <v>6.2050000000000001</v>
      </c>
      <c r="D454">
        <f>WEEKDAY(A454,14)</f>
        <v>5</v>
      </c>
      <c r="E454">
        <f t="shared" si="28"/>
        <v>0.05</v>
      </c>
      <c r="F454">
        <f t="shared" si="29"/>
        <v>3</v>
      </c>
      <c r="G454">
        <f>IF(F454&gt;F453,G453+B454*E454,B454*E454)</f>
        <v>0.28952650000000002</v>
      </c>
      <c r="H454">
        <f t="shared" si="30"/>
        <v>0.05</v>
      </c>
      <c r="I454">
        <f t="shared" si="31"/>
        <v>0</v>
      </c>
      <c r="J454">
        <f>IF(I453=0,0,C453-I453)</f>
        <v>0</v>
      </c>
    </row>
    <row r="455" spans="1:10" x14ac:dyDescent="0.25">
      <c r="A455" s="1">
        <v>39378</v>
      </c>
      <c r="B455">
        <v>5.7736299999999998</v>
      </c>
      <c r="C455">
        <v>6.2050000000000001</v>
      </c>
      <c r="D455">
        <f>WEEKDAY(A455,14)</f>
        <v>6</v>
      </c>
      <c r="E455">
        <f t="shared" si="28"/>
        <v>0.7</v>
      </c>
      <c r="F455">
        <f t="shared" si="29"/>
        <v>4</v>
      </c>
      <c r="G455">
        <f>IF(F455&gt;F454,G454+B455*E455,B455*E455)</f>
        <v>4.3310674999999996</v>
      </c>
      <c r="H455">
        <f t="shared" si="30"/>
        <v>0.75</v>
      </c>
      <c r="I455">
        <f t="shared" si="31"/>
        <v>0</v>
      </c>
      <c r="J455">
        <f>IF(I454=0,0,C454-I454)</f>
        <v>0</v>
      </c>
    </row>
    <row r="456" spans="1:10" x14ac:dyDescent="0.25">
      <c r="A456" s="1">
        <v>39379</v>
      </c>
      <c r="B456">
        <v>5.68865</v>
      </c>
      <c r="C456">
        <v>6.2050000000000001</v>
      </c>
      <c r="D456">
        <f>WEEKDAY(A456,14)</f>
        <v>7</v>
      </c>
      <c r="E456">
        <f t="shared" si="28"/>
        <v>0.25</v>
      </c>
      <c r="F456">
        <f t="shared" si="29"/>
        <v>5</v>
      </c>
      <c r="G456">
        <f>IF(F456&gt;F455,G455+B456*E456,B456*E456)</f>
        <v>5.7532299999999994</v>
      </c>
      <c r="H456">
        <f t="shared" si="30"/>
        <v>1</v>
      </c>
      <c r="I456">
        <f t="shared" si="31"/>
        <v>5.7532299999999994</v>
      </c>
      <c r="J456">
        <f>IF(I455=0,0,C455-I455)</f>
        <v>0</v>
      </c>
    </row>
    <row r="457" spans="1:10" x14ac:dyDescent="0.25">
      <c r="A457" s="1">
        <v>39380</v>
      </c>
      <c r="B457">
        <v>5.6981400000000004</v>
      </c>
      <c r="C457">
        <v>6.11</v>
      </c>
      <c r="D457">
        <f>WEEKDAY(A457,14)</f>
        <v>1</v>
      </c>
      <c r="E457">
        <f t="shared" si="28"/>
        <v>0</v>
      </c>
      <c r="F457">
        <f t="shared" si="29"/>
        <v>1</v>
      </c>
      <c r="G457">
        <f>IF(F457&gt;F456,G456+B457*E457,B457*E457)</f>
        <v>0</v>
      </c>
      <c r="H457">
        <f t="shared" si="30"/>
        <v>0</v>
      </c>
      <c r="I457">
        <f t="shared" si="31"/>
        <v>0</v>
      </c>
      <c r="J457">
        <f>IF(I456=0,0,C456-I456)</f>
        <v>0.45177000000000067</v>
      </c>
    </row>
    <row r="458" spans="1:10" x14ac:dyDescent="0.25">
      <c r="A458" s="1">
        <v>39381</v>
      </c>
      <c r="B458">
        <v>5.7512999999999996</v>
      </c>
      <c r="C458">
        <v>6.11</v>
      </c>
      <c r="D458">
        <f>WEEKDAY(A458,14)</f>
        <v>2</v>
      </c>
      <c r="E458">
        <f t="shared" si="28"/>
        <v>0</v>
      </c>
      <c r="F458">
        <f t="shared" si="29"/>
        <v>2</v>
      </c>
      <c r="G458">
        <f>IF(F458&gt;F457,G457+B458*E458,B458*E458)</f>
        <v>0</v>
      </c>
      <c r="H458">
        <f t="shared" si="30"/>
        <v>0</v>
      </c>
      <c r="I458">
        <f t="shared" si="31"/>
        <v>0</v>
      </c>
      <c r="J458">
        <f>IF(I457=0,0,C457-I457)</f>
        <v>0</v>
      </c>
    </row>
    <row r="459" spans="1:10" x14ac:dyDescent="0.25">
      <c r="A459" s="1">
        <v>39384</v>
      </c>
      <c r="B459">
        <v>5.7405299999999997</v>
      </c>
      <c r="C459">
        <v>6.11</v>
      </c>
      <c r="D459">
        <f>WEEKDAY(A459,14)</f>
        <v>5</v>
      </c>
      <c r="E459">
        <f t="shared" si="28"/>
        <v>0.05</v>
      </c>
      <c r="F459">
        <f t="shared" si="29"/>
        <v>3</v>
      </c>
      <c r="G459">
        <f>IF(F459&gt;F458,G458+B459*E459,B459*E459)</f>
        <v>0.28702650000000002</v>
      </c>
      <c r="H459">
        <f t="shared" si="30"/>
        <v>0.05</v>
      </c>
      <c r="I459">
        <f t="shared" si="31"/>
        <v>0</v>
      </c>
      <c r="J459">
        <f>IF(I458=0,0,C458-I458)</f>
        <v>0</v>
      </c>
    </row>
    <row r="460" spans="1:10" x14ac:dyDescent="0.25">
      <c r="A460" s="1">
        <v>39385</v>
      </c>
      <c r="B460">
        <v>5.74383</v>
      </c>
      <c r="C460">
        <v>6.11</v>
      </c>
      <c r="D460">
        <f>WEEKDAY(A460,14)</f>
        <v>6</v>
      </c>
      <c r="E460">
        <f t="shared" si="28"/>
        <v>0.7</v>
      </c>
      <c r="F460">
        <f t="shared" si="29"/>
        <v>4</v>
      </c>
      <c r="G460">
        <f>IF(F460&gt;F459,G459+B460*E460,B460*E460)</f>
        <v>4.3077074999999994</v>
      </c>
      <c r="H460">
        <f t="shared" si="30"/>
        <v>0.75</v>
      </c>
      <c r="I460">
        <f t="shared" si="31"/>
        <v>0</v>
      </c>
      <c r="J460">
        <f>IF(I459=0,0,C459-I459)</f>
        <v>0</v>
      </c>
    </row>
    <row r="461" spans="1:10" x14ac:dyDescent="0.25">
      <c r="A461" s="1">
        <v>39386</v>
      </c>
      <c r="B461">
        <v>5.8263600000000002</v>
      </c>
      <c r="C461">
        <v>6.11</v>
      </c>
      <c r="D461">
        <f>WEEKDAY(A461,14)</f>
        <v>7</v>
      </c>
      <c r="E461">
        <f t="shared" si="28"/>
        <v>0.25</v>
      </c>
      <c r="F461">
        <f t="shared" si="29"/>
        <v>5</v>
      </c>
      <c r="G461">
        <f>IF(F461&gt;F460,G460+B461*E461,B461*E461)</f>
        <v>5.7642974999999996</v>
      </c>
      <c r="H461">
        <f t="shared" si="30"/>
        <v>1</v>
      </c>
      <c r="I461">
        <f t="shared" si="31"/>
        <v>5.7642974999999996</v>
      </c>
      <c r="J461">
        <f>IF(I460=0,0,C460-I460)</f>
        <v>0</v>
      </c>
    </row>
    <row r="462" spans="1:10" x14ac:dyDescent="0.25">
      <c r="A462" s="1">
        <v>39387</v>
      </c>
      <c r="B462">
        <v>5.76173</v>
      </c>
      <c r="C462">
        <v>6.09</v>
      </c>
      <c r="D462">
        <f>WEEKDAY(A462,14)</f>
        <v>1</v>
      </c>
      <c r="E462">
        <f t="shared" si="28"/>
        <v>0</v>
      </c>
      <c r="F462">
        <f t="shared" si="29"/>
        <v>1</v>
      </c>
      <c r="G462">
        <f>IF(F462&gt;F461,G461+B462*E462,B462*E462)</f>
        <v>0</v>
      </c>
      <c r="H462">
        <f t="shared" si="30"/>
        <v>0</v>
      </c>
      <c r="I462">
        <f t="shared" si="31"/>
        <v>0</v>
      </c>
      <c r="J462">
        <f>IF(I461=0,0,C461-I461)</f>
        <v>0.34570250000000069</v>
      </c>
    </row>
    <row r="463" spans="1:10" x14ac:dyDescent="0.25">
      <c r="A463" s="1">
        <v>39388</v>
      </c>
      <c r="B463">
        <v>5.7240399999999996</v>
      </c>
      <c r="C463">
        <v>6.09</v>
      </c>
      <c r="D463">
        <f>WEEKDAY(A463,14)</f>
        <v>2</v>
      </c>
      <c r="E463">
        <f t="shared" si="28"/>
        <v>0</v>
      </c>
      <c r="F463">
        <f t="shared" si="29"/>
        <v>2</v>
      </c>
      <c r="G463">
        <f>IF(F463&gt;F462,G462+B463*E463,B463*E463)</f>
        <v>0</v>
      </c>
      <c r="H463">
        <f t="shared" si="30"/>
        <v>0</v>
      </c>
      <c r="I463">
        <f t="shared" si="31"/>
        <v>0</v>
      </c>
      <c r="J463">
        <f>IF(I462=0,0,C462-I462)</f>
        <v>0</v>
      </c>
    </row>
    <row r="464" spans="1:10" x14ac:dyDescent="0.25">
      <c r="A464" s="1">
        <v>39391</v>
      </c>
      <c r="B464">
        <v>5.8142899999999997</v>
      </c>
      <c r="C464">
        <v>6.09</v>
      </c>
      <c r="D464">
        <f>WEEKDAY(A464,14)</f>
        <v>5</v>
      </c>
      <c r="E464">
        <f t="shared" si="28"/>
        <v>0.05</v>
      </c>
      <c r="F464">
        <f t="shared" si="29"/>
        <v>3</v>
      </c>
      <c r="G464">
        <f>IF(F464&gt;F463,G463+B464*E464,B464*E464)</f>
        <v>0.29071449999999999</v>
      </c>
      <c r="H464">
        <f t="shared" si="30"/>
        <v>0.05</v>
      </c>
      <c r="I464">
        <f t="shared" si="31"/>
        <v>0</v>
      </c>
      <c r="J464">
        <f>IF(I463=0,0,C463-I463)</f>
        <v>0</v>
      </c>
    </row>
    <row r="465" spans="1:10" x14ac:dyDescent="0.25">
      <c r="A465" s="1">
        <v>39392</v>
      </c>
      <c r="B465">
        <v>5.8659800000000004</v>
      </c>
      <c r="C465">
        <v>6.09</v>
      </c>
      <c r="D465">
        <f>WEEKDAY(A465,14)</f>
        <v>6</v>
      </c>
      <c r="E465">
        <f t="shared" si="28"/>
        <v>0.7</v>
      </c>
      <c r="F465">
        <f t="shared" si="29"/>
        <v>4</v>
      </c>
      <c r="G465">
        <f>IF(F465&gt;F464,G464+B465*E465,B465*E465)</f>
        <v>4.3969005000000001</v>
      </c>
      <c r="H465">
        <f t="shared" si="30"/>
        <v>0.75</v>
      </c>
      <c r="I465">
        <f t="shared" si="31"/>
        <v>0</v>
      </c>
      <c r="J465">
        <f>IF(I464=0,0,C464-I464)</f>
        <v>0</v>
      </c>
    </row>
    <row r="466" spans="1:10" x14ac:dyDescent="0.25">
      <c r="A466" s="1">
        <v>39393</v>
      </c>
      <c r="B466">
        <v>5.8713699999999998</v>
      </c>
      <c r="C466">
        <v>6.09</v>
      </c>
      <c r="D466">
        <f>WEEKDAY(A466,14)</f>
        <v>7</v>
      </c>
      <c r="E466">
        <f t="shared" si="28"/>
        <v>0.25</v>
      </c>
      <c r="F466">
        <f t="shared" si="29"/>
        <v>5</v>
      </c>
      <c r="G466">
        <f>IF(F466&gt;F465,G465+B466*E466,B466*E466)</f>
        <v>5.8647429999999998</v>
      </c>
      <c r="H466">
        <f t="shared" si="30"/>
        <v>1</v>
      </c>
      <c r="I466">
        <f t="shared" si="31"/>
        <v>5.8647429999999998</v>
      </c>
      <c r="J466">
        <f>IF(I465=0,0,C465-I465)</f>
        <v>0</v>
      </c>
    </row>
    <row r="467" spans="1:10" x14ac:dyDescent="0.25">
      <c r="A467" s="1">
        <v>39394</v>
      </c>
      <c r="B467">
        <v>5.8519199999999998</v>
      </c>
      <c r="C467">
        <v>6.09</v>
      </c>
      <c r="D467">
        <f>WEEKDAY(A467,14)</f>
        <v>1</v>
      </c>
      <c r="E467">
        <f t="shared" si="28"/>
        <v>0</v>
      </c>
      <c r="F467">
        <f t="shared" si="29"/>
        <v>1</v>
      </c>
      <c r="G467">
        <f>IF(F467&gt;F466,G466+B467*E467,B467*E467)</f>
        <v>0</v>
      </c>
      <c r="H467">
        <f t="shared" si="30"/>
        <v>0</v>
      </c>
      <c r="I467">
        <f t="shared" si="31"/>
        <v>0</v>
      </c>
      <c r="J467">
        <f>IF(I466=0,0,C466-I466)</f>
        <v>0.22525700000000004</v>
      </c>
    </row>
    <row r="468" spans="1:10" x14ac:dyDescent="0.25">
      <c r="A468" s="1">
        <v>39395</v>
      </c>
      <c r="B468">
        <v>5.81494</v>
      </c>
      <c r="C468">
        <v>6.09</v>
      </c>
      <c r="D468">
        <f>WEEKDAY(A468,14)</f>
        <v>2</v>
      </c>
      <c r="E468">
        <f t="shared" si="28"/>
        <v>0</v>
      </c>
      <c r="F468">
        <f t="shared" si="29"/>
        <v>2</v>
      </c>
      <c r="G468">
        <f>IF(F468&gt;F467,G467+B468*E468,B468*E468)</f>
        <v>0</v>
      </c>
      <c r="H468">
        <f t="shared" si="30"/>
        <v>0</v>
      </c>
      <c r="I468">
        <f t="shared" si="31"/>
        <v>0</v>
      </c>
      <c r="J468">
        <f>IF(I467=0,0,C467-I467)</f>
        <v>0</v>
      </c>
    </row>
    <row r="469" spans="1:10" x14ac:dyDescent="0.25">
      <c r="A469" s="1">
        <v>39399</v>
      </c>
      <c r="B469">
        <v>5.8307900000000004</v>
      </c>
      <c r="C469">
        <v>6.09</v>
      </c>
      <c r="D469">
        <f>WEEKDAY(A469,14)</f>
        <v>6</v>
      </c>
      <c r="E469">
        <f t="shared" si="28"/>
        <v>0.7</v>
      </c>
      <c r="F469">
        <f t="shared" si="29"/>
        <v>3</v>
      </c>
      <c r="G469">
        <f>IF(F469&gt;F468,G468+B469*E469,B469*E469)</f>
        <v>4.0815530000000004</v>
      </c>
      <c r="H469">
        <f t="shared" si="30"/>
        <v>0.7</v>
      </c>
      <c r="I469">
        <f t="shared" si="31"/>
        <v>0</v>
      </c>
      <c r="J469">
        <f>IF(I468=0,0,C468-I468)</f>
        <v>0</v>
      </c>
    </row>
    <row r="470" spans="1:10" x14ac:dyDescent="0.25">
      <c r="A470" s="1">
        <v>39400</v>
      </c>
      <c r="B470">
        <v>5.8123699999999996</v>
      </c>
      <c r="C470">
        <v>6.0750000000000002</v>
      </c>
      <c r="D470">
        <f>WEEKDAY(A470,14)</f>
        <v>7</v>
      </c>
      <c r="E470">
        <f t="shared" si="28"/>
        <v>0.25</v>
      </c>
      <c r="F470">
        <f t="shared" si="29"/>
        <v>4</v>
      </c>
      <c r="G470">
        <f>IF(F470&gt;F469,G469+B470*E470,B470*E470)</f>
        <v>5.5346454999999999</v>
      </c>
      <c r="H470">
        <f t="shared" si="30"/>
        <v>0.95</v>
      </c>
      <c r="I470">
        <f t="shared" si="31"/>
        <v>5.8259426315789478</v>
      </c>
      <c r="J470">
        <f>IF(I469=0,0,C469-I469)</f>
        <v>0</v>
      </c>
    </row>
    <row r="471" spans="1:10" x14ac:dyDescent="0.25">
      <c r="A471" s="1">
        <v>39401</v>
      </c>
      <c r="B471">
        <v>5.7431299999999998</v>
      </c>
      <c r="C471">
        <v>6.0750000000000002</v>
      </c>
      <c r="D471">
        <f>WEEKDAY(A471,14)</f>
        <v>1</v>
      </c>
      <c r="E471">
        <f t="shared" si="28"/>
        <v>0</v>
      </c>
      <c r="F471">
        <f t="shared" si="29"/>
        <v>1</v>
      </c>
      <c r="G471">
        <f>IF(F471&gt;F470,G470+B471*E471,B471*E471)</f>
        <v>0</v>
      </c>
      <c r="H471">
        <f t="shared" si="30"/>
        <v>0</v>
      </c>
      <c r="I471">
        <f t="shared" si="31"/>
        <v>0</v>
      </c>
      <c r="J471">
        <f>IF(I470=0,0,C470-I470)</f>
        <v>0.24905736842105242</v>
      </c>
    </row>
    <row r="472" spans="1:10" x14ac:dyDescent="0.25">
      <c r="A472" s="1">
        <v>39402</v>
      </c>
      <c r="B472">
        <v>5.7736799999999997</v>
      </c>
      <c r="C472">
        <v>6.0750000000000002</v>
      </c>
      <c r="D472">
        <f>WEEKDAY(A472,14)</f>
        <v>2</v>
      </c>
      <c r="E472">
        <f t="shared" si="28"/>
        <v>0</v>
      </c>
      <c r="F472">
        <f t="shared" si="29"/>
        <v>2</v>
      </c>
      <c r="G472">
        <f>IF(F472&gt;F471,G471+B472*E472,B472*E472)</f>
        <v>0</v>
      </c>
      <c r="H472">
        <f t="shared" si="30"/>
        <v>0</v>
      </c>
      <c r="I472">
        <f t="shared" si="31"/>
        <v>0</v>
      </c>
      <c r="J472">
        <f>IF(I471=0,0,C471-I471)</f>
        <v>0</v>
      </c>
    </row>
    <row r="473" spans="1:10" x14ac:dyDescent="0.25">
      <c r="A473" s="1">
        <v>39405</v>
      </c>
      <c r="B473">
        <v>5.7419500000000001</v>
      </c>
      <c r="C473">
        <v>6.0750000000000002</v>
      </c>
      <c r="D473">
        <f>WEEKDAY(A473,14)</f>
        <v>5</v>
      </c>
      <c r="E473">
        <f t="shared" si="28"/>
        <v>0.05</v>
      </c>
      <c r="F473">
        <f t="shared" si="29"/>
        <v>3</v>
      </c>
      <c r="G473">
        <f>IF(F473&gt;F472,G472+B473*E473,B473*E473)</f>
        <v>0.28709750000000001</v>
      </c>
      <c r="H473">
        <f t="shared" si="30"/>
        <v>0.05</v>
      </c>
      <c r="I473">
        <f t="shared" si="31"/>
        <v>0</v>
      </c>
      <c r="J473">
        <f>IF(I472=0,0,C472-I472)</f>
        <v>0</v>
      </c>
    </row>
    <row r="474" spans="1:10" x14ac:dyDescent="0.25">
      <c r="A474" s="1">
        <v>39406</v>
      </c>
      <c r="B474">
        <v>5.8054699999999997</v>
      </c>
      <c r="C474">
        <v>6.0750000000000002</v>
      </c>
      <c r="D474">
        <f>WEEKDAY(A474,14)</f>
        <v>6</v>
      </c>
      <c r="E474">
        <f t="shared" si="28"/>
        <v>0.7</v>
      </c>
      <c r="F474">
        <f t="shared" si="29"/>
        <v>4</v>
      </c>
      <c r="G474">
        <f>IF(F474&gt;F473,G473+B474*E474,B474*E474)</f>
        <v>4.350926499999999</v>
      </c>
      <c r="H474">
        <f t="shared" si="30"/>
        <v>0.75</v>
      </c>
      <c r="I474">
        <f t="shared" si="31"/>
        <v>0</v>
      </c>
      <c r="J474">
        <f>IF(I473=0,0,C473-I473)</f>
        <v>0</v>
      </c>
    </row>
    <row r="475" spans="1:10" x14ac:dyDescent="0.25">
      <c r="A475" s="1">
        <v>39407</v>
      </c>
      <c r="B475">
        <v>5.7295499999999997</v>
      </c>
      <c r="C475">
        <v>6.0750000000000002</v>
      </c>
      <c r="D475">
        <f>WEEKDAY(A475,14)</f>
        <v>7</v>
      </c>
      <c r="E475">
        <f t="shared" si="28"/>
        <v>0.25</v>
      </c>
      <c r="F475">
        <f t="shared" si="29"/>
        <v>5</v>
      </c>
      <c r="G475">
        <f>IF(F475&gt;F474,G474+B475*E475,B475*E475)</f>
        <v>5.783313999999999</v>
      </c>
      <c r="H475">
        <f t="shared" si="30"/>
        <v>1</v>
      </c>
      <c r="I475">
        <f t="shared" si="31"/>
        <v>5.783313999999999</v>
      </c>
      <c r="J475">
        <f>IF(I474=0,0,C474-I474)</f>
        <v>0</v>
      </c>
    </row>
    <row r="476" spans="1:10" x14ac:dyDescent="0.25">
      <c r="A476" s="1">
        <v>39409</v>
      </c>
      <c r="B476">
        <v>5.6697300000000004</v>
      </c>
      <c r="C476">
        <v>5.9749999999999996</v>
      </c>
      <c r="D476">
        <f>WEEKDAY(A476,14)</f>
        <v>2</v>
      </c>
      <c r="E476">
        <f t="shared" si="28"/>
        <v>0</v>
      </c>
      <c r="F476">
        <f t="shared" si="29"/>
        <v>1</v>
      </c>
      <c r="G476">
        <f>IF(F476&gt;F475,G475+B476*E476,B476*E476)</f>
        <v>0</v>
      </c>
      <c r="H476">
        <f t="shared" si="30"/>
        <v>0</v>
      </c>
      <c r="I476">
        <f t="shared" si="31"/>
        <v>0</v>
      </c>
      <c r="J476">
        <f>IF(I475=0,0,C475-I475)</f>
        <v>0.29168600000000122</v>
      </c>
    </row>
    <row r="477" spans="1:10" x14ac:dyDescent="0.25">
      <c r="A477" s="1">
        <v>39412</v>
      </c>
      <c r="B477">
        <v>5.4770099999999999</v>
      </c>
      <c r="C477">
        <v>5.9749999999999996</v>
      </c>
      <c r="D477">
        <f>WEEKDAY(A477,14)</f>
        <v>5</v>
      </c>
      <c r="E477">
        <f t="shared" si="28"/>
        <v>0.05</v>
      </c>
      <c r="F477">
        <f t="shared" si="29"/>
        <v>2</v>
      </c>
      <c r="G477">
        <f>IF(F477&gt;F476,G476+B477*E477,B477*E477)</f>
        <v>0.2738505</v>
      </c>
      <c r="H477">
        <f t="shared" si="30"/>
        <v>0.05</v>
      </c>
      <c r="I477">
        <f t="shared" si="31"/>
        <v>0</v>
      </c>
      <c r="J477">
        <f>IF(I476=0,0,C476-I476)</f>
        <v>0</v>
      </c>
    </row>
    <row r="478" spans="1:10" x14ac:dyDescent="0.25">
      <c r="A478" s="1">
        <v>39413</v>
      </c>
      <c r="B478">
        <v>5.6201400000000001</v>
      </c>
      <c r="C478">
        <v>5.9749999999999996</v>
      </c>
      <c r="D478">
        <f>WEEKDAY(A478,14)</f>
        <v>6</v>
      </c>
      <c r="E478">
        <f t="shared" si="28"/>
        <v>0.7</v>
      </c>
      <c r="F478">
        <f t="shared" si="29"/>
        <v>3</v>
      </c>
      <c r="G478">
        <f>IF(F478&gt;F477,G477+B478*E478,B478*E478)</f>
        <v>4.2079484999999996</v>
      </c>
      <c r="H478">
        <f t="shared" si="30"/>
        <v>0.75</v>
      </c>
      <c r="I478">
        <f t="shared" si="31"/>
        <v>0</v>
      </c>
      <c r="J478">
        <f>IF(I477=0,0,C477-I477)</f>
        <v>0</v>
      </c>
    </row>
    <row r="479" spans="1:10" x14ac:dyDescent="0.25">
      <c r="A479" s="1">
        <v>39414</v>
      </c>
      <c r="B479">
        <v>5.5819400000000003</v>
      </c>
      <c r="C479">
        <v>5.9749999999999996</v>
      </c>
      <c r="D479">
        <f>WEEKDAY(A479,14)</f>
        <v>7</v>
      </c>
      <c r="E479">
        <f t="shared" si="28"/>
        <v>0.25</v>
      </c>
      <c r="F479">
        <f t="shared" si="29"/>
        <v>4</v>
      </c>
      <c r="G479">
        <f>IF(F479&gt;F478,G478+B479*E479,B479*E479)</f>
        <v>5.6034334999999995</v>
      </c>
      <c r="H479">
        <f t="shared" si="30"/>
        <v>1</v>
      </c>
      <c r="I479">
        <f t="shared" si="31"/>
        <v>5.6034334999999995</v>
      </c>
      <c r="J479">
        <f>IF(I478=0,0,C478-I478)</f>
        <v>0</v>
      </c>
    </row>
    <row r="480" spans="1:10" x14ac:dyDescent="0.25">
      <c r="A480" s="1">
        <v>39415</v>
      </c>
      <c r="B480">
        <v>5.4844799999999996</v>
      </c>
      <c r="C480">
        <v>5.81</v>
      </c>
      <c r="D480">
        <f>WEEKDAY(A480,14)</f>
        <v>1</v>
      </c>
      <c r="E480">
        <f t="shared" si="28"/>
        <v>0</v>
      </c>
      <c r="F480">
        <f t="shared" si="29"/>
        <v>1</v>
      </c>
      <c r="G480">
        <f>IF(F480&gt;F479,G479+B480*E480,B480*E480)</f>
        <v>0</v>
      </c>
      <c r="H480">
        <f t="shared" si="30"/>
        <v>0</v>
      </c>
      <c r="I480">
        <f t="shared" si="31"/>
        <v>0</v>
      </c>
      <c r="J480">
        <f>IF(I479=0,0,C479-I479)</f>
        <v>0.37156650000000013</v>
      </c>
    </row>
    <row r="481" spans="1:10" x14ac:dyDescent="0.25">
      <c r="A481" s="1">
        <v>39416</v>
      </c>
      <c r="B481">
        <v>5.4392300000000002</v>
      </c>
      <c r="C481">
        <v>5.81</v>
      </c>
      <c r="D481">
        <f>WEEKDAY(A481,14)</f>
        <v>2</v>
      </c>
      <c r="E481">
        <f t="shared" si="28"/>
        <v>0</v>
      </c>
      <c r="F481">
        <f t="shared" si="29"/>
        <v>2</v>
      </c>
      <c r="G481">
        <f>IF(F481&gt;F480,G480+B481*E481,B481*E481)</f>
        <v>0</v>
      </c>
      <c r="H481">
        <f t="shared" si="30"/>
        <v>0</v>
      </c>
      <c r="I481">
        <f t="shared" si="31"/>
        <v>0</v>
      </c>
      <c r="J481">
        <f>IF(I480=0,0,C480-I480)</f>
        <v>0</v>
      </c>
    </row>
    <row r="482" spans="1:10" x14ac:dyDescent="0.25">
      <c r="A482" s="1">
        <v>39419</v>
      </c>
      <c r="B482">
        <v>5.3940099999999997</v>
      </c>
      <c r="C482">
        <v>5.81</v>
      </c>
      <c r="D482">
        <f>WEEKDAY(A482,14)</f>
        <v>5</v>
      </c>
      <c r="E482">
        <f t="shared" si="28"/>
        <v>0.05</v>
      </c>
      <c r="F482">
        <f t="shared" si="29"/>
        <v>3</v>
      </c>
      <c r="G482">
        <f>IF(F482&gt;F481,G481+B482*E482,B482*E482)</f>
        <v>0.26970050000000001</v>
      </c>
      <c r="H482">
        <f t="shared" si="30"/>
        <v>0.05</v>
      </c>
      <c r="I482">
        <f t="shared" si="31"/>
        <v>0</v>
      </c>
      <c r="J482">
        <f>IF(I481=0,0,C481-I481)</f>
        <v>0</v>
      </c>
    </row>
    <row r="483" spans="1:10" x14ac:dyDescent="0.25">
      <c r="A483" s="1">
        <v>39420</v>
      </c>
      <c r="B483">
        <v>5.3934899999999999</v>
      </c>
      <c r="C483">
        <v>5.81</v>
      </c>
      <c r="D483">
        <f>WEEKDAY(A483,14)</f>
        <v>6</v>
      </c>
      <c r="E483">
        <f t="shared" si="28"/>
        <v>0.7</v>
      </c>
      <c r="F483">
        <f t="shared" si="29"/>
        <v>4</v>
      </c>
      <c r="G483">
        <f>IF(F483&gt;F482,G482+B483*E483,B483*E483)</f>
        <v>4.0451435</v>
      </c>
      <c r="H483">
        <f t="shared" si="30"/>
        <v>0.75</v>
      </c>
      <c r="I483">
        <f t="shared" si="31"/>
        <v>0</v>
      </c>
      <c r="J483">
        <f>IF(I482=0,0,C482-I482)</f>
        <v>0</v>
      </c>
    </row>
    <row r="484" spans="1:10" x14ac:dyDescent="0.25">
      <c r="A484" s="1">
        <v>39421</v>
      </c>
      <c r="B484">
        <v>5.4007300000000003</v>
      </c>
      <c r="C484">
        <v>5.81</v>
      </c>
      <c r="D484">
        <f>WEEKDAY(A484,14)</f>
        <v>7</v>
      </c>
      <c r="E484">
        <f t="shared" si="28"/>
        <v>0.25</v>
      </c>
      <c r="F484">
        <f t="shared" si="29"/>
        <v>5</v>
      </c>
      <c r="G484">
        <f>IF(F484&gt;F483,G483+B484*E484,B484*E484)</f>
        <v>5.3953259999999998</v>
      </c>
      <c r="H484">
        <f t="shared" si="30"/>
        <v>1</v>
      </c>
      <c r="I484">
        <f t="shared" si="31"/>
        <v>5.3953259999999998</v>
      </c>
      <c r="J484">
        <f>IF(I483=0,0,C483-I483)</f>
        <v>0</v>
      </c>
    </row>
    <row r="485" spans="1:10" x14ac:dyDescent="0.25">
      <c r="A485" s="1">
        <v>39422</v>
      </c>
      <c r="B485">
        <v>5.4920200000000001</v>
      </c>
      <c r="C485">
        <v>5.9850000000000003</v>
      </c>
      <c r="D485">
        <f>WEEKDAY(A485,14)</f>
        <v>1</v>
      </c>
      <c r="E485">
        <f t="shared" si="28"/>
        <v>0</v>
      </c>
      <c r="F485">
        <f t="shared" si="29"/>
        <v>1</v>
      </c>
      <c r="G485">
        <f>IF(F485&gt;F484,G484+B485*E485,B485*E485)</f>
        <v>0</v>
      </c>
      <c r="H485">
        <f t="shared" si="30"/>
        <v>0</v>
      </c>
      <c r="I485">
        <f t="shared" si="31"/>
        <v>0</v>
      </c>
      <c r="J485">
        <f>IF(I484=0,0,C484-I484)</f>
        <v>0.41467399999999977</v>
      </c>
    </row>
    <row r="486" spans="1:10" x14ac:dyDescent="0.25">
      <c r="A486" s="1">
        <v>39423</v>
      </c>
      <c r="B486">
        <v>5.6800899999999999</v>
      </c>
      <c r="C486">
        <v>5.9850000000000003</v>
      </c>
      <c r="D486">
        <f>WEEKDAY(A486,14)</f>
        <v>2</v>
      </c>
      <c r="E486">
        <f t="shared" si="28"/>
        <v>0</v>
      </c>
      <c r="F486">
        <f t="shared" si="29"/>
        <v>2</v>
      </c>
      <c r="G486">
        <f>IF(F486&gt;F485,G485+B486*E486,B486*E486)</f>
        <v>0</v>
      </c>
      <c r="H486">
        <f t="shared" si="30"/>
        <v>0</v>
      </c>
      <c r="I486">
        <f t="shared" si="31"/>
        <v>0</v>
      </c>
      <c r="J486">
        <f>IF(I485=0,0,C485-I485)</f>
        <v>0</v>
      </c>
    </row>
    <row r="487" spans="1:10" x14ac:dyDescent="0.25">
      <c r="A487" s="1">
        <v>39426</v>
      </c>
      <c r="B487">
        <v>5.7184999999999997</v>
      </c>
      <c r="C487">
        <v>5.9850000000000003</v>
      </c>
      <c r="D487">
        <f>WEEKDAY(A487,14)</f>
        <v>5</v>
      </c>
      <c r="E487">
        <f t="shared" si="28"/>
        <v>0.05</v>
      </c>
      <c r="F487">
        <f t="shared" si="29"/>
        <v>3</v>
      </c>
      <c r="G487">
        <f>IF(F487&gt;F486,G486+B487*E487,B487*E487)</f>
        <v>0.28592499999999998</v>
      </c>
      <c r="H487">
        <f t="shared" si="30"/>
        <v>0.05</v>
      </c>
      <c r="I487">
        <f t="shared" si="31"/>
        <v>0</v>
      </c>
      <c r="J487">
        <f>IF(I486=0,0,C486-I486)</f>
        <v>0</v>
      </c>
    </row>
    <row r="488" spans="1:10" x14ac:dyDescent="0.25">
      <c r="A488" s="1">
        <v>39427</v>
      </c>
      <c r="B488">
        <v>5.54528</v>
      </c>
      <c r="C488">
        <v>5.9850000000000003</v>
      </c>
      <c r="D488">
        <f>WEEKDAY(A488,14)</f>
        <v>6</v>
      </c>
      <c r="E488">
        <f t="shared" si="28"/>
        <v>0.7</v>
      </c>
      <c r="F488">
        <f t="shared" si="29"/>
        <v>4</v>
      </c>
      <c r="G488">
        <f>IF(F488&gt;F487,G487+B488*E488,B488*E488)</f>
        <v>4.1676209999999996</v>
      </c>
      <c r="H488">
        <f t="shared" si="30"/>
        <v>0.75</v>
      </c>
      <c r="I488">
        <f t="shared" si="31"/>
        <v>0</v>
      </c>
      <c r="J488">
        <f>IF(I487=0,0,C487-I487)</f>
        <v>0</v>
      </c>
    </row>
    <row r="489" spans="1:10" x14ac:dyDescent="0.25">
      <c r="A489" s="1">
        <v>39428</v>
      </c>
      <c r="B489">
        <v>5.5948799999999999</v>
      </c>
      <c r="C489">
        <v>5.9850000000000003</v>
      </c>
      <c r="D489">
        <f>WEEKDAY(A489,14)</f>
        <v>7</v>
      </c>
      <c r="E489">
        <f t="shared" si="28"/>
        <v>0.25</v>
      </c>
      <c r="F489">
        <f t="shared" si="29"/>
        <v>5</v>
      </c>
      <c r="G489">
        <f>IF(F489&gt;F488,G488+B489*E489,B489*E489)</f>
        <v>5.5663409999999995</v>
      </c>
      <c r="H489">
        <f t="shared" si="30"/>
        <v>1</v>
      </c>
      <c r="I489">
        <f t="shared" si="31"/>
        <v>5.5663409999999995</v>
      </c>
      <c r="J489">
        <f>IF(I488=0,0,C488-I488)</f>
        <v>0</v>
      </c>
    </row>
    <row r="490" spans="1:10" x14ac:dyDescent="0.25">
      <c r="A490" s="1">
        <v>39429</v>
      </c>
      <c r="B490">
        <v>5.6680200000000003</v>
      </c>
      <c r="C490">
        <v>5.99</v>
      </c>
      <c r="D490">
        <f>WEEKDAY(A490,14)</f>
        <v>1</v>
      </c>
      <c r="E490">
        <f t="shared" si="28"/>
        <v>0</v>
      </c>
      <c r="F490">
        <f t="shared" si="29"/>
        <v>1</v>
      </c>
      <c r="G490">
        <f>IF(F490&gt;F489,G489+B490*E490,B490*E490)</f>
        <v>0</v>
      </c>
      <c r="H490">
        <f t="shared" si="30"/>
        <v>0</v>
      </c>
      <c r="I490">
        <f t="shared" si="31"/>
        <v>0</v>
      </c>
      <c r="J490">
        <f>IF(I489=0,0,C489-I489)</f>
        <v>0.41865900000000078</v>
      </c>
    </row>
    <row r="491" spans="1:10" x14ac:dyDescent="0.25">
      <c r="A491" s="1">
        <v>39430</v>
      </c>
      <c r="B491">
        <v>5.7528800000000002</v>
      </c>
      <c r="C491">
        <v>5.99</v>
      </c>
      <c r="D491">
        <f>WEEKDAY(A491,14)</f>
        <v>2</v>
      </c>
      <c r="E491">
        <f t="shared" si="28"/>
        <v>0</v>
      </c>
      <c r="F491">
        <f t="shared" si="29"/>
        <v>2</v>
      </c>
      <c r="G491">
        <f>IF(F491&gt;F490,G490+B491*E491,B491*E491)</f>
        <v>0</v>
      </c>
      <c r="H491">
        <f t="shared" si="30"/>
        <v>0</v>
      </c>
      <c r="I491">
        <f t="shared" si="31"/>
        <v>0</v>
      </c>
      <c r="J491">
        <f>IF(I490=0,0,C490-I490)</f>
        <v>0</v>
      </c>
    </row>
    <row r="492" spans="1:10" x14ac:dyDescent="0.25">
      <c r="A492" s="1">
        <v>39433</v>
      </c>
      <c r="B492">
        <v>5.7397099999999996</v>
      </c>
      <c r="C492">
        <v>5.99</v>
      </c>
      <c r="D492">
        <f>WEEKDAY(A492,14)</f>
        <v>5</v>
      </c>
      <c r="E492">
        <f t="shared" si="28"/>
        <v>0.05</v>
      </c>
      <c r="F492">
        <f t="shared" si="29"/>
        <v>3</v>
      </c>
      <c r="G492">
        <f>IF(F492&gt;F491,G491+B492*E492,B492*E492)</f>
        <v>0.2869855</v>
      </c>
      <c r="H492">
        <f t="shared" si="30"/>
        <v>0.05</v>
      </c>
      <c r="I492">
        <f t="shared" si="31"/>
        <v>0</v>
      </c>
      <c r="J492">
        <f>IF(I491=0,0,C491-I491)</f>
        <v>0</v>
      </c>
    </row>
    <row r="493" spans="1:10" x14ac:dyDescent="0.25">
      <c r="A493" s="1">
        <v>39434</v>
      </c>
      <c r="B493">
        <v>5.6177099999999998</v>
      </c>
      <c r="C493">
        <v>5.99</v>
      </c>
      <c r="D493">
        <f>WEEKDAY(A493,14)</f>
        <v>6</v>
      </c>
      <c r="E493">
        <f t="shared" si="28"/>
        <v>0.7</v>
      </c>
      <c r="F493">
        <f t="shared" si="29"/>
        <v>4</v>
      </c>
      <c r="G493">
        <f>IF(F493&gt;F492,G492+B493*E493,B493*E493)</f>
        <v>4.2193824999999991</v>
      </c>
      <c r="H493">
        <f t="shared" si="30"/>
        <v>0.75</v>
      </c>
      <c r="I493">
        <f t="shared" si="31"/>
        <v>0</v>
      </c>
      <c r="J493">
        <f>IF(I492=0,0,C492-I492)</f>
        <v>0</v>
      </c>
    </row>
    <row r="494" spans="1:10" x14ac:dyDescent="0.25">
      <c r="A494" s="1">
        <v>39435</v>
      </c>
      <c r="B494">
        <v>5.5335700000000001</v>
      </c>
      <c r="C494">
        <v>5.99</v>
      </c>
      <c r="D494">
        <f>WEEKDAY(A494,14)</f>
        <v>7</v>
      </c>
      <c r="E494">
        <f t="shared" si="28"/>
        <v>0.25</v>
      </c>
      <c r="F494">
        <f t="shared" si="29"/>
        <v>5</v>
      </c>
      <c r="G494">
        <f>IF(F494&gt;F493,G493+B494*E494,B494*E494)</f>
        <v>5.6027749999999994</v>
      </c>
      <c r="H494">
        <f t="shared" si="30"/>
        <v>1</v>
      </c>
      <c r="I494">
        <f t="shared" si="31"/>
        <v>5.6027749999999994</v>
      </c>
      <c r="J494">
        <f>IF(I493=0,0,C493-I493)</f>
        <v>0</v>
      </c>
    </row>
    <row r="495" spans="1:10" x14ac:dyDescent="0.25">
      <c r="A495" s="1">
        <v>39436</v>
      </c>
      <c r="B495">
        <v>5.5272300000000003</v>
      </c>
      <c r="C495">
        <v>6.0449999999999999</v>
      </c>
      <c r="D495">
        <f>WEEKDAY(A495,14)</f>
        <v>1</v>
      </c>
      <c r="E495">
        <f t="shared" si="28"/>
        <v>0</v>
      </c>
      <c r="F495">
        <f t="shared" si="29"/>
        <v>1</v>
      </c>
      <c r="G495">
        <f>IF(F495&gt;F494,G494+B495*E495,B495*E495)</f>
        <v>0</v>
      </c>
      <c r="H495">
        <f t="shared" si="30"/>
        <v>0</v>
      </c>
      <c r="I495">
        <f t="shared" si="31"/>
        <v>0</v>
      </c>
      <c r="J495">
        <f>IF(I494=0,0,C494-I494)</f>
        <v>0.38722500000000082</v>
      </c>
    </row>
    <row r="496" spans="1:10" x14ac:dyDescent="0.25">
      <c r="A496" s="1">
        <v>39437</v>
      </c>
      <c r="B496">
        <v>5.6846399999999999</v>
      </c>
      <c r="C496">
        <v>6.0449999999999999</v>
      </c>
      <c r="D496">
        <f>WEEKDAY(A496,14)</f>
        <v>2</v>
      </c>
      <c r="E496">
        <f t="shared" si="28"/>
        <v>0</v>
      </c>
      <c r="F496">
        <f t="shared" si="29"/>
        <v>2</v>
      </c>
      <c r="G496">
        <f>IF(F496&gt;F495,G495+B496*E496,B496*E496)</f>
        <v>0</v>
      </c>
      <c r="H496">
        <f t="shared" si="30"/>
        <v>0</v>
      </c>
      <c r="I496">
        <f t="shared" si="31"/>
        <v>0</v>
      </c>
      <c r="J496">
        <f>IF(I495=0,0,C495-I495)</f>
        <v>0</v>
      </c>
    </row>
    <row r="497" spans="1:10" x14ac:dyDescent="0.25">
      <c r="A497" s="1">
        <v>39440</v>
      </c>
      <c r="B497">
        <v>5.7425699999999997</v>
      </c>
      <c r="C497">
        <v>6.0449999999999999</v>
      </c>
      <c r="D497">
        <f>WEEKDAY(A497,14)</f>
        <v>5</v>
      </c>
      <c r="E497">
        <f t="shared" si="28"/>
        <v>0.05</v>
      </c>
      <c r="F497">
        <f t="shared" si="29"/>
        <v>3</v>
      </c>
      <c r="G497">
        <f>IF(F497&gt;F496,G496+B497*E497,B497*E497)</f>
        <v>0.28712850000000001</v>
      </c>
      <c r="H497">
        <f t="shared" si="30"/>
        <v>0.05</v>
      </c>
      <c r="I497">
        <f t="shared" si="31"/>
        <v>0</v>
      </c>
      <c r="J497">
        <f>IF(I496=0,0,C496-I496)</f>
        <v>0</v>
      </c>
    </row>
    <row r="498" spans="1:10" x14ac:dyDescent="0.25">
      <c r="A498" s="1">
        <v>39442</v>
      </c>
      <c r="B498">
        <v>5.79908</v>
      </c>
      <c r="C498">
        <v>6.0449999999999999</v>
      </c>
      <c r="D498">
        <f>WEEKDAY(A498,14)</f>
        <v>7</v>
      </c>
      <c r="E498">
        <f t="shared" si="28"/>
        <v>0.25</v>
      </c>
      <c r="F498">
        <f t="shared" si="29"/>
        <v>4</v>
      </c>
      <c r="G498">
        <f>IF(F498&gt;F497,G497+B498*E498,B498*E498)</f>
        <v>1.7368985000000001</v>
      </c>
      <c r="H498">
        <f t="shared" si="30"/>
        <v>0.3</v>
      </c>
      <c r="I498">
        <f t="shared" si="31"/>
        <v>5.7896616666666674</v>
      </c>
      <c r="J498">
        <f>IF(I497=0,0,C497-I497)</f>
        <v>0</v>
      </c>
    </row>
    <row r="499" spans="1:10" x14ac:dyDescent="0.25">
      <c r="A499" s="1">
        <v>39443</v>
      </c>
      <c r="B499">
        <v>5.7351099999999997</v>
      </c>
      <c r="C499">
        <v>5.9450000000000003</v>
      </c>
      <c r="D499">
        <f>WEEKDAY(A499,14)</f>
        <v>1</v>
      </c>
      <c r="E499">
        <f t="shared" si="28"/>
        <v>0</v>
      </c>
      <c r="F499">
        <f t="shared" si="29"/>
        <v>1</v>
      </c>
      <c r="G499">
        <f>IF(F499&gt;F498,G498+B499*E499,B499*E499)</f>
        <v>0</v>
      </c>
      <c r="H499">
        <f t="shared" si="30"/>
        <v>0</v>
      </c>
      <c r="I499">
        <f t="shared" si="31"/>
        <v>0</v>
      </c>
      <c r="J499">
        <f>IF(I498=0,0,C498-I498)</f>
        <v>0.25533833333333256</v>
      </c>
    </row>
    <row r="500" spans="1:10" x14ac:dyDescent="0.25">
      <c r="A500" s="1">
        <v>39444</v>
      </c>
      <c r="B500">
        <v>5.5953900000000001</v>
      </c>
      <c r="C500">
        <v>5.9450000000000003</v>
      </c>
      <c r="D500">
        <f>WEEKDAY(A500,14)</f>
        <v>2</v>
      </c>
      <c r="E500">
        <f t="shared" si="28"/>
        <v>0</v>
      </c>
      <c r="F500">
        <f t="shared" si="29"/>
        <v>2</v>
      </c>
      <c r="G500">
        <f>IF(F500&gt;F499,G499+B500*E500,B500*E500)</f>
        <v>0</v>
      </c>
      <c r="H500">
        <f t="shared" si="30"/>
        <v>0</v>
      </c>
      <c r="I500">
        <f t="shared" si="31"/>
        <v>0</v>
      </c>
      <c r="J500">
        <f>IF(I499=0,0,C499-I499)</f>
        <v>0</v>
      </c>
    </row>
    <row r="501" spans="1:10" x14ac:dyDescent="0.25">
      <c r="A501" s="1">
        <v>39447</v>
      </c>
      <c r="B501">
        <v>5.5067000000000004</v>
      </c>
      <c r="C501">
        <v>5.9450000000000003</v>
      </c>
      <c r="D501">
        <f>WEEKDAY(A501,14)</f>
        <v>5</v>
      </c>
      <c r="E501">
        <f t="shared" si="28"/>
        <v>0.05</v>
      </c>
      <c r="F501">
        <f t="shared" si="29"/>
        <v>3</v>
      </c>
      <c r="G501">
        <f>IF(F501&gt;F500,G500+B501*E501,B501*E501)</f>
        <v>0.27533500000000005</v>
      </c>
      <c r="H501">
        <f t="shared" si="30"/>
        <v>0.05</v>
      </c>
      <c r="I501">
        <f t="shared" si="31"/>
        <v>0</v>
      </c>
      <c r="J501">
        <f>IF(I500=0,0,C500-I500)</f>
        <v>0</v>
      </c>
    </row>
    <row r="502" spans="1:10" x14ac:dyDescent="0.25">
      <c r="A502" s="1">
        <v>39449</v>
      </c>
      <c r="B502">
        <v>5.3941400000000002</v>
      </c>
      <c r="C502">
        <v>5.9450000000000003</v>
      </c>
      <c r="D502">
        <f>WEEKDAY(A502,14)</f>
        <v>7</v>
      </c>
      <c r="E502">
        <f t="shared" si="28"/>
        <v>0.25</v>
      </c>
      <c r="F502">
        <f t="shared" si="29"/>
        <v>4</v>
      </c>
      <c r="G502">
        <f>IF(F502&gt;F501,G501+B502*E502,B502*E502)</f>
        <v>1.6238700000000001</v>
      </c>
      <c r="H502">
        <f t="shared" si="30"/>
        <v>0.3</v>
      </c>
      <c r="I502">
        <f t="shared" si="31"/>
        <v>5.4129000000000005</v>
      </c>
      <c r="J502">
        <f>IF(I501=0,0,C501-I501)</f>
        <v>0</v>
      </c>
    </row>
    <row r="503" spans="1:10" x14ac:dyDescent="0.25">
      <c r="A503" s="1">
        <v>39450</v>
      </c>
      <c r="B503">
        <v>5.3788999999999998</v>
      </c>
      <c r="C503">
        <v>5.72</v>
      </c>
      <c r="D503">
        <f>WEEKDAY(A503,14)</f>
        <v>1</v>
      </c>
      <c r="E503">
        <f t="shared" si="28"/>
        <v>0</v>
      </c>
      <c r="F503">
        <f t="shared" si="29"/>
        <v>1</v>
      </c>
      <c r="G503">
        <f>IF(F503&gt;F502,G502+B503*E503,B503*E503)</f>
        <v>0</v>
      </c>
      <c r="H503">
        <f t="shared" si="30"/>
        <v>0</v>
      </c>
      <c r="I503">
        <f t="shared" si="31"/>
        <v>0</v>
      </c>
      <c r="J503">
        <f>IF(I502=0,0,C502-I502)</f>
        <v>0.5320999999999998</v>
      </c>
    </row>
    <row r="504" spans="1:10" x14ac:dyDescent="0.25">
      <c r="A504" s="1">
        <v>39451</v>
      </c>
      <c r="B504">
        <v>5.2861700000000003</v>
      </c>
      <c r="C504">
        <v>5.72</v>
      </c>
      <c r="D504">
        <f>WEEKDAY(A504,14)</f>
        <v>2</v>
      </c>
      <c r="E504">
        <f t="shared" si="28"/>
        <v>0</v>
      </c>
      <c r="F504">
        <f t="shared" si="29"/>
        <v>2</v>
      </c>
      <c r="G504">
        <f>IF(F504&gt;F503,G503+B504*E504,B504*E504)</f>
        <v>0</v>
      </c>
      <c r="H504">
        <f t="shared" si="30"/>
        <v>0</v>
      </c>
      <c r="I504">
        <f t="shared" si="31"/>
        <v>0</v>
      </c>
      <c r="J504">
        <f>IF(I503=0,0,C503-I503)</f>
        <v>0</v>
      </c>
    </row>
    <row r="505" spans="1:10" x14ac:dyDescent="0.25">
      <c r="A505" s="1">
        <v>39454</v>
      </c>
      <c r="B505">
        <v>5.2387800000000002</v>
      </c>
      <c r="C505">
        <v>5.72</v>
      </c>
      <c r="D505">
        <f>WEEKDAY(A505,14)</f>
        <v>5</v>
      </c>
      <c r="E505">
        <f t="shared" si="28"/>
        <v>0.05</v>
      </c>
      <c r="F505">
        <f t="shared" si="29"/>
        <v>3</v>
      </c>
      <c r="G505">
        <f>IF(F505&gt;F504,G504+B505*E505,B505*E505)</f>
        <v>0.26193900000000003</v>
      </c>
      <c r="H505">
        <f t="shared" si="30"/>
        <v>0.05</v>
      </c>
      <c r="I505">
        <f t="shared" si="31"/>
        <v>0</v>
      </c>
      <c r="J505">
        <f>IF(I504=0,0,C504-I504)</f>
        <v>0</v>
      </c>
    </row>
    <row r="506" spans="1:10" x14ac:dyDescent="0.25">
      <c r="A506" s="1">
        <v>39455</v>
      </c>
      <c r="B506">
        <v>5.2551699999999997</v>
      </c>
      <c r="C506">
        <v>5.72</v>
      </c>
      <c r="D506">
        <f>WEEKDAY(A506,14)</f>
        <v>6</v>
      </c>
      <c r="E506">
        <f t="shared" si="28"/>
        <v>0.7</v>
      </c>
      <c r="F506">
        <f t="shared" si="29"/>
        <v>4</v>
      </c>
      <c r="G506">
        <f>IF(F506&gt;F505,G505+B506*E506,B506*E506)</f>
        <v>3.9405579999999993</v>
      </c>
      <c r="H506">
        <f t="shared" si="30"/>
        <v>0.75</v>
      </c>
      <c r="I506">
        <f t="shared" si="31"/>
        <v>0</v>
      </c>
      <c r="J506">
        <f>IF(I505=0,0,C505-I505)</f>
        <v>0</v>
      </c>
    </row>
    <row r="507" spans="1:10" x14ac:dyDescent="0.25">
      <c r="A507" s="1">
        <v>39456</v>
      </c>
      <c r="B507">
        <v>5.2107000000000001</v>
      </c>
      <c r="C507">
        <v>5.72</v>
      </c>
      <c r="D507">
        <f>WEEKDAY(A507,14)</f>
        <v>7</v>
      </c>
      <c r="E507">
        <f t="shared" si="28"/>
        <v>0.25</v>
      </c>
      <c r="F507">
        <f t="shared" si="29"/>
        <v>5</v>
      </c>
      <c r="G507">
        <f>IF(F507&gt;F506,G506+B507*E507,B507*E507)</f>
        <v>5.2432329999999991</v>
      </c>
      <c r="H507">
        <f t="shared" si="30"/>
        <v>1</v>
      </c>
      <c r="I507">
        <f t="shared" si="31"/>
        <v>5.2432329999999991</v>
      </c>
      <c r="J507">
        <f>IF(I506=0,0,C506-I506)</f>
        <v>0</v>
      </c>
    </row>
    <row r="508" spans="1:10" x14ac:dyDescent="0.25">
      <c r="A508" s="1">
        <v>39457</v>
      </c>
      <c r="B508">
        <v>5.2858299999999998</v>
      </c>
      <c r="C508">
        <v>5.5650000000000004</v>
      </c>
      <c r="D508">
        <f>WEEKDAY(A508,14)</f>
        <v>1</v>
      </c>
      <c r="E508">
        <f t="shared" si="28"/>
        <v>0</v>
      </c>
      <c r="F508">
        <f t="shared" si="29"/>
        <v>1</v>
      </c>
      <c r="G508">
        <f>IF(F508&gt;F507,G507+B508*E508,B508*E508)</f>
        <v>0</v>
      </c>
      <c r="H508">
        <f t="shared" si="30"/>
        <v>0</v>
      </c>
      <c r="I508">
        <f t="shared" si="31"/>
        <v>0</v>
      </c>
      <c r="J508">
        <f>IF(I507=0,0,C507-I507)</f>
        <v>0.47676700000000061</v>
      </c>
    </row>
    <row r="509" spans="1:10" x14ac:dyDescent="0.25">
      <c r="A509" s="1">
        <v>39458</v>
      </c>
      <c r="B509">
        <v>5.1731800000000003</v>
      </c>
      <c r="C509">
        <v>5.5650000000000004</v>
      </c>
      <c r="D509">
        <f>WEEKDAY(A509,14)</f>
        <v>2</v>
      </c>
      <c r="E509">
        <f t="shared" si="28"/>
        <v>0</v>
      </c>
      <c r="F509">
        <f t="shared" si="29"/>
        <v>2</v>
      </c>
      <c r="G509">
        <f>IF(F509&gt;F508,G508+B509*E509,B509*E509)</f>
        <v>0</v>
      </c>
      <c r="H509">
        <f t="shared" si="30"/>
        <v>0</v>
      </c>
      <c r="I509">
        <f t="shared" si="31"/>
        <v>0</v>
      </c>
      <c r="J509">
        <f>IF(I508=0,0,C508-I508)</f>
        <v>0</v>
      </c>
    </row>
    <row r="510" spans="1:10" x14ac:dyDescent="0.25">
      <c r="A510" s="1">
        <v>39461</v>
      </c>
      <c r="B510">
        <v>5.1348099999999999</v>
      </c>
      <c r="C510">
        <v>5.5650000000000004</v>
      </c>
      <c r="D510">
        <f>WEEKDAY(A510,14)</f>
        <v>5</v>
      </c>
      <c r="E510">
        <f t="shared" si="28"/>
        <v>0.05</v>
      </c>
      <c r="F510">
        <f t="shared" si="29"/>
        <v>3</v>
      </c>
      <c r="G510">
        <f>IF(F510&gt;F509,G509+B510*E510,B510*E510)</f>
        <v>0.25674049999999998</v>
      </c>
      <c r="H510">
        <f t="shared" si="30"/>
        <v>0.05</v>
      </c>
      <c r="I510">
        <f t="shared" si="31"/>
        <v>0</v>
      </c>
      <c r="J510">
        <f>IF(I509=0,0,C509-I509)</f>
        <v>0</v>
      </c>
    </row>
    <row r="511" spans="1:10" x14ac:dyDescent="0.25">
      <c r="A511" s="1">
        <v>39462</v>
      </c>
      <c r="B511">
        <v>5.0436399999999999</v>
      </c>
      <c r="C511">
        <v>5.5650000000000004</v>
      </c>
      <c r="D511">
        <f>WEEKDAY(A511,14)</f>
        <v>6</v>
      </c>
      <c r="E511">
        <f t="shared" si="28"/>
        <v>0.7</v>
      </c>
      <c r="F511">
        <f t="shared" si="29"/>
        <v>4</v>
      </c>
      <c r="G511">
        <f>IF(F511&gt;F510,G510+B511*E511,B511*E511)</f>
        <v>3.7872884999999994</v>
      </c>
      <c r="H511">
        <f t="shared" si="30"/>
        <v>0.75</v>
      </c>
      <c r="I511">
        <f t="shared" si="31"/>
        <v>0</v>
      </c>
      <c r="J511">
        <f>IF(I510=0,0,C510-I510)</f>
        <v>0</v>
      </c>
    </row>
    <row r="512" spans="1:10" x14ac:dyDescent="0.25">
      <c r="A512" s="1">
        <v>39463</v>
      </c>
      <c r="B512">
        <v>5.1272799999999998</v>
      </c>
      <c r="C512">
        <v>5.5650000000000004</v>
      </c>
      <c r="D512">
        <f>WEEKDAY(A512,14)</f>
        <v>7</v>
      </c>
      <c r="E512">
        <f t="shared" si="28"/>
        <v>0.25</v>
      </c>
      <c r="F512">
        <f t="shared" si="29"/>
        <v>5</v>
      </c>
      <c r="G512">
        <f>IF(F512&gt;F511,G511+B512*E512,B512*E512)</f>
        <v>5.0691084999999996</v>
      </c>
      <c r="H512">
        <f t="shared" si="30"/>
        <v>1</v>
      </c>
      <c r="I512">
        <f t="shared" si="31"/>
        <v>5.0691084999999996</v>
      </c>
      <c r="J512">
        <f>IF(I511=0,0,C511-I511)</f>
        <v>0</v>
      </c>
    </row>
    <row r="513" spans="1:10" x14ac:dyDescent="0.25">
      <c r="A513" s="1">
        <v>39464</v>
      </c>
      <c r="B513">
        <v>5.0462400000000001</v>
      </c>
      <c r="C513">
        <v>5.33</v>
      </c>
      <c r="D513">
        <f>WEEKDAY(A513,14)</f>
        <v>1</v>
      </c>
      <c r="E513">
        <f t="shared" si="28"/>
        <v>0</v>
      </c>
      <c r="F513">
        <f t="shared" si="29"/>
        <v>1</v>
      </c>
      <c r="G513">
        <f>IF(F513&gt;F512,G512+B513*E513,B513*E513)</f>
        <v>0</v>
      </c>
      <c r="H513">
        <f t="shared" si="30"/>
        <v>0</v>
      </c>
      <c r="I513">
        <f t="shared" si="31"/>
        <v>0</v>
      </c>
      <c r="J513">
        <f>IF(I512=0,0,C512-I512)</f>
        <v>0.49589150000000082</v>
      </c>
    </row>
    <row r="514" spans="1:10" x14ac:dyDescent="0.25">
      <c r="A514" s="1">
        <v>39465</v>
      </c>
      <c r="B514">
        <v>5.0750700000000002</v>
      </c>
      <c r="C514">
        <v>5.33</v>
      </c>
      <c r="D514">
        <f>WEEKDAY(A514,14)</f>
        <v>2</v>
      </c>
      <c r="E514">
        <f t="shared" si="28"/>
        <v>0</v>
      </c>
      <c r="F514">
        <f t="shared" si="29"/>
        <v>2</v>
      </c>
      <c r="G514">
        <f>IF(F514&gt;F513,G513+B514*E514,B514*E514)</f>
        <v>0</v>
      </c>
      <c r="H514">
        <f t="shared" si="30"/>
        <v>0</v>
      </c>
      <c r="I514">
        <f t="shared" si="31"/>
        <v>0</v>
      </c>
      <c r="J514">
        <f>IF(I513=0,0,C513-I513)</f>
        <v>0</v>
      </c>
    </row>
    <row r="515" spans="1:10" x14ac:dyDescent="0.25">
      <c r="A515" s="1">
        <v>39469</v>
      </c>
      <c r="B515">
        <v>4.82456</v>
      </c>
      <c r="C515">
        <v>5.33</v>
      </c>
      <c r="D515">
        <f>WEEKDAY(A515,14)</f>
        <v>6</v>
      </c>
      <c r="E515">
        <f t="shared" ref="E515:E578" si="32">VLOOKUP(D515,M$2:N$8,2,FALSE)</f>
        <v>0.7</v>
      </c>
      <c r="F515">
        <f t="shared" ref="F515:F578" si="33">IF(AND(D515&gt;D514,F514&lt;6),F514+1,1)</f>
        <v>3</v>
      </c>
      <c r="G515">
        <f>IF(F515&gt;F514,G514+B515*E515,B515*E515)</f>
        <v>3.377192</v>
      </c>
      <c r="H515">
        <f t="shared" si="30"/>
        <v>0.7</v>
      </c>
      <c r="I515">
        <f t="shared" si="31"/>
        <v>0</v>
      </c>
      <c r="J515">
        <f>IF(I514=0,0,C514-I514)</f>
        <v>0</v>
      </c>
    </row>
    <row r="516" spans="1:10" x14ac:dyDescent="0.25">
      <c r="A516" s="1">
        <v>39470</v>
      </c>
      <c r="B516">
        <v>4.8653399999999998</v>
      </c>
      <c r="C516">
        <v>5.33</v>
      </c>
      <c r="D516">
        <f>WEEKDAY(A516,14)</f>
        <v>7</v>
      </c>
      <c r="E516">
        <f t="shared" si="32"/>
        <v>0.25</v>
      </c>
      <c r="F516">
        <f t="shared" si="33"/>
        <v>4</v>
      </c>
      <c r="G516">
        <f>IF(F516&gt;F515,G515+B516*E516,B516*E516)</f>
        <v>4.5935269999999999</v>
      </c>
      <c r="H516">
        <f t="shared" ref="H516:H579" si="34">IF(AND(F516&lt;6,F516&gt;F515),E516+H515,E516)</f>
        <v>0.95</v>
      </c>
      <c r="I516">
        <f t="shared" ref="I516:I579" si="35">IF(F516&gt;F517,G516/H516,0)</f>
        <v>4.8352915789473689</v>
      </c>
      <c r="J516">
        <f>IF(I515=0,0,C515-I515)</f>
        <v>0</v>
      </c>
    </row>
    <row r="517" spans="1:10" x14ac:dyDescent="0.25">
      <c r="A517" s="1">
        <v>39471</v>
      </c>
      <c r="B517">
        <v>5.2055199999999999</v>
      </c>
      <c r="C517">
        <v>5.53</v>
      </c>
      <c r="D517">
        <f>WEEKDAY(A517,14)</f>
        <v>1</v>
      </c>
      <c r="E517">
        <f t="shared" si="32"/>
        <v>0</v>
      </c>
      <c r="F517">
        <f t="shared" si="33"/>
        <v>1</v>
      </c>
      <c r="G517">
        <f>IF(F517&gt;F516,G516+B517*E517,B517*E517)</f>
        <v>0</v>
      </c>
      <c r="H517">
        <f t="shared" si="34"/>
        <v>0</v>
      </c>
      <c r="I517">
        <f t="shared" si="35"/>
        <v>0</v>
      </c>
      <c r="J517">
        <f>IF(I516=0,0,C516-I516)</f>
        <v>0.49470842105263113</v>
      </c>
    </row>
    <row r="518" spans="1:10" x14ac:dyDescent="0.25">
      <c r="A518" s="1">
        <v>39472</v>
      </c>
      <c r="B518">
        <v>5.0843299999999996</v>
      </c>
      <c r="C518">
        <v>5.53</v>
      </c>
      <c r="D518">
        <f>WEEKDAY(A518,14)</f>
        <v>2</v>
      </c>
      <c r="E518">
        <f t="shared" si="32"/>
        <v>0</v>
      </c>
      <c r="F518">
        <f t="shared" si="33"/>
        <v>2</v>
      </c>
      <c r="G518">
        <f>IF(F518&gt;F517,G517+B518*E518,B518*E518)</f>
        <v>0</v>
      </c>
      <c r="H518">
        <f t="shared" si="34"/>
        <v>0</v>
      </c>
      <c r="I518">
        <f t="shared" si="35"/>
        <v>0</v>
      </c>
      <c r="J518">
        <f>IF(I517=0,0,C517-I517)</f>
        <v>0</v>
      </c>
    </row>
    <row r="519" spans="1:10" x14ac:dyDescent="0.25">
      <c r="A519" s="1">
        <v>39475</v>
      </c>
      <c r="B519">
        <v>5.0300399999999996</v>
      </c>
      <c r="C519">
        <v>5.53</v>
      </c>
      <c r="D519">
        <f>WEEKDAY(A519,14)</f>
        <v>5</v>
      </c>
      <c r="E519">
        <f t="shared" si="32"/>
        <v>0.05</v>
      </c>
      <c r="F519">
        <f t="shared" si="33"/>
        <v>3</v>
      </c>
      <c r="G519">
        <f>IF(F519&gt;F518,G518+B519*E519,B519*E519)</f>
        <v>0.251502</v>
      </c>
      <c r="H519">
        <f t="shared" si="34"/>
        <v>0.05</v>
      </c>
      <c r="I519">
        <f t="shared" si="35"/>
        <v>0</v>
      </c>
      <c r="J519">
        <f>IF(I518=0,0,C518-I518)</f>
        <v>0</v>
      </c>
    </row>
    <row r="520" spans="1:10" x14ac:dyDescent="0.25">
      <c r="A520" s="1">
        <v>39476</v>
      </c>
      <c r="B520">
        <v>5.1134599999999999</v>
      </c>
      <c r="C520">
        <v>5.53</v>
      </c>
      <c r="D520">
        <f>WEEKDAY(A520,14)</f>
        <v>6</v>
      </c>
      <c r="E520">
        <f t="shared" si="32"/>
        <v>0.7</v>
      </c>
      <c r="F520">
        <f t="shared" si="33"/>
        <v>4</v>
      </c>
      <c r="G520">
        <f>IF(F520&gt;F519,G519+B520*E520,B520*E520)</f>
        <v>3.8309239999999996</v>
      </c>
      <c r="H520">
        <f t="shared" si="34"/>
        <v>0.75</v>
      </c>
      <c r="I520">
        <f t="shared" si="35"/>
        <v>0</v>
      </c>
      <c r="J520">
        <f>IF(I519=0,0,C519-I519)</f>
        <v>0</v>
      </c>
    </row>
    <row r="521" spans="1:10" x14ac:dyDescent="0.25">
      <c r="A521" s="1">
        <v>39477</v>
      </c>
      <c r="B521">
        <v>5.1872600000000002</v>
      </c>
      <c r="C521">
        <v>5.53</v>
      </c>
      <c r="D521">
        <f>WEEKDAY(A521,14)</f>
        <v>7</v>
      </c>
      <c r="E521">
        <f t="shared" si="32"/>
        <v>0.25</v>
      </c>
      <c r="F521">
        <f t="shared" si="33"/>
        <v>5</v>
      </c>
      <c r="G521">
        <f>IF(F521&gt;F520,G520+B521*E521,B521*E521)</f>
        <v>5.127739</v>
      </c>
      <c r="H521">
        <f t="shared" si="34"/>
        <v>1</v>
      </c>
      <c r="I521">
        <f t="shared" si="35"/>
        <v>5.127739</v>
      </c>
      <c r="J521">
        <f>IF(I520=0,0,C520-I520)</f>
        <v>0</v>
      </c>
    </row>
    <row r="522" spans="1:10" x14ac:dyDescent="0.25">
      <c r="A522" s="1">
        <v>39478</v>
      </c>
      <c r="B522">
        <v>5.1214700000000004</v>
      </c>
      <c r="C522">
        <v>5.52</v>
      </c>
      <c r="D522">
        <f>WEEKDAY(A522,14)</f>
        <v>1</v>
      </c>
      <c r="E522">
        <f t="shared" si="32"/>
        <v>0</v>
      </c>
      <c r="F522">
        <f t="shared" si="33"/>
        <v>1</v>
      </c>
      <c r="G522">
        <f>IF(F522&gt;F521,G521+B522*E522,B522*E522)</f>
        <v>0</v>
      </c>
      <c r="H522">
        <f t="shared" si="34"/>
        <v>0</v>
      </c>
      <c r="I522">
        <f t="shared" si="35"/>
        <v>0</v>
      </c>
      <c r="J522">
        <f>IF(I521=0,0,C521-I521)</f>
        <v>0.4022610000000002</v>
      </c>
    </row>
    <row r="523" spans="1:10" x14ac:dyDescent="0.25">
      <c r="A523" s="1">
        <v>39479</v>
      </c>
      <c r="B523">
        <v>5.0712900000000003</v>
      </c>
      <c r="C523">
        <v>5.52</v>
      </c>
      <c r="D523">
        <f>WEEKDAY(A523,14)</f>
        <v>2</v>
      </c>
      <c r="E523">
        <f t="shared" si="32"/>
        <v>0</v>
      </c>
      <c r="F523">
        <f t="shared" si="33"/>
        <v>2</v>
      </c>
      <c r="G523">
        <f>IF(F523&gt;F522,G522+B523*E523,B523*E523)</f>
        <v>0</v>
      </c>
      <c r="H523">
        <f t="shared" si="34"/>
        <v>0</v>
      </c>
      <c r="I523">
        <f t="shared" si="35"/>
        <v>0</v>
      </c>
      <c r="J523">
        <f>IF(I522=0,0,C522-I522)</f>
        <v>0</v>
      </c>
    </row>
    <row r="524" spans="1:10" x14ac:dyDescent="0.25">
      <c r="A524" s="1">
        <v>39482</v>
      </c>
      <c r="B524">
        <v>5.1485500000000002</v>
      </c>
      <c r="C524">
        <v>5.52</v>
      </c>
      <c r="D524">
        <f>WEEKDAY(A524,14)</f>
        <v>5</v>
      </c>
      <c r="E524">
        <f t="shared" si="32"/>
        <v>0.05</v>
      </c>
      <c r="F524">
        <f t="shared" si="33"/>
        <v>3</v>
      </c>
      <c r="G524">
        <f>IF(F524&gt;F523,G523+B524*E524,B524*E524)</f>
        <v>0.25742750000000003</v>
      </c>
      <c r="H524">
        <f t="shared" si="34"/>
        <v>0.05</v>
      </c>
      <c r="I524">
        <f t="shared" si="35"/>
        <v>0</v>
      </c>
      <c r="J524">
        <f>IF(I523=0,0,C523-I523)</f>
        <v>0</v>
      </c>
    </row>
    <row r="525" spans="1:10" x14ac:dyDescent="0.25">
      <c r="A525" s="1">
        <v>39483</v>
      </c>
      <c r="B525">
        <v>5.0407799999999998</v>
      </c>
      <c r="C525">
        <v>5.52</v>
      </c>
      <c r="D525">
        <f>WEEKDAY(A525,14)</f>
        <v>6</v>
      </c>
      <c r="E525">
        <f t="shared" si="32"/>
        <v>0.7</v>
      </c>
      <c r="F525">
        <f t="shared" si="33"/>
        <v>4</v>
      </c>
      <c r="G525">
        <f>IF(F525&gt;F524,G524+B525*E525,B525*E525)</f>
        <v>3.7859734999999994</v>
      </c>
      <c r="H525">
        <f t="shared" si="34"/>
        <v>0.75</v>
      </c>
      <c r="I525">
        <f t="shared" si="35"/>
        <v>0</v>
      </c>
      <c r="J525">
        <f>IF(I524=0,0,C524-I524)</f>
        <v>0</v>
      </c>
    </row>
    <row r="526" spans="1:10" x14ac:dyDescent="0.25">
      <c r="A526" s="1">
        <v>39484</v>
      </c>
      <c r="B526">
        <v>5.1197699999999999</v>
      </c>
      <c r="C526">
        <v>5.52</v>
      </c>
      <c r="D526">
        <f>WEEKDAY(A526,14)</f>
        <v>7</v>
      </c>
      <c r="E526">
        <f t="shared" si="32"/>
        <v>0.25</v>
      </c>
      <c r="F526">
        <f t="shared" si="33"/>
        <v>5</v>
      </c>
      <c r="G526">
        <f>IF(F526&gt;F525,G525+B526*E526,B526*E526)</f>
        <v>5.0659159999999996</v>
      </c>
      <c r="H526">
        <f t="shared" si="34"/>
        <v>1</v>
      </c>
      <c r="I526">
        <f t="shared" si="35"/>
        <v>5.0659159999999996</v>
      </c>
      <c r="J526">
        <f>IF(I525=0,0,C525-I525)</f>
        <v>0</v>
      </c>
    </row>
    <row r="527" spans="1:10" x14ac:dyDescent="0.25">
      <c r="A527" s="1">
        <v>39485</v>
      </c>
      <c r="B527">
        <v>5.2628500000000003</v>
      </c>
      <c r="C527">
        <v>5.57</v>
      </c>
      <c r="D527">
        <f>WEEKDAY(A527,14)</f>
        <v>1</v>
      </c>
      <c r="E527">
        <f t="shared" si="32"/>
        <v>0</v>
      </c>
      <c r="F527">
        <f t="shared" si="33"/>
        <v>1</v>
      </c>
      <c r="G527">
        <f>IF(F527&gt;F526,G526+B527*E527,B527*E527)</f>
        <v>0</v>
      </c>
      <c r="H527">
        <f t="shared" si="34"/>
        <v>0</v>
      </c>
      <c r="I527">
        <f t="shared" si="35"/>
        <v>0</v>
      </c>
      <c r="J527">
        <f>IF(I526=0,0,C526-I526)</f>
        <v>0.45408399999999993</v>
      </c>
    </row>
    <row r="528" spans="1:10" x14ac:dyDescent="0.25">
      <c r="A528" s="1">
        <v>39486</v>
      </c>
      <c r="B528">
        <v>5.2021100000000002</v>
      </c>
      <c r="C528">
        <v>5.57</v>
      </c>
      <c r="D528">
        <f>WEEKDAY(A528,14)</f>
        <v>2</v>
      </c>
      <c r="E528">
        <f t="shared" si="32"/>
        <v>0</v>
      </c>
      <c r="F528">
        <f t="shared" si="33"/>
        <v>2</v>
      </c>
      <c r="G528">
        <f>IF(F528&gt;F527,G527+B528*E528,B528*E528)</f>
        <v>0</v>
      </c>
      <c r="H528">
        <f t="shared" si="34"/>
        <v>0</v>
      </c>
      <c r="I528">
        <f t="shared" si="35"/>
        <v>0</v>
      </c>
      <c r="J528">
        <f>IF(I527=0,0,C527-I527)</f>
        <v>0</v>
      </c>
    </row>
    <row r="529" spans="1:10" x14ac:dyDescent="0.25">
      <c r="A529" s="1">
        <v>39489</v>
      </c>
      <c r="B529">
        <v>5.1938399999999998</v>
      </c>
      <c r="C529">
        <v>5.57</v>
      </c>
      <c r="D529">
        <f>WEEKDAY(A529,14)</f>
        <v>5</v>
      </c>
      <c r="E529">
        <f t="shared" si="32"/>
        <v>0.05</v>
      </c>
      <c r="F529">
        <f t="shared" si="33"/>
        <v>3</v>
      </c>
      <c r="G529">
        <f>IF(F529&gt;F528,G528+B529*E529,B529*E529)</f>
        <v>0.25969199999999998</v>
      </c>
      <c r="H529">
        <f t="shared" si="34"/>
        <v>0.05</v>
      </c>
      <c r="I529">
        <f t="shared" si="35"/>
        <v>0</v>
      </c>
      <c r="J529">
        <f>IF(I528=0,0,C528-I528)</f>
        <v>0</v>
      </c>
    </row>
    <row r="530" spans="1:10" x14ac:dyDescent="0.25">
      <c r="A530" s="1">
        <v>39490</v>
      </c>
      <c r="B530">
        <v>5.2566100000000002</v>
      </c>
      <c r="C530">
        <v>5.57</v>
      </c>
      <c r="D530">
        <f>WEEKDAY(A530,14)</f>
        <v>6</v>
      </c>
      <c r="E530">
        <f t="shared" si="32"/>
        <v>0.7</v>
      </c>
      <c r="F530">
        <f t="shared" si="33"/>
        <v>4</v>
      </c>
      <c r="G530">
        <f>IF(F530&gt;F529,G529+B530*E530,B530*E530)</f>
        <v>3.9393189999999998</v>
      </c>
      <c r="H530">
        <f t="shared" si="34"/>
        <v>0.75</v>
      </c>
      <c r="I530">
        <f t="shared" si="35"/>
        <v>0</v>
      </c>
      <c r="J530">
        <f>IF(I529=0,0,C529-I529)</f>
        <v>0</v>
      </c>
    </row>
    <row r="531" spans="1:10" x14ac:dyDescent="0.25">
      <c r="A531" s="1">
        <v>39491</v>
      </c>
      <c r="B531">
        <v>5.3294499999999996</v>
      </c>
      <c r="C531">
        <v>5.57</v>
      </c>
      <c r="D531">
        <f>WEEKDAY(A531,14)</f>
        <v>7</v>
      </c>
      <c r="E531">
        <f t="shared" si="32"/>
        <v>0.25</v>
      </c>
      <c r="F531">
        <f t="shared" si="33"/>
        <v>5</v>
      </c>
      <c r="G531">
        <f>IF(F531&gt;F530,G530+B531*E531,B531*E531)</f>
        <v>5.2716814999999997</v>
      </c>
      <c r="H531">
        <f t="shared" si="34"/>
        <v>1</v>
      </c>
      <c r="I531">
        <f t="shared" si="35"/>
        <v>5.2716814999999997</v>
      </c>
      <c r="J531">
        <f>IF(I530=0,0,C530-I530)</f>
        <v>0</v>
      </c>
    </row>
    <row r="532" spans="1:10" x14ac:dyDescent="0.25">
      <c r="A532" s="1">
        <v>39492</v>
      </c>
      <c r="B532">
        <v>5.5199800000000003</v>
      </c>
      <c r="C532">
        <v>5.94</v>
      </c>
      <c r="D532">
        <f>WEEKDAY(A532,14)</f>
        <v>1</v>
      </c>
      <c r="E532">
        <f t="shared" si="32"/>
        <v>0</v>
      </c>
      <c r="F532">
        <f t="shared" si="33"/>
        <v>1</v>
      </c>
      <c r="G532">
        <f>IF(F532&gt;F531,G531+B532*E532,B532*E532)</f>
        <v>0</v>
      </c>
      <c r="H532">
        <f t="shared" si="34"/>
        <v>0</v>
      </c>
      <c r="I532">
        <f t="shared" si="35"/>
        <v>0</v>
      </c>
      <c r="J532">
        <f>IF(I531=0,0,C531-I531)</f>
        <v>0.2983185000000006</v>
      </c>
    </row>
    <row r="533" spans="1:10" x14ac:dyDescent="0.25">
      <c r="A533" s="1">
        <v>39493</v>
      </c>
      <c r="B533">
        <v>5.5032899999999998</v>
      </c>
      <c r="C533">
        <v>5.94</v>
      </c>
      <c r="D533">
        <f>WEEKDAY(A533,14)</f>
        <v>2</v>
      </c>
      <c r="E533">
        <f t="shared" si="32"/>
        <v>0</v>
      </c>
      <c r="F533">
        <f t="shared" si="33"/>
        <v>2</v>
      </c>
      <c r="G533">
        <f>IF(F533&gt;F532,G532+B533*E533,B533*E533)</f>
        <v>0</v>
      </c>
      <c r="H533">
        <f t="shared" si="34"/>
        <v>0</v>
      </c>
      <c r="I533">
        <f t="shared" si="35"/>
        <v>0</v>
      </c>
      <c r="J533">
        <f>IF(I532=0,0,C532-I532)</f>
        <v>0</v>
      </c>
    </row>
    <row r="534" spans="1:10" x14ac:dyDescent="0.25">
      <c r="A534" s="1">
        <v>39497</v>
      </c>
      <c r="B534">
        <v>5.7345100000000002</v>
      </c>
      <c r="C534">
        <v>5.94</v>
      </c>
      <c r="D534">
        <f>WEEKDAY(A534,14)</f>
        <v>6</v>
      </c>
      <c r="E534">
        <f t="shared" si="32"/>
        <v>0.7</v>
      </c>
      <c r="F534">
        <f t="shared" si="33"/>
        <v>3</v>
      </c>
      <c r="G534">
        <f>IF(F534&gt;F533,G533+B534*E534,B534*E534)</f>
        <v>4.014157</v>
      </c>
      <c r="H534">
        <f t="shared" si="34"/>
        <v>0.7</v>
      </c>
      <c r="I534">
        <f t="shared" si="35"/>
        <v>0</v>
      </c>
      <c r="J534">
        <f>IF(I533=0,0,C533-I533)</f>
        <v>0</v>
      </c>
    </row>
    <row r="535" spans="1:10" x14ac:dyDescent="0.25">
      <c r="A535" s="1">
        <v>39498</v>
      </c>
      <c r="B535">
        <v>5.76701</v>
      </c>
      <c r="C535">
        <v>5.94</v>
      </c>
      <c r="D535">
        <f>WEEKDAY(A535,14)</f>
        <v>7</v>
      </c>
      <c r="E535">
        <f t="shared" si="32"/>
        <v>0.25</v>
      </c>
      <c r="F535">
        <f t="shared" si="33"/>
        <v>4</v>
      </c>
      <c r="G535">
        <f>IF(F535&gt;F534,G534+B535*E535,B535*E535)</f>
        <v>5.4559094999999997</v>
      </c>
      <c r="H535">
        <f t="shared" si="34"/>
        <v>0.95</v>
      </c>
      <c r="I535">
        <f t="shared" si="35"/>
        <v>5.7430626315789475</v>
      </c>
      <c r="J535">
        <f>IF(I534=0,0,C534-I534)</f>
        <v>0</v>
      </c>
    </row>
    <row r="536" spans="1:10" x14ac:dyDescent="0.25">
      <c r="A536" s="1">
        <v>39499</v>
      </c>
      <c r="B536">
        <v>5.5926999999999998</v>
      </c>
      <c r="C536">
        <v>6.1150000000000002</v>
      </c>
      <c r="D536">
        <f>WEEKDAY(A536,14)</f>
        <v>1</v>
      </c>
      <c r="E536">
        <f t="shared" si="32"/>
        <v>0</v>
      </c>
      <c r="F536">
        <f t="shared" si="33"/>
        <v>1</v>
      </c>
      <c r="G536">
        <f>IF(F536&gt;F535,G535+B536*E536,B536*E536)</f>
        <v>0</v>
      </c>
      <c r="H536">
        <f t="shared" si="34"/>
        <v>0</v>
      </c>
      <c r="I536">
        <f t="shared" si="35"/>
        <v>0</v>
      </c>
      <c r="J536">
        <f>IF(I535=0,0,C535-I535)</f>
        <v>0.19693736842105292</v>
      </c>
    </row>
    <row r="537" spans="1:10" x14ac:dyDescent="0.25">
      <c r="A537" s="1">
        <v>39500</v>
      </c>
      <c r="B537">
        <v>5.7194399999999996</v>
      </c>
      <c r="C537">
        <v>6.1150000000000002</v>
      </c>
      <c r="D537">
        <f>WEEKDAY(A537,14)</f>
        <v>2</v>
      </c>
      <c r="E537">
        <f t="shared" si="32"/>
        <v>0</v>
      </c>
      <c r="F537">
        <f t="shared" si="33"/>
        <v>2</v>
      </c>
      <c r="G537">
        <f>IF(F537&gt;F536,G536+B537*E537,B537*E537)</f>
        <v>0</v>
      </c>
      <c r="H537">
        <f t="shared" si="34"/>
        <v>0</v>
      </c>
      <c r="I537">
        <f t="shared" si="35"/>
        <v>0</v>
      </c>
      <c r="J537">
        <f>IF(I536=0,0,C536-I536)</f>
        <v>0</v>
      </c>
    </row>
    <row r="538" spans="1:10" x14ac:dyDescent="0.25">
      <c r="A538" s="1">
        <v>39503</v>
      </c>
      <c r="B538">
        <v>5.8619500000000002</v>
      </c>
      <c r="C538">
        <v>6.1150000000000002</v>
      </c>
      <c r="D538">
        <f>WEEKDAY(A538,14)</f>
        <v>5</v>
      </c>
      <c r="E538">
        <f t="shared" si="32"/>
        <v>0.05</v>
      </c>
      <c r="F538">
        <f t="shared" si="33"/>
        <v>3</v>
      </c>
      <c r="G538">
        <f>IF(F538&gt;F537,G537+B538*E538,B538*E538)</f>
        <v>0.29309750000000001</v>
      </c>
      <c r="H538">
        <f t="shared" si="34"/>
        <v>0.05</v>
      </c>
      <c r="I538">
        <f t="shared" si="35"/>
        <v>0</v>
      </c>
      <c r="J538">
        <f>IF(I537=0,0,C537-I537)</f>
        <v>0</v>
      </c>
    </row>
    <row r="539" spans="1:10" x14ac:dyDescent="0.25">
      <c r="A539" s="1">
        <v>39504</v>
      </c>
      <c r="B539">
        <v>5.7850900000000003</v>
      </c>
      <c r="C539">
        <v>6.1150000000000002</v>
      </c>
      <c r="D539">
        <f>WEEKDAY(A539,14)</f>
        <v>6</v>
      </c>
      <c r="E539">
        <f t="shared" si="32"/>
        <v>0.7</v>
      </c>
      <c r="F539">
        <f t="shared" si="33"/>
        <v>4</v>
      </c>
      <c r="G539">
        <f>IF(F539&gt;F538,G538+B539*E539,B539*E539)</f>
        <v>4.3426605</v>
      </c>
      <c r="H539">
        <f t="shared" si="34"/>
        <v>0.75</v>
      </c>
      <c r="I539">
        <f t="shared" si="35"/>
        <v>0</v>
      </c>
      <c r="J539">
        <f>IF(I538=0,0,C538-I538)</f>
        <v>0</v>
      </c>
    </row>
    <row r="540" spans="1:10" x14ac:dyDescent="0.25">
      <c r="A540" s="1">
        <v>39505</v>
      </c>
      <c r="B540">
        <v>5.6907100000000002</v>
      </c>
      <c r="C540">
        <v>6.1150000000000002</v>
      </c>
      <c r="D540">
        <f>WEEKDAY(A540,14)</f>
        <v>7</v>
      </c>
      <c r="E540">
        <f t="shared" si="32"/>
        <v>0.25</v>
      </c>
      <c r="F540">
        <f t="shared" si="33"/>
        <v>5</v>
      </c>
      <c r="G540">
        <f>IF(F540&gt;F539,G539+B540*E540,B540*E540)</f>
        <v>5.7653379999999999</v>
      </c>
      <c r="H540">
        <f t="shared" si="34"/>
        <v>1</v>
      </c>
      <c r="I540">
        <f t="shared" si="35"/>
        <v>5.7653379999999999</v>
      </c>
      <c r="J540">
        <f>IF(I539=0,0,C539-I539)</f>
        <v>0</v>
      </c>
    </row>
    <row r="541" spans="1:10" x14ac:dyDescent="0.25">
      <c r="A541" s="1">
        <v>39506</v>
      </c>
      <c r="B541">
        <v>5.4988999999999999</v>
      </c>
      <c r="C541">
        <v>5.9050000000000002</v>
      </c>
      <c r="D541">
        <f>WEEKDAY(A541,14)</f>
        <v>1</v>
      </c>
      <c r="E541">
        <f t="shared" si="32"/>
        <v>0</v>
      </c>
      <c r="F541">
        <f t="shared" si="33"/>
        <v>1</v>
      </c>
      <c r="G541">
        <f>IF(F541&gt;F540,G540+B541*E541,B541*E541)</f>
        <v>0</v>
      </c>
      <c r="H541">
        <f t="shared" si="34"/>
        <v>0</v>
      </c>
      <c r="I541">
        <f t="shared" si="35"/>
        <v>0</v>
      </c>
      <c r="J541">
        <f>IF(I540=0,0,C540-I540)</f>
        <v>0.34966200000000036</v>
      </c>
    </row>
    <row r="542" spans="1:10" x14ac:dyDescent="0.25">
      <c r="A542" s="1">
        <v>39507</v>
      </c>
      <c r="B542">
        <v>5.3596899999999996</v>
      </c>
      <c r="C542">
        <v>5.9050000000000002</v>
      </c>
      <c r="D542">
        <f>WEEKDAY(A542,14)</f>
        <v>2</v>
      </c>
      <c r="E542">
        <f t="shared" si="32"/>
        <v>0</v>
      </c>
      <c r="F542">
        <f t="shared" si="33"/>
        <v>2</v>
      </c>
      <c r="G542">
        <f>IF(F542&gt;F541,G541+B542*E542,B542*E542)</f>
        <v>0</v>
      </c>
      <c r="H542">
        <f t="shared" si="34"/>
        <v>0</v>
      </c>
      <c r="I542">
        <f t="shared" si="35"/>
        <v>0</v>
      </c>
      <c r="J542">
        <f>IF(I541=0,0,C541-I541)</f>
        <v>0</v>
      </c>
    </row>
    <row r="543" spans="1:10" x14ac:dyDescent="0.25">
      <c r="A543" s="1">
        <v>39510</v>
      </c>
      <c r="B543">
        <v>5.4377399999999998</v>
      </c>
      <c r="C543">
        <v>5.9050000000000002</v>
      </c>
      <c r="D543">
        <f>WEEKDAY(A543,14)</f>
        <v>5</v>
      </c>
      <c r="E543">
        <f t="shared" si="32"/>
        <v>0.05</v>
      </c>
      <c r="F543">
        <f t="shared" si="33"/>
        <v>3</v>
      </c>
      <c r="G543">
        <f>IF(F543&gt;F542,G542+B543*E543,B543*E543)</f>
        <v>0.27188699999999999</v>
      </c>
      <c r="H543">
        <f t="shared" si="34"/>
        <v>0.05</v>
      </c>
      <c r="I543">
        <f t="shared" si="35"/>
        <v>0</v>
      </c>
      <c r="J543">
        <f>IF(I542=0,0,C542-I542)</f>
        <v>0</v>
      </c>
    </row>
    <row r="544" spans="1:10" x14ac:dyDescent="0.25">
      <c r="A544" s="1">
        <v>39511</v>
      </c>
      <c r="B544">
        <v>5.6318200000000003</v>
      </c>
      <c r="C544">
        <v>5.9050000000000002</v>
      </c>
      <c r="D544">
        <f>WEEKDAY(A544,14)</f>
        <v>6</v>
      </c>
      <c r="E544">
        <f t="shared" si="32"/>
        <v>0.7</v>
      </c>
      <c r="F544">
        <f t="shared" si="33"/>
        <v>4</v>
      </c>
      <c r="G544">
        <f>IF(F544&gt;F543,G543+B544*E544,B544*E544)</f>
        <v>4.2141609999999998</v>
      </c>
      <c r="H544">
        <f t="shared" si="34"/>
        <v>0.75</v>
      </c>
      <c r="I544">
        <f t="shared" si="35"/>
        <v>0</v>
      </c>
      <c r="J544">
        <f>IF(I543=0,0,C543-I543)</f>
        <v>0</v>
      </c>
    </row>
    <row r="545" spans="1:10" x14ac:dyDescent="0.25">
      <c r="A545" s="1">
        <v>39512</v>
      </c>
      <c r="B545">
        <v>5.8113400000000004</v>
      </c>
      <c r="C545">
        <v>5.9050000000000002</v>
      </c>
      <c r="D545">
        <f>WEEKDAY(A545,14)</f>
        <v>7</v>
      </c>
      <c r="E545">
        <f t="shared" si="32"/>
        <v>0.25</v>
      </c>
      <c r="F545">
        <f t="shared" si="33"/>
        <v>5</v>
      </c>
      <c r="G545">
        <f>IF(F545&gt;F544,G544+B545*E545,B545*E545)</f>
        <v>5.6669960000000001</v>
      </c>
      <c r="H545">
        <f t="shared" si="34"/>
        <v>1</v>
      </c>
      <c r="I545">
        <f t="shared" si="35"/>
        <v>5.6669960000000001</v>
      </c>
      <c r="J545">
        <f>IF(I544=0,0,C544-I544)</f>
        <v>0</v>
      </c>
    </row>
    <row r="546" spans="1:10" x14ac:dyDescent="0.25">
      <c r="A546" s="1">
        <v>39513</v>
      </c>
      <c r="B546">
        <v>5.9429299999999996</v>
      </c>
      <c r="C546">
        <v>6.0049999999999999</v>
      </c>
      <c r="D546">
        <f>WEEKDAY(A546,14)</f>
        <v>1</v>
      </c>
      <c r="E546">
        <f t="shared" si="32"/>
        <v>0</v>
      </c>
      <c r="F546">
        <f t="shared" si="33"/>
        <v>1</v>
      </c>
      <c r="G546">
        <f>IF(F546&gt;F545,G545+B546*E546,B546*E546)</f>
        <v>0</v>
      </c>
      <c r="H546">
        <f t="shared" si="34"/>
        <v>0</v>
      </c>
      <c r="I546">
        <f t="shared" si="35"/>
        <v>0</v>
      </c>
      <c r="J546">
        <f>IF(I545=0,0,C545-I545)</f>
        <v>0.2380040000000001</v>
      </c>
    </row>
    <row r="547" spans="1:10" x14ac:dyDescent="0.25">
      <c r="A547" s="1">
        <v>39514</v>
      </c>
      <c r="B547">
        <v>5.79413</v>
      </c>
      <c r="C547">
        <v>6.0049999999999999</v>
      </c>
      <c r="D547">
        <f>WEEKDAY(A547,14)</f>
        <v>2</v>
      </c>
      <c r="E547">
        <f t="shared" si="32"/>
        <v>0</v>
      </c>
      <c r="F547">
        <f t="shared" si="33"/>
        <v>2</v>
      </c>
      <c r="G547">
        <f>IF(F547&gt;F546,G546+B547*E547,B547*E547)</f>
        <v>0</v>
      </c>
      <c r="H547">
        <f t="shared" si="34"/>
        <v>0</v>
      </c>
      <c r="I547">
        <f t="shared" si="35"/>
        <v>0</v>
      </c>
      <c r="J547">
        <f>IF(I546=0,0,C546-I546)</f>
        <v>0</v>
      </c>
    </row>
    <row r="548" spans="1:10" x14ac:dyDescent="0.25">
      <c r="A548" s="1">
        <v>39517</v>
      </c>
      <c r="B548">
        <v>5.7608699999999997</v>
      </c>
      <c r="C548">
        <v>6.0049999999999999</v>
      </c>
      <c r="D548">
        <f>WEEKDAY(A548,14)</f>
        <v>5</v>
      </c>
      <c r="E548">
        <f t="shared" si="32"/>
        <v>0.05</v>
      </c>
      <c r="F548">
        <f t="shared" si="33"/>
        <v>3</v>
      </c>
      <c r="G548">
        <f>IF(F548&gt;F547,G547+B548*E548,B548*E548)</f>
        <v>0.28804350000000001</v>
      </c>
      <c r="H548">
        <f t="shared" si="34"/>
        <v>0.05</v>
      </c>
      <c r="I548">
        <f t="shared" si="35"/>
        <v>0</v>
      </c>
      <c r="J548">
        <f>IF(I547=0,0,C547-I547)</f>
        <v>0</v>
      </c>
    </row>
    <row r="549" spans="1:10" x14ac:dyDescent="0.25">
      <c r="A549" s="1">
        <v>39518</v>
      </c>
      <c r="B549">
        <v>5.7793799999999997</v>
      </c>
      <c r="C549">
        <v>6.0049999999999999</v>
      </c>
      <c r="D549">
        <f>WEEKDAY(A549,14)</f>
        <v>6</v>
      </c>
      <c r="E549">
        <f t="shared" si="32"/>
        <v>0.7</v>
      </c>
      <c r="F549">
        <f t="shared" si="33"/>
        <v>4</v>
      </c>
      <c r="G549">
        <f>IF(F549&gt;F548,G548+B549*E549,B549*E549)</f>
        <v>4.3336094999999997</v>
      </c>
      <c r="H549">
        <f t="shared" si="34"/>
        <v>0.75</v>
      </c>
      <c r="I549">
        <f t="shared" si="35"/>
        <v>0</v>
      </c>
      <c r="J549">
        <f>IF(I548=0,0,C548-I548)</f>
        <v>0</v>
      </c>
    </row>
    <row r="550" spans="1:10" x14ac:dyDescent="0.25">
      <c r="A550" s="1">
        <v>39519</v>
      </c>
      <c r="B550">
        <v>5.5033399999999997</v>
      </c>
      <c r="C550">
        <v>6.0049999999999999</v>
      </c>
      <c r="D550">
        <f>WEEKDAY(A550,14)</f>
        <v>7</v>
      </c>
      <c r="E550">
        <f t="shared" si="32"/>
        <v>0.25</v>
      </c>
      <c r="F550">
        <f t="shared" si="33"/>
        <v>5</v>
      </c>
      <c r="G550">
        <f>IF(F550&gt;F549,G549+B550*E550,B550*E550)</f>
        <v>5.7094445</v>
      </c>
      <c r="H550">
        <f t="shared" si="34"/>
        <v>1</v>
      </c>
      <c r="I550">
        <f t="shared" si="35"/>
        <v>5.7094445</v>
      </c>
      <c r="J550">
        <f>IF(I549=0,0,C549-I549)</f>
        <v>0</v>
      </c>
    </row>
    <row r="551" spans="1:10" x14ac:dyDescent="0.25">
      <c r="A551" s="1">
        <v>39520</v>
      </c>
      <c r="B551">
        <v>5.5453000000000001</v>
      </c>
      <c r="C551">
        <v>5.7450000000000001</v>
      </c>
      <c r="D551">
        <f>WEEKDAY(A551,14)</f>
        <v>1</v>
      </c>
      <c r="E551">
        <f t="shared" si="32"/>
        <v>0</v>
      </c>
      <c r="F551">
        <f t="shared" si="33"/>
        <v>1</v>
      </c>
      <c r="G551">
        <f>IF(F551&gt;F550,G550+B551*E551,B551*E551)</f>
        <v>0</v>
      </c>
      <c r="H551">
        <f t="shared" si="34"/>
        <v>0</v>
      </c>
      <c r="I551">
        <f t="shared" si="35"/>
        <v>0</v>
      </c>
      <c r="J551">
        <f>IF(I550=0,0,C550-I550)</f>
        <v>0.29555549999999986</v>
      </c>
    </row>
    <row r="552" spans="1:10" x14ac:dyDescent="0.25">
      <c r="A552" s="1">
        <v>39521</v>
      </c>
      <c r="B552">
        <v>5.4771400000000003</v>
      </c>
      <c r="C552">
        <v>5.7450000000000001</v>
      </c>
      <c r="D552">
        <f>WEEKDAY(A552,14)</f>
        <v>2</v>
      </c>
      <c r="E552">
        <f t="shared" si="32"/>
        <v>0</v>
      </c>
      <c r="F552">
        <f t="shared" si="33"/>
        <v>2</v>
      </c>
      <c r="G552">
        <f>IF(F552&gt;F551,G551+B552*E552,B552*E552)</f>
        <v>0</v>
      </c>
      <c r="H552">
        <f t="shared" si="34"/>
        <v>0</v>
      </c>
      <c r="I552">
        <f t="shared" si="35"/>
        <v>0</v>
      </c>
      <c r="J552">
        <f>IF(I551=0,0,C551-I551)</f>
        <v>0</v>
      </c>
    </row>
    <row r="553" spans="1:10" x14ac:dyDescent="0.25">
      <c r="A553" s="1">
        <v>39524</v>
      </c>
      <c r="B553">
        <v>5.0827400000000003</v>
      </c>
      <c r="C553">
        <v>5.7450000000000001</v>
      </c>
      <c r="D553">
        <f>WEEKDAY(A553,14)</f>
        <v>5</v>
      </c>
      <c r="E553">
        <f t="shared" si="32"/>
        <v>0.05</v>
      </c>
      <c r="F553">
        <f t="shared" si="33"/>
        <v>3</v>
      </c>
      <c r="G553">
        <f>IF(F553&gt;F552,G552+B553*E553,B553*E553)</f>
        <v>0.254137</v>
      </c>
      <c r="H553">
        <f t="shared" si="34"/>
        <v>0.05</v>
      </c>
      <c r="I553">
        <f t="shared" si="35"/>
        <v>0</v>
      </c>
      <c r="J553">
        <f>IF(I552=0,0,C552-I552)</f>
        <v>0</v>
      </c>
    </row>
    <row r="554" spans="1:10" x14ac:dyDescent="0.25">
      <c r="A554" s="1">
        <v>39525</v>
      </c>
      <c r="B554">
        <v>5.26363</v>
      </c>
      <c r="C554">
        <v>5.7450000000000001</v>
      </c>
      <c r="D554">
        <f>WEEKDAY(A554,14)</f>
        <v>6</v>
      </c>
      <c r="E554">
        <f t="shared" si="32"/>
        <v>0.7</v>
      </c>
      <c r="F554">
        <f t="shared" si="33"/>
        <v>4</v>
      </c>
      <c r="G554">
        <f>IF(F554&gt;F553,G553+B554*E554,B554*E554)</f>
        <v>3.9386779999999999</v>
      </c>
      <c r="H554">
        <f t="shared" si="34"/>
        <v>0.75</v>
      </c>
      <c r="I554">
        <f t="shared" si="35"/>
        <v>0</v>
      </c>
      <c r="J554">
        <f>IF(I553=0,0,C553-I553)</f>
        <v>0</v>
      </c>
    </row>
    <row r="555" spans="1:10" x14ac:dyDescent="0.25">
      <c r="A555" s="1">
        <v>39526</v>
      </c>
      <c r="B555">
        <v>5.1224999999999996</v>
      </c>
      <c r="C555">
        <v>5.7450000000000001</v>
      </c>
      <c r="D555">
        <f>WEEKDAY(A555,14)</f>
        <v>7</v>
      </c>
      <c r="E555">
        <f t="shared" si="32"/>
        <v>0.25</v>
      </c>
      <c r="F555">
        <f t="shared" si="33"/>
        <v>5</v>
      </c>
      <c r="G555">
        <f>IF(F555&gt;F554,G554+B555*E555,B555*E555)</f>
        <v>5.219303</v>
      </c>
      <c r="H555">
        <f t="shared" si="34"/>
        <v>1</v>
      </c>
      <c r="I555">
        <f t="shared" si="35"/>
        <v>5.219303</v>
      </c>
      <c r="J555">
        <f>IF(I554=0,0,C554-I554)</f>
        <v>0</v>
      </c>
    </row>
    <row r="556" spans="1:10" x14ac:dyDescent="0.25">
      <c r="A556" s="1">
        <v>39527</v>
      </c>
      <c r="B556">
        <v>5.0654300000000001</v>
      </c>
      <c r="C556">
        <v>5.7</v>
      </c>
      <c r="D556">
        <f>WEEKDAY(A556,14)</f>
        <v>1</v>
      </c>
      <c r="E556">
        <f t="shared" si="32"/>
        <v>0</v>
      </c>
      <c r="F556">
        <f t="shared" si="33"/>
        <v>1</v>
      </c>
      <c r="G556">
        <f>IF(F556&gt;F555,G555+B556*E556,B556*E556)</f>
        <v>0</v>
      </c>
      <c r="H556">
        <f t="shared" si="34"/>
        <v>0</v>
      </c>
      <c r="I556">
        <f t="shared" si="35"/>
        <v>0</v>
      </c>
      <c r="J556">
        <f>IF(I555=0,0,C555-I555)</f>
        <v>0.52569700000000008</v>
      </c>
    </row>
    <row r="557" spans="1:10" x14ac:dyDescent="0.25">
      <c r="A557" s="1">
        <v>39531</v>
      </c>
      <c r="B557">
        <v>5.3472999999999997</v>
      </c>
      <c r="C557">
        <v>5.7</v>
      </c>
      <c r="D557">
        <f>WEEKDAY(A557,14)</f>
        <v>5</v>
      </c>
      <c r="E557">
        <f t="shared" si="32"/>
        <v>0.05</v>
      </c>
      <c r="F557">
        <f t="shared" si="33"/>
        <v>2</v>
      </c>
      <c r="G557">
        <f>IF(F557&gt;F556,G556+B557*E557,B557*E557)</f>
        <v>0.26736500000000002</v>
      </c>
      <c r="H557">
        <f t="shared" si="34"/>
        <v>0.05</v>
      </c>
      <c r="I557">
        <f t="shared" si="35"/>
        <v>0</v>
      </c>
      <c r="J557">
        <f>IF(I556=0,0,C556-I556)</f>
        <v>0</v>
      </c>
    </row>
    <row r="558" spans="1:10" x14ac:dyDescent="0.25">
      <c r="A558" s="1">
        <v>39532</v>
      </c>
      <c r="B558">
        <v>5.3040900000000004</v>
      </c>
      <c r="C558">
        <v>5.7</v>
      </c>
      <c r="D558">
        <f>WEEKDAY(A558,14)</f>
        <v>6</v>
      </c>
      <c r="E558">
        <f t="shared" si="32"/>
        <v>0.7</v>
      </c>
      <c r="F558">
        <f t="shared" si="33"/>
        <v>3</v>
      </c>
      <c r="G558">
        <f>IF(F558&gt;F557,G557+B558*E558,B558*E558)</f>
        <v>3.9802279999999999</v>
      </c>
      <c r="H558">
        <f t="shared" si="34"/>
        <v>0.75</v>
      </c>
      <c r="I558">
        <f t="shared" si="35"/>
        <v>0</v>
      </c>
      <c r="J558">
        <f>IF(I557=0,0,C557-I557)</f>
        <v>0</v>
      </c>
    </row>
    <row r="559" spans="1:10" x14ac:dyDescent="0.25">
      <c r="A559" s="1">
        <v>39533</v>
      </c>
      <c r="B559">
        <v>5.2959899999999998</v>
      </c>
      <c r="C559">
        <v>5.7</v>
      </c>
      <c r="D559">
        <f>WEEKDAY(A559,14)</f>
        <v>7</v>
      </c>
      <c r="E559">
        <f t="shared" si="32"/>
        <v>0.25</v>
      </c>
      <c r="F559">
        <f t="shared" si="33"/>
        <v>4</v>
      </c>
      <c r="G559">
        <f>IF(F559&gt;F558,G558+B559*E559,B559*E559)</f>
        <v>5.3042254999999994</v>
      </c>
      <c r="H559">
        <f t="shared" si="34"/>
        <v>1</v>
      </c>
      <c r="I559">
        <f t="shared" si="35"/>
        <v>5.3042254999999994</v>
      </c>
      <c r="J559">
        <f>IF(I558=0,0,C558-I558)</f>
        <v>0</v>
      </c>
    </row>
    <row r="560" spans="1:10" x14ac:dyDescent="0.25">
      <c r="A560" s="1">
        <v>39534</v>
      </c>
      <c r="B560">
        <v>5.3916399999999998</v>
      </c>
      <c r="C560">
        <v>5.7549999999999999</v>
      </c>
      <c r="D560">
        <f>WEEKDAY(A560,14)</f>
        <v>1</v>
      </c>
      <c r="E560">
        <f t="shared" si="32"/>
        <v>0</v>
      </c>
      <c r="F560">
        <f t="shared" si="33"/>
        <v>1</v>
      </c>
      <c r="G560">
        <f>IF(F560&gt;F559,G559+B560*E560,B560*E560)</f>
        <v>0</v>
      </c>
      <c r="H560">
        <f t="shared" si="34"/>
        <v>0</v>
      </c>
      <c r="I560">
        <f t="shared" si="35"/>
        <v>0</v>
      </c>
      <c r="J560">
        <f>IF(I559=0,0,C559-I559)</f>
        <v>0.39577450000000081</v>
      </c>
    </row>
    <row r="561" spans="1:10" x14ac:dyDescent="0.25">
      <c r="A561" s="1">
        <v>39535</v>
      </c>
      <c r="B561">
        <v>5.2821499999999997</v>
      </c>
      <c r="C561">
        <v>5.7549999999999999</v>
      </c>
      <c r="D561">
        <f>WEEKDAY(A561,14)</f>
        <v>2</v>
      </c>
      <c r="E561">
        <f t="shared" si="32"/>
        <v>0</v>
      </c>
      <c r="F561">
        <f t="shared" si="33"/>
        <v>2</v>
      </c>
      <c r="G561">
        <f>IF(F561&gt;F560,G560+B561*E561,B561*E561)</f>
        <v>0</v>
      </c>
      <c r="H561">
        <f t="shared" si="34"/>
        <v>0</v>
      </c>
      <c r="I561">
        <f t="shared" si="35"/>
        <v>0</v>
      </c>
      <c r="J561">
        <f>IF(I560=0,0,C560-I560)</f>
        <v>0</v>
      </c>
    </row>
    <row r="562" spans="1:10" x14ac:dyDescent="0.25">
      <c r="A562" s="1">
        <v>39538</v>
      </c>
      <c r="B562">
        <v>5.2620199999999997</v>
      </c>
      <c r="C562">
        <v>5.7549999999999999</v>
      </c>
      <c r="D562">
        <f>WEEKDAY(A562,14)</f>
        <v>5</v>
      </c>
      <c r="E562">
        <f t="shared" si="32"/>
        <v>0.05</v>
      </c>
      <c r="F562">
        <f t="shared" si="33"/>
        <v>3</v>
      </c>
      <c r="G562">
        <f>IF(F562&gt;F561,G561+B562*E562,B562*E562)</f>
        <v>0.26310099999999997</v>
      </c>
      <c r="H562">
        <f t="shared" si="34"/>
        <v>0.05</v>
      </c>
      <c r="I562">
        <f t="shared" si="35"/>
        <v>0</v>
      </c>
      <c r="J562">
        <f>IF(I561=0,0,C561-I561)</f>
        <v>0</v>
      </c>
    </row>
    <row r="563" spans="1:10" x14ac:dyDescent="0.25">
      <c r="A563" s="1">
        <v>39539</v>
      </c>
      <c r="B563">
        <v>5.3682400000000001</v>
      </c>
      <c r="C563">
        <v>5.7549999999999999</v>
      </c>
      <c r="D563">
        <f>WEEKDAY(A563,14)</f>
        <v>6</v>
      </c>
      <c r="E563">
        <f t="shared" si="32"/>
        <v>0.7</v>
      </c>
      <c r="F563">
        <f t="shared" si="33"/>
        <v>4</v>
      </c>
      <c r="G563">
        <f>IF(F563&gt;F562,G562+B563*E563,B563*E563)</f>
        <v>4.0208690000000002</v>
      </c>
      <c r="H563">
        <f t="shared" si="34"/>
        <v>0.75</v>
      </c>
      <c r="I563">
        <f t="shared" si="35"/>
        <v>0</v>
      </c>
      <c r="J563">
        <f>IF(I562=0,0,C562-I562)</f>
        <v>0</v>
      </c>
    </row>
    <row r="564" spans="1:10" x14ac:dyDescent="0.25">
      <c r="A564" s="1">
        <v>39540</v>
      </c>
      <c r="B564">
        <v>5.43194</v>
      </c>
      <c r="C564">
        <v>5.7549999999999999</v>
      </c>
      <c r="D564">
        <f>WEEKDAY(A564,14)</f>
        <v>7</v>
      </c>
      <c r="E564">
        <f t="shared" si="32"/>
        <v>0.25</v>
      </c>
      <c r="F564">
        <f t="shared" si="33"/>
        <v>5</v>
      </c>
      <c r="G564">
        <f>IF(F564&gt;F563,G563+B564*E564,B564*E564)</f>
        <v>5.3788540000000005</v>
      </c>
      <c r="H564">
        <f t="shared" si="34"/>
        <v>1</v>
      </c>
      <c r="I564">
        <f t="shared" si="35"/>
        <v>5.3788540000000005</v>
      </c>
      <c r="J564">
        <f>IF(I563=0,0,C563-I563)</f>
        <v>0</v>
      </c>
    </row>
    <row r="565" spans="1:10" x14ac:dyDescent="0.25">
      <c r="A565" s="1">
        <v>39541</v>
      </c>
      <c r="B565">
        <v>5.3757099999999998</v>
      </c>
      <c r="C565">
        <v>5.73</v>
      </c>
      <c r="D565">
        <f>WEEKDAY(A565,14)</f>
        <v>1</v>
      </c>
      <c r="E565">
        <f t="shared" si="32"/>
        <v>0</v>
      </c>
      <c r="F565">
        <f t="shared" si="33"/>
        <v>1</v>
      </c>
      <c r="G565">
        <f>IF(F565&gt;F564,G564+B565*E565,B565*E565)</f>
        <v>0</v>
      </c>
      <c r="H565">
        <f t="shared" si="34"/>
        <v>0</v>
      </c>
      <c r="I565">
        <f t="shared" si="35"/>
        <v>0</v>
      </c>
      <c r="J565">
        <f>IF(I564=0,0,C564-I564)</f>
        <v>0.37614599999999943</v>
      </c>
    </row>
    <row r="566" spans="1:10" x14ac:dyDescent="0.25">
      <c r="A566" s="1">
        <v>39542</v>
      </c>
      <c r="B566">
        <v>5.1673600000000004</v>
      </c>
      <c r="C566">
        <v>5.73</v>
      </c>
      <c r="D566">
        <f>WEEKDAY(A566,14)</f>
        <v>2</v>
      </c>
      <c r="E566">
        <f t="shared" si="32"/>
        <v>0</v>
      </c>
      <c r="F566">
        <f t="shared" si="33"/>
        <v>2</v>
      </c>
      <c r="G566">
        <f>IF(F566&gt;F565,G565+B566*E566,B566*E566)</f>
        <v>0</v>
      </c>
      <c r="H566">
        <f t="shared" si="34"/>
        <v>0</v>
      </c>
      <c r="I566">
        <f t="shared" si="35"/>
        <v>0</v>
      </c>
      <c r="J566">
        <f>IF(I565=0,0,C565-I565)</f>
        <v>0</v>
      </c>
    </row>
    <row r="567" spans="1:10" x14ac:dyDescent="0.25">
      <c r="A567" s="1">
        <v>39545</v>
      </c>
      <c r="B567">
        <v>5.2336299999999998</v>
      </c>
      <c r="C567">
        <v>5.73</v>
      </c>
      <c r="D567">
        <f>WEEKDAY(A567,14)</f>
        <v>5</v>
      </c>
      <c r="E567">
        <f t="shared" si="32"/>
        <v>0.05</v>
      </c>
      <c r="F567">
        <f t="shared" si="33"/>
        <v>3</v>
      </c>
      <c r="G567">
        <f>IF(F567&gt;F566,G566+B567*E567,B567*E567)</f>
        <v>0.26168150000000001</v>
      </c>
      <c r="H567">
        <f t="shared" si="34"/>
        <v>0.05</v>
      </c>
      <c r="I567">
        <f t="shared" si="35"/>
        <v>0</v>
      </c>
      <c r="J567">
        <f>IF(I566=0,0,C566-I566)</f>
        <v>0</v>
      </c>
    </row>
    <row r="568" spans="1:10" x14ac:dyDescent="0.25">
      <c r="A568" s="1">
        <v>39546</v>
      </c>
      <c r="B568">
        <v>5.2821600000000002</v>
      </c>
      <c r="C568">
        <v>5.73</v>
      </c>
      <c r="D568">
        <f>WEEKDAY(A568,14)</f>
        <v>6</v>
      </c>
      <c r="E568">
        <f t="shared" si="32"/>
        <v>0.7</v>
      </c>
      <c r="F568">
        <f t="shared" si="33"/>
        <v>4</v>
      </c>
      <c r="G568">
        <f>IF(F568&gt;F567,G567+B568*E568,B568*E568)</f>
        <v>3.9591934999999996</v>
      </c>
      <c r="H568">
        <f t="shared" si="34"/>
        <v>0.75</v>
      </c>
      <c r="I568">
        <f t="shared" si="35"/>
        <v>0</v>
      </c>
      <c r="J568">
        <f>IF(I567=0,0,C567-I567)</f>
        <v>0</v>
      </c>
    </row>
    <row r="569" spans="1:10" x14ac:dyDescent="0.25">
      <c r="A569" s="1">
        <v>39547</v>
      </c>
      <c r="B569">
        <v>5.1931599999999998</v>
      </c>
      <c r="C569">
        <v>5.73</v>
      </c>
      <c r="D569">
        <f>WEEKDAY(A569,14)</f>
        <v>7</v>
      </c>
      <c r="E569">
        <f t="shared" si="32"/>
        <v>0.25</v>
      </c>
      <c r="F569">
        <f t="shared" si="33"/>
        <v>5</v>
      </c>
      <c r="G569">
        <f>IF(F569&gt;F568,G568+B569*E569,B569*E569)</f>
        <v>5.2574834999999993</v>
      </c>
      <c r="H569">
        <f t="shared" si="34"/>
        <v>1</v>
      </c>
      <c r="I569">
        <f t="shared" si="35"/>
        <v>5.2574834999999993</v>
      </c>
      <c r="J569">
        <f>IF(I568=0,0,C568-I568)</f>
        <v>0</v>
      </c>
    </row>
    <row r="570" spans="1:10" x14ac:dyDescent="0.25">
      <c r="A570" s="1">
        <v>39548</v>
      </c>
      <c r="B570">
        <v>5.2698999999999998</v>
      </c>
      <c r="C570">
        <v>5.73</v>
      </c>
      <c r="D570">
        <f>WEEKDAY(A570,14)</f>
        <v>1</v>
      </c>
      <c r="E570">
        <f t="shared" si="32"/>
        <v>0</v>
      </c>
      <c r="F570">
        <f t="shared" si="33"/>
        <v>1</v>
      </c>
      <c r="G570">
        <f>IF(F570&gt;F569,G569+B570*E570,B570*E570)</f>
        <v>0</v>
      </c>
      <c r="H570">
        <f t="shared" si="34"/>
        <v>0</v>
      </c>
      <c r="I570">
        <f t="shared" si="35"/>
        <v>0</v>
      </c>
      <c r="J570">
        <f>IF(I569=0,0,C569-I569)</f>
        <v>0.47251650000000112</v>
      </c>
    </row>
    <row r="571" spans="1:10" x14ac:dyDescent="0.25">
      <c r="A571" s="1">
        <v>39549</v>
      </c>
      <c r="B571">
        <v>5.2083000000000004</v>
      </c>
      <c r="C571">
        <v>5.73</v>
      </c>
      <c r="D571">
        <f>WEEKDAY(A571,14)</f>
        <v>2</v>
      </c>
      <c r="E571">
        <f t="shared" si="32"/>
        <v>0</v>
      </c>
      <c r="F571">
        <f t="shared" si="33"/>
        <v>2</v>
      </c>
      <c r="G571">
        <f>IF(F571&gt;F570,G570+B571*E571,B571*E571)</f>
        <v>0</v>
      </c>
      <c r="H571">
        <f t="shared" si="34"/>
        <v>0</v>
      </c>
      <c r="I571">
        <f t="shared" si="35"/>
        <v>0</v>
      </c>
      <c r="J571">
        <f>IF(I570=0,0,C570-I570)</f>
        <v>0</v>
      </c>
    </row>
    <row r="572" spans="1:10" x14ac:dyDescent="0.25">
      <c r="A572" s="1">
        <v>39552</v>
      </c>
      <c r="B572">
        <v>5.2727000000000004</v>
      </c>
      <c r="C572">
        <v>5.73</v>
      </c>
      <c r="D572">
        <f>WEEKDAY(A572,14)</f>
        <v>5</v>
      </c>
      <c r="E572">
        <f t="shared" si="32"/>
        <v>0.05</v>
      </c>
      <c r="F572">
        <f t="shared" si="33"/>
        <v>3</v>
      </c>
      <c r="G572">
        <f>IF(F572&gt;F571,G571+B572*E572,B572*E572)</f>
        <v>0.26363500000000001</v>
      </c>
      <c r="H572">
        <f t="shared" si="34"/>
        <v>0.05</v>
      </c>
      <c r="I572">
        <f t="shared" si="35"/>
        <v>0</v>
      </c>
      <c r="J572">
        <f>IF(I571=0,0,C571-I571)</f>
        <v>0</v>
      </c>
    </row>
    <row r="573" spans="1:10" x14ac:dyDescent="0.25">
      <c r="A573" s="1">
        <v>39553</v>
      </c>
      <c r="B573">
        <v>5.3822400000000004</v>
      </c>
      <c r="C573">
        <v>5.73</v>
      </c>
      <c r="D573">
        <f>WEEKDAY(A573,14)</f>
        <v>6</v>
      </c>
      <c r="E573">
        <f t="shared" si="32"/>
        <v>0.7</v>
      </c>
      <c r="F573">
        <f t="shared" si="33"/>
        <v>4</v>
      </c>
      <c r="G573">
        <f>IF(F573&gt;F572,G572+B573*E573,B573*E573)</f>
        <v>4.0312029999999996</v>
      </c>
      <c r="H573">
        <f t="shared" si="34"/>
        <v>0.75</v>
      </c>
      <c r="I573">
        <f t="shared" si="35"/>
        <v>0</v>
      </c>
      <c r="J573">
        <f>IF(I572=0,0,C572-I572)</f>
        <v>0</v>
      </c>
    </row>
    <row r="574" spans="1:10" x14ac:dyDescent="0.25">
      <c r="A574" s="1">
        <v>39554</v>
      </c>
      <c r="B574">
        <v>5.5435800000000004</v>
      </c>
      <c r="C574">
        <v>5.73</v>
      </c>
      <c r="D574">
        <f>WEEKDAY(A574,14)</f>
        <v>7</v>
      </c>
      <c r="E574">
        <f t="shared" si="32"/>
        <v>0.25</v>
      </c>
      <c r="F574">
        <f t="shared" si="33"/>
        <v>5</v>
      </c>
      <c r="G574">
        <f>IF(F574&gt;F573,G573+B574*E574,B574*E574)</f>
        <v>5.4170979999999993</v>
      </c>
      <c r="H574">
        <f t="shared" si="34"/>
        <v>1</v>
      </c>
      <c r="I574">
        <f t="shared" si="35"/>
        <v>5.4170979999999993</v>
      </c>
      <c r="J574">
        <f>IF(I573=0,0,C573-I573)</f>
        <v>0</v>
      </c>
    </row>
    <row r="575" spans="1:10" x14ac:dyDescent="0.25">
      <c r="A575" s="1">
        <v>39555</v>
      </c>
      <c r="B575">
        <v>5.5779100000000001</v>
      </c>
      <c r="C575">
        <v>5.8550000000000004</v>
      </c>
      <c r="D575">
        <f>WEEKDAY(A575,14)</f>
        <v>1</v>
      </c>
      <c r="E575">
        <f t="shared" si="32"/>
        <v>0</v>
      </c>
      <c r="F575">
        <f t="shared" si="33"/>
        <v>1</v>
      </c>
      <c r="G575">
        <f>IF(F575&gt;F574,G574+B575*E575,B575*E575)</f>
        <v>0</v>
      </c>
      <c r="H575">
        <f t="shared" si="34"/>
        <v>0</v>
      </c>
      <c r="I575">
        <f t="shared" si="35"/>
        <v>0</v>
      </c>
      <c r="J575">
        <f>IF(I574=0,0,C574-I574)</f>
        <v>0.31290200000000112</v>
      </c>
    </row>
    <row r="576" spans="1:10" x14ac:dyDescent="0.25">
      <c r="A576" s="1">
        <v>39556</v>
      </c>
      <c r="B576">
        <v>5.4838500000000003</v>
      </c>
      <c r="C576">
        <v>5.8550000000000004</v>
      </c>
      <c r="D576">
        <f>WEEKDAY(A576,14)</f>
        <v>2</v>
      </c>
      <c r="E576">
        <f t="shared" si="32"/>
        <v>0</v>
      </c>
      <c r="F576">
        <f t="shared" si="33"/>
        <v>2</v>
      </c>
      <c r="G576">
        <f>IF(F576&gt;F575,G575+B576*E576,B576*E576)</f>
        <v>0</v>
      </c>
      <c r="H576">
        <f t="shared" si="34"/>
        <v>0</v>
      </c>
      <c r="I576">
        <f t="shared" si="35"/>
        <v>0</v>
      </c>
      <c r="J576">
        <f>IF(I575=0,0,C575-I575)</f>
        <v>0</v>
      </c>
    </row>
    <row r="577" spans="1:10" x14ac:dyDescent="0.25">
      <c r="A577" s="1">
        <v>39559</v>
      </c>
      <c r="B577">
        <v>5.4250699999999998</v>
      </c>
      <c r="C577">
        <v>5.8550000000000004</v>
      </c>
      <c r="D577">
        <f>WEEKDAY(A577,14)</f>
        <v>5</v>
      </c>
      <c r="E577">
        <f t="shared" si="32"/>
        <v>0.05</v>
      </c>
      <c r="F577">
        <f t="shared" si="33"/>
        <v>3</v>
      </c>
      <c r="G577">
        <f>IF(F577&gt;F576,G576+B577*E577,B577*E577)</f>
        <v>0.27125349999999998</v>
      </c>
      <c r="H577">
        <f t="shared" si="34"/>
        <v>0.05</v>
      </c>
      <c r="I577">
        <f t="shared" si="35"/>
        <v>0</v>
      </c>
      <c r="J577">
        <f>IF(I576=0,0,C576-I576)</f>
        <v>0</v>
      </c>
    </row>
    <row r="578" spans="1:10" x14ac:dyDescent="0.25">
      <c r="A578" s="1">
        <v>39560</v>
      </c>
      <c r="B578">
        <v>5.3854800000000003</v>
      </c>
      <c r="C578">
        <v>5.8550000000000004</v>
      </c>
      <c r="D578">
        <f>WEEKDAY(A578,14)</f>
        <v>6</v>
      </c>
      <c r="E578">
        <f t="shared" si="32"/>
        <v>0.7</v>
      </c>
      <c r="F578">
        <f t="shared" si="33"/>
        <v>4</v>
      </c>
      <c r="G578">
        <f>IF(F578&gt;F577,G577+B578*E578,B578*E578)</f>
        <v>4.0410895</v>
      </c>
      <c r="H578">
        <f t="shared" si="34"/>
        <v>0.75</v>
      </c>
      <c r="I578">
        <f t="shared" si="35"/>
        <v>0</v>
      </c>
      <c r="J578">
        <f>IF(I577=0,0,C577-I577)</f>
        <v>0</v>
      </c>
    </row>
    <row r="579" spans="1:10" x14ac:dyDescent="0.25">
      <c r="A579" s="1">
        <v>39561</v>
      </c>
      <c r="B579">
        <v>5.4325000000000001</v>
      </c>
      <c r="C579">
        <v>5.8550000000000004</v>
      </c>
      <c r="D579">
        <f>WEEKDAY(A579,14)</f>
        <v>7</v>
      </c>
      <c r="E579">
        <f t="shared" ref="E579:E642" si="36">VLOOKUP(D579,M$2:N$8,2,FALSE)</f>
        <v>0.25</v>
      </c>
      <c r="F579">
        <f t="shared" ref="F579:F642" si="37">IF(AND(D579&gt;D578,F578&lt;6),F578+1,1)</f>
        <v>5</v>
      </c>
      <c r="G579">
        <f>IF(F579&gt;F578,G578+B579*E579,B579*E579)</f>
        <v>5.3992145000000002</v>
      </c>
      <c r="H579">
        <f t="shared" si="34"/>
        <v>1</v>
      </c>
      <c r="I579">
        <f t="shared" si="35"/>
        <v>5.3992145000000002</v>
      </c>
      <c r="J579">
        <f>IF(I578=0,0,C578-I578)</f>
        <v>0</v>
      </c>
    </row>
    <row r="580" spans="1:10" x14ac:dyDescent="0.25">
      <c r="A580" s="1">
        <v>39562</v>
      </c>
      <c r="B580">
        <v>5.5197900000000004</v>
      </c>
      <c r="C580">
        <v>5.9349999999999996</v>
      </c>
      <c r="D580">
        <f>WEEKDAY(A580,14)</f>
        <v>1</v>
      </c>
      <c r="E580">
        <f t="shared" si="36"/>
        <v>0</v>
      </c>
      <c r="F580">
        <f t="shared" si="37"/>
        <v>1</v>
      </c>
      <c r="G580">
        <f>IF(F580&gt;F579,G579+B580*E580,B580*E580)</f>
        <v>0</v>
      </c>
      <c r="H580">
        <f t="shared" ref="H580:H643" si="38">IF(AND(F580&lt;6,F580&gt;F579),E580+H579,E580)</f>
        <v>0</v>
      </c>
      <c r="I580">
        <f t="shared" ref="I580:I643" si="39">IF(F580&gt;F581,G580/H580,0)</f>
        <v>0</v>
      </c>
      <c r="J580">
        <f>IF(I579=0,0,C579-I579)</f>
        <v>0.45578550000000018</v>
      </c>
    </row>
    <row r="581" spans="1:10" x14ac:dyDescent="0.25">
      <c r="A581" s="1">
        <v>39563</v>
      </c>
      <c r="B581">
        <v>5.5305999999999997</v>
      </c>
      <c r="C581">
        <v>5.9349999999999996</v>
      </c>
      <c r="D581">
        <f>WEEKDAY(A581,14)</f>
        <v>2</v>
      </c>
      <c r="E581">
        <f t="shared" si="36"/>
        <v>0</v>
      </c>
      <c r="F581">
        <f t="shared" si="37"/>
        <v>2</v>
      </c>
      <c r="G581">
        <f>IF(F581&gt;F580,G580+B581*E581,B581*E581)</f>
        <v>0</v>
      </c>
      <c r="H581">
        <f t="shared" si="38"/>
        <v>0</v>
      </c>
      <c r="I581">
        <f t="shared" si="39"/>
        <v>0</v>
      </c>
      <c r="J581">
        <f>IF(I580=0,0,C580-I580)</f>
        <v>0</v>
      </c>
    </row>
    <row r="582" spans="1:10" x14ac:dyDescent="0.25">
      <c r="A582" s="1">
        <v>39566</v>
      </c>
      <c r="B582">
        <v>5.4908099999999997</v>
      </c>
      <c r="C582">
        <v>5.9349999999999996</v>
      </c>
      <c r="D582">
        <f>WEEKDAY(A582,14)</f>
        <v>5</v>
      </c>
      <c r="E582">
        <f t="shared" si="36"/>
        <v>0.05</v>
      </c>
      <c r="F582">
        <f t="shared" si="37"/>
        <v>3</v>
      </c>
      <c r="G582">
        <f>IF(F582&gt;F581,G581+B582*E582,B582*E582)</f>
        <v>0.27454050000000002</v>
      </c>
      <c r="H582">
        <f t="shared" si="38"/>
        <v>0.05</v>
      </c>
      <c r="I582">
        <f t="shared" si="39"/>
        <v>0</v>
      </c>
      <c r="J582">
        <f>IF(I581=0,0,C581-I581)</f>
        <v>0</v>
      </c>
    </row>
    <row r="583" spans="1:10" x14ac:dyDescent="0.25">
      <c r="A583" s="1">
        <v>39567</v>
      </c>
      <c r="B583">
        <v>5.4714400000000003</v>
      </c>
      <c r="C583">
        <v>5.9349999999999996</v>
      </c>
      <c r="D583">
        <f>WEEKDAY(A583,14)</f>
        <v>6</v>
      </c>
      <c r="E583">
        <f t="shared" si="36"/>
        <v>0.7</v>
      </c>
      <c r="F583">
        <f t="shared" si="37"/>
        <v>4</v>
      </c>
      <c r="G583">
        <f>IF(F583&gt;F582,G582+B583*E583,B583*E583)</f>
        <v>4.1045484999999999</v>
      </c>
      <c r="H583">
        <f t="shared" si="38"/>
        <v>0.75</v>
      </c>
      <c r="I583">
        <f t="shared" si="39"/>
        <v>0</v>
      </c>
      <c r="J583">
        <f>IF(I582=0,0,C582-I582)</f>
        <v>0</v>
      </c>
    </row>
    <row r="584" spans="1:10" x14ac:dyDescent="0.25">
      <c r="A584" s="1">
        <v>39568</v>
      </c>
      <c r="B584">
        <v>5.40219</v>
      </c>
      <c r="C584">
        <v>5.9349999999999996</v>
      </c>
      <c r="D584">
        <f>WEEKDAY(A584,14)</f>
        <v>7</v>
      </c>
      <c r="E584">
        <f t="shared" si="36"/>
        <v>0.25</v>
      </c>
      <c r="F584">
        <f t="shared" si="37"/>
        <v>5</v>
      </c>
      <c r="G584">
        <f>IF(F584&gt;F583,G583+B584*E584,B584*E584)</f>
        <v>5.4550960000000002</v>
      </c>
      <c r="H584">
        <f t="shared" si="38"/>
        <v>1</v>
      </c>
      <c r="I584">
        <f t="shared" si="39"/>
        <v>5.4550960000000002</v>
      </c>
      <c r="J584">
        <f>IF(I583=0,0,C583-I583)</f>
        <v>0</v>
      </c>
    </row>
    <row r="585" spans="1:10" x14ac:dyDescent="0.25">
      <c r="A585" s="1">
        <v>39569</v>
      </c>
      <c r="B585">
        <v>5.3436199999999996</v>
      </c>
      <c r="C585">
        <v>5.875</v>
      </c>
      <c r="D585">
        <f>WEEKDAY(A585,14)</f>
        <v>1</v>
      </c>
      <c r="E585">
        <f t="shared" si="36"/>
        <v>0</v>
      </c>
      <c r="F585">
        <f t="shared" si="37"/>
        <v>1</v>
      </c>
      <c r="G585">
        <f>IF(F585&gt;F584,G584+B585*E585,B585*E585)</f>
        <v>0</v>
      </c>
      <c r="H585">
        <f t="shared" si="38"/>
        <v>0</v>
      </c>
      <c r="I585">
        <f t="shared" si="39"/>
        <v>0</v>
      </c>
      <c r="J585">
        <f>IF(I584=0,0,C584-I584)</f>
        <v>0.47990399999999944</v>
      </c>
    </row>
    <row r="586" spans="1:10" x14ac:dyDescent="0.25">
      <c r="A586" s="1">
        <v>39570</v>
      </c>
      <c r="B586">
        <v>5.38863</v>
      </c>
      <c r="C586">
        <v>5.875</v>
      </c>
      <c r="D586">
        <f>WEEKDAY(A586,14)</f>
        <v>2</v>
      </c>
      <c r="E586">
        <f t="shared" si="36"/>
        <v>0</v>
      </c>
      <c r="F586">
        <f t="shared" si="37"/>
        <v>2</v>
      </c>
      <c r="G586">
        <f>IF(F586&gt;F585,G585+B586*E586,B586*E586)</f>
        <v>0</v>
      </c>
      <c r="H586">
        <f t="shared" si="38"/>
        <v>0</v>
      </c>
      <c r="I586">
        <f t="shared" si="39"/>
        <v>0</v>
      </c>
      <c r="J586">
        <f>IF(I585=0,0,C585-I585)</f>
        <v>0</v>
      </c>
    </row>
    <row r="587" spans="1:10" x14ac:dyDescent="0.25">
      <c r="A587" s="1">
        <v>39573</v>
      </c>
      <c r="B587">
        <v>5.4154999999999998</v>
      </c>
      <c r="C587">
        <v>5.875</v>
      </c>
      <c r="D587">
        <f>WEEKDAY(A587,14)</f>
        <v>5</v>
      </c>
      <c r="E587">
        <f t="shared" si="36"/>
        <v>0.05</v>
      </c>
      <c r="F587">
        <f t="shared" si="37"/>
        <v>3</v>
      </c>
      <c r="G587">
        <f>IF(F587&gt;F586,G586+B587*E587,B587*E587)</f>
        <v>0.27077499999999999</v>
      </c>
      <c r="H587">
        <f t="shared" si="38"/>
        <v>0.05</v>
      </c>
      <c r="I587">
        <f t="shared" si="39"/>
        <v>0</v>
      </c>
      <c r="J587">
        <f>IF(I586=0,0,C586-I586)</f>
        <v>0</v>
      </c>
    </row>
    <row r="588" spans="1:10" x14ac:dyDescent="0.25">
      <c r="A588" s="1">
        <v>39574</v>
      </c>
      <c r="B588">
        <v>5.4358899999999997</v>
      </c>
      <c r="C588">
        <v>5.875</v>
      </c>
      <c r="D588">
        <f>WEEKDAY(A588,14)</f>
        <v>6</v>
      </c>
      <c r="E588">
        <f t="shared" si="36"/>
        <v>0.7</v>
      </c>
      <c r="F588">
        <f t="shared" si="37"/>
        <v>4</v>
      </c>
      <c r="G588">
        <f>IF(F588&gt;F587,G587+B588*E588,B588*E588)</f>
        <v>4.0758979999999996</v>
      </c>
      <c r="H588">
        <f t="shared" si="38"/>
        <v>0.75</v>
      </c>
      <c r="I588">
        <f t="shared" si="39"/>
        <v>0</v>
      </c>
      <c r="J588">
        <f>IF(I587=0,0,C587-I587)</f>
        <v>0</v>
      </c>
    </row>
    <row r="589" spans="1:10" x14ac:dyDescent="0.25">
      <c r="A589" s="1">
        <v>39575</v>
      </c>
      <c r="B589">
        <v>5.3936700000000002</v>
      </c>
      <c r="C589">
        <v>5.875</v>
      </c>
      <c r="D589">
        <f>WEEKDAY(A589,14)</f>
        <v>7</v>
      </c>
      <c r="E589">
        <f t="shared" si="36"/>
        <v>0.25</v>
      </c>
      <c r="F589">
        <f t="shared" si="37"/>
        <v>5</v>
      </c>
      <c r="G589">
        <f>IF(F589&gt;F588,G588+B589*E589,B589*E589)</f>
        <v>5.4243154999999996</v>
      </c>
      <c r="H589">
        <f t="shared" si="38"/>
        <v>1</v>
      </c>
      <c r="I589">
        <f t="shared" si="39"/>
        <v>5.4243154999999996</v>
      </c>
      <c r="J589">
        <f>IF(I588=0,0,C588-I588)</f>
        <v>0</v>
      </c>
    </row>
    <row r="590" spans="1:10" x14ac:dyDescent="0.25">
      <c r="A590" s="1">
        <v>39576</v>
      </c>
      <c r="B590">
        <v>5.3225600000000002</v>
      </c>
      <c r="C590">
        <v>5.91</v>
      </c>
      <c r="D590">
        <f>WEEKDAY(A590,14)</f>
        <v>1</v>
      </c>
      <c r="E590">
        <f t="shared" si="36"/>
        <v>0</v>
      </c>
      <c r="F590">
        <f t="shared" si="37"/>
        <v>1</v>
      </c>
      <c r="G590">
        <f>IF(F590&gt;F589,G589+B590*E590,B590*E590)</f>
        <v>0</v>
      </c>
      <c r="H590">
        <f t="shared" si="38"/>
        <v>0</v>
      </c>
      <c r="I590">
        <f t="shared" si="39"/>
        <v>0</v>
      </c>
      <c r="J590">
        <f>IF(I589=0,0,C589-I589)</f>
        <v>0.45068450000000038</v>
      </c>
    </row>
    <row r="591" spans="1:10" x14ac:dyDescent="0.25">
      <c r="A591" s="1">
        <v>39577</v>
      </c>
      <c r="B591">
        <v>5.3523199999999997</v>
      </c>
      <c r="C591">
        <v>5.91</v>
      </c>
      <c r="D591">
        <f>WEEKDAY(A591,14)</f>
        <v>2</v>
      </c>
      <c r="E591">
        <f t="shared" si="36"/>
        <v>0</v>
      </c>
      <c r="F591">
        <f t="shared" si="37"/>
        <v>2</v>
      </c>
      <c r="G591">
        <f>IF(F591&gt;F590,G590+B591*E591,B591*E591)</f>
        <v>0</v>
      </c>
      <c r="H591">
        <f t="shared" si="38"/>
        <v>0</v>
      </c>
      <c r="I591">
        <f t="shared" si="39"/>
        <v>0</v>
      </c>
      <c r="J591">
        <f>IF(I590=0,0,C590-I590)</f>
        <v>0</v>
      </c>
    </row>
    <row r="592" spans="1:10" x14ac:dyDescent="0.25">
      <c r="A592" s="1">
        <v>39580</v>
      </c>
      <c r="B592">
        <v>5.4055799999999996</v>
      </c>
      <c r="C592">
        <v>5.91</v>
      </c>
      <c r="D592">
        <f>WEEKDAY(A592,14)</f>
        <v>5</v>
      </c>
      <c r="E592">
        <f t="shared" si="36"/>
        <v>0.05</v>
      </c>
      <c r="F592">
        <f t="shared" si="37"/>
        <v>3</v>
      </c>
      <c r="G592">
        <f>IF(F592&gt;F591,G591+B592*E592,B592*E592)</f>
        <v>0.27027899999999999</v>
      </c>
      <c r="H592">
        <f t="shared" si="38"/>
        <v>0.05</v>
      </c>
      <c r="I592">
        <f t="shared" si="39"/>
        <v>0</v>
      </c>
      <c r="J592">
        <f>IF(I591=0,0,C591-I591)</f>
        <v>0</v>
      </c>
    </row>
    <row r="593" spans="1:10" x14ac:dyDescent="0.25">
      <c r="A593" s="1">
        <v>39581</v>
      </c>
      <c r="B593">
        <v>5.5422399999999996</v>
      </c>
      <c r="C593">
        <v>5.91</v>
      </c>
      <c r="D593">
        <f>WEEKDAY(A593,14)</f>
        <v>6</v>
      </c>
      <c r="E593">
        <f t="shared" si="36"/>
        <v>0.7</v>
      </c>
      <c r="F593">
        <f t="shared" si="37"/>
        <v>4</v>
      </c>
      <c r="G593">
        <f>IF(F593&gt;F592,G592+B593*E593,B593*E593)</f>
        <v>4.1498469999999994</v>
      </c>
      <c r="H593">
        <f t="shared" si="38"/>
        <v>0.75</v>
      </c>
      <c r="I593">
        <f t="shared" si="39"/>
        <v>0</v>
      </c>
      <c r="J593">
        <f>IF(I592=0,0,C592-I592)</f>
        <v>0</v>
      </c>
    </row>
    <row r="594" spans="1:10" x14ac:dyDescent="0.25">
      <c r="A594" s="1">
        <v>39582</v>
      </c>
      <c r="B594">
        <v>5.5521099999999999</v>
      </c>
      <c r="C594">
        <v>5.91</v>
      </c>
      <c r="D594">
        <f>WEEKDAY(A594,14)</f>
        <v>7</v>
      </c>
      <c r="E594">
        <f t="shared" si="36"/>
        <v>0.25</v>
      </c>
      <c r="F594">
        <f t="shared" si="37"/>
        <v>5</v>
      </c>
      <c r="G594">
        <f>IF(F594&gt;F593,G593+B594*E594,B594*E594)</f>
        <v>5.5378744999999991</v>
      </c>
      <c r="H594">
        <f t="shared" si="38"/>
        <v>1</v>
      </c>
      <c r="I594">
        <f t="shared" si="39"/>
        <v>5.5378744999999991</v>
      </c>
      <c r="J594">
        <f>IF(I593=0,0,C593-I593)</f>
        <v>0</v>
      </c>
    </row>
    <row r="595" spans="1:10" x14ac:dyDescent="0.25">
      <c r="A595" s="1">
        <v>39583</v>
      </c>
      <c r="B595">
        <v>5.4020299999999999</v>
      </c>
      <c r="C595">
        <v>5.8550000000000004</v>
      </c>
      <c r="D595">
        <f>WEEKDAY(A595,14)</f>
        <v>1</v>
      </c>
      <c r="E595">
        <f t="shared" si="36"/>
        <v>0</v>
      </c>
      <c r="F595">
        <f t="shared" si="37"/>
        <v>1</v>
      </c>
      <c r="G595">
        <f>IF(F595&gt;F594,G594+B595*E595,B595*E595)</f>
        <v>0</v>
      </c>
      <c r="H595">
        <f t="shared" si="38"/>
        <v>0</v>
      </c>
      <c r="I595">
        <f t="shared" si="39"/>
        <v>0</v>
      </c>
      <c r="J595">
        <f>IF(I594=0,0,C594-I594)</f>
        <v>0.372125500000001</v>
      </c>
    </row>
    <row r="596" spans="1:10" x14ac:dyDescent="0.25">
      <c r="A596" s="1">
        <v>39584</v>
      </c>
      <c r="B596">
        <v>5.3956099999999996</v>
      </c>
      <c r="C596">
        <v>5.8550000000000004</v>
      </c>
      <c r="D596">
        <f>WEEKDAY(A596,14)</f>
        <v>2</v>
      </c>
      <c r="E596">
        <f t="shared" si="36"/>
        <v>0</v>
      </c>
      <c r="F596">
        <f t="shared" si="37"/>
        <v>2</v>
      </c>
      <c r="G596">
        <f>IF(F596&gt;F595,G595+B596*E596,B596*E596)</f>
        <v>0</v>
      </c>
      <c r="H596">
        <f t="shared" si="38"/>
        <v>0</v>
      </c>
      <c r="I596">
        <f t="shared" si="39"/>
        <v>0</v>
      </c>
      <c r="J596">
        <f>IF(I595=0,0,C595-I595)</f>
        <v>0</v>
      </c>
    </row>
    <row r="597" spans="1:10" x14ac:dyDescent="0.25">
      <c r="A597" s="1">
        <v>39587</v>
      </c>
      <c r="B597">
        <v>5.3574200000000003</v>
      </c>
      <c r="C597">
        <v>5.8550000000000004</v>
      </c>
      <c r="D597">
        <f>WEEKDAY(A597,14)</f>
        <v>5</v>
      </c>
      <c r="E597">
        <f t="shared" si="36"/>
        <v>0.05</v>
      </c>
      <c r="F597">
        <f t="shared" si="37"/>
        <v>3</v>
      </c>
      <c r="G597">
        <f>IF(F597&gt;F596,G596+B597*E597,B597*E597)</f>
        <v>0.26787100000000003</v>
      </c>
      <c r="H597">
        <f t="shared" si="38"/>
        <v>0.05</v>
      </c>
      <c r="I597">
        <f t="shared" si="39"/>
        <v>0</v>
      </c>
      <c r="J597">
        <f>IF(I596=0,0,C596-I596)</f>
        <v>0</v>
      </c>
    </row>
    <row r="598" spans="1:10" x14ac:dyDescent="0.25">
      <c r="A598" s="1">
        <v>39588</v>
      </c>
      <c r="B598">
        <v>5.3040700000000003</v>
      </c>
      <c r="C598">
        <v>5.8550000000000004</v>
      </c>
      <c r="D598">
        <f>WEEKDAY(A598,14)</f>
        <v>6</v>
      </c>
      <c r="E598">
        <f t="shared" si="36"/>
        <v>0.7</v>
      </c>
      <c r="F598">
        <f t="shared" si="37"/>
        <v>4</v>
      </c>
      <c r="G598">
        <f>IF(F598&gt;F597,G597+B598*E598,B598*E598)</f>
        <v>3.9807199999999998</v>
      </c>
      <c r="H598">
        <f t="shared" si="38"/>
        <v>0.75</v>
      </c>
      <c r="I598">
        <f t="shared" si="39"/>
        <v>0</v>
      </c>
      <c r="J598">
        <f>IF(I597=0,0,C597-I597)</f>
        <v>0</v>
      </c>
    </row>
    <row r="599" spans="1:10" x14ac:dyDescent="0.25">
      <c r="A599" s="1">
        <v>39589</v>
      </c>
      <c r="B599">
        <v>5.3590299999999997</v>
      </c>
      <c r="C599">
        <v>5.8550000000000004</v>
      </c>
      <c r="D599">
        <f>WEEKDAY(A599,14)</f>
        <v>7</v>
      </c>
      <c r="E599">
        <f t="shared" si="36"/>
        <v>0.25</v>
      </c>
      <c r="F599">
        <f t="shared" si="37"/>
        <v>5</v>
      </c>
      <c r="G599">
        <f>IF(F599&gt;F598,G598+B599*E599,B599*E599)</f>
        <v>5.3204775</v>
      </c>
      <c r="H599">
        <f t="shared" si="38"/>
        <v>1</v>
      </c>
      <c r="I599">
        <f t="shared" si="39"/>
        <v>5.3204775</v>
      </c>
      <c r="J599">
        <f>IF(I598=0,0,C598-I598)</f>
        <v>0</v>
      </c>
    </row>
    <row r="600" spans="1:10" x14ac:dyDescent="0.25">
      <c r="A600" s="1">
        <v>39590</v>
      </c>
      <c r="B600">
        <v>5.4751000000000003</v>
      </c>
      <c r="C600">
        <v>5.98</v>
      </c>
      <c r="D600">
        <f>WEEKDAY(A600,14)</f>
        <v>1</v>
      </c>
      <c r="E600">
        <f t="shared" si="36"/>
        <v>0</v>
      </c>
      <c r="F600">
        <f t="shared" si="37"/>
        <v>1</v>
      </c>
      <c r="G600">
        <f>IF(F600&gt;F599,G599+B600*E600,B600*E600)</f>
        <v>0</v>
      </c>
      <c r="H600">
        <f t="shared" si="38"/>
        <v>0</v>
      </c>
      <c r="I600">
        <f t="shared" si="39"/>
        <v>0</v>
      </c>
      <c r="J600">
        <f>IF(I599=0,0,C599-I599)</f>
        <v>0.53452250000000046</v>
      </c>
    </row>
    <row r="601" spans="1:10" x14ac:dyDescent="0.25">
      <c r="A601" s="1">
        <v>39591</v>
      </c>
      <c r="B601">
        <v>5.4060100000000002</v>
      </c>
      <c r="C601">
        <v>5.98</v>
      </c>
      <c r="D601">
        <f>WEEKDAY(A601,14)</f>
        <v>2</v>
      </c>
      <c r="E601">
        <f t="shared" si="36"/>
        <v>0</v>
      </c>
      <c r="F601">
        <f t="shared" si="37"/>
        <v>2</v>
      </c>
      <c r="G601">
        <f>IF(F601&gt;F600,G600+B601*E601,B601*E601)</f>
        <v>0</v>
      </c>
      <c r="H601">
        <f t="shared" si="38"/>
        <v>0</v>
      </c>
      <c r="I601">
        <f t="shared" si="39"/>
        <v>0</v>
      </c>
      <c r="J601">
        <f>IF(I600=0,0,C600-I600)</f>
        <v>0</v>
      </c>
    </row>
    <row r="602" spans="1:10" x14ac:dyDescent="0.25">
      <c r="A602" s="1">
        <v>39595</v>
      </c>
      <c r="B602">
        <v>5.5106200000000003</v>
      </c>
      <c r="C602">
        <v>5.98</v>
      </c>
      <c r="D602">
        <f>WEEKDAY(A602,14)</f>
        <v>6</v>
      </c>
      <c r="E602">
        <f t="shared" si="36"/>
        <v>0.7</v>
      </c>
      <c r="F602">
        <f t="shared" si="37"/>
        <v>3</v>
      </c>
      <c r="G602">
        <f>IF(F602&gt;F601,G601+B602*E602,B602*E602)</f>
        <v>3.857434</v>
      </c>
      <c r="H602">
        <f t="shared" si="38"/>
        <v>0.7</v>
      </c>
      <c r="I602">
        <f t="shared" si="39"/>
        <v>0</v>
      </c>
      <c r="J602">
        <f>IF(I601=0,0,C601-I601)</f>
        <v>0</v>
      </c>
    </row>
    <row r="603" spans="1:10" x14ac:dyDescent="0.25">
      <c r="A603" s="1">
        <v>39596</v>
      </c>
      <c r="B603">
        <v>5.6349999999999998</v>
      </c>
      <c r="C603">
        <v>5.98</v>
      </c>
      <c r="D603">
        <f>WEEKDAY(A603,14)</f>
        <v>7</v>
      </c>
      <c r="E603">
        <f t="shared" si="36"/>
        <v>0.25</v>
      </c>
      <c r="F603">
        <f t="shared" si="37"/>
        <v>4</v>
      </c>
      <c r="G603">
        <f>IF(F603&gt;F602,G602+B603*E603,B603*E603)</f>
        <v>5.266184</v>
      </c>
      <c r="H603">
        <f t="shared" si="38"/>
        <v>0.95</v>
      </c>
      <c r="I603">
        <f t="shared" si="39"/>
        <v>5.5433515789473686</v>
      </c>
      <c r="J603">
        <f>IF(I602=0,0,C602-I602)</f>
        <v>0</v>
      </c>
    </row>
    <row r="604" spans="1:10" x14ac:dyDescent="0.25">
      <c r="A604" s="1">
        <v>39597</v>
      </c>
      <c r="B604">
        <v>5.71441</v>
      </c>
      <c r="C604">
        <v>5.99</v>
      </c>
      <c r="D604">
        <f>WEEKDAY(A604,14)</f>
        <v>1</v>
      </c>
      <c r="E604">
        <f t="shared" si="36"/>
        <v>0</v>
      </c>
      <c r="F604">
        <f t="shared" si="37"/>
        <v>1</v>
      </c>
      <c r="G604">
        <f>IF(F604&gt;F603,G603+B604*E604,B604*E604)</f>
        <v>0</v>
      </c>
      <c r="H604">
        <f t="shared" si="38"/>
        <v>0</v>
      </c>
      <c r="I604">
        <f t="shared" si="39"/>
        <v>0</v>
      </c>
      <c r="J604">
        <f>IF(I603=0,0,C603-I603)</f>
        <v>0.4366484210526318</v>
      </c>
    </row>
    <row r="605" spans="1:10" x14ac:dyDescent="0.25">
      <c r="A605" s="1">
        <v>39598</v>
      </c>
      <c r="B605">
        <v>5.6704100000000004</v>
      </c>
      <c r="C605">
        <v>5.99</v>
      </c>
      <c r="D605">
        <f>WEEKDAY(A605,14)</f>
        <v>2</v>
      </c>
      <c r="E605">
        <f t="shared" si="36"/>
        <v>0</v>
      </c>
      <c r="F605">
        <f t="shared" si="37"/>
        <v>2</v>
      </c>
      <c r="G605">
        <f>IF(F605&gt;F604,G604+B605*E605,B605*E605)</f>
        <v>0</v>
      </c>
      <c r="H605">
        <f t="shared" si="38"/>
        <v>0</v>
      </c>
      <c r="I605">
        <f t="shared" si="39"/>
        <v>0</v>
      </c>
      <c r="J605">
        <f>IF(I604=0,0,C604-I604)</f>
        <v>0</v>
      </c>
    </row>
    <row r="606" spans="1:10" x14ac:dyDescent="0.25">
      <c r="A606" s="1">
        <v>39601</v>
      </c>
      <c r="B606">
        <v>5.6086900000000002</v>
      </c>
      <c r="C606">
        <v>5.99</v>
      </c>
      <c r="D606">
        <f>WEEKDAY(A606,14)</f>
        <v>5</v>
      </c>
      <c r="E606">
        <f t="shared" si="36"/>
        <v>0.05</v>
      </c>
      <c r="F606">
        <f t="shared" si="37"/>
        <v>3</v>
      </c>
      <c r="G606">
        <f>IF(F606&gt;F605,G605+B606*E606,B606*E606)</f>
        <v>0.28043450000000003</v>
      </c>
      <c r="H606">
        <f t="shared" si="38"/>
        <v>0.05</v>
      </c>
      <c r="I606">
        <f t="shared" si="39"/>
        <v>0</v>
      </c>
      <c r="J606">
        <f>IF(I605=0,0,C605-I605)</f>
        <v>0</v>
      </c>
    </row>
    <row r="607" spans="1:10" x14ac:dyDescent="0.25">
      <c r="A607" s="1">
        <v>39602</v>
      </c>
      <c r="B607">
        <v>5.5595299999999996</v>
      </c>
      <c r="C607">
        <v>5.99</v>
      </c>
      <c r="D607">
        <f>WEEKDAY(A607,14)</f>
        <v>6</v>
      </c>
      <c r="E607">
        <f t="shared" si="36"/>
        <v>0.7</v>
      </c>
      <c r="F607">
        <f t="shared" si="37"/>
        <v>4</v>
      </c>
      <c r="G607">
        <f>IF(F607&gt;F606,G606+B607*E607,B607*E607)</f>
        <v>4.1721054999999998</v>
      </c>
      <c r="H607">
        <f t="shared" si="38"/>
        <v>0.75</v>
      </c>
      <c r="I607">
        <f t="shared" si="39"/>
        <v>0</v>
      </c>
      <c r="J607">
        <f>IF(I606=0,0,C606-I606)</f>
        <v>0</v>
      </c>
    </row>
    <row r="608" spans="1:10" x14ac:dyDescent="0.25">
      <c r="A608" s="1">
        <v>39603</v>
      </c>
      <c r="B608">
        <v>5.6615599999999997</v>
      </c>
      <c r="C608">
        <v>5.99</v>
      </c>
      <c r="D608">
        <f>WEEKDAY(A608,14)</f>
        <v>7</v>
      </c>
      <c r="E608">
        <f t="shared" si="36"/>
        <v>0.25</v>
      </c>
      <c r="F608">
        <f t="shared" si="37"/>
        <v>5</v>
      </c>
      <c r="G608">
        <f>IF(F608&gt;F607,G607+B608*E608,B608*E608)</f>
        <v>5.5874954999999993</v>
      </c>
      <c r="H608">
        <f t="shared" si="38"/>
        <v>1</v>
      </c>
      <c r="I608">
        <f t="shared" si="39"/>
        <v>5.5874954999999993</v>
      </c>
      <c r="J608">
        <f>IF(I607=0,0,C607-I607)</f>
        <v>0</v>
      </c>
    </row>
    <row r="609" spans="1:10" x14ac:dyDescent="0.25">
      <c r="A609" s="1">
        <v>39604</v>
      </c>
      <c r="B609">
        <v>5.7671200000000002</v>
      </c>
      <c r="C609">
        <v>6.2450000000000001</v>
      </c>
      <c r="D609">
        <f>WEEKDAY(A609,14)</f>
        <v>1</v>
      </c>
      <c r="E609">
        <f t="shared" si="36"/>
        <v>0</v>
      </c>
      <c r="F609">
        <f t="shared" si="37"/>
        <v>1</v>
      </c>
      <c r="G609">
        <f>IF(F609&gt;F608,G608+B609*E609,B609*E609)</f>
        <v>0</v>
      </c>
      <c r="H609">
        <f t="shared" si="38"/>
        <v>0</v>
      </c>
      <c r="I609">
        <f t="shared" si="39"/>
        <v>0</v>
      </c>
      <c r="J609">
        <f>IF(I608=0,0,C608-I608)</f>
        <v>0.40250450000000093</v>
      </c>
    </row>
    <row r="610" spans="1:10" x14ac:dyDescent="0.25">
      <c r="A610" s="1">
        <v>39605</v>
      </c>
      <c r="B610">
        <v>5.7257199999999999</v>
      </c>
      <c r="C610">
        <v>6.2450000000000001</v>
      </c>
      <c r="D610">
        <f>WEEKDAY(A610,14)</f>
        <v>2</v>
      </c>
      <c r="E610">
        <f t="shared" si="36"/>
        <v>0</v>
      </c>
      <c r="F610">
        <f t="shared" si="37"/>
        <v>2</v>
      </c>
      <c r="G610">
        <f>IF(F610&gt;F609,G609+B610*E610,B610*E610)</f>
        <v>0</v>
      </c>
      <c r="H610">
        <f t="shared" si="38"/>
        <v>0</v>
      </c>
      <c r="I610">
        <f t="shared" si="39"/>
        <v>0</v>
      </c>
      <c r="J610">
        <f>IF(I609=0,0,C609-I609)</f>
        <v>0</v>
      </c>
    </row>
    <row r="611" spans="1:10" x14ac:dyDescent="0.25">
      <c r="A611" s="1">
        <v>39608</v>
      </c>
      <c r="B611">
        <v>5.8181700000000003</v>
      </c>
      <c r="C611">
        <v>6.2450000000000001</v>
      </c>
      <c r="D611">
        <f>WEEKDAY(A611,14)</f>
        <v>5</v>
      </c>
      <c r="E611">
        <f t="shared" si="36"/>
        <v>0.05</v>
      </c>
      <c r="F611">
        <f t="shared" si="37"/>
        <v>3</v>
      </c>
      <c r="G611">
        <f>IF(F611&gt;F610,G610+B611*E611,B611*E611)</f>
        <v>0.29090850000000001</v>
      </c>
      <c r="H611">
        <f t="shared" si="38"/>
        <v>0.05</v>
      </c>
      <c r="I611">
        <f t="shared" si="39"/>
        <v>0</v>
      </c>
      <c r="J611">
        <f>IF(I610=0,0,C610-I610)</f>
        <v>0</v>
      </c>
    </row>
    <row r="612" spans="1:10" x14ac:dyDescent="0.25">
      <c r="A612" s="1">
        <v>39609</v>
      </c>
      <c r="B612">
        <v>5.9625399999999997</v>
      </c>
      <c r="C612">
        <v>6.2450000000000001</v>
      </c>
      <c r="D612">
        <f>WEEKDAY(A612,14)</f>
        <v>6</v>
      </c>
      <c r="E612">
        <f t="shared" si="36"/>
        <v>0.7</v>
      </c>
      <c r="F612">
        <f t="shared" si="37"/>
        <v>4</v>
      </c>
      <c r="G612">
        <f>IF(F612&gt;F611,G611+B612*E612,B612*E612)</f>
        <v>4.4646864999999991</v>
      </c>
      <c r="H612">
        <f t="shared" si="38"/>
        <v>0.75</v>
      </c>
      <c r="I612">
        <f t="shared" si="39"/>
        <v>0</v>
      </c>
      <c r="J612">
        <f>IF(I611=0,0,C611-I611)</f>
        <v>0</v>
      </c>
    </row>
    <row r="613" spans="1:10" x14ac:dyDescent="0.25">
      <c r="A613" s="1">
        <v>39610</v>
      </c>
      <c r="B613">
        <v>5.8887400000000003</v>
      </c>
      <c r="C613">
        <v>6.2450000000000001</v>
      </c>
      <c r="D613">
        <f>WEEKDAY(A613,14)</f>
        <v>7</v>
      </c>
      <c r="E613">
        <f t="shared" si="36"/>
        <v>0.25</v>
      </c>
      <c r="F613">
        <f t="shared" si="37"/>
        <v>5</v>
      </c>
      <c r="G613">
        <f>IF(F613&gt;F612,G612+B613*E613,B613*E613)</f>
        <v>5.9368714999999987</v>
      </c>
      <c r="H613">
        <f t="shared" si="38"/>
        <v>1</v>
      </c>
      <c r="I613">
        <f t="shared" si="39"/>
        <v>5.9368714999999987</v>
      </c>
      <c r="J613">
        <f>IF(I612=0,0,C612-I612)</f>
        <v>0</v>
      </c>
    </row>
    <row r="614" spans="1:10" x14ac:dyDescent="0.25">
      <c r="A614" s="1">
        <v>39611</v>
      </c>
      <c r="B614">
        <v>6.0177800000000001</v>
      </c>
      <c r="C614">
        <v>6.3449999999999998</v>
      </c>
      <c r="D614">
        <f>WEEKDAY(A614,14)</f>
        <v>1</v>
      </c>
      <c r="E614">
        <f t="shared" si="36"/>
        <v>0</v>
      </c>
      <c r="F614">
        <f t="shared" si="37"/>
        <v>1</v>
      </c>
      <c r="G614">
        <f>IF(F614&gt;F613,G613+B614*E614,B614*E614)</f>
        <v>0</v>
      </c>
      <c r="H614">
        <f t="shared" si="38"/>
        <v>0</v>
      </c>
      <c r="I614">
        <f t="shared" si="39"/>
        <v>0</v>
      </c>
      <c r="J614">
        <f>IF(I613=0,0,C613-I613)</f>
        <v>0.30812850000000136</v>
      </c>
    </row>
    <row r="615" spans="1:10" x14ac:dyDescent="0.25">
      <c r="A615" s="1">
        <v>39612</v>
      </c>
      <c r="B615">
        <v>6.0579299999999998</v>
      </c>
      <c r="C615">
        <v>6.3449999999999998</v>
      </c>
      <c r="D615">
        <f>WEEKDAY(A615,14)</f>
        <v>2</v>
      </c>
      <c r="E615">
        <f t="shared" si="36"/>
        <v>0</v>
      </c>
      <c r="F615">
        <f t="shared" si="37"/>
        <v>2</v>
      </c>
      <c r="G615">
        <f>IF(F615&gt;F614,G614+B615*E615,B615*E615)</f>
        <v>0</v>
      </c>
      <c r="H615">
        <f t="shared" si="38"/>
        <v>0</v>
      </c>
      <c r="I615">
        <f t="shared" si="39"/>
        <v>0</v>
      </c>
      <c r="J615">
        <f>IF(I614=0,0,C614-I614)</f>
        <v>0</v>
      </c>
    </row>
    <row r="616" spans="1:10" x14ac:dyDescent="0.25">
      <c r="A616" s="1">
        <v>39615</v>
      </c>
      <c r="B616">
        <v>6.0813699999999997</v>
      </c>
      <c r="C616">
        <v>6.3449999999999998</v>
      </c>
      <c r="D616">
        <f>WEEKDAY(A616,14)</f>
        <v>5</v>
      </c>
      <c r="E616">
        <f t="shared" si="36"/>
        <v>0.05</v>
      </c>
      <c r="F616">
        <f t="shared" si="37"/>
        <v>3</v>
      </c>
      <c r="G616">
        <f>IF(F616&gt;F615,G615+B616*E616,B616*E616)</f>
        <v>0.30406850000000002</v>
      </c>
      <c r="H616">
        <f t="shared" si="38"/>
        <v>0.05</v>
      </c>
      <c r="I616">
        <f t="shared" si="39"/>
        <v>0</v>
      </c>
      <c r="J616">
        <f>IF(I615=0,0,C615-I615)</f>
        <v>0</v>
      </c>
    </row>
    <row r="617" spans="1:10" x14ac:dyDescent="0.25">
      <c r="A617" s="1">
        <v>39616</v>
      </c>
      <c r="B617">
        <v>6.0095499999999999</v>
      </c>
      <c r="C617">
        <v>6.3449999999999998</v>
      </c>
      <c r="D617">
        <f>WEEKDAY(A617,14)</f>
        <v>6</v>
      </c>
      <c r="E617">
        <f t="shared" si="36"/>
        <v>0.7</v>
      </c>
      <c r="F617">
        <f t="shared" si="37"/>
        <v>4</v>
      </c>
      <c r="G617">
        <f>IF(F617&gt;F616,G616+B617*E617,B617*E617)</f>
        <v>4.510753499999999</v>
      </c>
      <c r="H617">
        <f t="shared" si="38"/>
        <v>0.75</v>
      </c>
      <c r="I617">
        <f t="shared" si="39"/>
        <v>0</v>
      </c>
      <c r="J617">
        <f>IF(I616=0,0,C616-I616)</f>
        <v>0</v>
      </c>
    </row>
    <row r="618" spans="1:10" x14ac:dyDescent="0.25">
      <c r="A618" s="1">
        <v>39617</v>
      </c>
      <c r="B618">
        <v>5.9061500000000002</v>
      </c>
      <c r="C618">
        <v>6.3449999999999998</v>
      </c>
      <c r="D618">
        <f>WEEKDAY(A618,14)</f>
        <v>7</v>
      </c>
      <c r="E618">
        <f t="shared" si="36"/>
        <v>0.25</v>
      </c>
      <c r="F618">
        <f t="shared" si="37"/>
        <v>5</v>
      </c>
      <c r="G618">
        <f>IF(F618&gt;F617,G617+B618*E618,B618*E618)</f>
        <v>5.987290999999999</v>
      </c>
      <c r="H618">
        <f t="shared" si="38"/>
        <v>1</v>
      </c>
      <c r="I618">
        <f t="shared" si="39"/>
        <v>5.987290999999999</v>
      </c>
      <c r="J618">
        <f>IF(I617=0,0,C617-I617)</f>
        <v>0</v>
      </c>
    </row>
    <row r="619" spans="1:10" x14ac:dyDescent="0.25">
      <c r="A619" s="1">
        <v>39618</v>
      </c>
      <c r="B619">
        <v>5.94374</v>
      </c>
      <c r="C619">
        <v>6.35</v>
      </c>
      <c r="D619">
        <f>WEEKDAY(A619,14)</f>
        <v>1</v>
      </c>
      <c r="E619">
        <f t="shared" si="36"/>
        <v>0</v>
      </c>
      <c r="F619">
        <f t="shared" si="37"/>
        <v>1</v>
      </c>
      <c r="G619">
        <f>IF(F619&gt;F618,G618+B619*E619,B619*E619)</f>
        <v>0</v>
      </c>
      <c r="H619">
        <f t="shared" si="38"/>
        <v>0</v>
      </c>
      <c r="I619">
        <f t="shared" si="39"/>
        <v>0</v>
      </c>
      <c r="J619">
        <f>IF(I618=0,0,C618-I618)</f>
        <v>0.35770900000000072</v>
      </c>
    </row>
    <row r="620" spans="1:10" x14ac:dyDescent="0.25">
      <c r="A620" s="1">
        <v>39619</v>
      </c>
      <c r="B620">
        <v>5.9215099999999996</v>
      </c>
      <c r="C620">
        <v>6.35</v>
      </c>
      <c r="D620">
        <f>WEEKDAY(A620,14)</f>
        <v>2</v>
      </c>
      <c r="E620">
        <f t="shared" si="36"/>
        <v>0</v>
      </c>
      <c r="F620">
        <f t="shared" si="37"/>
        <v>2</v>
      </c>
      <c r="G620">
        <f>IF(F620&gt;F619,G619+B620*E620,B620*E620)</f>
        <v>0</v>
      </c>
      <c r="H620">
        <f t="shared" si="38"/>
        <v>0</v>
      </c>
      <c r="I620">
        <f t="shared" si="39"/>
        <v>0</v>
      </c>
      <c r="J620">
        <f>IF(I619=0,0,C619-I619)</f>
        <v>0</v>
      </c>
    </row>
    <row r="621" spans="1:10" x14ac:dyDescent="0.25">
      <c r="A621" s="1">
        <v>39622</v>
      </c>
      <c r="B621">
        <v>5.9881900000000003</v>
      </c>
      <c r="C621">
        <v>6.35</v>
      </c>
      <c r="D621">
        <f>WEEKDAY(A621,14)</f>
        <v>5</v>
      </c>
      <c r="E621">
        <f t="shared" si="36"/>
        <v>0.05</v>
      </c>
      <c r="F621">
        <f t="shared" si="37"/>
        <v>3</v>
      </c>
      <c r="G621">
        <f>IF(F621&gt;F620,G620+B621*E621,B621*E621)</f>
        <v>0.29940950000000005</v>
      </c>
      <c r="H621">
        <f t="shared" si="38"/>
        <v>0.05</v>
      </c>
      <c r="I621">
        <f t="shared" si="39"/>
        <v>0</v>
      </c>
      <c r="J621">
        <f>IF(I620=0,0,C620-I620)</f>
        <v>0</v>
      </c>
    </row>
    <row r="622" spans="1:10" x14ac:dyDescent="0.25">
      <c r="A622" s="1">
        <v>39623</v>
      </c>
      <c r="B622">
        <v>5.9574999999999996</v>
      </c>
      <c r="C622">
        <v>6.35</v>
      </c>
      <c r="D622">
        <f>WEEKDAY(A622,14)</f>
        <v>6</v>
      </c>
      <c r="E622">
        <f t="shared" si="36"/>
        <v>0.7</v>
      </c>
      <c r="F622">
        <f t="shared" si="37"/>
        <v>4</v>
      </c>
      <c r="G622">
        <f>IF(F622&gt;F621,G621+B622*E622,B622*E622)</f>
        <v>4.4696594999999997</v>
      </c>
      <c r="H622">
        <f t="shared" si="38"/>
        <v>0.75</v>
      </c>
      <c r="I622">
        <f t="shared" si="39"/>
        <v>0</v>
      </c>
      <c r="J622">
        <f>IF(I621=0,0,C621-I621)</f>
        <v>0</v>
      </c>
    </row>
    <row r="623" spans="1:10" x14ac:dyDescent="0.25">
      <c r="A623" s="1">
        <v>39624</v>
      </c>
      <c r="B623">
        <v>5.9578800000000003</v>
      </c>
      <c r="C623">
        <v>6.35</v>
      </c>
      <c r="D623">
        <f>WEEKDAY(A623,14)</f>
        <v>7</v>
      </c>
      <c r="E623">
        <f t="shared" si="36"/>
        <v>0.25</v>
      </c>
      <c r="F623">
        <f t="shared" si="37"/>
        <v>5</v>
      </c>
      <c r="G623">
        <f>IF(F623&gt;F622,G622+B623*E623,B623*E623)</f>
        <v>5.9591294999999995</v>
      </c>
      <c r="H623">
        <f t="shared" si="38"/>
        <v>1</v>
      </c>
      <c r="I623">
        <f t="shared" si="39"/>
        <v>5.9591294999999995</v>
      </c>
      <c r="J623">
        <f>IF(I622=0,0,C622-I622)</f>
        <v>0</v>
      </c>
    </row>
    <row r="624" spans="1:10" x14ac:dyDescent="0.25">
      <c r="A624" s="1">
        <v>39625</v>
      </c>
      <c r="B624">
        <v>5.9035200000000003</v>
      </c>
      <c r="C624">
        <v>6.25</v>
      </c>
      <c r="D624">
        <f>WEEKDAY(A624,14)</f>
        <v>1</v>
      </c>
      <c r="E624">
        <f t="shared" si="36"/>
        <v>0</v>
      </c>
      <c r="F624">
        <f t="shared" si="37"/>
        <v>1</v>
      </c>
      <c r="G624">
        <f>IF(F624&gt;F623,G623+B624*E624,B624*E624)</f>
        <v>0</v>
      </c>
      <c r="H624">
        <f t="shared" si="38"/>
        <v>0</v>
      </c>
      <c r="I624">
        <f t="shared" si="39"/>
        <v>0</v>
      </c>
      <c r="J624">
        <f>IF(I623=0,0,C623-I623)</f>
        <v>0.39087050000000012</v>
      </c>
    </row>
    <row r="625" spans="1:10" x14ac:dyDescent="0.25">
      <c r="A625" s="1">
        <v>39626</v>
      </c>
      <c r="B625">
        <v>5.8436599999999999</v>
      </c>
      <c r="C625">
        <v>6.25</v>
      </c>
      <c r="D625">
        <f>WEEKDAY(A625,14)</f>
        <v>2</v>
      </c>
      <c r="E625">
        <f t="shared" si="36"/>
        <v>0</v>
      </c>
      <c r="F625">
        <f t="shared" si="37"/>
        <v>2</v>
      </c>
      <c r="G625">
        <f>IF(F625&gt;F624,G624+B625*E625,B625*E625)</f>
        <v>0</v>
      </c>
      <c r="H625">
        <f t="shared" si="38"/>
        <v>0</v>
      </c>
      <c r="I625">
        <f t="shared" si="39"/>
        <v>0</v>
      </c>
      <c r="J625">
        <f>IF(I624=0,0,C624-I624)</f>
        <v>0</v>
      </c>
    </row>
    <row r="626" spans="1:10" x14ac:dyDescent="0.25">
      <c r="A626" s="1">
        <v>39629</v>
      </c>
      <c r="B626">
        <v>5.8202299999999996</v>
      </c>
      <c r="C626">
        <v>6.25</v>
      </c>
      <c r="D626">
        <f>WEEKDAY(A626,14)</f>
        <v>5</v>
      </c>
      <c r="E626">
        <f t="shared" si="36"/>
        <v>0.05</v>
      </c>
      <c r="F626">
        <f t="shared" si="37"/>
        <v>3</v>
      </c>
      <c r="G626">
        <f>IF(F626&gt;F625,G625+B626*E626,B626*E626)</f>
        <v>0.29101149999999998</v>
      </c>
      <c r="H626">
        <f t="shared" si="38"/>
        <v>0.05</v>
      </c>
      <c r="I626">
        <f t="shared" si="39"/>
        <v>0</v>
      </c>
      <c r="J626">
        <f>IF(I625=0,0,C625-I625)</f>
        <v>0</v>
      </c>
    </row>
    <row r="627" spans="1:10" x14ac:dyDescent="0.25">
      <c r="A627" s="1">
        <v>39630</v>
      </c>
      <c r="B627">
        <v>5.8792600000000004</v>
      </c>
      <c r="C627">
        <v>6.25</v>
      </c>
      <c r="D627">
        <f>WEEKDAY(A627,14)</f>
        <v>6</v>
      </c>
      <c r="E627">
        <f t="shared" si="36"/>
        <v>0.7</v>
      </c>
      <c r="F627">
        <f t="shared" si="37"/>
        <v>4</v>
      </c>
      <c r="G627">
        <f>IF(F627&gt;F626,G626+B627*E627,B627*E627)</f>
        <v>4.4064934999999998</v>
      </c>
      <c r="H627">
        <f t="shared" si="38"/>
        <v>0.75</v>
      </c>
      <c r="I627">
        <f t="shared" si="39"/>
        <v>0</v>
      </c>
      <c r="J627">
        <f>IF(I626=0,0,C626-I626)</f>
        <v>0</v>
      </c>
    </row>
    <row r="628" spans="1:10" x14ac:dyDescent="0.25">
      <c r="A628" s="1">
        <v>39631</v>
      </c>
      <c r="B628">
        <v>5.9033600000000002</v>
      </c>
      <c r="C628">
        <v>6.25</v>
      </c>
      <c r="D628">
        <f>WEEKDAY(A628,14)</f>
        <v>7</v>
      </c>
      <c r="E628">
        <f t="shared" si="36"/>
        <v>0.25</v>
      </c>
      <c r="F628">
        <f t="shared" si="37"/>
        <v>5</v>
      </c>
      <c r="G628">
        <f>IF(F628&gt;F627,G627+B628*E628,B628*E628)</f>
        <v>5.8823334999999997</v>
      </c>
      <c r="H628">
        <f t="shared" si="38"/>
        <v>1</v>
      </c>
      <c r="I628">
        <f t="shared" si="39"/>
        <v>5.8823334999999997</v>
      </c>
      <c r="J628">
        <f>IF(I627=0,0,C627-I627)</f>
        <v>0</v>
      </c>
    </row>
    <row r="629" spans="1:10" x14ac:dyDescent="0.25">
      <c r="A629" s="1">
        <v>39632</v>
      </c>
      <c r="B629">
        <v>5.9463800000000004</v>
      </c>
      <c r="C629">
        <v>6.27</v>
      </c>
      <c r="D629">
        <f>WEEKDAY(A629,14)</f>
        <v>1</v>
      </c>
      <c r="E629">
        <f t="shared" si="36"/>
        <v>0</v>
      </c>
      <c r="F629">
        <f t="shared" si="37"/>
        <v>1</v>
      </c>
      <c r="G629">
        <f>IF(F629&gt;F628,G628+B629*E629,B629*E629)</f>
        <v>0</v>
      </c>
      <c r="H629">
        <f t="shared" si="38"/>
        <v>0</v>
      </c>
      <c r="I629">
        <f t="shared" si="39"/>
        <v>0</v>
      </c>
      <c r="J629">
        <f>IF(I628=0,0,C628-I628)</f>
        <v>0.36766650000000034</v>
      </c>
    </row>
    <row r="630" spans="1:10" x14ac:dyDescent="0.25">
      <c r="A630" s="1">
        <v>39636</v>
      </c>
      <c r="B630">
        <v>5.9509999999999996</v>
      </c>
      <c r="C630">
        <v>6.27</v>
      </c>
      <c r="D630">
        <f>WEEKDAY(A630,14)</f>
        <v>5</v>
      </c>
      <c r="E630">
        <f t="shared" si="36"/>
        <v>0.05</v>
      </c>
      <c r="F630">
        <f t="shared" si="37"/>
        <v>2</v>
      </c>
      <c r="G630">
        <f>IF(F630&gt;F629,G629+B630*E630,B630*E630)</f>
        <v>0.29754999999999998</v>
      </c>
      <c r="H630">
        <f t="shared" si="38"/>
        <v>0.05</v>
      </c>
      <c r="I630">
        <f t="shared" si="39"/>
        <v>0</v>
      </c>
      <c r="J630">
        <f>IF(I629=0,0,C629-I629)</f>
        <v>0</v>
      </c>
    </row>
    <row r="631" spans="1:10" x14ac:dyDescent="0.25">
      <c r="A631" s="1">
        <v>39637</v>
      </c>
      <c r="B631">
        <v>5.8190400000000002</v>
      </c>
      <c r="C631">
        <v>6.27</v>
      </c>
      <c r="D631">
        <f>WEEKDAY(A631,14)</f>
        <v>6</v>
      </c>
      <c r="E631">
        <f t="shared" si="36"/>
        <v>0.7</v>
      </c>
      <c r="F631">
        <f t="shared" si="37"/>
        <v>3</v>
      </c>
      <c r="G631">
        <f>IF(F631&gt;F630,G630+B631*E631,B631*E631)</f>
        <v>4.3708780000000003</v>
      </c>
      <c r="H631">
        <f t="shared" si="38"/>
        <v>0.75</v>
      </c>
      <c r="I631">
        <f t="shared" si="39"/>
        <v>0</v>
      </c>
      <c r="J631">
        <f>IF(I630=0,0,C630-I630)</f>
        <v>0</v>
      </c>
    </row>
    <row r="632" spans="1:10" x14ac:dyDescent="0.25">
      <c r="A632" s="1">
        <v>39638</v>
      </c>
      <c r="B632">
        <v>5.71617</v>
      </c>
      <c r="C632">
        <v>6.27</v>
      </c>
      <c r="D632">
        <f>WEEKDAY(A632,14)</f>
        <v>7</v>
      </c>
      <c r="E632">
        <f t="shared" si="36"/>
        <v>0.25</v>
      </c>
      <c r="F632">
        <f t="shared" si="37"/>
        <v>4</v>
      </c>
      <c r="G632">
        <f>IF(F632&gt;F631,G631+B632*E632,B632*E632)</f>
        <v>5.7999205000000007</v>
      </c>
      <c r="H632">
        <f t="shared" si="38"/>
        <v>1</v>
      </c>
      <c r="I632">
        <f t="shared" si="39"/>
        <v>5.7999205000000007</v>
      </c>
      <c r="J632">
        <f>IF(I631=0,0,C631-I631)</f>
        <v>0</v>
      </c>
    </row>
    <row r="633" spans="1:10" x14ac:dyDescent="0.25">
      <c r="A633" s="1">
        <v>39639</v>
      </c>
      <c r="B633">
        <v>5.7031999999999998</v>
      </c>
      <c r="C633">
        <v>6.16</v>
      </c>
      <c r="D633">
        <f>WEEKDAY(A633,14)</f>
        <v>1</v>
      </c>
      <c r="E633">
        <f t="shared" si="36"/>
        <v>0</v>
      </c>
      <c r="F633">
        <f t="shared" si="37"/>
        <v>1</v>
      </c>
      <c r="G633">
        <f>IF(F633&gt;F632,G632+B633*E633,B633*E633)</f>
        <v>0</v>
      </c>
      <c r="H633">
        <f t="shared" si="38"/>
        <v>0</v>
      </c>
      <c r="I633">
        <f t="shared" si="39"/>
        <v>0</v>
      </c>
      <c r="J633">
        <f>IF(I632=0,0,C632-I632)</f>
        <v>0.47007949999999887</v>
      </c>
    </row>
    <row r="634" spans="1:10" x14ac:dyDescent="0.25">
      <c r="A634" s="1">
        <v>39640</v>
      </c>
      <c r="B634">
        <v>5.7840600000000002</v>
      </c>
      <c r="C634">
        <v>6.16</v>
      </c>
      <c r="D634">
        <f>WEEKDAY(A634,14)</f>
        <v>2</v>
      </c>
      <c r="E634">
        <f t="shared" si="36"/>
        <v>0</v>
      </c>
      <c r="F634">
        <f t="shared" si="37"/>
        <v>2</v>
      </c>
      <c r="G634">
        <f>IF(F634&gt;F633,G633+B634*E634,B634*E634)</f>
        <v>0</v>
      </c>
      <c r="H634">
        <f t="shared" si="38"/>
        <v>0</v>
      </c>
      <c r="I634">
        <f t="shared" si="39"/>
        <v>0</v>
      </c>
      <c r="J634">
        <f>IF(I633=0,0,C633-I633)</f>
        <v>0</v>
      </c>
    </row>
    <row r="635" spans="1:10" x14ac:dyDescent="0.25">
      <c r="A635" s="1">
        <v>39643</v>
      </c>
      <c r="B635">
        <v>5.7262000000000004</v>
      </c>
      <c r="C635">
        <v>6.16</v>
      </c>
      <c r="D635">
        <f>WEEKDAY(A635,14)</f>
        <v>5</v>
      </c>
      <c r="E635">
        <f t="shared" si="36"/>
        <v>0.05</v>
      </c>
      <c r="F635">
        <f t="shared" si="37"/>
        <v>3</v>
      </c>
      <c r="G635">
        <f>IF(F635&gt;F634,G634+B635*E635,B635*E635)</f>
        <v>0.28631000000000001</v>
      </c>
      <c r="H635">
        <f t="shared" si="38"/>
        <v>0.05</v>
      </c>
      <c r="I635">
        <f t="shared" si="39"/>
        <v>0</v>
      </c>
      <c r="J635">
        <f>IF(I634=0,0,C634-I634)</f>
        <v>0</v>
      </c>
    </row>
    <row r="636" spans="1:10" x14ac:dyDescent="0.25">
      <c r="A636" s="1">
        <v>39644</v>
      </c>
      <c r="B636">
        <v>5.6992200000000004</v>
      </c>
      <c r="C636">
        <v>6.16</v>
      </c>
      <c r="D636">
        <f>WEEKDAY(A636,14)</f>
        <v>6</v>
      </c>
      <c r="E636">
        <f t="shared" si="36"/>
        <v>0.7</v>
      </c>
      <c r="F636">
        <f t="shared" si="37"/>
        <v>4</v>
      </c>
      <c r="G636">
        <f>IF(F636&gt;F635,G635+B636*E636,B636*E636)</f>
        <v>4.2757639999999997</v>
      </c>
      <c r="H636">
        <f t="shared" si="38"/>
        <v>0.75</v>
      </c>
      <c r="I636">
        <f t="shared" si="39"/>
        <v>0</v>
      </c>
      <c r="J636">
        <f>IF(I635=0,0,C635-I635)</f>
        <v>0</v>
      </c>
    </row>
    <row r="637" spans="1:10" x14ac:dyDescent="0.25">
      <c r="A637" s="1">
        <v>39645</v>
      </c>
      <c r="B637">
        <v>5.8448399999999996</v>
      </c>
      <c r="C637">
        <v>6.16</v>
      </c>
      <c r="D637">
        <f>WEEKDAY(A637,14)</f>
        <v>7</v>
      </c>
      <c r="E637">
        <f t="shared" si="36"/>
        <v>0.25</v>
      </c>
      <c r="F637">
        <f t="shared" si="37"/>
        <v>5</v>
      </c>
      <c r="G637">
        <f>IF(F637&gt;F636,G636+B637*E637,B637*E637)</f>
        <v>5.736974</v>
      </c>
      <c r="H637">
        <f t="shared" si="38"/>
        <v>1</v>
      </c>
      <c r="I637">
        <f t="shared" si="39"/>
        <v>5.736974</v>
      </c>
      <c r="J637">
        <f>IF(I636=0,0,C636-I636)</f>
        <v>0</v>
      </c>
    </row>
    <row r="638" spans="1:10" x14ac:dyDescent="0.25">
      <c r="A638" s="1">
        <v>39646</v>
      </c>
      <c r="B638">
        <v>6.03498</v>
      </c>
      <c r="C638">
        <v>6.53</v>
      </c>
      <c r="D638">
        <f>WEEKDAY(A638,14)</f>
        <v>1</v>
      </c>
      <c r="E638">
        <f t="shared" si="36"/>
        <v>0</v>
      </c>
      <c r="F638">
        <f t="shared" si="37"/>
        <v>1</v>
      </c>
      <c r="G638">
        <f>IF(F638&gt;F637,G637+B638*E638,B638*E638)</f>
        <v>0</v>
      </c>
      <c r="H638">
        <f t="shared" si="38"/>
        <v>0</v>
      </c>
      <c r="I638">
        <f t="shared" si="39"/>
        <v>0</v>
      </c>
      <c r="J638">
        <f>IF(I637=0,0,C637-I637)</f>
        <v>0.42302600000000012</v>
      </c>
    </row>
    <row r="639" spans="1:10" x14ac:dyDescent="0.25">
      <c r="A639" s="1">
        <v>39647</v>
      </c>
      <c r="B639">
        <v>6.1368900000000002</v>
      </c>
      <c r="C639">
        <v>6.53</v>
      </c>
      <c r="D639">
        <f>WEEKDAY(A639,14)</f>
        <v>2</v>
      </c>
      <c r="E639">
        <f t="shared" si="36"/>
        <v>0</v>
      </c>
      <c r="F639">
        <f t="shared" si="37"/>
        <v>2</v>
      </c>
      <c r="G639">
        <f>IF(F639&gt;F638,G638+B639*E639,B639*E639)</f>
        <v>0</v>
      </c>
      <c r="H639">
        <f t="shared" si="38"/>
        <v>0</v>
      </c>
      <c r="I639">
        <f t="shared" si="39"/>
        <v>0</v>
      </c>
      <c r="J639">
        <f>IF(I638=0,0,C638-I638)</f>
        <v>0</v>
      </c>
    </row>
    <row r="640" spans="1:10" x14ac:dyDescent="0.25">
      <c r="A640" s="1">
        <v>39650</v>
      </c>
      <c r="B640">
        <v>6.1186100000000003</v>
      </c>
      <c r="C640">
        <v>6.53</v>
      </c>
      <c r="D640">
        <f>WEEKDAY(A640,14)</f>
        <v>5</v>
      </c>
      <c r="E640">
        <f t="shared" si="36"/>
        <v>0.05</v>
      </c>
      <c r="F640">
        <f t="shared" si="37"/>
        <v>3</v>
      </c>
      <c r="G640">
        <f>IF(F640&gt;F639,G639+B640*E640,B640*E640)</f>
        <v>0.30593050000000005</v>
      </c>
      <c r="H640">
        <f t="shared" si="38"/>
        <v>0.05</v>
      </c>
      <c r="I640">
        <f t="shared" si="39"/>
        <v>0</v>
      </c>
      <c r="J640">
        <f>IF(I639=0,0,C639-I639)</f>
        <v>0</v>
      </c>
    </row>
    <row r="641" spans="1:10" x14ac:dyDescent="0.25">
      <c r="A641" s="1">
        <v>39651</v>
      </c>
      <c r="B641">
        <v>6.15327</v>
      </c>
      <c r="C641">
        <v>6.53</v>
      </c>
      <c r="D641">
        <f>WEEKDAY(A641,14)</f>
        <v>6</v>
      </c>
      <c r="E641">
        <f t="shared" si="36"/>
        <v>0.7</v>
      </c>
      <c r="F641">
        <f t="shared" si="37"/>
        <v>4</v>
      </c>
      <c r="G641">
        <f>IF(F641&gt;F640,G640+B641*E641,B641*E641)</f>
        <v>4.6132194999999996</v>
      </c>
      <c r="H641">
        <f t="shared" si="38"/>
        <v>0.75</v>
      </c>
      <c r="I641">
        <f t="shared" si="39"/>
        <v>0</v>
      </c>
      <c r="J641">
        <f>IF(I640=0,0,C640-I640)</f>
        <v>0</v>
      </c>
    </row>
    <row r="642" spans="1:10" x14ac:dyDescent="0.25">
      <c r="A642" s="1">
        <v>39652</v>
      </c>
      <c r="B642">
        <v>6.1254799999999996</v>
      </c>
      <c r="C642">
        <v>6.53</v>
      </c>
      <c r="D642">
        <f>WEEKDAY(A642,14)</f>
        <v>7</v>
      </c>
      <c r="E642">
        <f t="shared" si="36"/>
        <v>0.25</v>
      </c>
      <c r="F642">
        <f t="shared" si="37"/>
        <v>5</v>
      </c>
      <c r="G642">
        <f>IF(F642&gt;F641,G641+B642*E642,B642*E642)</f>
        <v>6.1445894999999995</v>
      </c>
      <c r="H642">
        <f t="shared" si="38"/>
        <v>1</v>
      </c>
      <c r="I642">
        <f t="shared" si="39"/>
        <v>6.1445894999999995</v>
      </c>
      <c r="J642">
        <f>IF(I641=0,0,C641-I641)</f>
        <v>0</v>
      </c>
    </row>
    <row r="643" spans="1:10" x14ac:dyDescent="0.25">
      <c r="A643" s="1">
        <v>39653</v>
      </c>
      <c r="B643">
        <v>5.9668799999999997</v>
      </c>
      <c r="C643">
        <v>6.4450000000000003</v>
      </c>
      <c r="D643">
        <f>WEEKDAY(A643,14)</f>
        <v>1</v>
      </c>
      <c r="E643">
        <f t="shared" ref="E643:E706" si="40">VLOOKUP(D643,M$2:N$8,2,FALSE)</f>
        <v>0</v>
      </c>
      <c r="F643">
        <f t="shared" ref="F643:F706" si="41">IF(AND(D643&gt;D642,F642&lt;6),F642+1,1)</f>
        <v>1</v>
      </c>
      <c r="G643">
        <f>IF(F643&gt;F642,G642+B643*E643,B643*E643)</f>
        <v>0</v>
      </c>
      <c r="H643">
        <f t="shared" si="38"/>
        <v>0</v>
      </c>
      <c r="I643">
        <f t="shared" si="39"/>
        <v>0</v>
      </c>
      <c r="J643">
        <f>IF(I642=0,0,C642-I642)</f>
        <v>0.38541050000000077</v>
      </c>
    </row>
    <row r="644" spans="1:10" x14ac:dyDescent="0.25">
      <c r="A644" s="1">
        <v>39654</v>
      </c>
      <c r="B644">
        <v>6.0936599999999999</v>
      </c>
      <c r="C644">
        <v>6.4450000000000003</v>
      </c>
      <c r="D644">
        <f>WEEKDAY(A644,14)</f>
        <v>2</v>
      </c>
      <c r="E644">
        <f t="shared" si="40"/>
        <v>0</v>
      </c>
      <c r="F644">
        <f t="shared" si="41"/>
        <v>2</v>
      </c>
      <c r="G644">
        <f>IF(F644&gt;F643,G643+B644*E644,B644*E644)</f>
        <v>0</v>
      </c>
      <c r="H644">
        <f t="shared" ref="H644:H707" si="42">IF(AND(F644&lt;6,F644&gt;F643),E644+H643,E644)</f>
        <v>0</v>
      </c>
      <c r="I644">
        <f t="shared" ref="I644:I707" si="43">IF(F644&gt;F645,G644/H644,0)</f>
        <v>0</v>
      </c>
      <c r="J644">
        <f>IF(I643=0,0,C643-I643)</f>
        <v>0</v>
      </c>
    </row>
    <row r="645" spans="1:10" x14ac:dyDescent="0.25">
      <c r="A645" s="1">
        <v>39657</v>
      </c>
      <c r="B645">
        <v>5.9720500000000003</v>
      </c>
      <c r="C645">
        <v>6.4450000000000003</v>
      </c>
      <c r="D645">
        <f>WEEKDAY(A645,14)</f>
        <v>5</v>
      </c>
      <c r="E645">
        <f t="shared" si="40"/>
        <v>0.05</v>
      </c>
      <c r="F645">
        <f t="shared" si="41"/>
        <v>3</v>
      </c>
      <c r="G645">
        <f>IF(F645&gt;F644,G644+B645*E645,B645*E645)</f>
        <v>0.29860250000000005</v>
      </c>
      <c r="H645">
        <f t="shared" si="42"/>
        <v>0.05</v>
      </c>
      <c r="I645">
        <f t="shared" si="43"/>
        <v>0</v>
      </c>
      <c r="J645">
        <f>IF(I644=0,0,C644-I644)</f>
        <v>0</v>
      </c>
    </row>
    <row r="646" spans="1:10" x14ac:dyDescent="0.25">
      <c r="A646" s="1">
        <v>39658</v>
      </c>
      <c r="B646">
        <v>6.0254300000000001</v>
      </c>
      <c r="C646">
        <v>6.4450000000000003</v>
      </c>
      <c r="D646">
        <f>WEEKDAY(A646,14)</f>
        <v>6</v>
      </c>
      <c r="E646">
        <f t="shared" si="40"/>
        <v>0.7</v>
      </c>
      <c r="F646">
        <f t="shared" si="41"/>
        <v>4</v>
      </c>
      <c r="G646">
        <f>IF(F646&gt;F645,G645+B646*E646,B646*E646)</f>
        <v>4.5164035</v>
      </c>
      <c r="H646">
        <f t="shared" si="42"/>
        <v>0.75</v>
      </c>
      <c r="I646">
        <f t="shared" si="43"/>
        <v>0</v>
      </c>
      <c r="J646">
        <f>IF(I645=0,0,C645-I645)</f>
        <v>0</v>
      </c>
    </row>
    <row r="647" spans="1:10" x14ac:dyDescent="0.25">
      <c r="A647" s="1">
        <v>39659</v>
      </c>
      <c r="B647">
        <v>5.9825699999999999</v>
      </c>
      <c r="C647">
        <v>6.4450000000000003</v>
      </c>
      <c r="D647">
        <f>WEEKDAY(A647,14)</f>
        <v>7</v>
      </c>
      <c r="E647">
        <f t="shared" si="40"/>
        <v>0.25</v>
      </c>
      <c r="F647">
        <f t="shared" si="41"/>
        <v>5</v>
      </c>
      <c r="G647">
        <f>IF(F647&gt;F646,G646+B647*E647,B647*E647)</f>
        <v>6.0120459999999998</v>
      </c>
      <c r="H647">
        <f t="shared" si="42"/>
        <v>1</v>
      </c>
      <c r="I647">
        <f t="shared" si="43"/>
        <v>6.0120459999999998</v>
      </c>
      <c r="J647">
        <f>IF(I646=0,0,C646-I646)</f>
        <v>0</v>
      </c>
    </row>
    <row r="648" spans="1:10" x14ac:dyDescent="0.25">
      <c r="A648" s="1">
        <v>39660</v>
      </c>
      <c r="B648">
        <v>5.9366000000000003</v>
      </c>
      <c r="C648">
        <v>6.4450000000000003</v>
      </c>
      <c r="D648">
        <f>WEEKDAY(A648,14)</f>
        <v>1</v>
      </c>
      <c r="E648">
        <f t="shared" si="40"/>
        <v>0</v>
      </c>
      <c r="F648">
        <f t="shared" si="41"/>
        <v>1</v>
      </c>
      <c r="G648">
        <f>IF(F648&gt;F647,G647+B648*E648,B648*E648)</f>
        <v>0</v>
      </c>
      <c r="H648">
        <f t="shared" si="42"/>
        <v>0</v>
      </c>
      <c r="I648">
        <f t="shared" si="43"/>
        <v>0</v>
      </c>
      <c r="J648">
        <f>IF(I647=0,0,C647-I647)</f>
        <v>0.43295400000000051</v>
      </c>
    </row>
    <row r="649" spans="1:10" x14ac:dyDescent="0.25">
      <c r="A649" s="1">
        <v>39661</v>
      </c>
      <c r="B649">
        <v>5.9430399999999999</v>
      </c>
      <c r="C649">
        <v>6.4450000000000003</v>
      </c>
      <c r="D649">
        <f>WEEKDAY(A649,14)</f>
        <v>2</v>
      </c>
      <c r="E649">
        <f t="shared" si="40"/>
        <v>0</v>
      </c>
      <c r="F649">
        <f t="shared" si="41"/>
        <v>2</v>
      </c>
      <c r="G649">
        <f>IF(F649&gt;F648,G648+B649*E649,B649*E649)</f>
        <v>0</v>
      </c>
      <c r="H649">
        <f t="shared" si="42"/>
        <v>0</v>
      </c>
      <c r="I649">
        <f t="shared" si="43"/>
        <v>0</v>
      </c>
      <c r="J649">
        <f>IF(I648=0,0,C648-I648)</f>
        <v>0</v>
      </c>
    </row>
    <row r="650" spans="1:10" x14ac:dyDescent="0.25">
      <c r="A650" s="1">
        <v>39664</v>
      </c>
      <c r="B650">
        <v>6.0100600000000002</v>
      </c>
      <c r="C650">
        <v>6.4450000000000003</v>
      </c>
      <c r="D650">
        <f>WEEKDAY(A650,14)</f>
        <v>5</v>
      </c>
      <c r="E650">
        <f t="shared" si="40"/>
        <v>0.05</v>
      </c>
      <c r="F650">
        <f t="shared" si="41"/>
        <v>3</v>
      </c>
      <c r="G650">
        <f>IF(F650&gt;F649,G649+B650*E650,B650*E650)</f>
        <v>0.30050300000000002</v>
      </c>
      <c r="H650">
        <f t="shared" si="42"/>
        <v>0.05</v>
      </c>
      <c r="I650">
        <f t="shared" si="43"/>
        <v>0</v>
      </c>
      <c r="J650">
        <f>IF(I649=0,0,C649-I649)</f>
        <v>0</v>
      </c>
    </row>
    <row r="651" spans="1:10" x14ac:dyDescent="0.25">
      <c r="A651" s="1">
        <v>39665</v>
      </c>
      <c r="B651">
        <v>6.0489300000000004</v>
      </c>
      <c r="C651">
        <v>6.4450000000000003</v>
      </c>
      <c r="D651">
        <f>WEEKDAY(A651,14)</f>
        <v>6</v>
      </c>
      <c r="E651">
        <f t="shared" si="40"/>
        <v>0.7</v>
      </c>
      <c r="F651">
        <f t="shared" si="41"/>
        <v>4</v>
      </c>
      <c r="G651">
        <f>IF(F651&gt;F650,G650+B651*E651,B651*E651)</f>
        <v>4.5347539999999995</v>
      </c>
      <c r="H651">
        <f t="shared" si="42"/>
        <v>0.75</v>
      </c>
      <c r="I651">
        <f t="shared" si="43"/>
        <v>0</v>
      </c>
      <c r="J651">
        <f>IF(I650=0,0,C650-I650)</f>
        <v>0</v>
      </c>
    </row>
    <row r="652" spans="1:10" x14ac:dyDescent="0.25">
      <c r="A652" s="1">
        <v>39666</v>
      </c>
      <c r="B652">
        <v>6.1289899999999999</v>
      </c>
      <c r="C652">
        <v>6.4450000000000003</v>
      </c>
      <c r="D652">
        <f>WEEKDAY(A652,14)</f>
        <v>7</v>
      </c>
      <c r="E652">
        <f t="shared" si="40"/>
        <v>0.25</v>
      </c>
      <c r="F652">
        <f t="shared" si="41"/>
        <v>5</v>
      </c>
      <c r="G652">
        <f>IF(F652&gt;F651,G651+B652*E652,B652*E652)</f>
        <v>6.0670014999999999</v>
      </c>
      <c r="H652">
        <f t="shared" si="42"/>
        <v>1</v>
      </c>
      <c r="I652">
        <f t="shared" si="43"/>
        <v>6.0670014999999999</v>
      </c>
      <c r="J652">
        <f>IF(I651=0,0,C651-I651)</f>
        <v>0</v>
      </c>
    </row>
    <row r="653" spans="1:10" x14ac:dyDescent="0.25">
      <c r="A653" s="1">
        <v>39667</v>
      </c>
      <c r="B653">
        <v>6.0518799999999997</v>
      </c>
      <c r="C653">
        <v>6.4450000000000003</v>
      </c>
      <c r="D653">
        <f>WEEKDAY(A653,14)</f>
        <v>1</v>
      </c>
      <c r="E653">
        <f t="shared" si="40"/>
        <v>0</v>
      </c>
      <c r="F653">
        <f t="shared" si="41"/>
        <v>1</v>
      </c>
      <c r="G653">
        <f>IF(F653&gt;F652,G652+B653*E653,B653*E653)</f>
        <v>0</v>
      </c>
      <c r="H653">
        <f t="shared" si="42"/>
        <v>0</v>
      </c>
      <c r="I653">
        <f t="shared" si="43"/>
        <v>0</v>
      </c>
      <c r="J653">
        <f>IF(I652=0,0,C652-I652)</f>
        <v>0.37799850000000035</v>
      </c>
    </row>
    <row r="654" spans="1:10" x14ac:dyDescent="0.25">
      <c r="A654" s="1">
        <v>39668</v>
      </c>
      <c r="B654">
        <v>6.00624</v>
      </c>
      <c r="C654">
        <v>6.4450000000000003</v>
      </c>
      <c r="D654">
        <f>WEEKDAY(A654,14)</f>
        <v>2</v>
      </c>
      <c r="E654">
        <f t="shared" si="40"/>
        <v>0</v>
      </c>
      <c r="F654">
        <f t="shared" si="41"/>
        <v>2</v>
      </c>
      <c r="G654">
        <f>IF(F654&gt;F653,G653+B654*E654,B654*E654)</f>
        <v>0</v>
      </c>
      <c r="H654">
        <f t="shared" si="42"/>
        <v>0</v>
      </c>
      <c r="I654">
        <f t="shared" si="43"/>
        <v>0</v>
      </c>
      <c r="J654">
        <f>IF(I653=0,0,C653-I653)</f>
        <v>0</v>
      </c>
    </row>
    <row r="655" spans="1:10" x14ac:dyDescent="0.25">
      <c r="A655" s="1">
        <v>39671</v>
      </c>
      <c r="B655">
        <v>6.0879799999999999</v>
      </c>
      <c r="C655">
        <v>6.4450000000000003</v>
      </c>
      <c r="D655">
        <f>WEEKDAY(A655,14)</f>
        <v>5</v>
      </c>
      <c r="E655">
        <f t="shared" si="40"/>
        <v>0.05</v>
      </c>
      <c r="F655">
        <f t="shared" si="41"/>
        <v>3</v>
      </c>
      <c r="G655">
        <f>IF(F655&gt;F654,G654+B655*E655,B655*E655)</f>
        <v>0.30439900000000003</v>
      </c>
      <c r="H655">
        <f t="shared" si="42"/>
        <v>0.05</v>
      </c>
      <c r="I655">
        <f t="shared" si="43"/>
        <v>0</v>
      </c>
      <c r="J655">
        <f>IF(I654=0,0,C654-I654)</f>
        <v>0</v>
      </c>
    </row>
    <row r="656" spans="1:10" x14ac:dyDescent="0.25">
      <c r="A656" s="1">
        <v>39672</v>
      </c>
      <c r="B656">
        <v>6.0287600000000001</v>
      </c>
      <c r="C656">
        <v>6.4450000000000003</v>
      </c>
      <c r="D656">
        <f>WEEKDAY(A656,14)</f>
        <v>6</v>
      </c>
      <c r="E656">
        <f t="shared" si="40"/>
        <v>0.7</v>
      </c>
      <c r="F656">
        <f t="shared" si="41"/>
        <v>4</v>
      </c>
      <c r="G656">
        <f>IF(F656&gt;F655,G655+B656*E656,B656*E656)</f>
        <v>4.5245309999999996</v>
      </c>
      <c r="H656">
        <f t="shared" si="42"/>
        <v>0.75</v>
      </c>
      <c r="I656">
        <f t="shared" si="43"/>
        <v>0</v>
      </c>
      <c r="J656">
        <f>IF(I655=0,0,C655-I655)</f>
        <v>0</v>
      </c>
    </row>
    <row r="657" spans="1:10" x14ac:dyDescent="0.25">
      <c r="A657" s="1">
        <v>39673</v>
      </c>
      <c r="B657">
        <v>6.0570599999999999</v>
      </c>
      <c r="C657">
        <v>6.4450000000000003</v>
      </c>
      <c r="D657">
        <f>WEEKDAY(A657,14)</f>
        <v>7</v>
      </c>
      <c r="E657">
        <f t="shared" si="40"/>
        <v>0.25</v>
      </c>
      <c r="F657">
        <f t="shared" si="41"/>
        <v>5</v>
      </c>
      <c r="G657">
        <f>IF(F657&gt;F656,G656+B657*E657,B657*E657)</f>
        <v>6.0387959999999996</v>
      </c>
      <c r="H657">
        <f t="shared" si="42"/>
        <v>1</v>
      </c>
      <c r="I657">
        <f t="shared" si="43"/>
        <v>6.0387959999999996</v>
      </c>
      <c r="J657">
        <f>IF(I656=0,0,C656-I656)</f>
        <v>0</v>
      </c>
    </row>
    <row r="658" spans="1:10" x14ac:dyDescent="0.25">
      <c r="A658" s="1">
        <v>39674</v>
      </c>
      <c r="B658">
        <v>6.0335200000000002</v>
      </c>
      <c r="C658">
        <v>6.3949999999999996</v>
      </c>
      <c r="D658">
        <f>WEEKDAY(A658,14)</f>
        <v>1</v>
      </c>
      <c r="E658">
        <f t="shared" si="40"/>
        <v>0</v>
      </c>
      <c r="F658">
        <f t="shared" si="41"/>
        <v>1</v>
      </c>
      <c r="G658">
        <f>IF(F658&gt;F657,G657+B658*E658,B658*E658)</f>
        <v>0</v>
      </c>
      <c r="H658">
        <f t="shared" si="42"/>
        <v>0</v>
      </c>
      <c r="I658">
        <f t="shared" si="43"/>
        <v>0</v>
      </c>
      <c r="J658">
        <f>IF(I657=0,0,C657-I657)</f>
        <v>0.40620400000000068</v>
      </c>
    </row>
    <row r="659" spans="1:10" x14ac:dyDescent="0.25">
      <c r="A659" s="1">
        <v>39675</v>
      </c>
      <c r="B659">
        <v>5.9640500000000003</v>
      </c>
      <c r="C659">
        <v>6.3949999999999996</v>
      </c>
      <c r="D659">
        <f>WEEKDAY(A659,14)</f>
        <v>2</v>
      </c>
      <c r="E659">
        <f t="shared" si="40"/>
        <v>0</v>
      </c>
      <c r="F659">
        <f t="shared" si="41"/>
        <v>2</v>
      </c>
      <c r="G659">
        <f>IF(F659&gt;F658,G658+B659*E659,B659*E659)</f>
        <v>0</v>
      </c>
      <c r="H659">
        <f t="shared" si="42"/>
        <v>0</v>
      </c>
      <c r="I659">
        <f t="shared" si="43"/>
        <v>0</v>
      </c>
      <c r="J659">
        <f>IF(I658=0,0,C658-I658)</f>
        <v>0</v>
      </c>
    </row>
    <row r="660" spans="1:10" x14ac:dyDescent="0.25">
      <c r="A660" s="1">
        <v>39678</v>
      </c>
      <c r="B660">
        <v>5.9559899999999999</v>
      </c>
      <c r="C660">
        <v>6.3949999999999996</v>
      </c>
      <c r="D660">
        <f>WEEKDAY(A660,14)</f>
        <v>5</v>
      </c>
      <c r="E660">
        <f t="shared" si="40"/>
        <v>0.05</v>
      </c>
      <c r="F660">
        <f t="shared" si="41"/>
        <v>3</v>
      </c>
      <c r="G660">
        <f>IF(F660&gt;F659,G659+B660*E660,B660*E660)</f>
        <v>0.29779949999999999</v>
      </c>
      <c r="H660">
        <f t="shared" si="42"/>
        <v>0.05</v>
      </c>
      <c r="I660">
        <f t="shared" si="43"/>
        <v>0</v>
      </c>
      <c r="J660">
        <f>IF(I659=0,0,C659-I659)</f>
        <v>0</v>
      </c>
    </row>
    <row r="661" spans="1:10" x14ac:dyDescent="0.25">
      <c r="A661" s="1">
        <v>39679</v>
      </c>
      <c r="B661">
        <v>5.9540199999999999</v>
      </c>
      <c r="C661">
        <v>6.3949999999999996</v>
      </c>
      <c r="D661">
        <f>WEEKDAY(A661,14)</f>
        <v>6</v>
      </c>
      <c r="E661">
        <f t="shared" si="40"/>
        <v>0.7</v>
      </c>
      <c r="F661">
        <f t="shared" si="41"/>
        <v>4</v>
      </c>
      <c r="G661">
        <f>IF(F661&gt;F660,G660+B661*E661,B661*E661)</f>
        <v>4.4656134999999999</v>
      </c>
      <c r="H661">
        <f t="shared" si="42"/>
        <v>0.75</v>
      </c>
      <c r="I661">
        <f t="shared" si="43"/>
        <v>0</v>
      </c>
      <c r="J661">
        <f>IF(I660=0,0,C660-I660)</f>
        <v>0</v>
      </c>
    </row>
    <row r="662" spans="1:10" x14ac:dyDescent="0.25">
      <c r="A662" s="1">
        <v>39680</v>
      </c>
      <c r="B662">
        <v>5.8058300000000003</v>
      </c>
      <c r="C662">
        <v>6.3949999999999996</v>
      </c>
      <c r="D662">
        <f>WEEKDAY(A662,14)</f>
        <v>7</v>
      </c>
      <c r="E662">
        <f t="shared" si="40"/>
        <v>0.25</v>
      </c>
      <c r="F662">
        <f t="shared" si="41"/>
        <v>5</v>
      </c>
      <c r="G662">
        <f>IF(F662&gt;F661,G661+B662*E662,B662*E662)</f>
        <v>5.917071</v>
      </c>
      <c r="H662">
        <f t="shared" si="42"/>
        <v>1</v>
      </c>
      <c r="I662">
        <f t="shared" si="43"/>
        <v>5.917071</v>
      </c>
      <c r="J662">
        <f>IF(I661=0,0,C661-I661)</f>
        <v>0</v>
      </c>
    </row>
    <row r="663" spans="1:10" x14ac:dyDescent="0.25">
      <c r="A663" s="1">
        <v>39681</v>
      </c>
      <c r="B663">
        <v>5.9001000000000001</v>
      </c>
      <c r="C663">
        <v>6.3</v>
      </c>
      <c r="D663">
        <f>WEEKDAY(A663,14)</f>
        <v>1</v>
      </c>
      <c r="E663">
        <f t="shared" si="40"/>
        <v>0</v>
      </c>
      <c r="F663">
        <f t="shared" si="41"/>
        <v>1</v>
      </c>
      <c r="G663">
        <f>IF(F663&gt;F662,G662+B663*E663,B663*E663)</f>
        <v>0</v>
      </c>
      <c r="H663">
        <f t="shared" si="42"/>
        <v>0</v>
      </c>
      <c r="I663">
        <f t="shared" si="43"/>
        <v>0</v>
      </c>
      <c r="J663">
        <f>IF(I662=0,0,C662-I662)</f>
        <v>0.4779289999999996</v>
      </c>
    </row>
    <row r="664" spans="1:10" x14ac:dyDescent="0.25">
      <c r="A664" s="1">
        <v>39682</v>
      </c>
      <c r="B664">
        <v>5.9374900000000004</v>
      </c>
      <c r="C664">
        <v>6.3</v>
      </c>
      <c r="D664">
        <f>WEEKDAY(A664,14)</f>
        <v>2</v>
      </c>
      <c r="E664">
        <f t="shared" si="40"/>
        <v>0</v>
      </c>
      <c r="F664">
        <f t="shared" si="41"/>
        <v>2</v>
      </c>
      <c r="G664">
        <f>IF(F664&gt;F663,G663+B664*E664,B664*E664)</f>
        <v>0</v>
      </c>
      <c r="H664">
        <f t="shared" si="42"/>
        <v>0</v>
      </c>
      <c r="I664">
        <f t="shared" si="43"/>
        <v>0</v>
      </c>
      <c r="J664">
        <f>IF(I663=0,0,C663-I663)</f>
        <v>0</v>
      </c>
    </row>
    <row r="665" spans="1:10" x14ac:dyDescent="0.25">
      <c r="A665" s="1">
        <v>39685</v>
      </c>
      <c r="B665">
        <v>5.8719400000000004</v>
      </c>
      <c r="C665">
        <v>6.3</v>
      </c>
      <c r="D665">
        <f>WEEKDAY(A665,14)</f>
        <v>5</v>
      </c>
      <c r="E665">
        <f t="shared" si="40"/>
        <v>0.05</v>
      </c>
      <c r="F665">
        <f t="shared" si="41"/>
        <v>3</v>
      </c>
      <c r="G665">
        <f>IF(F665&gt;F664,G664+B665*E665,B665*E665)</f>
        <v>0.29359700000000005</v>
      </c>
      <c r="H665">
        <f t="shared" si="42"/>
        <v>0.05</v>
      </c>
      <c r="I665">
        <f t="shared" si="43"/>
        <v>0</v>
      </c>
      <c r="J665">
        <f>IF(I664=0,0,C664-I664)</f>
        <v>0</v>
      </c>
    </row>
    <row r="666" spans="1:10" x14ac:dyDescent="0.25">
      <c r="A666" s="1">
        <v>39686</v>
      </c>
      <c r="B666">
        <v>5.8323200000000002</v>
      </c>
      <c r="C666">
        <v>6.3</v>
      </c>
      <c r="D666">
        <f>WEEKDAY(A666,14)</f>
        <v>6</v>
      </c>
      <c r="E666">
        <f t="shared" si="40"/>
        <v>0.7</v>
      </c>
      <c r="F666">
        <f t="shared" si="41"/>
        <v>4</v>
      </c>
      <c r="G666">
        <f>IF(F666&gt;F665,G665+B666*E666,B666*E666)</f>
        <v>4.3762210000000001</v>
      </c>
      <c r="H666">
        <f t="shared" si="42"/>
        <v>0.75</v>
      </c>
      <c r="I666">
        <f t="shared" si="43"/>
        <v>0</v>
      </c>
      <c r="J666">
        <f>IF(I665=0,0,C665-I665)</f>
        <v>0</v>
      </c>
    </row>
    <row r="667" spans="1:10" x14ac:dyDescent="0.25">
      <c r="A667" s="1">
        <v>39687</v>
      </c>
      <c r="B667">
        <v>5.8014999999999999</v>
      </c>
      <c r="C667">
        <v>6.3</v>
      </c>
      <c r="D667">
        <f>WEEKDAY(A667,14)</f>
        <v>7</v>
      </c>
      <c r="E667">
        <f t="shared" si="40"/>
        <v>0.25</v>
      </c>
      <c r="F667">
        <f t="shared" si="41"/>
        <v>5</v>
      </c>
      <c r="G667">
        <f>IF(F667&gt;F666,G666+B667*E667,B667*E667)</f>
        <v>5.8265960000000003</v>
      </c>
      <c r="H667">
        <f t="shared" si="42"/>
        <v>1</v>
      </c>
      <c r="I667">
        <f t="shared" si="43"/>
        <v>5.8265960000000003</v>
      </c>
      <c r="J667">
        <f>IF(I666=0,0,C666-I666)</f>
        <v>0</v>
      </c>
    </row>
    <row r="668" spans="1:10" x14ac:dyDescent="0.25">
      <c r="A668" s="1">
        <v>39688</v>
      </c>
      <c r="B668">
        <v>5.7672299999999996</v>
      </c>
      <c r="C668">
        <v>6.2750000000000004</v>
      </c>
      <c r="D668">
        <f>WEEKDAY(A668,14)</f>
        <v>1</v>
      </c>
      <c r="E668">
        <f t="shared" si="40"/>
        <v>0</v>
      </c>
      <c r="F668">
        <f t="shared" si="41"/>
        <v>1</v>
      </c>
      <c r="G668">
        <f>IF(F668&gt;F667,G667+B668*E668,B668*E668)</f>
        <v>0</v>
      </c>
      <c r="H668">
        <f t="shared" si="42"/>
        <v>0</v>
      </c>
      <c r="I668">
        <f t="shared" si="43"/>
        <v>0</v>
      </c>
      <c r="J668">
        <f>IF(I667=0,0,C667-I667)</f>
        <v>0.47340399999999949</v>
      </c>
    </row>
    <row r="669" spans="1:10" x14ac:dyDescent="0.25">
      <c r="A669" s="1">
        <v>39689</v>
      </c>
      <c r="B669">
        <v>5.7985300000000004</v>
      </c>
      <c r="C669">
        <v>6.2750000000000004</v>
      </c>
      <c r="D669">
        <f>WEEKDAY(A669,14)</f>
        <v>2</v>
      </c>
      <c r="E669">
        <f t="shared" si="40"/>
        <v>0</v>
      </c>
      <c r="F669">
        <f t="shared" si="41"/>
        <v>2</v>
      </c>
      <c r="G669">
        <f>IF(F669&gt;F668,G668+B669*E669,B669*E669)</f>
        <v>0</v>
      </c>
      <c r="H669">
        <f t="shared" si="42"/>
        <v>0</v>
      </c>
      <c r="I669">
        <f t="shared" si="43"/>
        <v>0</v>
      </c>
      <c r="J669">
        <f>IF(I668=0,0,C668-I668)</f>
        <v>0</v>
      </c>
    </row>
    <row r="670" spans="1:10" x14ac:dyDescent="0.25">
      <c r="A670" s="1">
        <v>39693</v>
      </c>
      <c r="B670">
        <v>5.7615800000000004</v>
      </c>
      <c r="C670">
        <v>6.2750000000000004</v>
      </c>
      <c r="D670">
        <f>WEEKDAY(A670,14)</f>
        <v>6</v>
      </c>
      <c r="E670">
        <f t="shared" si="40"/>
        <v>0.7</v>
      </c>
      <c r="F670">
        <f t="shared" si="41"/>
        <v>3</v>
      </c>
      <c r="G670">
        <f>IF(F670&gt;F669,G669+B670*E670,B670*E670)</f>
        <v>4.0331060000000001</v>
      </c>
      <c r="H670">
        <f t="shared" si="42"/>
        <v>0.7</v>
      </c>
      <c r="I670">
        <f t="shared" si="43"/>
        <v>0</v>
      </c>
      <c r="J670">
        <f>IF(I669=0,0,C669-I669)</f>
        <v>0</v>
      </c>
    </row>
    <row r="671" spans="1:10" x14ac:dyDescent="0.25">
      <c r="A671" s="1">
        <v>39694</v>
      </c>
      <c r="B671">
        <v>5.7032400000000001</v>
      </c>
      <c r="C671">
        <v>6.2750000000000004</v>
      </c>
      <c r="D671">
        <f>WEEKDAY(A671,14)</f>
        <v>7</v>
      </c>
      <c r="E671">
        <f t="shared" si="40"/>
        <v>0.25</v>
      </c>
      <c r="F671">
        <f t="shared" si="41"/>
        <v>4</v>
      </c>
      <c r="G671">
        <f>IF(F671&gt;F670,G670+B671*E671,B671*E671)</f>
        <v>5.4589160000000003</v>
      </c>
      <c r="H671">
        <f t="shared" si="42"/>
        <v>0.95</v>
      </c>
      <c r="I671">
        <f t="shared" si="43"/>
        <v>5.746227368421053</v>
      </c>
      <c r="J671">
        <f>IF(I670=0,0,C670-I670)</f>
        <v>0</v>
      </c>
    </row>
    <row r="672" spans="1:10" x14ac:dyDescent="0.25">
      <c r="A672" s="1">
        <v>39695</v>
      </c>
      <c r="B672">
        <v>5.6059299999999999</v>
      </c>
      <c r="C672">
        <v>5.8550000000000004</v>
      </c>
      <c r="D672">
        <f>WEEKDAY(A672,14)</f>
        <v>1</v>
      </c>
      <c r="E672">
        <f t="shared" si="40"/>
        <v>0</v>
      </c>
      <c r="F672">
        <f t="shared" si="41"/>
        <v>1</v>
      </c>
      <c r="G672">
        <f>IF(F672&gt;F671,G671+B672*E672,B672*E672)</f>
        <v>0</v>
      </c>
      <c r="H672">
        <f t="shared" si="42"/>
        <v>0</v>
      </c>
      <c r="I672">
        <f t="shared" si="43"/>
        <v>0</v>
      </c>
      <c r="J672">
        <f>IF(I671=0,0,C671-I671)</f>
        <v>0.52877263157894738</v>
      </c>
    </row>
    <row r="673" spans="1:10" x14ac:dyDescent="0.25">
      <c r="A673" s="1">
        <v>39696</v>
      </c>
      <c r="B673">
        <v>5.64419</v>
      </c>
      <c r="C673">
        <v>5.8550000000000004</v>
      </c>
      <c r="D673">
        <f>WEEKDAY(A673,14)</f>
        <v>2</v>
      </c>
      <c r="E673">
        <f t="shared" si="40"/>
        <v>0</v>
      </c>
      <c r="F673">
        <f t="shared" si="41"/>
        <v>2</v>
      </c>
      <c r="G673">
        <f>IF(F673&gt;F672,G672+B673*E673,B673*E673)</f>
        <v>0</v>
      </c>
      <c r="H673">
        <f t="shared" si="42"/>
        <v>0</v>
      </c>
      <c r="I673">
        <f t="shared" si="43"/>
        <v>0</v>
      </c>
      <c r="J673">
        <f>IF(I672=0,0,C672-I672)</f>
        <v>0</v>
      </c>
    </row>
    <row r="674" spans="1:10" x14ac:dyDescent="0.25">
      <c r="A674" s="1">
        <v>39699</v>
      </c>
      <c r="B674">
        <v>5.1134300000000001</v>
      </c>
      <c r="C674">
        <v>5.8550000000000004</v>
      </c>
      <c r="D674">
        <f>WEEKDAY(A674,14)</f>
        <v>5</v>
      </c>
      <c r="E674">
        <f t="shared" si="40"/>
        <v>0.05</v>
      </c>
      <c r="F674">
        <f t="shared" si="41"/>
        <v>3</v>
      </c>
      <c r="G674">
        <f>IF(F674&gt;F673,G673+B674*E674,B674*E674)</f>
        <v>0.2556715</v>
      </c>
      <c r="H674">
        <f t="shared" si="42"/>
        <v>0.05</v>
      </c>
      <c r="I674">
        <f t="shared" si="43"/>
        <v>0</v>
      </c>
      <c r="J674">
        <f>IF(I673=0,0,C673-I673)</f>
        <v>0</v>
      </c>
    </row>
    <row r="675" spans="1:10" x14ac:dyDescent="0.25">
      <c r="A675" s="1">
        <v>39700</v>
      </c>
      <c r="B675">
        <v>5.1455200000000003</v>
      </c>
      <c r="C675">
        <v>5.8550000000000004</v>
      </c>
      <c r="D675">
        <f>WEEKDAY(A675,14)</f>
        <v>6</v>
      </c>
      <c r="E675">
        <f t="shared" si="40"/>
        <v>0.7</v>
      </c>
      <c r="F675">
        <f t="shared" si="41"/>
        <v>4</v>
      </c>
      <c r="G675">
        <f>IF(F675&gt;F674,G674+B675*E675,B675*E675)</f>
        <v>3.8575355</v>
      </c>
      <c r="H675">
        <f t="shared" si="42"/>
        <v>0.75</v>
      </c>
      <c r="I675">
        <f t="shared" si="43"/>
        <v>0</v>
      </c>
      <c r="J675">
        <f>IF(I674=0,0,C674-I674)</f>
        <v>0</v>
      </c>
    </row>
    <row r="676" spans="1:10" x14ac:dyDescent="0.25">
      <c r="A676" s="1">
        <v>39701</v>
      </c>
      <c r="B676">
        <v>5.2077400000000003</v>
      </c>
      <c r="C676">
        <v>5.8550000000000004</v>
      </c>
      <c r="D676">
        <f>WEEKDAY(A676,14)</f>
        <v>7</v>
      </c>
      <c r="E676">
        <f t="shared" si="40"/>
        <v>0.25</v>
      </c>
      <c r="F676">
        <f t="shared" si="41"/>
        <v>5</v>
      </c>
      <c r="G676">
        <f>IF(F676&gt;F675,G675+B676*E676,B676*E676)</f>
        <v>5.1594705000000003</v>
      </c>
      <c r="H676">
        <f t="shared" si="42"/>
        <v>1</v>
      </c>
      <c r="I676">
        <f t="shared" si="43"/>
        <v>5.1594705000000003</v>
      </c>
      <c r="J676">
        <f>IF(I675=0,0,C675-I675)</f>
        <v>0</v>
      </c>
    </row>
    <row r="677" spans="1:10" x14ac:dyDescent="0.25">
      <c r="A677" s="1">
        <v>39702</v>
      </c>
      <c r="B677">
        <v>5.2001799999999996</v>
      </c>
      <c r="C677">
        <v>5.68</v>
      </c>
      <c r="D677">
        <f>WEEKDAY(A677,14)</f>
        <v>1</v>
      </c>
      <c r="E677">
        <f t="shared" si="40"/>
        <v>0</v>
      </c>
      <c r="F677">
        <f t="shared" si="41"/>
        <v>1</v>
      </c>
      <c r="G677">
        <f>IF(F677&gt;F676,G676+B677*E677,B677*E677)</f>
        <v>0</v>
      </c>
      <c r="H677">
        <f t="shared" si="42"/>
        <v>0</v>
      </c>
      <c r="I677">
        <f t="shared" si="43"/>
        <v>0</v>
      </c>
      <c r="J677">
        <f>IF(I676=0,0,C676-I676)</f>
        <v>0.69552950000000013</v>
      </c>
    </row>
    <row r="678" spans="1:10" x14ac:dyDescent="0.25">
      <c r="A678" s="1">
        <v>39703</v>
      </c>
      <c r="B678">
        <v>5.3041999999999998</v>
      </c>
      <c r="C678">
        <v>5.68</v>
      </c>
      <c r="D678">
        <f>WEEKDAY(A678,14)</f>
        <v>2</v>
      </c>
      <c r="E678">
        <f t="shared" si="40"/>
        <v>0</v>
      </c>
      <c r="F678">
        <f t="shared" si="41"/>
        <v>2</v>
      </c>
      <c r="G678">
        <f>IF(F678&gt;F677,G677+B678*E678,B678*E678)</f>
        <v>0</v>
      </c>
      <c r="H678">
        <f t="shared" si="42"/>
        <v>0</v>
      </c>
      <c r="I678">
        <f t="shared" si="43"/>
        <v>0</v>
      </c>
      <c r="J678">
        <f>IF(I677=0,0,C677-I677)</f>
        <v>0</v>
      </c>
    </row>
    <row r="679" spans="1:10" x14ac:dyDescent="0.25">
      <c r="A679" s="1">
        <v>39706</v>
      </c>
      <c r="B679">
        <v>5.01762</v>
      </c>
      <c r="C679">
        <v>5.68</v>
      </c>
      <c r="D679">
        <f>WEEKDAY(A679,14)</f>
        <v>5</v>
      </c>
      <c r="E679">
        <f t="shared" si="40"/>
        <v>0.05</v>
      </c>
      <c r="F679">
        <f t="shared" si="41"/>
        <v>3</v>
      </c>
      <c r="G679">
        <f>IF(F679&gt;F678,G678+B679*E679,B679*E679)</f>
        <v>0.25088100000000002</v>
      </c>
      <c r="H679">
        <f t="shared" si="42"/>
        <v>0.05</v>
      </c>
      <c r="I679">
        <f t="shared" si="43"/>
        <v>0</v>
      </c>
      <c r="J679">
        <f>IF(I678=0,0,C678-I678)</f>
        <v>0</v>
      </c>
    </row>
    <row r="680" spans="1:10" x14ac:dyDescent="0.25">
      <c r="A680" s="1">
        <v>39707</v>
      </c>
      <c r="B680">
        <v>5.1995100000000001</v>
      </c>
      <c r="C680">
        <v>5.68</v>
      </c>
      <c r="D680">
        <f>WEEKDAY(A680,14)</f>
        <v>6</v>
      </c>
      <c r="E680">
        <f t="shared" si="40"/>
        <v>0.7</v>
      </c>
      <c r="F680">
        <f t="shared" si="41"/>
        <v>4</v>
      </c>
      <c r="G680">
        <f>IF(F680&gt;F679,G679+B680*E680,B680*E680)</f>
        <v>3.8905379999999998</v>
      </c>
      <c r="H680">
        <f t="shared" si="42"/>
        <v>0.75</v>
      </c>
      <c r="I680">
        <f t="shared" si="43"/>
        <v>0</v>
      </c>
      <c r="J680">
        <f>IF(I679=0,0,C679-I679)</f>
        <v>0</v>
      </c>
    </row>
    <row r="681" spans="1:10" x14ac:dyDescent="0.25">
      <c r="A681" s="1">
        <v>39708</v>
      </c>
      <c r="B681">
        <v>5.2189699999999997</v>
      </c>
      <c r="C681">
        <v>5.68</v>
      </c>
      <c r="D681">
        <f>WEEKDAY(A681,14)</f>
        <v>7</v>
      </c>
      <c r="E681">
        <f t="shared" si="40"/>
        <v>0.25</v>
      </c>
      <c r="F681">
        <f t="shared" si="41"/>
        <v>5</v>
      </c>
      <c r="G681">
        <f>IF(F681&gt;F680,G680+B681*E681,B681*E681)</f>
        <v>5.1952805</v>
      </c>
      <c r="H681">
        <f t="shared" si="42"/>
        <v>1</v>
      </c>
      <c r="I681">
        <f t="shared" si="43"/>
        <v>5.1952805</v>
      </c>
      <c r="J681">
        <f>IF(I680=0,0,C680-I680)</f>
        <v>0</v>
      </c>
    </row>
    <row r="682" spans="1:10" x14ac:dyDescent="0.25">
      <c r="A682" s="1">
        <v>39709</v>
      </c>
      <c r="B682">
        <v>5.2405900000000001</v>
      </c>
      <c r="C682">
        <v>6.0149999999999997</v>
      </c>
      <c r="D682">
        <f>WEEKDAY(A682,14)</f>
        <v>1</v>
      </c>
      <c r="E682">
        <f t="shared" si="40"/>
        <v>0</v>
      </c>
      <c r="F682">
        <f t="shared" si="41"/>
        <v>1</v>
      </c>
      <c r="G682">
        <f>IF(F682&gt;F681,G681+B682*E682,B682*E682)</f>
        <v>0</v>
      </c>
      <c r="H682">
        <f t="shared" si="42"/>
        <v>0</v>
      </c>
      <c r="I682">
        <f t="shared" si="43"/>
        <v>0</v>
      </c>
      <c r="J682">
        <f>IF(I681=0,0,C681-I681)</f>
        <v>0.48471949999999975</v>
      </c>
    </row>
    <row r="683" spans="1:10" x14ac:dyDescent="0.25">
      <c r="A683" s="1">
        <v>39710</v>
      </c>
      <c r="B683">
        <v>5.2941200000000004</v>
      </c>
      <c r="C683">
        <v>6.0149999999999997</v>
      </c>
      <c r="D683">
        <f>WEEKDAY(A683,14)</f>
        <v>2</v>
      </c>
      <c r="E683">
        <f t="shared" si="40"/>
        <v>0</v>
      </c>
      <c r="F683">
        <f t="shared" si="41"/>
        <v>2</v>
      </c>
      <c r="G683">
        <f>IF(F683&gt;F682,G682+B683*E683,B683*E683)</f>
        <v>0</v>
      </c>
      <c r="H683">
        <f t="shared" si="42"/>
        <v>0</v>
      </c>
      <c r="I683">
        <f t="shared" si="43"/>
        <v>0</v>
      </c>
      <c r="J683">
        <f>IF(I682=0,0,C682-I682)</f>
        <v>0</v>
      </c>
    </row>
    <row r="684" spans="1:10" x14ac:dyDescent="0.25">
      <c r="A684" s="1">
        <v>39713</v>
      </c>
      <c r="B684">
        <v>5.4334499999999997</v>
      </c>
      <c r="C684">
        <v>6.0149999999999997</v>
      </c>
      <c r="D684">
        <f>WEEKDAY(A684,14)</f>
        <v>5</v>
      </c>
      <c r="E684">
        <f t="shared" si="40"/>
        <v>0.05</v>
      </c>
      <c r="F684">
        <f t="shared" si="41"/>
        <v>3</v>
      </c>
      <c r="G684">
        <f>IF(F684&gt;F683,G683+B684*E684,B684*E684)</f>
        <v>0.27167249999999998</v>
      </c>
      <c r="H684">
        <f t="shared" si="42"/>
        <v>0.05</v>
      </c>
      <c r="I684">
        <f t="shared" si="43"/>
        <v>0</v>
      </c>
      <c r="J684">
        <f>IF(I683=0,0,C683-I683)</f>
        <v>0</v>
      </c>
    </row>
    <row r="685" spans="1:10" x14ac:dyDescent="0.25">
      <c r="A685" s="1">
        <v>39714</v>
      </c>
      <c r="B685">
        <v>5.4654299999999996</v>
      </c>
      <c r="C685">
        <v>6.0149999999999997</v>
      </c>
      <c r="D685">
        <f>WEEKDAY(A685,14)</f>
        <v>6</v>
      </c>
      <c r="E685">
        <f t="shared" si="40"/>
        <v>0.7</v>
      </c>
      <c r="F685">
        <f t="shared" si="41"/>
        <v>4</v>
      </c>
      <c r="G685">
        <f>IF(F685&gt;F684,G684+B685*E685,B685*E685)</f>
        <v>4.0974734999999995</v>
      </c>
      <c r="H685">
        <f t="shared" si="42"/>
        <v>0.75</v>
      </c>
      <c r="I685">
        <f t="shared" si="43"/>
        <v>0</v>
      </c>
      <c r="J685">
        <f>IF(I684=0,0,C684-I684)</f>
        <v>0</v>
      </c>
    </row>
    <row r="686" spans="1:10" x14ac:dyDescent="0.25">
      <c r="A686" s="1">
        <v>39715</v>
      </c>
      <c r="B686">
        <v>5.4648599999999998</v>
      </c>
      <c r="C686">
        <v>6.0149999999999997</v>
      </c>
      <c r="D686">
        <f>WEEKDAY(A686,14)</f>
        <v>7</v>
      </c>
      <c r="E686">
        <f t="shared" si="40"/>
        <v>0.25</v>
      </c>
      <c r="F686">
        <f t="shared" si="41"/>
        <v>5</v>
      </c>
      <c r="G686">
        <f>IF(F686&gt;F685,G685+B686*E686,B686*E686)</f>
        <v>5.4636884999999999</v>
      </c>
      <c r="H686">
        <f t="shared" si="42"/>
        <v>1</v>
      </c>
      <c r="I686">
        <f t="shared" si="43"/>
        <v>5.4636884999999999</v>
      </c>
      <c r="J686">
        <f>IF(I685=0,0,C685-I685)</f>
        <v>0</v>
      </c>
    </row>
    <row r="687" spans="1:10" x14ac:dyDescent="0.25">
      <c r="A687" s="1">
        <v>39716</v>
      </c>
      <c r="B687">
        <v>5.4752999999999998</v>
      </c>
      <c r="C687">
        <v>6</v>
      </c>
      <c r="D687">
        <f>WEEKDAY(A687,14)</f>
        <v>1</v>
      </c>
      <c r="E687">
        <f t="shared" si="40"/>
        <v>0</v>
      </c>
      <c r="F687">
        <f t="shared" si="41"/>
        <v>1</v>
      </c>
      <c r="G687">
        <f>IF(F687&gt;F686,G686+B687*E687,B687*E687)</f>
        <v>0</v>
      </c>
      <c r="H687">
        <f t="shared" si="42"/>
        <v>0</v>
      </c>
      <c r="I687">
        <f t="shared" si="43"/>
        <v>0</v>
      </c>
      <c r="J687">
        <f>IF(I686=0,0,C686-I686)</f>
        <v>0.55131149999999973</v>
      </c>
    </row>
    <row r="688" spans="1:10" x14ac:dyDescent="0.25">
      <c r="A688" s="1">
        <v>39717</v>
      </c>
      <c r="B688">
        <v>5.45085</v>
      </c>
      <c r="C688">
        <v>6</v>
      </c>
      <c r="D688">
        <f>WEEKDAY(A688,14)</f>
        <v>2</v>
      </c>
      <c r="E688">
        <f t="shared" si="40"/>
        <v>0</v>
      </c>
      <c r="F688">
        <f t="shared" si="41"/>
        <v>2</v>
      </c>
      <c r="G688">
        <f>IF(F688&gt;F687,G687+B688*E688,B688*E688)</f>
        <v>0</v>
      </c>
      <c r="H688">
        <f t="shared" si="42"/>
        <v>0</v>
      </c>
      <c r="I688">
        <f t="shared" si="43"/>
        <v>0</v>
      </c>
      <c r="J688">
        <f>IF(I687=0,0,C687-I687)</f>
        <v>0</v>
      </c>
    </row>
    <row r="689" spans="1:10" x14ac:dyDescent="0.25">
      <c r="A689" s="1">
        <v>39720</v>
      </c>
      <c r="B689">
        <v>5.3650399999999996</v>
      </c>
      <c r="C689">
        <v>6</v>
      </c>
      <c r="D689">
        <f>WEEKDAY(A689,14)</f>
        <v>5</v>
      </c>
      <c r="E689">
        <f t="shared" si="40"/>
        <v>0.05</v>
      </c>
      <c r="F689">
        <f t="shared" si="41"/>
        <v>3</v>
      </c>
      <c r="G689">
        <f>IF(F689&gt;F688,G688+B689*E689,B689*E689)</f>
        <v>0.26825199999999999</v>
      </c>
      <c r="H689">
        <f t="shared" si="42"/>
        <v>0.05</v>
      </c>
      <c r="I689">
        <f t="shared" si="43"/>
        <v>0</v>
      </c>
      <c r="J689">
        <f>IF(I688=0,0,C688-I688)</f>
        <v>0</v>
      </c>
    </row>
    <row r="690" spans="1:10" x14ac:dyDescent="0.25">
      <c r="A690" s="1">
        <v>39721</v>
      </c>
      <c r="B690">
        <v>5.5156000000000001</v>
      </c>
      <c r="C690">
        <v>6</v>
      </c>
      <c r="D690">
        <f>WEEKDAY(A690,14)</f>
        <v>6</v>
      </c>
      <c r="E690">
        <f t="shared" si="40"/>
        <v>0.7</v>
      </c>
      <c r="F690">
        <f t="shared" si="41"/>
        <v>4</v>
      </c>
      <c r="G690">
        <f>IF(F690&gt;F689,G689+B690*E690,B690*E690)</f>
        <v>4.1291719999999996</v>
      </c>
      <c r="H690">
        <f t="shared" si="42"/>
        <v>0.75</v>
      </c>
      <c r="I690">
        <f t="shared" si="43"/>
        <v>0</v>
      </c>
      <c r="J690">
        <f>IF(I689=0,0,C689-I689)</f>
        <v>0</v>
      </c>
    </row>
    <row r="691" spans="1:10" x14ac:dyDescent="0.25">
      <c r="A691" s="1">
        <v>39722</v>
      </c>
      <c r="B691">
        <v>5.4970699999999999</v>
      </c>
      <c r="C691">
        <v>6</v>
      </c>
      <c r="D691">
        <f>WEEKDAY(A691,14)</f>
        <v>7</v>
      </c>
      <c r="E691">
        <f t="shared" si="40"/>
        <v>0.25</v>
      </c>
      <c r="F691">
        <f t="shared" si="41"/>
        <v>5</v>
      </c>
      <c r="G691">
        <f>IF(F691&gt;F690,G690+B691*E691,B691*E691)</f>
        <v>5.5034394999999998</v>
      </c>
      <c r="H691">
        <f t="shared" si="42"/>
        <v>1</v>
      </c>
      <c r="I691">
        <f t="shared" si="43"/>
        <v>5.5034394999999998</v>
      </c>
      <c r="J691">
        <f>IF(I690=0,0,C690-I690)</f>
        <v>0</v>
      </c>
    </row>
    <row r="692" spans="1:10" x14ac:dyDescent="0.25">
      <c r="A692" s="1">
        <v>39723</v>
      </c>
      <c r="B692">
        <v>5.4569400000000003</v>
      </c>
      <c r="C692">
        <v>5.84</v>
      </c>
      <c r="D692">
        <f>WEEKDAY(A692,14)</f>
        <v>1</v>
      </c>
      <c r="E692">
        <f t="shared" si="40"/>
        <v>0</v>
      </c>
      <c r="F692">
        <f t="shared" si="41"/>
        <v>1</v>
      </c>
      <c r="G692">
        <f>IF(F692&gt;F691,G691+B692*E692,B692*E692)</f>
        <v>0</v>
      </c>
      <c r="H692">
        <f t="shared" si="42"/>
        <v>0</v>
      </c>
      <c r="I692">
        <f t="shared" si="43"/>
        <v>0</v>
      </c>
      <c r="J692">
        <f>IF(I691=0,0,C691-I691)</f>
        <v>0.49656050000000018</v>
      </c>
    </row>
    <row r="693" spans="1:10" x14ac:dyDescent="0.25">
      <c r="A693" s="1">
        <v>39724</v>
      </c>
      <c r="B693">
        <v>5.4474999999999998</v>
      </c>
      <c r="C693">
        <v>5.84</v>
      </c>
      <c r="D693">
        <f>WEEKDAY(A693,14)</f>
        <v>2</v>
      </c>
      <c r="E693">
        <f t="shared" si="40"/>
        <v>0</v>
      </c>
      <c r="F693">
        <f t="shared" si="41"/>
        <v>2</v>
      </c>
      <c r="G693">
        <f>IF(F693&gt;F692,G692+B693*E693,B693*E693)</f>
        <v>0</v>
      </c>
      <c r="H693">
        <f t="shared" si="42"/>
        <v>0</v>
      </c>
      <c r="I693">
        <f t="shared" si="43"/>
        <v>0</v>
      </c>
      <c r="J693">
        <f>IF(I692=0,0,C692-I692)</f>
        <v>0</v>
      </c>
    </row>
    <row r="694" spans="1:10" x14ac:dyDescent="0.25">
      <c r="A694" s="1">
        <v>39727</v>
      </c>
      <c r="B694">
        <v>5.2116199999999999</v>
      </c>
      <c r="C694">
        <v>5.84</v>
      </c>
      <c r="D694">
        <f>WEEKDAY(A694,14)</f>
        <v>5</v>
      </c>
      <c r="E694">
        <f t="shared" si="40"/>
        <v>0.05</v>
      </c>
      <c r="F694">
        <f t="shared" si="41"/>
        <v>3</v>
      </c>
      <c r="G694">
        <f>IF(F694&gt;F693,G693+B694*E694,B694*E694)</f>
        <v>0.26058100000000001</v>
      </c>
      <c r="H694">
        <f t="shared" si="42"/>
        <v>0.05</v>
      </c>
      <c r="I694">
        <f t="shared" si="43"/>
        <v>0</v>
      </c>
      <c r="J694">
        <f>IF(I693=0,0,C693-I693)</f>
        <v>0</v>
      </c>
    </row>
    <row r="695" spans="1:10" x14ac:dyDescent="0.25">
      <c r="A695" s="1">
        <v>39728</v>
      </c>
      <c r="B695">
        <v>5.26288</v>
      </c>
      <c r="C695">
        <v>5.84</v>
      </c>
      <c r="D695">
        <f>WEEKDAY(A695,14)</f>
        <v>6</v>
      </c>
      <c r="E695">
        <f t="shared" si="40"/>
        <v>0.7</v>
      </c>
      <c r="F695">
        <f t="shared" si="41"/>
        <v>4</v>
      </c>
      <c r="G695">
        <f>IF(F695&gt;F694,G694+B695*E695,B695*E695)</f>
        <v>3.9445969999999999</v>
      </c>
      <c r="H695">
        <f t="shared" si="42"/>
        <v>0.75</v>
      </c>
      <c r="I695">
        <f t="shared" si="43"/>
        <v>0</v>
      </c>
      <c r="J695">
        <f>IF(I694=0,0,C694-I694)</f>
        <v>0</v>
      </c>
    </row>
    <row r="696" spans="1:10" x14ac:dyDescent="0.25">
      <c r="A696" s="1">
        <v>39729</v>
      </c>
      <c r="B696">
        <v>5.4523200000000003</v>
      </c>
      <c r="C696">
        <v>5.84</v>
      </c>
      <c r="D696">
        <f>WEEKDAY(A696,14)</f>
        <v>7</v>
      </c>
      <c r="E696">
        <f t="shared" si="40"/>
        <v>0.25</v>
      </c>
      <c r="F696">
        <f t="shared" si="41"/>
        <v>5</v>
      </c>
      <c r="G696">
        <f>IF(F696&gt;F695,G695+B696*E696,B696*E696)</f>
        <v>5.307677</v>
      </c>
      <c r="H696">
        <f t="shared" si="42"/>
        <v>1</v>
      </c>
      <c r="I696">
        <f t="shared" si="43"/>
        <v>5.307677</v>
      </c>
      <c r="J696">
        <f>IF(I695=0,0,C695-I695)</f>
        <v>0</v>
      </c>
    </row>
    <row r="697" spans="1:10" x14ac:dyDescent="0.25">
      <c r="A697" s="1">
        <v>39730</v>
      </c>
      <c r="B697">
        <v>5.6667399999999999</v>
      </c>
      <c r="C697">
        <v>6.36</v>
      </c>
      <c r="D697">
        <f>WEEKDAY(A697,14)</f>
        <v>1</v>
      </c>
      <c r="E697">
        <f t="shared" si="40"/>
        <v>0</v>
      </c>
      <c r="F697">
        <f t="shared" si="41"/>
        <v>1</v>
      </c>
      <c r="G697">
        <f>IF(F697&gt;F696,G696+B697*E697,B697*E697)</f>
        <v>0</v>
      </c>
      <c r="H697">
        <f t="shared" si="42"/>
        <v>0</v>
      </c>
      <c r="I697">
        <f t="shared" si="43"/>
        <v>0</v>
      </c>
      <c r="J697">
        <f>IF(I696=0,0,C696-I696)</f>
        <v>0.53232299999999988</v>
      </c>
    </row>
    <row r="698" spans="1:10" x14ac:dyDescent="0.25">
      <c r="A698" s="1">
        <v>39731</v>
      </c>
      <c r="B698">
        <v>5.8447699999999996</v>
      </c>
      <c r="C698">
        <v>6.36</v>
      </c>
      <c r="D698">
        <f>WEEKDAY(A698,14)</f>
        <v>2</v>
      </c>
      <c r="E698">
        <f t="shared" si="40"/>
        <v>0</v>
      </c>
      <c r="F698">
        <f t="shared" si="41"/>
        <v>2</v>
      </c>
      <c r="G698">
        <f>IF(F698&gt;F697,G697+B698*E698,B698*E698)</f>
        <v>0</v>
      </c>
      <c r="H698">
        <f t="shared" si="42"/>
        <v>0</v>
      </c>
      <c r="I698">
        <f t="shared" si="43"/>
        <v>0</v>
      </c>
      <c r="J698">
        <f>IF(I697=0,0,C697-I697)</f>
        <v>0</v>
      </c>
    </row>
    <row r="699" spans="1:10" x14ac:dyDescent="0.25">
      <c r="A699" s="1">
        <v>39735</v>
      </c>
      <c r="B699">
        <v>6.01234</v>
      </c>
      <c r="C699">
        <v>6.36</v>
      </c>
      <c r="D699">
        <f>WEEKDAY(A699,14)</f>
        <v>6</v>
      </c>
      <c r="E699">
        <f t="shared" si="40"/>
        <v>0.7</v>
      </c>
      <c r="F699">
        <f t="shared" si="41"/>
        <v>3</v>
      </c>
      <c r="G699">
        <f>IF(F699&gt;F698,G698+B699*E699,B699*E699)</f>
        <v>4.2086379999999997</v>
      </c>
      <c r="H699">
        <f t="shared" si="42"/>
        <v>0.7</v>
      </c>
      <c r="I699">
        <f t="shared" si="43"/>
        <v>0</v>
      </c>
      <c r="J699">
        <f>IF(I698=0,0,C698-I698)</f>
        <v>0</v>
      </c>
    </row>
    <row r="700" spans="1:10" x14ac:dyDescent="0.25">
      <c r="A700" s="1">
        <v>39736</v>
      </c>
      <c r="B700">
        <v>5.9051900000000002</v>
      </c>
      <c r="C700">
        <v>6.36</v>
      </c>
      <c r="D700">
        <f>WEEKDAY(A700,14)</f>
        <v>7</v>
      </c>
      <c r="E700">
        <f t="shared" si="40"/>
        <v>0.25</v>
      </c>
      <c r="F700">
        <f t="shared" si="41"/>
        <v>4</v>
      </c>
      <c r="G700">
        <f>IF(F700&gt;F699,G699+B700*E700,B700*E700)</f>
        <v>5.6849354999999999</v>
      </c>
      <c r="H700">
        <f t="shared" si="42"/>
        <v>0.95</v>
      </c>
      <c r="I700">
        <f t="shared" si="43"/>
        <v>5.9841426315789477</v>
      </c>
      <c r="J700">
        <f>IF(I699=0,0,C699-I699)</f>
        <v>0</v>
      </c>
    </row>
    <row r="701" spans="1:10" x14ac:dyDescent="0.25">
      <c r="A701" s="1">
        <v>39737</v>
      </c>
      <c r="B701">
        <v>5.8435800000000002</v>
      </c>
      <c r="C701">
        <v>5.94</v>
      </c>
      <c r="D701">
        <f>WEEKDAY(A701,14)</f>
        <v>1</v>
      </c>
      <c r="E701">
        <f t="shared" si="40"/>
        <v>0</v>
      </c>
      <c r="F701">
        <f t="shared" si="41"/>
        <v>1</v>
      </c>
      <c r="G701">
        <f>IF(F701&gt;F700,G700+B701*E701,B701*E701)</f>
        <v>0</v>
      </c>
      <c r="H701">
        <f t="shared" si="42"/>
        <v>0</v>
      </c>
      <c r="I701">
        <f t="shared" si="43"/>
        <v>0</v>
      </c>
      <c r="J701">
        <f>IF(I700=0,0,C700-I700)</f>
        <v>0.37585736842105266</v>
      </c>
    </row>
    <row r="702" spans="1:10" x14ac:dyDescent="0.25">
      <c r="A702" s="1">
        <v>39738</v>
      </c>
      <c r="B702">
        <v>5.8286699999999998</v>
      </c>
      <c r="C702">
        <v>5.94</v>
      </c>
      <c r="D702">
        <f>WEEKDAY(A702,14)</f>
        <v>2</v>
      </c>
      <c r="E702">
        <f t="shared" si="40"/>
        <v>0</v>
      </c>
      <c r="F702">
        <f t="shared" si="41"/>
        <v>2</v>
      </c>
      <c r="G702">
        <f>IF(F702&gt;F701,G701+B702*E702,B702*E702)</f>
        <v>0</v>
      </c>
      <c r="H702">
        <f t="shared" si="42"/>
        <v>0</v>
      </c>
      <c r="I702">
        <f t="shared" si="43"/>
        <v>0</v>
      </c>
      <c r="J702">
        <f>IF(I701=0,0,C701-I701)</f>
        <v>0</v>
      </c>
    </row>
    <row r="703" spans="1:10" x14ac:dyDescent="0.25">
      <c r="A703" s="1">
        <v>39741</v>
      </c>
      <c r="B703">
        <v>5.5088100000000004</v>
      </c>
      <c r="C703">
        <v>5.94</v>
      </c>
      <c r="D703">
        <f>WEEKDAY(A703,14)</f>
        <v>5</v>
      </c>
      <c r="E703">
        <f t="shared" si="40"/>
        <v>0.05</v>
      </c>
      <c r="F703">
        <f t="shared" si="41"/>
        <v>3</v>
      </c>
      <c r="G703">
        <f>IF(F703&gt;F702,G702+B703*E703,B703*E703)</f>
        <v>0.27544050000000003</v>
      </c>
      <c r="H703">
        <f t="shared" si="42"/>
        <v>0.05</v>
      </c>
      <c r="I703">
        <f t="shared" si="43"/>
        <v>0</v>
      </c>
      <c r="J703">
        <f>IF(I702=0,0,C702-I702)</f>
        <v>0</v>
      </c>
    </row>
    <row r="704" spans="1:10" x14ac:dyDescent="0.25">
      <c r="A704" s="1">
        <v>39742</v>
      </c>
      <c r="B704">
        <v>5.3554000000000004</v>
      </c>
      <c r="C704">
        <v>5.94</v>
      </c>
      <c r="D704">
        <f>WEEKDAY(A704,14)</f>
        <v>6</v>
      </c>
      <c r="E704">
        <f t="shared" si="40"/>
        <v>0.7</v>
      </c>
      <c r="F704">
        <f t="shared" si="41"/>
        <v>4</v>
      </c>
      <c r="G704">
        <f>IF(F704&gt;F703,G703+B704*E704,B704*E704)</f>
        <v>4.0242205000000002</v>
      </c>
      <c r="H704">
        <f t="shared" si="42"/>
        <v>0.75</v>
      </c>
      <c r="I704">
        <f t="shared" si="43"/>
        <v>0</v>
      </c>
      <c r="J704">
        <f>IF(I703=0,0,C703-I703)</f>
        <v>0</v>
      </c>
    </row>
    <row r="705" spans="1:10" x14ac:dyDescent="0.25">
      <c r="A705" s="1">
        <v>39743</v>
      </c>
      <c r="B705">
        <v>5.3763699999999996</v>
      </c>
      <c r="C705">
        <v>5.94</v>
      </c>
      <c r="D705">
        <f>WEEKDAY(A705,14)</f>
        <v>7</v>
      </c>
      <c r="E705">
        <f t="shared" si="40"/>
        <v>0.25</v>
      </c>
      <c r="F705">
        <f t="shared" si="41"/>
        <v>5</v>
      </c>
      <c r="G705">
        <f>IF(F705&gt;F704,G704+B705*E705,B705*E705)</f>
        <v>5.3683130000000006</v>
      </c>
      <c r="H705">
        <f t="shared" si="42"/>
        <v>1</v>
      </c>
      <c r="I705">
        <f t="shared" si="43"/>
        <v>5.3683130000000006</v>
      </c>
      <c r="J705">
        <f>IF(I704=0,0,C704-I704)</f>
        <v>0</v>
      </c>
    </row>
    <row r="706" spans="1:10" x14ac:dyDescent="0.25">
      <c r="A706" s="1">
        <v>39744</v>
      </c>
      <c r="B706">
        <v>5.4105499999999997</v>
      </c>
      <c r="C706">
        <v>6.3849999999999998</v>
      </c>
      <c r="D706">
        <f>WEEKDAY(A706,14)</f>
        <v>1</v>
      </c>
      <c r="E706">
        <f t="shared" si="40"/>
        <v>0</v>
      </c>
      <c r="F706">
        <f t="shared" si="41"/>
        <v>1</v>
      </c>
      <c r="G706">
        <f>IF(F706&gt;F705,G705+B706*E706,B706*E706)</f>
        <v>0</v>
      </c>
      <c r="H706">
        <f t="shared" si="42"/>
        <v>0</v>
      </c>
      <c r="I706">
        <f t="shared" si="43"/>
        <v>0</v>
      </c>
      <c r="J706">
        <f>IF(I705=0,0,C705-I705)</f>
        <v>0.57168699999999983</v>
      </c>
    </row>
    <row r="707" spans="1:10" x14ac:dyDescent="0.25">
      <c r="A707" s="1">
        <v>39745</v>
      </c>
      <c r="B707">
        <v>5.6750400000000001</v>
      </c>
      <c r="C707">
        <v>6.3849999999999998</v>
      </c>
      <c r="D707">
        <f>WEEKDAY(A707,14)</f>
        <v>2</v>
      </c>
      <c r="E707">
        <f t="shared" ref="E707:E770" si="44">VLOOKUP(D707,M$2:N$8,2,FALSE)</f>
        <v>0</v>
      </c>
      <c r="F707">
        <f t="shared" ref="F707:F770" si="45">IF(AND(D707&gt;D706,F706&lt;6),F706+1,1)</f>
        <v>2</v>
      </c>
      <c r="G707">
        <f>IF(F707&gt;F706,G706+B707*E707,B707*E707)</f>
        <v>0</v>
      </c>
      <c r="H707">
        <f t="shared" si="42"/>
        <v>0</v>
      </c>
      <c r="I707">
        <f t="shared" si="43"/>
        <v>0</v>
      </c>
      <c r="J707">
        <f>IF(I706=0,0,C706-I706)</f>
        <v>0</v>
      </c>
    </row>
    <row r="708" spans="1:10" x14ac:dyDescent="0.25">
      <c r="A708" s="1">
        <v>39748</v>
      </c>
      <c r="B708">
        <v>5.9199099999999998</v>
      </c>
      <c r="C708">
        <v>6.3849999999999998</v>
      </c>
      <c r="D708">
        <f>WEEKDAY(A708,14)</f>
        <v>5</v>
      </c>
      <c r="E708">
        <f t="shared" si="44"/>
        <v>0.05</v>
      </c>
      <c r="F708">
        <f t="shared" si="45"/>
        <v>3</v>
      </c>
      <c r="G708">
        <f>IF(F708&gt;F707,G707+B708*E708,B708*E708)</f>
        <v>0.29599550000000002</v>
      </c>
      <c r="H708">
        <f t="shared" ref="H708:H771" si="46">IF(AND(F708&lt;6,F708&gt;F707),E708+H707,E708)</f>
        <v>0.05</v>
      </c>
      <c r="I708">
        <f t="shared" ref="I708:I771" si="47">IF(F708&gt;F709,G708/H708,0)</f>
        <v>0</v>
      </c>
      <c r="J708">
        <f>IF(I707=0,0,C707-I707)</f>
        <v>0</v>
      </c>
    </row>
    <row r="709" spans="1:10" x14ac:dyDescent="0.25">
      <c r="A709" s="1">
        <v>39749</v>
      </c>
      <c r="B709">
        <v>6.0484400000000003</v>
      </c>
      <c r="C709">
        <v>6.3849999999999998</v>
      </c>
      <c r="D709">
        <f>WEEKDAY(A709,14)</f>
        <v>6</v>
      </c>
      <c r="E709">
        <f t="shared" si="44"/>
        <v>0.7</v>
      </c>
      <c r="F709">
        <f t="shared" si="45"/>
        <v>4</v>
      </c>
      <c r="G709">
        <f>IF(F709&gt;F708,G708+B709*E709,B709*E709)</f>
        <v>4.5299034999999996</v>
      </c>
      <c r="H709">
        <f t="shared" si="46"/>
        <v>0.75</v>
      </c>
      <c r="I709">
        <f t="shared" si="47"/>
        <v>0</v>
      </c>
      <c r="J709">
        <f>IF(I708=0,0,C708-I708)</f>
        <v>0</v>
      </c>
    </row>
    <row r="710" spans="1:10" x14ac:dyDescent="0.25">
      <c r="A710" s="1">
        <v>39750</v>
      </c>
      <c r="B710">
        <v>6.0141400000000003</v>
      </c>
      <c r="C710">
        <v>6.3849999999999998</v>
      </c>
      <c r="D710">
        <f>WEEKDAY(A710,14)</f>
        <v>7</v>
      </c>
      <c r="E710">
        <f t="shared" si="44"/>
        <v>0.25</v>
      </c>
      <c r="F710">
        <f t="shared" si="45"/>
        <v>5</v>
      </c>
      <c r="G710">
        <f>IF(F710&gt;F709,G709+B710*E710,B710*E710)</f>
        <v>6.0334384999999999</v>
      </c>
      <c r="H710">
        <f t="shared" si="46"/>
        <v>1</v>
      </c>
      <c r="I710">
        <f t="shared" si="47"/>
        <v>6.0334384999999999</v>
      </c>
      <c r="J710">
        <f>IF(I709=0,0,C709-I709)</f>
        <v>0</v>
      </c>
    </row>
    <row r="711" spans="1:10" x14ac:dyDescent="0.25">
      <c r="A711" s="1">
        <v>39751</v>
      </c>
      <c r="B711">
        <v>6.024</v>
      </c>
      <c r="C711">
        <v>6.125</v>
      </c>
      <c r="D711">
        <f>WEEKDAY(A711,14)</f>
        <v>1</v>
      </c>
      <c r="E711">
        <f t="shared" si="44"/>
        <v>0</v>
      </c>
      <c r="F711">
        <f t="shared" si="45"/>
        <v>1</v>
      </c>
      <c r="G711">
        <f>IF(F711&gt;F710,G710+B711*E711,B711*E711)</f>
        <v>0</v>
      </c>
      <c r="H711">
        <f t="shared" si="46"/>
        <v>0</v>
      </c>
      <c r="I711">
        <f t="shared" si="47"/>
        <v>0</v>
      </c>
      <c r="J711">
        <f>IF(I710=0,0,C710-I710)</f>
        <v>0.35156149999999986</v>
      </c>
    </row>
    <row r="712" spans="1:10" x14ac:dyDescent="0.25">
      <c r="A712" s="1">
        <v>39752</v>
      </c>
      <c r="B712">
        <v>5.9881099999999998</v>
      </c>
      <c r="C712">
        <v>6.125</v>
      </c>
      <c r="D712">
        <f>WEEKDAY(A712,14)</f>
        <v>2</v>
      </c>
      <c r="E712">
        <f t="shared" si="44"/>
        <v>0</v>
      </c>
      <c r="F712">
        <f t="shared" si="45"/>
        <v>2</v>
      </c>
      <c r="G712">
        <f>IF(F712&gt;F711,G711+B712*E712,B712*E712)</f>
        <v>0</v>
      </c>
      <c r="H712">
        <f t="shared" si="46"/>
        <v>0</v>
      </c>
      <c r="I712">
        <f t="shared" si="47"/>
        <v>0</v>
      </c>
      <c r="J712">
        <f>IF(I711=0,0,C711-I711)</f>
        <v>0</v>
      </c>
    </row>
    <row r="713" spans="1:10" x14ac:dyDescent="0.25">
      <c r="A713" s="1">
        <v>39755</v>
      </c>
      <c r="B713">
        <v>5.9496500000000001</v>
      </c>
      <c r="C713">
        <v>6.125</v>
      </c>
      <c r="D713">
        <f>WEEKDAY(A713,14)</f>
        <v>5</v>
      </c>
      <c r="E713">
        <f t="shared" si="44"/>
        <v>0.05</v>
      </c>
      <c r="F713">
        <f t="shared" si="45"/>
        <v>3</v>
      </c>
      <c r="G713">
        <f>IF(F713&gt;F712,G712+B713*E713,B713*E713)</f>
        <v>0.29748250000000004</v>
      </c>
      <c r="H713">
        <f t="shared" si="46"/>
        <v>0.05</v>
      </c>
      <c r="I713">
        <f t="shared" si="47"/>
        <v>0</v>
      </c>
      <c r="J713">
        <f>IF(I712=0,0,C712-I712)</f>
        <v>0</v>
      </c>
    </row>
    <row r="714" spans="1:10" x14ac:dyDescent="0.25">
      <c r="A714" s="1">
        <v>39756</v>
      </c>
      <c r="B714">
        <v>5.5965100000000003</v>
      </c>
      <c r="C714">
        <v>6.125</v>
      </c>
      <c r="D714">
        <f>WEEKDAY(A714,14)</f>
        <v>6</v>
      </c>
      <c r="E714">
        <f t="shared" si="44"/>
        <v>0.7</v>
      </c>
      <c r="F714">
        <f t="shared" si="45"/>
        <v>4</v>
      </c>
      <c r="G714">
        <f>IF(F714&gt;F713,G713+B714*E714,B714*E714)</f>
        <v>4.2150394999999996</v>
      </c>
      <c r="H714">
        <f t="shared" si="46"/>
        <v>0.75</v>
      </c>
      <c r="I714">
        <f t="shared" si="47"/>
        <v>0</v>
      </c>
      <c r="J714">
        <f>IF(I713=0,0,C713-I713)</f>
        <v>0</v>
      </c>
    </row>
    <row r="715" spans="1:10" x14ac:dyDescent="0.25">
      <c r="A715" s="1">
        <v>39757</v>
      </c>
      <c r="B715">
        <v>5.4488300000000001</v>
      </c>
      <c r="C715">
        <v>6.125</v>
      </c>
      <c r="D715">
        <f>WEEKDAY(A715,14)</f>
        <v>7</v>
      </c>
      <c r="E715">
        <f t="shared" si="44"/>
        <v>0.25</v>
      </c>
      <c r="F715">
        <f t="shared" si="45"/>
        <v>5</v>
      </c>
      <c r="G715">
        <f>IF(F715&gt;F714,G714+B715*E715,B715*E715)</f>
        <v>5.5772469999999998</v>
      </c>
      <c r="H715">
        <f t="shared" si="46"/>
        <v>1</v>
      </c>
      <c r="I715">
        <f t="shared" si="47"/>
        <v>5.5772469999999998</v>
      </c>
      <c r="J715">
        <f>IF(I714=0,0,C714-I714)</f>
        <v>0</v>
      </c>
    </row>
    <row r="716" spans="1:10" x14ac:dyDescent="0.25">
      <c r="A716" s="1">
        <v>39758</v>
      </c>
      <c r="B716">
        <v>5.4835399999999996</v>
      </c>
      <c r="C716">
        <v>6.0650000000000004</v>
      </c>
      <c r="D716">
        <f>WEEKDAY(A716,14)</f>
        <v>1</v>
      </c>
      <c r="E716">
        <f t="shared" si="44"/>
        <v>0</v>
      </c>
      <c r="F716">
        <f t="shared" si="45"/>
        <v>1</v>
      </c>
      <c r="G716">
        <f>IF(F716&gt;F715,G715+B716*E716,B716*E716)</f>
        <v>0</v>
      </c>
      <c r="H716">
        <f t="shared" si="46"/>
        <v>0</v>
      </c>
      <c r="I716">
        <f t="shared" si="47"/>
        <v>0</v>
      </c>
      <c r="J716">
        <f>IF(I715=0,0,C715-I715)</f>
        <v>0.54775300000000016</v>
      </c>
    </row>
    <row r="717" spans="1:10" x14ac:dyDescent="0.25">
      <c r="A717" s="1">
        <v>39759</v>
      </c>
      <c r="B717">
        <v>5.4821600000000004</v>
      </c>
      <c r="C717">
        <v>6.0650000000000004</v>
      </c>
      <c r="D717">
        <f>WEEKDAY(A717,14)</f>
        <v>2</v>
      </c>
      <c r="E717">
        <f t="shared" si="44"/>
        <v>0</v>
      </c>
      <c r="F717">
        <f t="shared" si="45"/>
        <v>2</v>
      </c>
      <c r="G717">
        <f>IF(F717&gt;F716,G716+B717*E717,B717*E717)</f>
        <v>0</v>
      </c>
      <c r="H717">
        <f t="shared" si="46"/>
        <v>0</v>
      </c>
      <c r="I717">
        <f t="shared" si="47"/>
        <v>0</v>
      </c>
      <c r="J717">
        <f>IF(I716=0,0,C716-I716)</f>
        <v>0</v>
      </c>
    </row>
    <row r="718" spans="1:10" x14ac:dyDescent="0.25">
      <c r="A718" s="1">
        <v>39762</v>
      </c>
      <c r="B718">
        <v>5.57721</v>
      </c>
      <c r="C718">
        <v>6.0650000000000004</v>
      </c>
      <c r="D718">
        <f>WEEKDAY(A718,14)</f>
        <v>5</v>
      </c>
      <c r="E718">
        <f t="shared" si="44"/>
        <v>0.05</v>
      </c>
      <c r="F718">
        <f t="shared" si="45"/>
        <v>3</v>
      </c>
      <c r="G718">
        <f>IF(F718&gt;F717,G717+B718*E718,B718*E718)</f>
        <v>0.27886050000000001</v>
      </c>
      <c r="H718">
        <f t="shared" si="46"/>
        <v>0.05</v>
      </c>
      <c r="I718">
        <f t="shared" si="47"/>
        <v>0</v>
      </c>
      <c r="J718">
        <f>IF(I717=0,0,C717-I717)</f>
        <v>0</v>
      </c>
    </row>
    <row r="719" spans="1:10" x14ac:dyDescent="0.25">
      <c r="A719" s="1">
        <v>39764</v>
      </c>
      <c r="B719">
        <v>5.4296300000000004</v>
      </c>
      <c r="C719">
        <v>6.0650000000000004</v>
      </c>
      <c r="D719">
        <f>WEEKDAY(A719,14)</f>
        <v>7</v>
      </c>
      <c r="E719">
        <f t="shared" si="44"/>
        <v>0.25</v>
      </c>
      <c r="F719">
        <f t="shared" si="45"/>
        <v>4</v>
      </c>
      <c r="G719">
        <f>IF(F719&gt;F718,G718+B719*E719,B719*E719)</f>
        <v>1.6362680000000001</v>
      </c>
      <c r="H719">
        <f t="shared" si="46"/>
        <v>0.3</v>
      </c>
      <c r="I719">
        <f t="shared" si="47"/>
        <v>5.454226666666667</v>
      </c>
      <c r="J719">
        <f>IF(I718=0,0,C718-I718)</f>
        <v>0</v>
      </c>
    </row>
    <row r="720" spans="1:10" x14ac:dyDescent="0.25">
      <c r="A720" s="1">
        <v>39765</v>
      </c>
      <c r="B720">
        <v>5.5539199999999997</v>
      </c>
      <c r="C720">
        <v>5.9649999999999999</v>
      </c>
      <c r="D720">
        <f>WEEKDAY(A720,14)</f>
        <v>1</v>
      </c>
      <c r="E720">
        <f t="shared" si="44"/>
        <v>0</v>
      </c>
      <c r="F720">
        <f t="shared" si="45"/>
        <v>1</v>
      </c>
      <c r="G720">
        <f>IF(F720&gt;F719,G719+B720*E720,B720*E720)</f>
        <v>0</v>
      </c>
      <c r="H720">
        <f t="shared" si="46"/>
        <v>0</v>
      </c>
      <c r="I720">
        <f t="shared" si="47"/>
        <v>0</v>
      </c>
      <c r="J720">
        <f>IF(I719=0,0,C719-I719)</f>
        <v>0.61077333333333339</v>
      </c>
    </row>
    <row r="721" spans="1:10" x14ac:dyDescent="0.25">
      <c r="A721" s="1">
        <v>39766</v>
      </c>
      <c r="B721">
        <v>5.4948699999999997</v>
      </c>
      <c r="C721">
        <v>5.9649999999999999</v>
      </c>
      <c r="D721">
        <f>WEEKDAY(A721,14)</f>
        <v>2</v>
      </c>
      <c r="E721">
        <f t="shared" si="44"/>
        <v>0</v>
      </c>
      <c r="F721">
        <f t="shared" si="45"/>
        <v>2</v>
      </c>
      <c r="G721">
        <f>IF(F721&gt;F720,G720+B721*E721,B721*E721)</f>
        <v>0</v>
      </c>
      <c r="H721">
        <f t="shared" si="46"/>
        <v>0</v>
      </c>
      <c r="I721">
        <f t="shared" si="47"/>
        <v>0</v>
      </c>
      <c r="J721">
        <f>IF(I720=0,0,C720-I720)</f>
        <v>0</v>
      </c>
    </row>
    <row r="722" spans="1:10" x14ac:dyDescent="0.25">
      <c r="A722" s="1">
        <v>39769</v>
      </c>
      <c r="B722">
        <v>5.54453</v>
      </c>
      <c r="C722">
        <v>5.9649999999999999</v>
      </c>
      <c r="D722">
        <f>WEEKDAY(A722,14)</f>
        <v>5</v>
      </c>
      <c r="E722">
        <f t="shared" si="44"/>
        <v>0.05</v>
      </c>
      <c r="F722">
        <f t="shared" si="45"/>
        <v>3</v>
      </c>
      <c r="G722">
        <f>IF(F722&gt;F721,G721+B722*E722,B722*E722)</f>
        <v>0.27722649999999999</v>
      </c>
      <c r="H722">
        <f t="shared" si="46"/>
        <v>0.05</v>
      </c>
      <c r="I722">
        <f t="shared" si="47"/>
        <v>0</v>
      </c>
      <c r="J722">
        <f>IF(I721=0,0,C721-I721)</f>
        <v>0</v>
      </c>
    </row>
    <row r="723" spans="1:10" x14ac:dyDescent="0.25">
      <c r="A723" s="1">
        <v>39770</v>
      </c>
      <c r="B723">
        <v>5.4702000000000002</v>
      </c>
      <c r="C723">
        <v>5.9649999999999999</v>
      </c>
      <c r="D723">
        <f>WEEKDAY(A723,14)</f>
        <v>6</v>
      </c>
      <c r="E723">
        <f t="shared" si="44"/>
        <v>0.7</v>
      </c>
      <c r="F723">
        <f t="shared" si="45"/>
        <v>4</v>
      </c>
      <c r="G723">
        <f>IF(F723&gt;F722,G722+B723*E723,B723*E723)</f>
        <v>4.1063665</v>
      </c>
      <c r="H723">
        <f t="shared" si="46"/>
        <v>0.75</v>
      </c>
      <c r="I723">
        <f t="shared" si="47"/>
        <v>0</v>
      </c>
      <c r="J723">
        <f>IF(I722=0,0,C722-I722)</f>
        <v>0</v>
      </c>
    </row>
    <row r="724" spans="1:10" x14ac:dyDescent="0.25">
      <c r="A724" s="1">
        <v>39771</v>
      </c>
      <c r="B724">
        <v>5.4594800000000001</v>
      </c>
      <c r="C724">
        <v>5.8949999999999996</v>
      </c>
      <c r="D724">
        <f>WEEKDAY(A724,14)</f>
        <v>7</v>
      </c>
      <c r="E724">
        <f t="shared" si="44"/>
        <v>0.25</v>
      </c>
      <c r="F724">
        <f t="shared" si="45"/>
        <v>5</v>
      </c>
      <c r="G724">
        <f>IF(F724&gt;F723,G723+B724*E724,B724*E724)</f>
        <v>5.4712364999999998</v>
      </c>
      <c r="H724">
        <f t="shared" si="46"/>
        <v>1</v>
      </c>
      <c r="I724">
        <f t="shared" si="47"/>
        <v>5.4712364999999998</v>
      </c>
      <c r="J724">
        <f>IF(I723=0,0,C723-I723)</f>
        <v>0</v>
      </c>
    </row>
    <row r="725" spans="1:10" x14ac:dyDescent="0.25">
      <c r="A725" s="1">
        <v>39772</v>
      </c>
      <c r="B725">
        <v>5.4078200000000001</v>
      </c>
      <c r="C725">
        <v>5.8949999999999996</v>
      </c>
      <c r="D725">
        <f>WEEKDAY(A725,14)</f>
        <v>1</v>
      </c>
      <c r="E725">
        <f t="shared" si="44"/>
        <v>0</v>
      </c>
      <c r="F725">
        <f t="shared" si="45"/>
        <v>1</v>
      </c>
      <c r="G725">
        <f>IF(F725&gt;F724,G724+B725*E725,B725*E725)</f>
        <v>0</v>
      </c>
      <c r="H725">
        <f t="shared" si="46"/>
        <v>0</v>
      </c>
      <c r="I725">
        <f t="shared" si="47"/>
        <v>0</v>
      </c>
      <c r="J725">
        <f>IF(I724=0,0,C724-I724)</f>
        <v>0.42376349999999974</v>
      </c>
    </row>
    <row r="726" spans="1:10" x14ac:dyDescent="0.25">
      <c r="A726" s="1">
        <v>39773</v>
      </c>
      <c r="B726">
        <v>5.35168</v>
      </c>
      <c r="C726">
        <v>5.8949999999999996</v>
      </c>
      <c r="D726">
        <f>WEEKDAY(A726,14)</f>
        <v>2</v>
      </c>
      <c r="E726">
        <f t="shared" si="44"/>
        <v>0</v>
      </c>
      <c r="F726">
        <f t="shared" si="45"/>
        <v>2</v>
      </c>
      <c r="G726">
        <f>IF(F726&gt;F725,G725+B726*E726,B726*E726)</f>
        <v>0</v>
      </c>
      <c r="H726">
        <f t="shared" si="46"/>
        <v>0</v>
      </c>
      <c r="I726">
        <f t="shared" si="47"/>
        <v>0</v>
      </c>
      <c r="J726">
        <f>IF(I725=0,0,C725-I725)</f>
        <v>0</v>
      </c>
    </row>
    <row r="727" spans="1:10" x14ac:dyDescent="0.25">
      <c r="A727" s="1">
        <v>39776</v>
      </c>
      <c r="B727">
        <v>5.34056</v>
      </c>
      <c r="C727">
        <v>5.8949999999999996</v>
      </c>
      <c r="D727">
        <f>WEEKDAY(A727,14)</f>
        <v>5</v>
      </c>
      <c r="E727">
        <f t="shared" si="44"/>
        <v>0.05</v>
      </c>
      <c r="F727">
        <f t="shared" si="45"/>
        <v>3</v>
      </c>
      <c r="G727">
        <f>IF(F727&gt;F726,G726+B727*E727,B727*E727)</f>
        <v>0.26702799999999999</v>
      </c>
      <c r="H727">
        <f t="shared" si="46"/>
        <v>0.05</v>
      </c>
      <c r="I727">
        <f t="shared" si="47"/>
        <v>0</v>
      </c>
      <c r="J727">
        <f>IF(I726=0,0,C726-I726)</f>
        <v>0</v>
      </c>
    </row>
    <row r="728" spans="1:10" x14ac:dyDescent="0.25">
      <c r="A728" s="1">
        <v>39777</v>
      </c>
      <c r="B728">
        <v>4.75014</v>
      </c>
      <c r="C728">
        <v>5.8949999999999996</v>
      </c>
      <c r="D728">
        <f>WEEKDAY(A728,14)</f>
        <v>6</v>
      </c>
      <c r="E728">
        <f t="shared" si="44"/>
        <v>0.7</v>
      </c>
      <c r="F728">
        <f t="shared" si="45"/>
        <v>4</v>
      </c>
      <c r="G728">
        <f>IF(F728&gt;F727,G727+B728*E728,B728*E728)</f>
        <v>3.5921259999999995</v>
      </c>
      <c r="H728">
        <f t="shared" si="46"/>
        <v>0.75</v>
      </c>
      <c r="I728">
        <f t="shared" si="47"/>
        <v>0</v>
      </c>
      <c r="J728">
        <f>IF(I727=0,0,C727-I727)</f>
        <v>0</v>
      </c>
    </row>
    <row r="729" spans="1:10" x14ac:dyDescent="0.25">
      <c r="A729" s="1">
        <v>39778</v>
      </c>
      <c r="B729">
        <v>4.7660400000000003</v>
      </c>
      <c r="C729">
        <v>5.8949999999999996</v>
      </c>
      <c r="D729">
        <f>WEEKDAY(A729,14)</f>
        <v>7</v>
      </c>
      <c r="E729">
        <f t="shared" si="44"/>
        <v>0.25</v>
      </c>
      <c r="F729">
        <f t="shared" si="45"/>
        <v>5</v>
      </c>
      <c r="G729">
        <f>IF(F729&gt;F728,G728+B729*E729,B729*E729)</f>
        <v>4.7836359999999996</v>
      </c>
      <c r="H729">
        <f t="shared" si="46"/>
        <v>1</v>
      </c>
      <c r="I729">
        <f t="shared" si="47"/>
        <v>4.7836359999999996</v>
      </c>
      <c r="J729">
        <f>IF(I728=0,0,C728-I728)</f>
        <v>0</v>
      </c>
    </row>
    <row r="730" spans="1:10" x14ac:dyDescent="0.25">
      <c r="A730" s="1">
        <v>39780</v>
      </c>
      <c r="B730">
        <v>4.8293699999999999</v>
      </c>
      <c r="C730">
        <v>5.4550000000000001</v>
      </c>
      <c r="D730">
        <f>WEEKDAY(A730,14)</f>
        <v>2</v>
      </c>
      <c r="E730">
        <f t="shared" si="44"/>
        <v>0</v>
      </c>
      <c r="F730">
        <f t="shared" si="45"/>
        <v>1</v>
      </c>
      <c r="G730">
        <f>IF(F730&gt;F729,G729+B730*E730,B730*E730)</f>
        <v>0</v>
      </c>
      <c r="H730">
        <f t="shared" si="46"/>
        <v>0</v>
      </c>
      <c r="I730">
        <f t="shared" si="47"/>
        <v>0</v>
      </c>
      <c r="J730">
        <f>IF(I729=0,0,C729-I729)</f>
        <v>1.111364</v>
      </c>
    </row>
    <row r="731" spans="1:10" x14ac:dyDescent="0.25">
      <c r="A731" s="1">
        <v>39783</v>
      </c>
      <c r="B731">
        <v>4.6018999999999997</v>
      </c>
      <c r="C731">
        <v>5.4550000000000001</v>
      </c>
      <c r="D731">
        <f>WEEKDAY(A731,14)</f>
        <v>5</v>
      </c>
      <c r="E731">
        <f t="shared" si="44"/>
        <v>0.05</v>
      </c>
      <c r="F731">
        <f t="shared" si="45"/>
        <v>2</v>
      </c>
      <c r="G731">
        <f>IF(F731&gt;F730,G730+B731*E731,B731*E731)</f>
        <v>0.23009499999999999</v>
      </c>
      <c r="H731">
        <f t="shared" si="46"/>
        <v>0.05</v>
      </c>
      <c r="I731">
        <f t="shared" si="47"/>
        <v>0</v>
      </c>
      <c r="J731">
        <f>IF(I730=0,0,C730-I730)</f>
        <v>0</v>
      </c>
    </row>
    <row r="732" spans="1:10" x14ac:dyDescent="0.25">
      <c r="A732" s="1">
        <v>39784</v>
      </c>
      <c r="B732">
        <v>4.6502800000000004</v>
      </c>
      <c r="C732">
        <v>5.4550000000000001</v>
      </c>
      <c r="D732">
        <f>WEEKDAY(A732,14)</f>
        <v>6</v>
      </c>
      <c r="E732">
        <f t="shared" si="44"/>
        <v>0.7</v>
      </c>
      <c r="F732">
        <f t="shared" si="45"/>
        <v>3</v>
      </c>
      <c r="G732">
        <f>IF(F732&gt;F731,G731+B732*E732,B732*E732)</f>
        <v>3.4852910000000001</v>
      </c>
      <c r="H732">
        <f t="shared" si="46"/>
        <v>0.75</v>
      </c>
      <c r="I732">
        <f t="shared" si="47"/>
        <v>0</v>
      </c>
      <c r="J732">
        <f>IF(I731=0,0,C731-I731)</f>
        <v>0</v>
      </c>
    </row>
    <row r="733" spans="1:10" x14ac:dyDescent="0.25">
      <c r="A733" s="1">
        <v>39785</v>
      </c>
      <c r="B733">
        <v>4.5625900000000001</v>
      </c>
      <c r="C733">
        <v>5.4550000000000001</v>
      </c>
      <c r="D733">
        <f>WEEKDAY(A733,14)</f>
        <v>7</v>
      </c>
      <c r="E733">
        <f t="shared" si="44"/>
        <v>0.25</v>
      </c>
      <c r="F733">
        <f t="shared" si="45"/>
        <v>4</v>
      </c>
      <c r="G733">
        <f>IF(F733&gt;F732,G732+B733*E733,B733*E733)</f>
        <v>4.6259385000000002</v>
      </c>
      <c r="H733">
        <f t="shared" si="46"/>
        <v>1</v>
      </c>
      <c r="I733">
        <f t="shared" si="47"/>
        <v>4.6259385000000002</v>
      </c>
      <c r="J733">
        <f>IF(I732=0,0,C732-I732)</f>
        <v>0</v>
      </c>
    </row>
    <row r="734" spans="1:10" x14ac:dyDescent="0.25">
      <c r="A734" s="1">
        <v>39786</v>
      </c>
      <c r="B734">
        <v>4.4886400000000002</v>
      </c>
      <c r="C734">
        <v>5.3949999999999996</v>
      </c>
      <c r="D734">
        <f>WEEKDAY(A734,14)</f>
        <v>1</v>
      </c>
      <c r="E734">
        <f t="shared" si="44"/>
        <v>0</v>
      </c>
      <c r="F734">
        <f t="shared" si="45"/>
        <v>1</v>
      </c>
      <c r="G734">
        <f>IF(F734&gt;F733,G733+B734*E734,B734*E734)</f>
        <v>0</v>
      </c>
      <c r="H734">
        <f t="shared" si="46"/>
        <v>0</v>
      </c>
      <c r="I734">
        <f t="shared" si="47"/>
        <v>0</v>
      </c>
      <c r="J734">
        <f>IF(I733=0,0,C733-I733)</f>
        <v>0.8290614999999999</v>
      </c>
    </row>
    <row r="735" spans="1:10" x14ac:dyDescent="0.25">
      <c r="A735" s="1">
        <v>39787</v>
      </c>
      <c r="B735">
        <v>4.72506</v>
      </c>
      <c r="C735">
        <v>5.3949999999999996</v>
      </c>
      <c r="D735">
        <f>WEEKDAY(A735,14)</f>
        <v>2</v>
      </c>
      <c r="E735">
        <f t="shared" si="44"/>
        <v>0</v>
      </c>
      <c r="F735">
        <f t="shared" si="45"/>
        <v>2</v>
      </c>
      <c r="G735">
        <f>IF(F735&gt;F734,G734+B735*E735,B735*E735)</f>
        <v>0</v>
      </c>
      <c r="H735">
        <f t="shared" si="46"/>
        <v>0</v>
      </c>
      <c r="I735">
        <f t="shared" si="47"/>
        <v>0</v>
      </c>
      <c r="J735">
        <f>IF(I734=0,0,C734-I734)</f>
        <v>0</v>
      </c>
    </row>
    <row r="736" spans="1:10" x14ac:dyDescent="0.25">
      <c r="A736" s="1">
        <v>39790</v>
      </c>
      <c r="B736">
        <v>4.7061200000000003</v>
      </c>
      <c r="C736">
        <v>5.3949999999999996</v>
      </c>
      <c r="D736">
        <f>WEEKDAY(A736,14)</f>
        <v>5</v>
      </c>
      <c r="E736">
        <f t="shared" si="44"/>
        <v>0.05</v>
      </c>
      <c r="F736">
        <f t="shared" si="45"/>
        <v>3</v>
      </c>
      <c r="G736">
        <f>IF(F736&gt;F735,G735+B736*E736,B736*E736)</f>
        <v>0.23530600000000002</v>
      </c>
      <c r="H736">
        <f t="shared" si="46"/>
        <v>0.05</v>
      </c>
      <c r="I736">
        <f t="shared" si="47"/>
        <v>0</v>
      </c>
      <c r="J736">
        <f>IF(I735=0,0,C735-I735)</f>
        <v>0</v>
      </c>
    </row>
    <row r="737" spans="1:10" x14ac:dyDescent="0.25">
      <c r="A737" s="1">
        <v>39791</v>
      </c>
      <c r="B737">
        <v>4.52121</v>
      </c>
      <c r="C737">
        <v>5.3949999999999996</v>
      </c>
      <c r="D737">
        <f>WEEKDAY(A737,14)</f>
        <v>6</v>
      </c>
      <c r="E737">
        <f t="shared" si="44"/>
        <v>0.7</v>
      </c>
      <c r="F737">
        <f t="shared" si="45"/>
        <v>4</v>
      </c>
      <c r="G737">
        <f>IF(F737&gt;F736,G736+B737*E737,B737*E737)</f>
        <v>3.400153</v>
      </c>
      <c r="H737">
        <f t="shared" si="46"/>
        <v>0.75</v>
      </c>
      <c r="I737">
        <f t="shared" si="47"/>
        <v>0</v>
      </c>
      <c r="J737">
        <f>IF(I736=0,0,C736-I736)</f>
        <v>0</v>
      </c>
    </row>
    <row r="738" spans="1:10" x14ac:dyDescent="0.25">
      <c r="A738" s="1">
        <v>39792</v>
      </c>
      <c r="B738">
        <v>4.3573700000000004</v>
      </c>
      <c r="C738">
        <v>5.3949999999999996</v>
      </c>
      <c r="D738">
        <f>WEEKDAY(A738,14)</f>
        <v>7</v>
      </c>
      <c r="E738">
        <f t="shared" si="44"/>
        <v>0.25</v>
      </c>
      <c r="F738">
        <f t="shared" si="45"/>
        <v>5</v>
      </c>
      <c r="G738">
        <f>IF(F738&gt;F737,G737+B738*E738,B738*E738)</f>
        <v>4.4894955000000003</v>
      </c>
      <c r="H738">
        <f t="shared" si="46"/>
        <v>1</v>
      </c>
      <c r="I738">
        <f t="shared" si="47"/>
        <v>4.4894955000000003</v>
      </c>
      <c r="J738">
        <f>IF(I737=0,0,C737-I737)</f>
        <v>0</v>
      </c>
    </row>
    <row r="739" spans="1:10" x14ac:dyDescent="0.25">
      <c r="A739" s="1">
        <v>39793</v>
      </c>
      <c r="B739">
        <v>4.1133600000000001</v>
      </c>
      <c r="C739">
        <v>5.1150000000000002</v>
      </c>
      <c r="D739">
        <f>WEEKDAY(A739,14)</f>
        <v>1</v>
      </c>
      <c r="E739">
        <f t="shared" si="44"/>
        <v>0</v>
      </c>
      <c r="F739">
        <f t="shared" si="45"/>
        <v>1</v>
      </c>
      <c r="G739">
        <f>IF(F739&gt;F738,G738+B739*E739,B739*E739)</f>
        <v>0</v>
      </c>
      <c r="H739">
        <f t="shared" si="46"/>
        <v>0</v>
      </c>
      <c r="I739">
        <f t="shared" si="47"/>
        <v>0</v>
      </c>
      <c r="J739">
        <f>IF(I738=0,0,C738-I738)</f>
        <v>0.90550449999999927</v>
      </c>
    </row>
    <row r="740" spans="1:10" x14ac:dyDescent="0.25">
      <c r="A740" s="1">
        <v>39794</v>
      </c>
      <c r="B740">
        <v>4.1081399999999997</v>
      </c>
      <c r="C740">
        <v>5.1150000000000002</v>
      </c>
      <c r="D740">
        <f>WEEKDAY(A740,14)</f>
        <v>2</v>
      </c>
      <c r="E740">
        <f t="shared" si="44"/>
        <v>0</v>
      </c>
      <c r="F740">
        <f t="shared" si="45"/>
        <v>2</v>
      </c>
      <c r="G740">
        <f>IF(F740&gt;F739,G739+B740*E740,B740*E740)</f>
        <v>0</v>
      </c>
      <c r="H740">
        <f t="shared" si="46"/>
        <v>0</v>
      </c>
      <c r="I740">
        <f t="shared" si="47"/>
        <v>0</v>
      </c>
      <c r="J740">
        <f>IF(I739=0,0,C739-I739)</f>
        <v>0</v>
      </c>
    </row>
    <row r="741" spans="1:10" x14ac:dyDescent="0.25">
      <c r="A741" s="1">
        <v>39797</v>
      </c>
      <c r="B741">
        <v>4.1355000000000004</v>
      </c>
      <c r="C741">
        <v>5.1150000000000002</v>
      </c>
      <c r="D741">
        <f>WEEKDAY(A741,14)</f>
        <v>5</v>
      </c>
      <c r="E741">
        <f t="shared" si="44"/>
        <v>0.05</v>
      </c>
      <c r="F741">
        <f t="shared" si="45"/>
        <v>3</v>
      </c>
      <c r="G741">
        <f>IF(F741&gt;F740,G740+B741*E741,B741*E741)</f>
        <v>0.20677500000000004</v>
      </c>
      <c r="H741">
        <f t="shared" si="46"/>
        <v>0.05</v>
      </c>
      <c r="I741">
        <f t="shared" si="47"/>
        <v>0</v>
      </c>
      <c r="J741">
        <f>IF(I740=0,0,C740-I740)</f>
        <v>0</v>
      </c>
    </row>
    <row r="742" spans="1:10" x14ac:dyDescent="0.25">
      <c r="A742" s="1">
        <v>39798</v>
      </c>
      <c r="B742">
        <v>3.9807100000000002</v>
      </c>
      <c r="C742">
        <v>5.1150000000000002</v>
      </c>
      <c r="D742">
        <f>WEEKDAY(A742,14)</f>
        <v>6</v>
      </c>
      <c r="E742">
        <f t="shared" si="44"/>
        <v>0.7</v>
      </c>
      <c r="F742">
        <f t="shared" si="45"/>
        <v>4</v>
      </c>
      <c r="G742">
        <f>IF(F742&gt;F741,G741+B742*E742,B742*E742)</f>
        <v>2.9932719999999997</v>
      </c>
      <c r="H742">
        <f t="shared" si="46"/>
        <v>0.75</v>
      </c>
      <c r="I742">
        <f t="shared" si="47"/>
        <v>0</v>
      </c>
      <c r="J742">
        <f>IF(I741=0,0,C741-I741)</f>
        <v>0</v>
      </c>
    </row>
    <row r="743" spans="1:10" x14ac:dyDescent="0.25">
      <c r="A743" s="1">
        <v>39799</v>
      </c>
      <c r="B743">
        <v>3.79209</v>
      </c>
      <c r="C743">
        <v>5.09</v>
      </c>
      <c r="D743">
        <f>WEEKDAY(A743,14)</f>
        <v>7</v>
      </c>
      <c r="E743">
        <f t="shared" si="44"/>
        <v>0.25</v>
      </c>
      <c r="F743">
        <f t="shared" si="45"/>
        <v>5</v>
      </c>
      <c r="G743">
        <f>IF(F743&gt;F742,G742+B743*E743,B743*E743)</f>
        <v>3.9412944999999997</v>
      </c>
      <c r="H743">
        <f t="shared" si="46"/>
        <v>1</v>
      </c>
      <c r="I743">
        <f t="shared" si="47"/>
        <v>3.9412944999999997</v>
      </c>
      <c r="J743">
        <f>IF(I742=0,0,C742-I742)</f>
        <v>0</v>
      </c>
    </row>
    <row r="744" spans="1:10" x14ac:dyDescent="0.25">
      <c r="A744" s="1">
        <v>39800</v>
      </c>
      <c r="B744">
        <v>3.7729200000000001</v>
      </c>
      <c r="C744">
        <v>5.09</v>
      </c>
      <c r="D744">
        <f>WEEKDAY(A744,14)</f>
        <v>1</v>
      </c>
      <c r="E744">
        <f t="shared" si="44"/>
        <v>0</v>
      </c>
      <c r="F744">
        <f t="shared" si="45"/>
        <v>1</v>
      </c>
      <c r="G744">
        <f>IF(F744&gt;F743,G743+B744*E744,B744*E744)</f>
        <v>0</v>
      </c>
      <c r="H744">
        <f t="shared" si="46"/>
        <v>0</v>
      </c>
      <c r="I744">
        <f t="shared" si="47"/>
        <v>0</v>
      </c>
      <c r="J744">
        <f>IF(I743=0,0,C743-I743)</f>
        <v>1.1487055000000002</v>
      </c>
    </row>
    <row r="745" spans="1:10" x14ac:dyDescent="0.25">
      <c r="A745" s="1">
        <v>39801</v>
      </c>
      <c r="B745">
        <v>3.79982</v>
      </c>
      <c r="C745">
        <v>5.09</v>
      </c>
      <c r="D745">
        <f>WEEKDAY(A745,14)</f>
        <v>2</v>
      </c>
      <c r="E745">
        <f t="shared" si="44"/>
        <v>0</v>
      </c>
      <c r="F745">
        <f t="shared" si="45"/>
        <v>2</v>
      </c>
      <c r="G745">
        <f>IF(F745&gt;F744,G744+B745*E745,B745*E745)</f>
        <v>0</v>
      </c>
      <c r="H745">
        <f t="shared" si="46"/>
        <v>0</v>
      </c>
      <c r="I745">
        <f t="shared" si="47"/>
        <v>0</v>
      </c>
      <c r="J745">
        <f>IF(I744=0,0,C744-I744)</f>
        <v>0</v>
      </c>
    </row>
    <row r="746" spans="1:10" x14ac:dyDescent="0.25">
      <c r="A746" s="1">
        <v>39804</v>
      </c>
      <c r="B746">
        <v>4.0362799999999996</v>
      </c>
      <c r="C746">
        <v>5.09</v>
      </c>
      <c r="D746">
        <f>WEEKDAY(A746,14)</f>
        <v>5</v>
      </c>
      <c r="E746">
        <f t="shared" si="44"/>
        <v>0.05</v>
      </c>
      <c r="F746">
        <f t="shared" si="45"/>
        <v>3</v>
      </c>
      <c r="G746">
        <f>IF(F746&gt;F745,G745+B746*E746,B746*E746)</f>
        <v>0.20181399999999999</v>
      </c>
      <c r="H746">
        <f t="shared" si="46"/>
        <v>0.05</v>
      </c>
      <c r="I746">
        <f t="shared" si="47"/>
        <v>0</v>
      </c>
      <c r="J746">
        <f>IF(I745=0,0,C745-I745)</f>
        <v>0</v>
      </c>
    </row>
    <row r="747" spans="1:10" x14ac:dyDescent="0.25">
      <c r="A747" s="1">
        <v>39805</v>
      </c>
      <c r="B747">
        <v>4.1033600000000003</v>
      </c>
      <c r="C747">
        <v>5.09</v>
      </c>
      <c r="D747">
        <f>WEEKDAY(A747,14)</f>
        <v>6</v>
      </c>
      <c r="E747">
        <f t="shared" si="44"/>
        <v>0.7</v>
      </c>
      <c r="F747">
        <f t="shared" si="45"/>
        <v>4</v>
      </c>
      <c r="G747">
        <f>IF(F747&gt;F746,G746+B747*E747,B747*E747)</f>
        <v>3.0741660000000004</v>
      </c>
      <c r="H747">
        <f t="shared" si="46"/>
        <v>0.75</v>
      </c>
      <c r="I747">
        <f t="shared" si="47"/>
        <v>0</v>
      </c>
      <c r="J747">
        <f>IF(I746=0,0,C746-I746)</f>
        <v>0</v>
      </c>
    </row>
    <row r="748" spans="1:10" x14ac:dyDescent="0.25">
      <c r="A748" s="1">
        <v>39806</v>
      </c>
      <c r="B748">
        <v>4.0055300000000003</v>
      </c>
      <c r="C748">
        <v>5.09</v>
      </c>
      <c r="D748">
        <f>WEEKDAY(A748,14)</f>
        <v>7</v>
      </c>
      <c r="E748">
        <f t="shared" si="44"/>
        <v>0.25</v>
      </c>
      <c r="F748">
        <f t="shared" si="45"/>
        <v>5</v>
      </c>
      <c r="G748">
        <f>IF(F748&gt;F747,G747+B748*E748,B748*E748)</f>
        <v>4.0755485</v>
      </c>
      <c r="H748">
        <f t="shared" si="46"/>
        <v>1</v>
      </c>
      <c r="I748">
        <f t="shared" si="47"/>
        <v>4.0755485</v>
      </c>
      <c r="J748">
        <f>IF(I747=0,0,C747-I747)</f>
        <v>0</v>
      </c>
    </row>
    <row r="749" spans="1:10" x14ac:dyDescent="0.25">
      <c r="A749" s="1">
        <v>39808</v>
      </c>
      <c r="B749">
        <v>3.8728899999999999</v>
      </c>
      <c r="C749">
        <v>5.0250000000000004</v>
      </c>
      <c r="D749">
        <f>WEEKDAY(A749,14)</f>
        <v>2</v>
      </c>
      <c r="E749">
        <f t="shared" si="44"/>
        <v>0</v>
      </c>
      <c r="F749">
        <f t="shared" si="45"/>
        <v>1</v>
      </c>
      <c r="G749">
        <f>IF(F749&gt;F748,G748+B749*E749,B749*E749)</f>
        <v>0</v>
      </c>
      <c r="H749">
        <f t="shared" si="46"/>
        <v>0</v>
      </c>
      <c r="I749">
        <f t="shared" si="47"/>
        <v>0</v>
      </c>
      <c r="J749">
        <f>IF(I748=0,0,C748-I748)</f>
        <v>1.0144514999999998</v>
      </c>
    </row>
    <row r="750" spans="1:10" x14ac:dyDescent="0.25">
      <c r="A750" s="1">
        <v>39811</v>
      </c>
      <c r="B750">
        <v>3.7522799999999998</v>
      </c>
      <c r="C750">
        <v>5.0250000000000004</v>
      </c>
      <c r="D750">
        <f>WEEKDAY(A750,14)</f>
        <v>5</v>
      </c>
      <c r="E750">
        <f t="shared" si="44"/>
        <v>0.05</v>
      </c>
      <c r="F750">
        <f t="shared" si="45"/>
        <v>2</v>
      </c>
      <c r="G750">
        <f>IF(F750&gt;F749,G749+B750*E750,B750*E750)</f>
        <v>0.187614</v>
      </c>
      <c r="H750">
        <f t="shared" si="46"/>
        <v>0.05</v>
      </c>
      <c r="I750">
        <f t="shared" si="47"/>
        <v>0</v>
      </c>
      <c r="J750">
        <f>IF(I749=0,0,C749-I749)</f>
        <v>0</v>
      </c>
    </row>
    <row r="751" spans="1:10" x14ac:dyDescent="0.25">
      <c r="A751" s="1">
        <v>39812</v>
      </c>
      <c r="B751">
        <v>3.8924599999999998</v>
      </c>
      <c r="C751">
        <v>5.0250000000000004</v>
      </c>
      <c r="D751">
        <f>WEEKDAY(A751,14)</f>
        <v>6</v>
      </c>
      <c r="E751">
        <f t="shared" si="44"/>
        <v>0.7</v>
      </c>
      <c r="F751">
        <f t="shared" si="45"/>
        <v>3</v>
      </c>
      <c r="G751">
        <f>IF(F751&gt;F750,G750+B751*E751,B751*E751)</f>
        <v>2.9123359999999998</v>
      </c>
      <c r="H751">
        <f t="shared" si="46"/>
        <v>0.75</v>
      </c>
      <c r="I751">
        <f t="shared" si="47"/>
        <v>0</v>
      </c>
      <c r="J751">
        <f>IF(I750=0,0,C750-I750)</f>
        <v>0</v>
      </c>
    </row>
    <row r="752" spans="1:10" x14ac:dyDescent="0.25">
      <c r="A752" s="1">
        <v>39813</v>
      </c>
      <c r="B752">
        <v>4.0070800000000002</v>
      </c>
      <c r="C752">
        <v>5.0250000000000004</v>
      </c>
      <c r="D752">
        <f>WEEKDAY(A752,14)</f>
        <v>7</v>
      </c>
      <c r="E752">
        <f t="shared" si="44"/>
        <v>0.25</v>
      </c>
      <c r="F752">
        <f t="shared" si="45"/>
        <v>4</v>
      </c>
      <c r="G752">
        <f>IF(F752&gt;F751,G751+B752*E752,B752*E752)</f>
        <v>3.9141059999999999</v>
      </c>
      <c r="H752">
        <f t="shared" si="46"/>
        <v>1</v>
      </c>
      <c r="I752">
        <f t="shared" si="47"/>
        <v>3.9141059999999999</v>
      </c>
      <c r="J752">
        <f>IF(I751=0,0,C751-I751)</f>
        <v>0</v>
      </c>
    </row>
    <row r="753" spans="1:10" x14ac:dyDescent="0.25">
      <c r="A753" s="1">
        <v>39815</v>
      </c>
      <c r="B753">
        <v>3.6329600000000002</v>
      </c>
      <c r="C753">
        <v>4.91</v>
      </c>
      <c r="D753">
        <f>WEEKDAY(A753,14)</f>
        <v>2</v>
      </c>
      <c r="E753">
        <f t="shared" si="44"/>
        <v>0</v>
      </c>
      <c r="F753">
        <f t="shared" si="45"/>
        <v>1</v>
      </c>
      <c r="G753">
        <f>IF(F753&gt;F752,G752+B753*E753,B753*E753)</f>
        <v>0</v>
      </c>
      <c r="H753">
        <f t="shared" si="46"/>
        <v>0</v>
      </c>
      <c r="I753">
        <f t="shared" si="47"/>
        <v>0</v>
      </c>
      <c r="J753">
        <f>IF(I752=0,0,C752-I752)</f>
        <v>1.1108940000000005</v>
      </c>
    </row>
    <row r="754" spans="1:10" x14ac:dyDescent="0.25">
      <c r="A754" s="1">
        <v>39818</v>
      </c>
      <c r="B754">
        <v>4.0692199999999996</v>
      </c>
      <c r="C754">
        <v>4.91</v>
      </c>
      <c r="D754">
        <f>WEEKDAY(A754,14)</f>
        <v>5</v>
      </c>
      <c r="E754">
        <f t="shared" si="44"/>
        <v>0.05</v>
      </c>
      <c r="F754">
        <f t="shared" si="45"/>
        <v>2</v>
      </c>
      <c r="G754">
        <f>IF(F754&gt;F753,G753+B754*E754,B754*E754)</f>
        <v>0.203461</v>
      </c>
      <c r="H754">
        <f t="shared" si="46"/>
        <v>0.05</v>
      </c>
      <c r="I754">
        <f t="shared" si="47"/>
        <v>0</v>
      </c>
      <c r="J754">
        <f>IF(I753=0,0,C753-I753)</f>
        <v>0</v>
      </c>
    </row>
    <row r="755" spans="1:10" x14ac:dyDescent="0.25">
      <c r="A755" s="1">
        <v>39819</v>
      </c>
      <c r="B755">
        <v>3.6051700000000002</v>
      </c>
      <c r="C755">
        <v>4.91</v>
      </c>
      <c r="D755">
        <f>WEEKDAY(A755,14)</f>
        <v>6</v>
      </c>
      <c r="E755">
        <f t="shared" si="44"/>
        <v>0.7</v>
      </c>
      <c r="F755">
        <f t="shared" si="45"/>
        <v>3</v>
      </c>
      <c r="G755">
        <f>IF(F755&gt;F754,G754+B755*E755,B755*E755)</f>
        <v>2.7270799999999999</v>
      </c>
      <c r="H755">
        <f t="shared" si="46"/>
        <v>0.75</v>
      </c>
      <c r="I755">
        <f t="shared" si="47"/>
        <v>0</v>
      </c>
      <c r="J755">
        <f>IF(I754=0,0,C754-I754)</f>
        <v>0</v>
      </c>
    </row>
    <row r="756" spans="1:10" x14ac:dyDescent="0.25">
      <c r="A756" s="1">
        <v>39820</v>
      </c>
      <c r="B756">
        <v>3.6011899999999999</v>
      </c>
      <c r="C756">
        <v>4.91</v>
      </c>
      <c r="D756">
        <f>WEEKDAY(A756,14)</f>
        <v>7</v>
      </c>
      <c r="E756">
        <f t="shared" si="44"/>
        <v>0.25</v>
      </c>
      <c r="F756">
        <f t="shared" si="45"/>
        <v>4</v>
      </c>
      <c r="G756">
        <f>IF(F756&gt;F755,G755+B756*E756,B756*E756)</f>
        <v>3.6273774999999997</v>
      </c>
      <c r="H756">
        <f t="shared" si="46"/>
        <v>1</v>
      </c>
      <c r="I756">
        <f t="shared" si="47"/>
        <v>3.6273774999999997</v>
      </c>
      <c r="J756">
        <f>IF(I755=0,0,C755-I755)</f>
        <v>0</v>
      </c>
    </row>
    <row r="757" spans="1:10" x14ac:dyDescent="0.25">
      <c r="A757" s="1">
        <v>39821</v>
      </c>
      <c r="B757">
        <v>3.72187</v>
      </c>
      <c r="C757">
        <v>4.8849999999999998</v>
      </c>
      <c r="D757">
        <f>WEEKDAY(A757,14)</f>
        <v>1</v>
      </c>
      <c r="E757">
        <f t="shared" si="44"/>
        <v>0</v>
      </c>
      <c r="F757">
        <f t="shared" si="45"/>
        <v>1</v>
      </c>
      <c r="G757">
        <f>IF(F757&gt;F756,G756+B757*E757,B757*E757)</f>
        <v>0</v>
      </c>
      <c r="H757">
        <f t="shared" si="46"/>
        <v>0</v>
      </c>
      <c r="I757">
        <f t="shared" si="47"/>
        <v>0</v>
      </c>
      <c r="J757">
        <f>IF(I756=0,0,C756-I756)</f>
        <v>1.2826225000000004</v>
      </c>
    </row>
    <row r="758" spans="1:10" x14ac:dyDescent="0.25">
      <c r="A758" s="1">
        <v>39822</v>
      </c>
      <c r="B758">
        <v>3.8124899999999999</v>
      </c>
      <c r="C758">
        <v>4.8849999999999998</v>
      </c>
      <c r="D758">
        <f>WEEKDAY(A758,14)</f>
        <v>2</v>
      </c>
      <c r="E758">
        <f t="shared" si="44"/>
        <v>0</v>
      </c>
      <c r="F758">
        <f t="shared" si="45"/>
        <v>2</v>
      </c>
      <c r="G758">
        <f>IF(F758&gt;F757,G757+B758*E758,B758*E758)</f>
        <v>0</v>
      </c>
      <c r="H758">
        <f t="shared" si="46"/>
        <v>0</v>
      </c>
      <c r="I758">
        <f t="shared" si="47"/>
        <v>0</v>
      </c>
      <c r="J758">
        <f>IF(I757=0,0,C757-I757)</f>
        <v>0</v>
      </c>
    </row>
    <row r="759" spans="1:10" x14ac:dyDescent="0.25">
      <c r="A759" s="1">
        <v>39825</v>
      </c>
      <c r="B759">
        <v>3.7958500000000002</v>
      </c>
      <c r="C759">
        <v>4.8849999999999998</v>
      </c>
      <c r="D759">
        <f>WEEKDAY(A759,14)</f>
        <v>5</v>
      </c>
      <c r="E759">
        <f t="shared" si="44"/>
        <v>0.05</v>
      </c>
      <c r="F759">
        <f t="shared" si="45"/>
        <v>3</v>
      </c>
      <c r="G759">
        <f>IF(F759&gt;F758,G758+B759*E759,B759*E759)</f>
        <v>0.18979250000000003</v>
      </c>
      <c r="H759">
        <f t="shared" si="46"/>
        <v>0.05</v>
      </c>
      <c r="I759">
        <f t="shared" si="47"/>
        <v>0</v>
      </c>
      <c r="J759">
        <f>IF(I758=0,0,C758-I758)</f>
        <v>0</v>
      </c>
    </row>
    <row r="760" spans="1:10" x14ac:dyDescent="0.25">
      <c r="A760" s="1">
        <v>39826</v>
      </c>
      <c r="B760">
        <v>3.7599100000000001</v>
      </c>
      <c r="C760">
        <v>4.8849999999999998</v>
      </c>
      <c r="D760">
        <f>WEEKDAY(A760,14)</f>
        <v>6</v>
      </c>
      <c r="E760">
        <f t="shared" si="44"/>
        <v>0.7</v>
      </c>
      <c r="F760">
        <f t="shared" si="45"/>
        <v>4</v>
      </c>
      <c r="G760">
        <f>IF(F760&gt;F759,G759+B760*E760,B760*E760)</f>
        <v>2.8217295</v>
      </c>
      <c r="H760">
        <f t="shared" si="46"/>
        <v>0.75</v>
      </c>
      <c r="I760">
        <f t="shared" si="47"/>
        <v>0</v>
      </c>
      <c r="J760">
        <f>IF(I759=0,0,C759-I759)</f>
        <v>0</v>
      </c>
    </row>
    <row r="761" spans="1:10" x14ac:dyDescent="0.25">
      <c r="A761" s="1">
        <v>39827</v>
      </c>
      <c r="B761">
        <v>3.75495</v>
      </c>
      <c r="C761">
        <v>4.8849999999999998</v>
      </c>
      <c r="D761">
        <f>WEEKDAY(A761,14)</f>
        <v>7</v>
      </c>
      <c r="E761">
        <f t="shared" si="44"/>
        <v>0.25</v>
      </c>
      <c r="F761">
        <f t="shared" si="45"/>
        <v>5</v>
      </c>
      <c r="G761">
        <f>IF(F761&gt;F760,G760+B761*E761,B761*E761)</f>
        <v>3.7604670000000002</v>
      </c>
      <c r="H761">
        <f t="shared" si="46"/>
        <v>1</v>
      </c>
      <c r="I761">
        <f t="shared" si="47"/>
        <v>3.7604670000000002</v>
      </c>
      <c r="J761">
        <f>IF(I760=0,0,C760-I760)</f>
        <v>0</v>
      </c>
    </row>
    <row r="762" spans="1:10" x14ac:dyDescent="0.25">
      <c r="A762" s="1">
        <v>39828</v>
      </c>
      <c r="B762">
        <v>3.80857</v>
      </c>
      <c r="C762">
        <v>5.0449999999999999</v>
      </c>
      <c r="D762">
        <f>WEEKDAY(A762,14)</f>
        <v>1</v>
      </c>
      <c r="E762">
        <f t="shared" si="44"/>
        <v>0</v>
      </c>
      <c r="F762">
        <f t="shared" si="45"/>
        <v>1</v>
      </c>
      <c r="G762">
        <f>IF(F762&gt;F761,G761+B762*E762,B762*E762)</f>
        <v>0</v>
      </c>
      <c r="H762">
        <f t="shared" si="46"/>
        <v>0</v>
      </c>
      <c r="I762">
        <f t="shared" si="47"/>
        <v>0</v>
      </c>
      <c r="J762">
        <f>IF(I761=0,0,C761-I761)</f>
        <v>1.1245329999999996</v>
      </c>
    </row>
    <row r="763" spans="1:10" x14ac:dyDescent="0.25">
      <c r="A763" s="1">
        <v>39829</v>
      </c>
      <c r="B763">
        <v>3.9130199999999999</v>
      </c>
      <c r="C763">
        <v>5.0449999999999999</v>
      </c>
      <c r="D763">
        <f>WEEKDAY(A763,14)</f>
        <v>2</v>
      </c>
      <c r="E763">
        <f t="shared" si="44"/>
        <v>0</v>
      </c>
      <c r="F763">
        <f t="shared" si="45"/>
        <v>2</v>
      </c>
      <c r="G763">
        <f>IF(F763&gt;F762,G762+B763*E763,B763*E763)</f>
        <v>0</v>
      </c>
      <c r="H763">
        <f t="shared" si="46"/>
        <v>0</v>
      </c>
      <c r="I763">
        <f t="shared" si="47"/>
        <v>0</v>
      </c>
      <c r="J763">
        <f>IF(I762=0,0,C762-I762)</f>
        <v>0</v>
      </c>
    </row>
    <row r="764" spans="1:10" x14ac:dyDescent="0.25">
      <c r="A764" s="1">
        <v>39833</v>
      </c>
      <c r="B764">
        <v>3.9285399999999999</v>
      </c>
      <c r="C764">
        <v>5.0449999999999999</v>
      </c>
      <c r="D764">
        <f>WEEKDAY(A764,14)</f>
        <v>6</v>
      </c>
      <c r="E764">
        <f t="shared" si="44"/>
        <v>0.7</v>
      </c>
      <c r="F764">
        <f t="shared" si="45"/>
        <v>3</v>
      </c>
      <c r="G764">
        <f>IF(F764&gt;F763,G763+B764*E764,B764*E764)</f>
        <v>2.7499779999999996</v>
      </c>
      <c r="H764">
        <f t="shared" si="46"/>
        <v>0.7</v>
      </c>
      <c r="I764">
        <f t="shared" si="47"/>
        <v>0</v>
      </c>
      <c r="J764">
        <f>IF(I763=0,0,C763-I763)</f>
        <v>0</v>
      </c>
    </row>
    <row r="765" spans="1:10" x14ac:dyDescent="0.25">
      <c r="A765" s="1">
        <v>39834</v>
      </c>
      <c r="B765">
        <v>4.0843600000000002</v>
      </c>
      <c r="C765">
        <v>5.0449999999999999</v>
      </c>
      <c r="D765">
        <f>WEEKDAY(A765,14)</f>
        <v>7</v>
      </c>
      <c r="E765">
        <f t="shared" si="44"/>
        <v>0.25</v>
      </c>
      <c r="F765">
        <f t="shared" si="45"/>
        <v>4</v>
      </c>
      <c r="G765">
        <f>IF(F765&gt;F764,G764+B765*E765,B765*E765)</f>
        <v>3.7710679999999996</v>
      </c>
      <c r="H765">
        <f t="shared" si="46"/>
        <v>0.95</v>
      </c>
      <c r="I765">
        <f t="shared" si="47"/>
        <v>3.9695452631578947</v>
      </c>
      <c r="J765">
        <f>IF(I764=0,0,C764-I764)</f>
        <v>0</v>
      </c>
    </row>
    <row r="766" spans="1:10" x14ac:dyDescent="0.25">
      <c r="A766" s="1">
        <v>39835</v>
      </c>
      <c r="B766">
        <v>4.05342</v>
      </c>
      <c r="C766">
        <v>5.0250000000000004</v>
      </c>
      <c r="D766">
        <f>WEEKDAY(A766,14)</f>
        <v>1</v>
      </c>
      <c r="E766">
        <f t="shared" si="44"/>
        <v>0</v>
      </c>
      <c r="F766">
        <f t="shared" si="45"/>
        <v>1</v>
      </c>
      <c r="G766">
        <f>IF(F766&gt;F765,G765+B766*E766,B766*E766)</f>
        <v>0</v>
      </c>
      <c r="H766">
        <f t="shared" si="46"/>
        <v>0</v>
      </c>
      <c r="I766">
        <f t="shared" si="47"/>
        <v>0</v>
      </c>
      <c r="J766">
        <f>IF(I765=0,0,C765-I765)</f>
        <v>1.0754547368421052</v>
      </c>
    </row>
    <row r="767" spans="1:10" x14ac:dyDescent="0.25">
      <c r="A767" s="1">
        <v>39836</v>
      </c>
      <c r="B767">
        <v>4.0049299999999999</v>
      </c>
      <c r="C767">
        <v>5.0250000000000004</v>
      </c>
      <c r="D767">
        <f>WEEKDAY(A767,14)</f>
        <v>2</v>
      </c>
      <c r="E767">
        <f t="shared" si="44"/>
        <v>0</v>
      </c>
      <c r="F767">
        <f t="shared" si="45"/>
        <v>2</v>
      </c>
      <c r="G767">
        <f>IF(F767&gt;F766,G766+B767*E767,B767*E767)</f>
        <v>0</v>
      </c>
      <c r="H767">
        <f t="shared" si="46"/>
        <v>0</v>
      </c>
      <c r="I767">
        <f t="shared" si="47"/>
        <v>0</v>
      </c>
      <c r="J767">
        <f>IF(I766=0,0,C766-I766)</f>
        <v>0</v>
      </c>
    </row>
    <row r="768" spans="1:10" x14ac:dyDescent="0.25">
      <c r="A768" s="1">
        <v>39839</v>
      </c>
      <c r="B768">
        <v>4.0208300000000001</v>
      </c>
      <c r="C768">
        <v>5.0250000000000004</v>
      </c>
      <c r="D768">
        <f>WEEKDAY(A768,14)</f>
        <v>5</v>
      </c>
      <c r="E768">
        <f t="shared" si="44"/>
        <v>0.05</v>
      </c>
      <c r="F768">
        <f t="shared" si="45"/>
        <v>3</v>
      </c>
      <c r="G768">
        <f>IF(F768&gt;F767,G767+B768*E768,B768*E768)</f>
        <v>0.20104150000000001</v>
      </c>
      <c r="H768">
        <f t="shared" si="46"/>
        <v>0.05</v>
      </c>
      <c r="I768">
        <f t="shared" si="47"/>
        <v>0</v>
      </c>
      <c r="J768">
        <f>IF(I767=0,0,C767-I767)</f>
        <v>0</v>
      </c>
    </row>
    <row r="769" spans="1:10" x14ac:dyDescent="0.25">
      <c r="A769" s="1">
        <v>39840</v>
      </c>
      <c r="B769">
        <v>3.9132799999999999</v>
      </c>
      <c r="C769">
        <v>5.0250000000000004</v>
      </c>
      <c r="D769">
        <f>WEEKDAY(A769,14)</f>
        <v>6</v>
      </c>
      <c r="E769">
        <f t="shared" si="44"/>
        <v>0.7</v>
      </c>
      <c r="F769">
        <f t="shared" si="45"/>
        <v>4</v>
      </c>
      <c r="G769">
        <f>IF(F769&gt;F768,G768+B769*E769,B769*E769)</f>
        <v>2.9403375</v>
      </c>
      <c r="H769">
        <f t="shared" si="46"/>
        <v>0.75</v>
      </c>
      <c r="I769">
        <f t="shared" si="47"/>
        <v>0</v>
      </c>
      <c r="J769">
        <f>IF(I768=0,0,C768-I768)</f>
        <v>0</v>
      </c>
    </row>
    <row r="770" spans="1:10" x14ac:dyDescent="0.25">
      <c r="A770" s="1">
        <v>39841</v>
      </c>
      <c r="B770">
        <v>4.0089800000000002</v>
      </c>
      <c r="C770">
        <v>5.0250000000000004</v>
      </c>
      <c r="D770">
        <f>WEEKDAY(A770,14)</f>
        <v>7</v>
      </c>
      <c r="E770">
        <f t="shared" si="44"/>
        <v>0.25</v>
      </c>
      <c r="F770">
        <f t="shared" si="45"/>
        <v>5</v>
      </c>
      <c r="G770">
        <f>IF(F770&gt;F769,G769+B770*E770,B770*E770)</f>
        <v>3.9425825000000003</v>
      </c>
      <c r="H770">
        <f t="shared" si="46"/>
        <v>1</v>
      </c>
      <c r="I770">
        <f t="shared" si="47"/>
        <v>3.9425825000000003</v>
      </c>
      <c r="J770">
        <f>IF(I769=0,0,C769-I769)</f>
        <v>0</v>
      </c>
    </row>
    <row r="771" spans="1:10" x14ac:dyDescent="0.25">
      <c r="A771" s="1">
        <v>39842</v>
      </c>
      <c r="B771">
        <v>4.2959100000000001</v>
      </c>
      <c r="C771">
        <v>5.2</v>
      </c>
      <c r="D771">
        <f>WEEKDAY(A771,14)</f>
        <v>1</v>
      </c>
      <c r="E771">
        <f t="shared" ref="E771:E834" si="48">VLOOKUP(D771,M$2:N$8,2,FALSE)</f>
        <v>0</v>
      </c>
      <c r="F771">
        <f t="shared" ref="F771:F834" si="49">IF(AND(D771&gt;D770,F770&lt;6),F770+1,1)</f>
        <v>1</v>
      </c>
      <c r="G771">
        <f>IF(F771&gt;F770,G770+B771*E771,B771*E771)</f>
        <v>0</v>
      </c>
      <c r="H771">
        <f t="shared" si="46"/>
        <v>0</v>
      </c>
      <c r="I771">
        <f t="shared" si="47"/>
        <v>0</v>
      </c>
      <c r="J771">
        <f>IF(I770=0,0,C770-I770)</f>
        <v>1.0824175</v>
      </c>
    </row>
    <row r="772" spans="1:10" x14ac:dyDescent="0.25">
      <c r="A772" s="1">
        <v>39843</v>
      </c>
      <c r="B772">
        <v>4.2903700000000002</v>
      </c>
      <c r="C772">
        <v>5.2</v>
      </c>
      <c r="D772">
        <f>WEEKDAY(A772,14)</f>
        <v>2</v>
      </c>
      <c r="E772">
        <f t="shared" si="48"/>
        <v>0</v>
      </c>
      <c r="F772">
        <f t="shared" si="49"/>
        <v>2</v>
      </c>
      <c r="G772">
        <f>IF(F772&gt;F771,G771+B772*E772,B772*E772)</f>
        <v>0</v>
      </c>
      <c r="H772">
        <f t="shared" ref="H772:H835" si="50">IF(AND(F772&lt;6,F772&gt;F771),E772+H771,E772)</f>
        <v>0</v>
      </c>
      <c r="I772">
        <f t="shared" ref="I772:I835" si="51">IF(F772&gt;F773,G772/H772,0)</f>
        <v>0</v>
      </c>
      <c r="J772">
        <f>IF(I771=0,0,C771-I771)</f>
        <v>0</v>
      </c>
    </row>
    <row r="773" spans="1:10" x14ac:dyDescent="0.25">
      <c r="A773" s="1">
        <v>39846</v>
      </c>
      <c r="B773">
        <v>4.1578400000000002</v>
      </c>
      <c r="C773">
        <v>5.2</v>
      </c>
      <c r="D773">
        <f>WEEKDAY(A773,14)</f>
        <v>5</v>
      </c>
      <c r="E773">
        <f t="shared" si="48"/>
        <v>0.05</v>
      </c>
      <c r="F773">
        <f t="shared" si="49"/>
        <v>3</v>
      </c>
      <c r="G773">
        <f>IF(F773&gt;F772,G772+B773*E773,B773*E773)</f>
        <v>0.20789200000000002</v>
      </c>
      <c r="H773">
        <f t="shared" si="50"/>
        <v>0.05</v>
      </c>
      <c r="I773">
        <f t="shared" si="51"/>
        <v>0</v>
      </c>
      <c r="J773">
        <f>IF(I772=0,0,C772-I772)</f>
        <v>0</v>
      </c>
    </row>
    <row r="774" spans="1:10" x14ac:dyDescent="0.25">
      <c r="A774" s="1">
        <v>39847</v>
      </c>
      <c r="B774">
        <v>4.2890499999999996</v>
      </c>
      <c r="C774">
        <v>5.2</v>
      </c>
      <c r="D774">
        <f>WEEKDAY(A774,14)</f>
        <v>6</v>
      </c>
      <c r="E774">
        <f t="shared" si="48"/>
        <v>0.7</v>
      </c>
      <c r="F774">
        <f t="shared" si="49"/>
        <v>4</v>
      </c>
      <c r="G774">
        <f>IF(F774&gt;F773,G773+B774*E774,B774*E774)</f>
        <v>3.2102269999999997</v>
      </c>
      <c r="H774">
        <f t="shared" si="50"/>
        <v>0.75</v>
      </c>
      <c r="I774">
        <f t="shared" si="51"/>
        <v>0</v>
      </c>
      <c r="J774">
        <f>IF(I773=0,0,C773-I773)</f>
        <v>0</v>
      </c>
    </row>
    <row r="775" spans="1:10" x14ac:dyDescent="0.25">
      <c r="A775" s="1">
        <v>39848</v>
      </c>
      <c r="B775">
        <v>4.3495799999999996</v>
      </c>
      <c r="C775">
        <v>5.2</v>
      </c>
      <c r="D775">
        <f>WEEKDAY(A775,14)</f>
        <v>7</v>
      </c>
      <c r="E775">
        <f t="shared" si="48"/>
        <v>0.25</v>
      </c>
      <c r="F775">
        <f t="shared" si="49"/>
        <v>5</v>
      </c>
      <c r="G775">
        <f>IF(F775&gt;F774,G774+B775*E775,B775*E775)</f>
        <v>4.2976219999999996</v>
      </c>
      <c r="H775">
        <f t="shared" si="50"/>
        <v>1</v>
      </c>
      <c r="I775">
        <f t="shared" si="51"/>
        <v>4.2976219999999996</v>
      </c>
      <c r="J775">
        <f>IF(I774=0,0,C774-I774)</f>
        <v>0</v>
      </c>
    </row>
    <row r="776" spans="1:10" x14ac:dyDescent="0.25">
      <c r="A776" s="1">
        <v>39849</v>
      </c>
      <c r="B776">
        <v>4.3181200000000004</v>
      </c>
      <c r="C776">
        <v>5.085</v>
      </c>
      <c r="D776">
        <f>WEEKDAY(A776,14)</f>
        <v>1</v>
      </c>
      <c r="E776">
        <f t="shared" si="48"/>
        <v>0</v>
      </c>
      <c r="F776">
        <f t="shared" si="49"/>
        <v>1</v>
      </c>
      <c r="G776">
        <f>IF(F776&gt;F775,G775+B776*E776,B776*E776)</f>
        <v>0</v>
      </c>
      <c r="H776">
        <f t="shared" si="50"/>
        <v>0</v>
      </c>
      <c r="I776">
        <f t="shared" si="51"/>
        <v>0</v>
      </c>
      <c r="J776">
        <f>IF(I775=0,0,C775-I775)</f>
        <v>0.90237800000000057</v>
      </c>
    </row>
    <row r="777" spans="1:10" x14ac:dyDescent="0.25">
      <c r="A777" s="1">
        <v>39850</v>
      </c>
      <c r="B777">
        <v>4.3668300000000002</v>
      </c>
      <c r="C777">
        <v>5.085</v>
      </c>
      <c r="D777">
        <f>WEEKDAY(A777,14)</f>
        <v>2</v>
      </c>
      <c r="E777">
        <f t="shared" si="48"/>
        <v>0</v>
      </c>
      <c r="F777">
        <f t="shared" si="49"/>
        <v>2</v>
      </c>
      <c r="G777">
        <f>IF(F777&gt;F776,G776+B777*E777,B777*E777)</f>
        <v>0</v>
      </c>
      <c r="H777">
        <f t="shared" si="50"/>
        <v>0</v>
      </c>
      <c r="I777">
        <f t="shared" si="51"/>
        <v>0</v>
      </c>
      <c r="J777">
        <f>IF(I776=0,0,C776-I776)</f>
        <v>0</v>
      </c>
    </row>
    <row r="778" spans="1:10" x14ac:dyDescent="0.25">
      <c r="A778" s="1">
        <v>39853</v>
      </c>
      <c r="B778">
        <v>4.3491299999999997</v>
      </c>
      <c r="C778">
        <v>5.085</v>
      </c>
      <c r="D778">
        <f>WEEKDAY(A778,14)</f>
        <v>5</v>
      </c>
      <c r="E778">
        <f t="shared" si="48"/>
        <v>0.05</v>
      </c>
      <c r="F778">
        <f t="shared" si="49"/>
        <v>3</v>
      </c>
      <c r="G778">
        <f>IF(F778&gt;F777,G777+B778*E778,B778*E778)</f>
        <v>0.2174565</v>
      </c>
      <c r="H778">
        <f t="shared" si="50"/>
        <v>0.05</v>
      </c>
      <c r="I778">
        <f t="shared" si="51"/>
        <v>0</v>
      </c>
      <c r="J778">
        <f>IF(I777=0,0,C777-I777)</f>
        <v>0</v>
      </c>
    </row>
    <row r="779" spans="1:10" x14ac:dyDescent="0.25">
      <c r="A779" s="1">
        <v>39854</v>
      </c>
      <c r="B779">
        <v>4.16012</v>
      </c>
      <c r="C779">
        <v>5.085</v>
      </c>
      <c r="D779">
        <f>WEEKDAY(A779,14)</f>
        <v>6</v>
      </c>
      <c r="E779">
        <f t="shared" si="48"/>
        <v>0.7</v>
      </c>
      <c r="F779">
        <f t="shared" si="49"/>
        <v>4</v>
      </c>
      <c r="G779">
        <f>IF(F779&gt;F778,G778+B779*E779,B779*E779)</f>
        <v>3.1295404999999996</v>
      </c>
      <c r="H779">
        <f t="shared" si="50"/>
        <v>0.75</v>
      </c>
      <c r="I779">
        <f t="shared" si="51"/>
        <v>0</v>
      </c>
      <c r="J779">
        <f>IF(I778=0,0,C778-I778)</f>
        <v>0</v>
      </c>
    </row>
    <row r="780" spans="1:10" x14ac:dyDescent="0.25">
      <c r="A780" s="1">
        <v>39855</v>
      </c>
      <c r="B780">
        <v>4.0732999999999997</v>
      </c>
      <c r="C780">
        <v>5.085</v>
      </c>
      <c r="D780">
        <f>WEEKDAY(A780,14)</f>
        <v>7</v>
      </c>
      <c r="E780">
        <f t="shared" si="48"/>
        <v>0.25</v>
      </c>
      <c r="F780">
        <f t="shared" si="49"/>
        <v>5</v>
      </c>
      <c r="G780">
        <f>IF(F780&gt;F779,G779+B780*E780,B780*E780)</f>
        <v>4.1478655</v>
      </c>
      <c r="H780">
        <f t="shared" si="50"/>
        <v>1</v>
      </c>
      <c r="I780">
        <f t="shared" si="51"/>
        <v>4.1478655</v>
      </c>
      <c r="J780">
        <f>IF(I779=0,0,C779-I779)</f>
        <v>0</v>
      </c>
    </row>
    <row r="781" spans="1:10" x14ac:dyDescent="0.25">
      <c r="A781" s="1">
        <v>39856</v>
      </c>
      <c r="B781">
        <v>4.0552799999999998</v>
      </c>
      <c r="C781">
        <v>4.9649999999999999</v>
      </c>
      <c r="D781">
        <f>WEEKDAY(A781,14)</f>
        <v>1</v>
      </c>
      <c r="E781">
        <f t="shared" si="48"/>
        <v>0</v>
      </c>
      <c r="F781">
        <f t="shared" si="49"/>
        <v>1</v>
      </c>
      <c r="G781">
        <f>IF(F781&gt;F780,G780+B781*E781,B781*E781)</f>
        <v>0</v>
      </c>
      <c r="H781">
        <f t="shared" si="50"/>
        <v>0</v>
      </c>
      <c r="I781">
        <f t="shared" si="51"/>
        <v>0</v>
      </c>
      <c r="J781">
        <f>IF(I780=0,0,C780-I780)</f>
        <v>0.93713449999999998</v>
      </c>
    </row>
    <row r="782" spans="1:10" x14ac:dyDescent="0.25">
      <c r="A782" s="1">
        <v>39857</v>
      </c>
      <c r="B782">
        <v>4.2455699999999998</v>
      </c>
      <c r="C782">
        <v>4.9649999999999999</v>
      </c>
      <c r="D782">
        <f>WEEKDAY(A782,14)</f>
        <v>2</v>
      </c>
      <c r="E782">
        <f t="shared" si="48"/>
        <v>0</v>
      </c>
      <c r="F782">
        <f t="shared" si="49"/>
        <v>2</v>
      </c>
      <c r="G782">
        <f>IF(F782&gt;F781,G781+B782*E782,B782*E782)</f>
        <v>0</v>
      </c>
      <c r="H782">
        <f t="shared" si="50"/>
        <v>0</v>
      </c>
      <c r="I782">
        <f t="shared" si="51"/>
        <v>0</v>
      </c>
      <c r="J782">
        <f>IF(I781=0,0,C781-I781)</f>
        <v>0</v>
      </c>
    </row>
    <row r="783" spans="1:10" x14ac:dyDescent="0.25">
      <c r="A783" s="1">
        <v>39861</v>
      </c>
      <c r="B783">
        <v>4.0968299999999997</v>
      </c>
      <c r="C783">
        <v>4.9649999999999999</v>
      </c>
      <c r="D783">
        <f>WEEKDAY(A783,14)</f>
        <v>6</v>
      </c>
      <c r="E783">
        <f t="shared" si="48"/>
        <v>0.7</v>
      </c>
      <c r="F783">
        <f t="shared" si="49"/>
        <v>3</v>
      </c>
      <c r="G783">
        <f>IF(F783&gt;F782,G782+B783*E783,B783*E783)</f>
        <v>2.8677809999999995</v>
      </c>
      <c r="H783">
        <f t="shared" si="50"/>
        <v>0.7</v>
      </c>
      <c r="I783">
        <f t="shared" si="51"/>
        <v>0</v>
      </c>
      <c r="J783">
        <f>IF(I782=0,0,C782-I782)</f>
        <v>0</v>
      </c>
    </row>
    <row r="784" spans="1:10" x14ac:dyDescent="0.25">
      <c r="A784" s="1">
        <v>39862</v>
      </c>
      <c r="B784">
        <v>4.1198199999999998</v>
      </c>
      <c r="C784">
        <v>4.9649999999999999</v>
      </c>
      <c r="D784">
        <f>WEEKDAY(A784,14)</f>
        <v>7</v>
      </c>
      <c r="E784">
        <f t="shared" si="48"/>
        <v>0.25</v>
      </c>
      <c r="F784">
        <f t="shared" si="49"/>
        <v>4</v>
      </c>
      <c r="G784">
        <f>IF(F784&gt;F783,G783+B784*E784,B784*E784)</f>
        <v>3.8977359999999992</v>
      </c>
      <c r="H784">
        <f t="shared" si="50"/>
        <v>0.95</v>
      </c>
      <c r="I784">
        <f t="shared" si="51"/>
        <v>4.102879999999999</v>
      </c>
      <c r="J784">
        <f>IF(I783=0,0,C783-I783)</f>
        <v>0</v>
      </c>
    </row>
    <row r="785" spans="1:10" x14ac:dyDescent="0.25">
      <c r="A785" s="1">
        <v>39863</v>
      </c>
      <c r="B785">
        <v>4.2408400000000004</v>
      </c>
      <c r="C785">
        <v>4.9950000000000001</v>
      </c>
      <c r="D785">
        <f>WEEKDAY(A785,14)</f>
        <v>1</v>
      </c>
      <c r="E785">
        <f t="shared" si="48"/>
        <v>0</v>
      </c>
      <c r="F785">
        <f t="shared" si="49"/>
        <v>1</v>
      </c>
      <c r="G785">
        <f>IF(F785&gt;F784,G784+B785*E785,B785*E785)</f>
        <v>0</v>
      </c>
      <c r="H785">
        <f t="shared" si="50"/>
        <v>0</v>
      </c>
      <c r="I785">
        <f t="shared" si="51"/>
        <v>0</v>
      </c>
      <c r="J785">
        <f>IF(I784=0,0,C784-I784)</f>
        <v>0.86212000000000089</v>
      </c>
    </row>
    <row r="786" spans="1:10" x14ac:dyDescent="0.25">
      <c r="A786" s="1">
        <v>39864</v>
      </c>
      <c r="B786">
        <v>4.1956899999999999</v>
      </c>
      <c r="C786">
        <v>4.9950000000000001</v>
      </c>
      <c r="D786">
        <f>WEEKDAY(A786,14)</f>
        <v>2</v>
      </c>
      <c r="E786">
        <f t="shared" si="48"/>
        <v>0</v>
      </c>
      <c r="F786">
        <f t="shared" si="49"/>
        <v>2</v>
      </c>
      <c r="G786">
        <f>IF(F786&gt;F785,G785+B786*E786,B786*E786)</f>
        <v>0</v>
      </c>
      <c r="H786">
        <f t="shared" si="50"/>
        <v>0</v>
      </c>
      <c r="I786">
        <f t="shared" si="51"/>
        <v>0</v>
      </c>
      <c r="J786">
        <f>IF(I785=0,0,C785-I785)</f>
        <v>0</v>
      </c>
    </row>
    <row r="787" spans="1:10" x14ac:dyDescent="0.25">
      <c r="A787" s="1">
        <v>39867</v>
      </c>
      <c r="B787">
        <v>4.2295999999999996</v>
      </c>
      <c r="C787">
        <v>4.9950000000000001</v>
      </c>
      <c r="D787">
        <f>WEEKDAY(A787,14)</f>
        <v>5</v>
      </c>
      <c r="E787">
        <f t="shared" si="48"/>
        <v>0.05</v>
      </c>
      <c r="F787">
        <f t="shared" si="49"/>
        <v>3</v>
      </c>
      <c r="G787">
        <f>IF(F787&gt;F786,G786+B787*E787,B787*E787)</f>
        <v>0.21148</v>
      </c>
      <c r="H787">
        <f t="shared" si="50"/>
        <v>0.05</v>
      </c>
      <c r="I787">
        <f t="shared" si="51"/>
        <v>0</v>
      </c>
      <c r="J787">
        <f>IF(I786=0,0,C786-I786)</f>
        <v>0</v>
      </c>
    </row>
    <row r="788" spans="1:10" x14ac:dyDescent="0.25">
      <c r="A788" s="1">
        <v>39868</v>
      </c>
      <c r="B788">
        <v>4.2818300000000002</v>
      </c>
      <c r="C788">
        <v>4.9950000000000001</v>
      </c>
      <c r="D788">
        <f>WEEKDAY(A788,14)</f>
        <v>6</v>
      </c>
      <c r="E788">
        <f t="shared" si="48"/>
        <v>0.7</v>
      </c>
      <c r="F788">
        <f t="shared" si="49"/>
        <v>4</v>
      </c>
      <c r="G788">
        <f>IF(F788&gt;F787,G787+B788*E788,B788*E788)</f>
        <v>3.208761</v>
      </c>
      <c r="H788">
        <f t="shared" si="50"/>
        <v>0.75</v>
      </c>
      <c r="I788">
        <f t="shared" si="51"/>
        <v>0</v>
      </c>
      <c r="J788">
        <f>IF(I787=0,0,C787-I787)</f>
        <v>0</v>
      </c>
    </row>
    <row r="789" spans="1:10" x14ac:dyDescent="0.25">
      <c r="A789" s="1">
        <v>39869</v>
      </c>
      <c r="B789">
        <v>4.4022100000000002</v>
      </c>
      <c r="C789">
        <v>4.9950000000000001</v>
      </c>
      <c r="D789">
        <f>WEEKDAY(A789,14)</f>
        <v>7</v>
      </c>
      <c r="E789">
        <f t="shared" si="48"/>
        <v>0.25</v>
      </c>
      <c r="F789">
        <f t="shared" si="49"/>
        <v>5</v>
      </c>
      <c r="G789">
        <f>IF(F789&gt;F788,G788+B789*E789,B789*E789)</f>
        <v>4.3093135</v>
      </c>
      <c r="H789">
        <f t="shared" si="50"/>
        <v>1</v>
      </c>
      <c r="I789">
        <f t="shared" si="51"/>
        <v>4.3093135</v>
      </c>
      <c r="J789">
        <f>IF(I788=0,0,C788-I788)</f>
        <v>0</v>
      </c>
    </row>
    <row r="790" spans="1:10" x14ac:dyDescent="0.25">
      <c r="A790" s="1">
        <v>39870</v>
      </c>
      <c r="B790">
        <v>4.4149000000000003</v>
      </c>
      <c r="C790">
        <v>5.0750000000000002</v>
      </c>
      <c r="D790">
        <f>WEEKDAY(A790,14)</f>
        <v>1</v>
      </c>
      <c r="E790">
        <f t="shared" si="48"/>
        <v>0</v>
      </c>
      <c r="F790">
        <f t="shared" si="49"/>
        <v>1</v>
      </c>
      <c r="G790">
        <f>IF(F790&gt;F789,G789+B790*E790,B790*E790)</f>
        <v>0</v>
      </c>
      <c r="H790">
        <f t="shared" si="50"/>
        <v>0</v>
      </c>
      <c r="I790">
        <f t="shared" si="51"/>
        <v>0</v>
      </c>
      <c r="J790">
        <f>IF(I789=0,0,C789-I789)</f>
        <v>0.68568650000000009</v>
      </c>
    </row>
    <row r="791" spans="1:10" x14ac:dyDescent="0.25">
      <c r="A791" s="1">
        <v>39871</v>
      </c>
      <c r="B791">
        <v>4.4553900000000004</v>
      </c>
      <c r="C791">
        <v>5.0750000000000002</v>
      </c>
      <c r="D791">
        <f>WEEKDAY(A791,14)</f>
        <v>2</v>
      </c>
      <c r="E791">
        <f t="shared" si="48"/>
        <v>0</v>
      </c>
      <c r="F791">
        <f t="shared" si="49"/>
        <v>2</v>
      </c>
      <c r="G791">
        <f>IF(F791&gt;F790,G790+B791*E791,B791*E791)</f>
        <v>0</v>
      </c>
      <c r="H791">
        <f t="shared" si="50"/>
        <v>0</v>
      </c>
      <c r="I791">
        <f t="shared" si="51"/>
        <v>0</v>
      </c>
      <c r="J791">
        <f>IF(I790=0,0,C790-I790)</f>
        <v>0</v>
      </c>
    </row>
    <row r="792" spans="1:10" x14ac:dyDescent="0.25">
      <c r="A792" s="1">
        <v>39874</v>
      </c>
      <c r="B792">
        <v>4.3978400000000004</v>
      </c>
      <c r="C792">
        <v>5.0750000000000002</v>
      </c>
      <c r="D792">
        <f>WEEKDAY(A792,14)</f>
        <v>5</v>
      </c>
      <c r="E792">
        <f t="shared" si="48"/>
        <v>0.05</v>
      </c>
      <c r="F792">
        <f t="shared" si="49"/>
        <v>3</v>
      </c>
      <c r="G792">
        <f>IF(F792&gt;F791,G791+B792*E792,B792*E792)</f>
        <v>0.21989200000000003</v>
      </c>
      <c r="H792">
        <f t="shared" si="50"/>
        <v>0.05</v>
      </c>
      <c r="I792">
        <f t="shared" si="51"/>
        <v>0</v>
      </c>
      <c r="J792">
        <f>IF(I791=0,0,C791-I791)</f>
        <v>0</v>
      </c>
    </row>
    <row r="793" spans="1:10" x14ac:dyDescent="0.25">
      <c r="A793" s="1">
        <v>39875</v>
      </c>
      <c r="B793">
        <v>4.3591699999999998</v>
      </c>
      <c r="C793">
        <v>5.0750000000000002</v>
      </c>
      <c r="D793">
        <f>WEEKDAY(A793,14)</f>
        <v>6</v>
      </c>
      <c r="E793">
        <f t="shared" si="48"/>
        <v>0.7</v>
      </c>
      <c r="F793">
        <f t="shared" si="49"/>
        <v>4</v>
      </c>
      <c r="G793">
        <f>IF(F793&gt;F792,G792+B793*E793,B793*E793)</f>
        <v>3.2713109999999999</v>
      </c>
      <c r="H793">
        <f t="shared" si="50"/>
        <v>0.75</v>
      </c>
      <c r="I793">
        <f t="shared" si="51"/>
        <v>0</v>
      </c>
      <c r="J793">
        <f>IF(I792=0,0,C792-I792)</f>
        <v>0</v>
      </c>
    </row>
    <row r="794" spans="1:10" x14ac:dyDescent="0.25">
      <c r="A794" s="1">
        <v>39876</v>
      </c>
      <c r="B794">
        <v>4.3877800000000002</v>
      </c>
      <c r="C794">
        <v>5.0750000000000002</v>
      </c>
      <c r="D794">
        <f>WEEKDAY(A794,14)</f>
        <v>7</v>
      </c>
      <c r="E794">
        <f t="shared" si="48"/>
        <v>0.25</v>
      </c>
      <c r="F794">
        <f t="shared" si="49"/>
        <v>5</v>
      </c>
      <c r="G794">
        <f>IF(F794&gt;F793,G793+B794*E794,B794*E794)</f>
        <v>4.3682559999999997</v>
      </c>
      <c r="H794">
        <f t="shared" si="50"/>
        <v>1</v>
      </c>
      <c r="I794">
        <f t="shared" si="51"/>
        <v>4.3682559999999997</v>
      </c>
      <c r="J794">
        <f>IF(I793=0,0,C793-I793)</f>
        <v>0</v>
      </c>
    </row>
    <row r="795" spans="1:10" x14ac:dyDescent="0.25">
      <c r="A795" s="1">
        <v>39877</v>
      </c>
      <c r="B795">
        <v>4.2229599999999996</v>
      </c>
      <c r="C795">
        <v>4.9550000000000001</v>
      </c>
      <c r="D795">
        <f>WEEKDAY(A795,14)</f>
        <v>1</v>
      </c>
      <c r="E795">
        <f t="shared" si="48"/>
        <v>0</v>
      </c>
      <c r="F795">
        <f t="shared" si="49"/>
        <v>1</v>
      </c>
      <c r="G795">
        <f>IF(F795&gt;F794,G794+B795*E795,B795*E795)</f>
        <v>0</v>
      </c>
      <c r="H795">
        <f t="shared" si="50"/>
        <v>0</v>
      </c>
      <c r="I795">
        <f t="shared" si="51"/>
        <v>0</v>
      </c>
      <c r="J795">
        <f>IF(I794=0,0,C794-I794)</f>
        <v>0.70674400000000048</v>
      </c>
    </row>
    <row r="796" spans="1:10" x14ac:dyDescent="0.25">
      <c r="A796" s="1">
        <v>39878</v>
      </c>
      <c r="B796">
        <v>4.21441</v>
      </c>
      <c r="C796">
        <v>4.9550000000000001</v>
      </c>
      <c r="D796">
        <f>WEEKDAY(A796,14)</f>
        <v>2</v>
      </c>
      <c r="E796">
        <f t="shared" si="48"/>
        <v>0</v>
      </c>
      <c r="F796">
        <f t="shared" si="49"/>
        <v>2</v>
      </c>
      <c r="G796">
        <f>IF(F796&gt;F795,G795+B796*E796,B796*E796)</f>
        <v>0</v>
      </c>
      <c r="H796">
        <f t="shared" si="50"/>
        <v>0</v>
      </c>
      <c r="I796">
        <f t="shared" si="51"/>
        <v>0</v>
      </c>
      <c r="J796">
        <f>IF(I795=0,0,C795-I795)</f>
        <v>0</v>
      </c>
    </row>
    <row r="797" spans="1:10" x14ac:dyDescent="0.25">
      <c r="A797" s="1">
        <v>39881</v>
      </c>
      <c r="B797">
        <v>4.2600699999999998</v>
      </c>
      <c r="C797">
        <v>4.9550000000000001</v>
      </c>
      <c r="D797">
        <f>WEEKDAY(A797,14)</f>
        <v>5</v>
      </c>
      <c r="E797">
        <f t="shared" si="48"/>
        <v>0.05</v>
      </c>
      <c r="F797">
        <f t="shared" si="49"/>
        <v>3</v>
      </c>
      <c r="G797">
        <f>IF(F797&gt;F796,G796+B797*E797,B797*E797)</f>
        <v>0.21300350000000001</v>
      </c>
      <c r="H797">
        <f t="shared" si="50"/>
        <v>0.05</v>
      </c>
      <c r="I797">
        <f t="shared" si="51"/>
        <v>0</v>
      </c>
      <c r="J797">
        <f>IF(I796=0,0,C796-I796)</f>
        <v>0</v>
      </c>
    </row>
    <row r="798" spans="1:10" x14ac:dyDescent="0.25">
      <c r="A798" s="1">
        <v>39882</v>
      </c>
      <c r="B798">
        <v>4.2873000000000001</v>
      </c>
      <c r="C798">
        <v>4.9550000000000001</v>
      </c>
      <c r="D798">
        <f>WEEKDAY(A798,14)</f>
        <v>6</v>
      </c>
      <c r="E798">
        <f t="shared" si="48"/>
        <v>0.7</v>
      </c>
      <c r="F798">
        <f t="shared" si="49"/>
        <v>4</v>
      </c>
      <c r="G798">
        <f>IF(F798&gt;F797,G797+B798*E798,B798*E798)</f>
        <v>3.2141134999999998</v>
      </c>
      <c r="H798">
        <f t="shared" si="50"/>
        <v>0.75</v>
      </c>
      <c r="I798">
        <f t="shared" si="51"/>
        <v>0</v>
      </c>
      <c r="J798">
        <f>IF(I797=0,0,C797-I797)</f>
        <v>0</v>
      </c>
    </row>
    <row r="799" spans="1:10" x14ac:dyDescent="0.25">
      <c r="A799" s="1">
        <v>39883</v>
      </c>
      <c r="B799">
        <v>4.2295199999999999</v>
      </c>
      <c r="C799">
        <v>4.9550000000000001</v>
      </c>
      <c r="D799">
        <f>WEEKDAY(A799,14)</f>
        <v>7</v>
      </c>
      <c r="E799">
        <f t="shared" si="48"/>
        <v>0.25</v>
      </c>
      <c r="F799">
        <f t="shared" si="49"/>
        <v>5</v>
      </c>
      <c r="G799">
        <f>IF(F799&gt;F798,G798+B799*E799,B799*E799)</f>
        <v>4.2714935000000001</v>
      </c>
      <c r="H799">
        <f t="shared" si="50"/>
        <v>1</v>
      </c>
      <c r="I799">
        <f t="shared" si="51"/>
        <v>4.2714935000000001</v>
      </c>
      <c r="J799">
        <f>IF(I798=0,0,C798-I798)</f>
        <v>0</v>
      </c>
    </row>
    <row r="800" spans="1:10" x14ac:dyDescent="0.25">
      <c r="A800" s="1">
        <v>39884</v>
      </c>
      <c r="B800">
        <v>4.1757200000000001</v>
      </c>
      <c r="C800">
        <v>4.9050000000000002</v>
      </c>
      <c r="D800">
        <f>WEEKDAY(A800,14)</f>
        <v>1</v>
      </c>
      <c r="E800">
        <f t="shared" si="48"/>
        <v>0</v>
      </c>
      <c r="F800">
        <f t="shared" si="49"/>
        <v>1</v>
      </c>
      <c r="G800">
        <f>IF(F800&gt;F799,G799+B800*E800,B800*E800)</f>
        <v>0</v>
      </c>
      <c r="H800">
        <f t="shared" si="50"/>
        <v>0</v>
      </c>
      <c r="I800">
        <f t="shared" si="51"/>
        <v>0</v>
      </c>
      <c r="J800">
        <f>IF(I799=0,0,C799-I799)</f>
        <v>0.68350650000000002</v>
      </c>
    </row>
    <row r="801" spans="1:10" x14ac:dyDescent="0.25">
      <c r="A801" s="1">
        <v>39885</v>
      </c>
      <c r="B801">
        <v>4.1787599999999996</v>
      </c>
      <c r="C801">
        <v>4.9050000000000002</v>
      </c>
      <c r="D801">
        <f>WEEKDAY(A801,14)</f>
        <v>2</v>
      </c>
      <c r="E801">
        <f t="shared" si="48"/>
        <v>0</v>
      </c>
      <c r="F801">
        <f t="shared" si="49"/>
        <v>2</v>
      </c>
      <c r="G801">
        <f>IF(F801&gt;F800,G800+B801*E801,B801*E801)</f>
        <v>0</v>
      </c>
      <c r="H801">
        <f t="shared" si="50"/>
        <v>0</v>
      </c>
      <c r="I801">
        <f t="shared" si="51"/>
        <v>0</v>
      </c>
      <c r="J801">
        <f>IF(I800=0,0,C800-I800)</f>
        <v>0</v>
      </c>
    </row>
    <row r="802" spans="1:10" x14ac:dyDescent="0.25">
      <c r="A802" s="1">
        <v>39888</v>
      </c>
      <c r="B802">
        <v>4.2065299999999999</v>
      </c>
      <c r="C802">
        <v>4.9050000000000002</v>
      </c>
      <c r="D802">
        <f>WEEKDAY(A802,14)</f>
        <v>5</v>
      </c>
      <c r="E802">
        <f t="shared" si="48"/>
        <v>0.05</v>
      </c>
      <c r="F802">
        <f t="shared" si="49"/>
        <v>3</v>
      </c>
      <c r="G802">
        <f>IF(F802&gt;F801,G801+B802*E802,B802*E802)</f>
        <v>0.2103265</v>
      </c>
      <c r="H802">
        <f t="shared" si="50"/>
        <v>0.05</v>
      </c>
      <c r="I802">
        <f t="shared" si="51"/>
        <v>0</v>
      </c>
      <c r="J802">
        <f>IF(I801=0,0,C801-I801)</f>
        <v>0</v>
      </c>
    </row>
    <row r="803" spans="1:10" x14ac:dyDescent="0.25">
      <c r="A803" s="1">
        <v>39889</v>
      </c>
      <c r="B803">
        <v>4.2091599999999998</v>
      </c>
      <c r="C803">
        <v>4.9050000000000002</v>
      </c>
      <c r="D803">
        <f>WEEKDAY(A803,14)</f>
        <v>6</v>
      </c>
      <c r="E803">
        <f t="shared" si="48"/>
        <v>0.7</v>
      </c>
      <c r="F803">
        <f t="shared" si="49"/>
        <v>4</v>
      </c>
      <c r="G803">
        <f>IF(F803&gt;F802,G802+B803*E803,B803*E803)</f>
        <v>3.1567384999999994</v>
      </c>
      <c r="H803">
        <f t="shared" si="50"/>
        <v>0.75</v>
      </c>
      <c r="I803">
        <f t="shared" si="51"/>
        <v>0</v>
      </c>
      <c r="J803">
        <f>IF(I802=0,0,C802-I802)</f>
        <v>0</v>
      </c>
    </row>
    <row r="804" spans="1:10" x14ac:dyDescent="0.25">
      <c r="A804" s="1">
        <v>39890</v>
      </c>
      <c r="B804">
        <v>3.8771599999999999</v>
      </c>
      <c r="C804">
        <v>4.9050000000000002</v>
      </c>
      <c r="D804">
        <f>WEEKDAY(A804,14)</f>
        <v>7</v>
      </c>
      <c r="E804">
        <f t="shared" si="48"/>
        <v>0.25</v>
      </c>
      <c r="F804">
        <f t="shared" si="49"/>
        <v>5</v>
      </c>
      <c r="G804">
        <f>IF(F804&gt;F803,G803+B804*E804,B804*E804)</f>
        <v>4.1260284999999994</v>
      </c>
      <c r="H804">
        <f t="shared" si="50"/>
        <v>1</v>
      </c>
      <c r="I804">
        <f t="shared" si="51"/>
        <v>4.1260284999999994</v>
      </c>
      <c r="J804">
        <f>IF(I803=0,0,C803-I803)</f>
        <v>0</v>
      </c>
    </row>
    <row r="805" spans="1:10" x14ac:dyDescent="0.25">
      <c r="A805" s="1">
        <v>39891</v>
      </c>
      <c r="B805">
        <v>3.8337699999999999</v>
      </c>
      <c r="C805">
        <v>4.7750000000000004</v>
      </c>
      <c r="D805">
        <f>WEEKDAY(A805,14)</f>
        <v>1</v>
      </c>
      <c r="E805">
        <f t="shared" si="48"/>
        <v>0</v>
      </c>
      <c r="F805">
        <f t="shared" si="49"/>
        <v>1</v>
      </c>
      <c r="G805">
        <f>IF(F805&gt;F804,G804+B805*E805,B805*E805)</f>
        <v>0</v>
      </c>
      <c r="H805">
        <f t="shared" si="50"/>
        <v>0</v>
      </c>
      <c r="I805">
        <f t="shared" si="51"/>
        <v>0</v>
      </c>
      <c r="J805">
        <f>IF(I804=0,0,C804-I804)</f>
        <v>0.77897150000000082</v>
      </c>
    </row>
    <row r="806" spans="1:10" x14ac:dyDescent="0.25">
      <c r="A806" s="1">
        <v>39892</v>
      </c>
      <c r="B806">
        <v>3.8969200000000002</v>
      </c>
      <c r="C806">
        <v>4.7750000000000004</v>
      </c>
      <c r="D806">
        <f>WEEKDAY(A806,14)</f>
        <v>2</v>
      </c>
      <c r="E806">
        <f t="shared" si="48"/>
        <v>0</v>
      </c>
      <c r="F806">
        <f t="shared" si="49"/>
        <v>2</v>
      </c>
      <c r="G806">
        <f>IF(F806&gt;F805,G805+B806*E806,B806*E806)</f>
        <v>0</v>
      </c>
      <c r="H806">
        <f t="shared" si="50"/>
        <v>0</v>
      </c>
      <c r="I806">
        <f t="shared" si="51"/>
        <v>0</v>
      </c>
      <c r="J806">
        <f>IF(I805=0,0,C805-I805)</f>
        <v>0</v>
      </c>
    </row>
    <row r="807" spans="1:10" x14ac:dyDescent="0.25">
      <c r="A807" s="1">
        <v>39895</v>
      </c>
      <c r="B807">
        <v>3.9289399999999999</v>
      </c>
      <c r="C807">
        <v>4.7750000000000004</v>
      </c>
      <c r="D807">
        <f>WEEKDAY(A807,14)</f>
        <v>5</v>
      </c>
      <c r="E807">
        <f t="shared" si="48"/>
        <v>0.05</v>
      </c>
      <c r="F807">
        <f t="shared" si="49"/>
        <v>3</v>
      </c>
      <c r="G807">
        <f>IF(F807&gt;F806,G806+B807*E807,B807*E807)</f>
        <v>0.19644700000000001</v>
      </c>
      <c r="H807">
        <f t="shared" si="50"/>
        <v>0.05</v>
      </c>
      <c r="I807">
        <f t="shared" si="51"/>
        <v>0</v>
      </c>
      <c r="J807">
        <f>IF(I806=0,0,C806-I806)</f>
        <v>0</v>
      </c>
    </row>
    <row r="808" spans="1:10" x14ac:dyDescent="0.25">
      <c r="A808" s="1">
        <v>39896</v>
      </c>
      <c r="B808">
        <v>3.93485</v>
      </c>
      <c r="C808">
        <v>4.7750000000000004</v>
      </c>
      <c r="D808">
        <f>WEEKDAY(A808,14)</f>
        <v>6</v>
      </c>
      <c r="E808">
        <f t="shared" si="48"/>
        <v>0.7</v>
      </c>
      <c r="F808">
        <f t="shared" si="49"/>
        <v>4</v>
      </c>
      <c r="G808">
        <f>IF(F808&gt;F807,G807+B808*E808,B808*E808)</f>
        <v>2.9508419999999997</v>
      </c>
      <c r="H808">
        <f t="shared" si="50"/>
        <v>0.75</v>
      </c>
      <c r="I808">
        <f t="shared" si="51"/>
        <v>0</v>
      </c>
      <c r="J808">
        <f>IF(I807=0,0,C807-I807)</f>
        <v>0</v>
      </c>
    </row>
    <row r="809" spans="1:10" x14ac:dyDescent="0.25">
      <c r="A809" s="1">
        <v>39897</v>
      </c>
      <c r="B809">
        <v>3.9622700000000002</v>
      </c>
      <c r="C809">
        <v>4.7750000000000004</v>
      </c>
      <c r="D809">
        <f>WEEKDAY(A809,14)</f>
        <v>7</v>
      </c>
      <c r="E809">
        <f t="shared" si="48"/>
        <v>0.25</v>
      </c>
      <c r="F809">
        <f t="shared" si="49"/>
        <v>5</v>
      </c>
      <c r="G809">
        <f>IF(F809&gt;F808,G808+B809*E809,B809*E809)</f>
        <v>3.9414094999999998</v>
      </c>
      <c r="H809">
        <f t="shared" si="50"/>
        <v>1</v>
      </c>
      <c r="I809">
        <f t="shared" si="51"/>
        <v>3.9414094999999998</v>
      </c>
      <c r="J809">
        <f>IF(I808=0,0,C808-I808)</f>
        <v>0</v>
      </c>
    </row>
    <row r="810" spans="1:10" x14ac:dyDescent="0.25">
      <c r="A810" s="1">
        <v>39898</v>
      </c>
      <c r="B810">
        <v>3.9359099999999998</v>
      </c>
      <c r="C810">
        <v>4.7050000000000001</v>
      </c>
      <c r="D810">
        <f>WEEKDAY(A810,14)</f>
        <v>1</v>
      </c>
      <c r="E810">
        <f t="shared" si="48"/>
        <v>0</v>
      </c>
      <c r="F810">
        <f t="shared" si="49"/>
        <v>1</v>
      </c>
      <c r="G810">
        <f>IF(F810&gt;F809,G809+B810*E810,B810*E810)</f>
        <v>0</v>
      </c>
      <c r="H810">
        <f t="shared" si="50"/>
        <v>0</v>
      </c>
      <c r="I810">
        <f t="shared" si="51"/>
        <v>0</v>
      </c>
      <c r="J810">
        <f>IF(I809=0,0,C809-I809)</f>
        <v>0.83359050000000057</v>
      </c>
    </row>
    <row r="811" spans="1:10" x14ac:dyDescent="0.25">
      <c r="A811" s="1">
        <v>39899</v>
      </c>
      <c r="B811">
        <v>3.9131300000000002</v>
      </c>
      <c r="C811">
        <v>4.7050000000000001</v>
      </c>
      <c r="D811">
        <f>WEEKDAY(A811,14)</f>
        <v>2</v>
      </c>
      <c r="E811">
        <f t="shared" si="48"/>
        <v>0</v>
      </c>
      <c r="F811">
        <f t="shared" si="49"/>
        <v>2</v>
      </c>
      <c r="G811">
        <f>IF(F811&gt;F810,G810+B811*E811,B811*E811)</f>
        <v>0</v>
      </c>
      <c r="H811">
        <f t="shared" si="50"/>
        <v>0</v>
      </c>
      <c r="I811">
        <f t="shared" si="51"/>
        <v>0</v>
      </c>
      <c r="J811">
        <f>IF(I810=0,0,C810-I810)</f>
        <v>0</v>
      </c>
    </row>
    <row r="812" spans="1:10" x14ac:dyDescent="0.25">
      <c r="A812" s="1">
        <v>39902</v>
      </c>
      <c r="B812">
        <v>3.8842099999999999</v>
      </c>
      <c r="C812">
        <v>4.7050000000000001</v>
      </c>
      <c r="D812">
        <f>WEEKDAY(A812,14)</f>
        <v>5</v>
      </c>
      <c r="E812">
        <f t="shared" si="48"/>
        <v>0.05</v>
      </c>
      <c r="F812">
        <f t="shared" si="49"/>
        <v>3</v>
      </c>
      <c r="G812">
        <f>IF(F812&gt;F811,G811+B812*E812,B812*E812)</f>
        <v>0.19421050000000001</v>
      </c>
      <c r="H812">
        <f t="shared" si="50"/>
        <v>0.05</v>
      </c>
      <c r="I812">
        <f t="shared" si="51"/>
        <v>0</v>
      </c>
      <c r="J812">
        <f>IF(I811=0,0,C811-I811)</f>
        <v>0</v>
      </c>
    </row>
    <row r="813" spans="1:10" x14ac:dyDescent="0.25">
      <c r="A813" s="1">
        <v>39903</v>
      </c>
      <c r="B813">
        <v>3.8956</v>
      </c>
      <c r="C813">
        <v>4.7050000000000001</v>
      </c>
      <c r="D813">
        <f>WEEKDAY(A813,14)</f>
        <v>6</v>
      </c>
      <c r="E813">
        <f t="shared" si="48"/>
        <v>0.7</v>
      </c>
      <c r="F813">
        <f t="shared" si="49"/>
        <v>4</v>
      </c>
      <c r="G813">
        <f>IF(F813&gt;F812,G812+B813*E813,B813*E813)</f>
        <v>2.9211304999999999</v>
      </c>
      <c r="H813">
        <f t="shared" si="50"/>
        <v>0.75</v>
      </c>
      <c r="I813">
        <f t="shared" si="51"/>
        <v>0</v>
      </c>
      <c r="J813">
        <f>IF(I812=0,0,C812-I812)</f>
        <v>0</v>
      </c>
    </row>
    <row r="814" spans="1:10" x14ac:dyDescent="0.25">
      <c r="A814" s="1">
        <v>39904</v>
      </c>
      <c r="B814">
        <v>3.9044099999999999</v>
      </c>
      <c r="C814">
        <v>4.7050000000000001</v>
      </c>
      <c r="D814">
        <f>WEEKDAY(A814,14)</f>
        <v>7</v>
      </c>
      <c r="E814">
        <f t="shared" si="48"/>
        <v>0.25</v>
      </c>
      <c r="F814">
        <f t="shared" si="49"/>
        <v>5</v>
      </c>
      <c r="G814">
        <f>IF(F814&gt;F813,G813+B814*E814,B814*E814)</f>
        <v>3.8972329999999999</v>
      </c>
      <c r="H814">
        <f t="shared" si="50"/>
        <v>1</v>
      </c>
      <c r="I814">
        <f t="shared" si="51"/>
        <v>3.8972329999999999</v>
      </c>
      <c r="J814">
        <f>IF(I813=0,0,C813-I813)</f>
        <v>0</v>
      </c>
    </row>
    <row r="815" spans="1:10" x14ac:dyDescent="0.25">
      <c r="A815" s="1">
        <v>39905</v>
      </c>
      <c r="B815">
        <v>3.9812699999999999</v>
      </c>
      <c r="C815">
        <v>4.7949999999999999</v>
      </c>
      <c r="D815">
        <f>WEEKDAY(A815,14)</f>
        <v>1</v>
      </c>
      <c r="E815">
        <f t="shared" si="48"/>
        <v>0</v>
      </c>
      <c r="F815">
        <f t="shared" si="49"/>
        <v>1</v>
      </c>
      <c r="G815">
        <f>IF(F815&gt;F814,G814+B815*E815,B815*E815)</f>
        <v>0</v>
      </c>
      <c r="H815">
        <f t="shared" si="50"/>
        <v>0</v>
      </c>
      <c r="I815">
        <f t="shared" si="51"/>
        <v>0</v>
      </c>
      <c r="J815">
        <f>IF(I814=0,0,C814-I814)</f>
        <v>0.80776700000000012</v>
      </c>
    </row>
    <row r="816" spans="1:10" x14ac:dyDescent="0.25">
      <c r="A816" s="1">
        <v>39906</v>
      </c>
      <c r="B816">
        <v>4.0741300000000003</v>
      </c>
      <c r="C816">
        <v>4.7949999999999999</v>
      </c>
      <c r="D816">
        <f>WEEKDAY(A816,14)</f>
        <v>2</v>
      </c>
      <c r="E816">
        <f t="shared" si="48"/>
        <v>0</v>
      </c>
      <c r="F816">
        <f t="shared" si="49"/>
        <v>2</v>
      </c>
      <c r="G816">
        <f>IF(F816&gt;F815,G815+B816*E816,B816*E816)</f>
        <v>0</v>
      </c>
      <c r="H816">
        <f t="shared" si="50"/>
        <v>0</v>
      </c>
      <c r="I816">
        <f t="shared" si="51"/>
        <v>0</v>
      </c>
      <c r="J816">
        <f>IF(I815=0,0,C815-I815)</f>
        <v>0</v>
      </c>
    </row>
    <row r="817" spans="1:10" x14ac:dyDescent="0.25">
      <c r="A817" s="1">
        <v>39909</v>
      </c>
      <c r="B817">
        <v>4.0684899999999997</v>
      </c>
      <c r="C817">
        <v>4.7949999999999999</v>
      </c>
      <c r="D817">
        <f>WEEKDAY(A817,14)</f>
        <v>5</v>
      </c>
      <c r="E817">
        <f t="shared" si="48"/>
        <v>0.05</v>
      </c>
      <c r="F817">
        <f t="shared" si="49"/>
        <v>3</v>
      </c>
      <c r="G817">
        <f>IF(F817&gt;F816,G816+B817*E817,B817*E817)</f>
        <v>0.20342450000000001</v>
      </c>
      <c r="H817">
        <f t="shared" si="50"/>
        <v>0.05</v>
      </c>
      <c r="I817">
        <f t="shared" si="51"/>
        <v>0</v>
      </c>
      <c r="J817">
        <f>IF(I816=0,0,C816-I816)</f>
        <v>0</v>
      </c>
    </row>
    <row r="818" spans="1:10" x14ac:dyDescent="0.25">
      <c r="A818" s="1">
        <v>39910</v>
      </c>
      <c r="B818">
        <v>4.0099</v>
      </c>
      <c r="C818">
        <v>4.7949999999999999</v>
      </c>
      <c r="D818">
        <f>WEEKDAY(A818,14)</f>
        <v>6</v>
      </c>
      <c r="E818">
        <f t="shared" si="48"/>
        <v>0.7</v>
      </c>
      <c r="F818">
        <f t="shared" si="49"/>
        <v>4</v>
      </c>
      <c r="G818">
        <f>IF(F818&gt;F817,G817+B818*E818,B818*E818)</f>
        <v>3.0103545</v>
      </c>
      <c r="H818">
        <f t="shared" si="50"/>
        <v>0.75</v>
      </c>
      <c r="I818">
        <f t="shared" si="51"/>
        <v>0</v>
      </c>
      <c r="J818">
        <f>IF(I817=0,0,C817-I817)</f>
        <v>0</v>
      </c>
    </row>
    <row r="819" spans="1:10" x14ac:dyDescent="0.25">
      <c r="A819" s="1">
        <v>39911</v>
      </c>
      <c r="B819">
        <v>3.9313099999999999</v>
      </c>
      <c r="C819">
        <v>4.7949999999999999</v>
      </c>
      <c r="D819">
        <f>WEEKDAY(A819,14)</f>
        <v>7</v>
      </c>
      <c r="E819">
        <f t="shared" si="48"/>
        <v>0.25</v>
      </c>
      <c r="F819">
        <f t="shared" si="49"/>
        <v>5</v>
      </c>
      <c r="G819">
        <f>IF(F819&gt;F818,G818+B819*E819,B819*E819)</f>
        <v>3.993182</v>
      </c>
      <c r="H819">
        <f t="shared" si="50"/>
        <v>1</v>
      </c>
      <c r="I819">
        <f t="shared" si="51"/>
        <v>3.993182</v>
      </c>
      <c r="J819">
        <f>IF(I818=0,0,C818-I818)</f>
        <v>0</v>
      </c>
    </row>
    <row r="820" spans="1:10" x14ac:dyDescent="0.25">
      <c r="A820" s="1">
        <v>39912</v>
      </c>
      <c r="B820">
        <v>4.0188800000000002</v>
      </c>
      <c r="C820">
        <v>4.72</v>
      </c>
      <c r="D820">
        <f>WEEKDAY(A820,14)</f>
        <v>1</v>
      </c>
      <c r="E820">
        <f t="shared" si="48"/>
        <v>0</v>
      </c>
      <c r="F820">
        <f t="shared" si="49"/>
        <v>1</v>
      </c>
      <c r="G820">
        <f>IF(F820&gt;F819,G819+B820*E820,B820*E820)</f>
        <v>0</v>
      </c>
      <c r="H820">
        <f t="shared" si="50"/>
        <v>0</v>
      </c>
      <c r="I820">
        <f t="shared" si="51"/>
        <v>0</v>
      </c>
      <c r="J820">
        <f>IF(I819=0,0,C819-I819)</f>
        <v>0.80181799999999992</v>
      </c>
    </row>
    <row r="821" spans="1:10" x14ac:dyDescent="0.25">
      <c r="A821" s="1">
        <v>39916</v>
      </c>
      <c r="B821">
        <v>3.9816400000000001</v>
      </c>
      <c r="C821">
        <v>4.72</v>
      </c>
      <c r="D821">
        <f>WEEKDAY(A821,14)</f>
        <v>5</v>
      </c>
      <c r="E821">
        <f t="shared" si="48"/>
        <v>0.05</v>
      </c>
      <c r="F821">
        <f t="shared" si="49"/>
        <v>2</v>
      </c>
      <c r="G821">
        <f>IF(F821&gt;F820,G820+B821*E821,B821*E821)</f>
        <v>0.19908200000000001</v>
      </c>
      <c r="H821">
        <f t="shared" si="50"/>
        <v>0.05</v>
      </c>
      <c r="I821">
        <f t="shared" si="51"/>
        <v>0</v>
      </c>
      <c r="J821">
        <f>IF(I820=0,0,C820-I820)</f>
        <v>0</v>
      </c>
    </row>
    <row r="822" spans="1:10" x14ac:dyDescent="0.25">
      <c r="A822" s="1">
        <v>39917</v>
      </c>
      <c r="B822">
        <v>3.9580700000000002</v>
      </c>
      <c r="C822">
        <v>4.72</v>
      </c>
      <c r="D822">
        <f>WEEKDAY(A822,14)</f>
        <v>6</v>
      </c>
      <c r="E822">
        <f t="shared" si="48"/>
        <v>0.7</v>
      </c>
      <c r="F822">
        <f t="shared" si="49"/>
        <v>3</v>
      </c>
      <c r="G822">
        <f>IF(F822&gt;F821,G821+B822*E822,B822*E822)</f>
        <v>2.9697310000000003</v>
      </c>
      <c r="H822">
        <f t="shared" si="50"/>
        <v>0.75</v>
      </c>
      <c r="I822">
        <f t="shared" si="51"/>
        <v>0</v>
      </c>
      <c r="J822">
        <f>IF(I821=0,0,C821-I821)</f>
        <v>0</v>
      </c>
    </row>
    <row r="823" spans="1:10" x14ac:dyDescent="0.25">
      <c r="A823" s="1">
        <v>39918</v>
      </c>
      <c r="B823">
        <v>3.93676</v>
      </c>
      <c r="C823">
        <v>4.72</v>
      </c>
      <c r="D823">
        <f>WEEKDAY(A823,14)</f>
        <v>7</v>
      </c>
      <c r="E823">
        <f t="shared" si="48"/>
        <v>0.25</v>
      </c>
      <c r="F823">
        <f t="shared" si="49"/>
        <v>4</v>
      </c>
      <c r="G823">
        <f>IF(F823&gt;F822,G822+B823*E823,B823*E823)</f>
        <v>3.9539210000000002</v>
      </c>
      <c r="H823">
        <f t="shared" si="50"/>
        <v>1</v>
      </c>
      <c r="I823">
        <f t="shared" si="51"/>
        <v>3.9539210000000002</v>
      </c>
      <c r="J823">
        <f>IF(I822=0,0,C822-I822)</f>
        <v>0</v>
      </c>
    </row>
    <row r="824" spans="1:10" x14ac:dyDescent="0.25">
      <c r="A824" s="1">
        <v>39919</v>
      </c>
      <c r="B824">
        <v>3.9709400000000001</v>
      </c>
      <c r="C824">
        <v>4.7249999999999996</v>
      </c>
      <c r="D824">
        <f>WEEKDAY(A824,14)</f>
        <v>1</v>
      </c>
      <c r="E824">
        <f t="shared" si="48"/>
        <v>0</v>
      </c>
      <c r="F824">
        <f t="shared" si="49"/>
        <v>1</v>
      </c>
      <c r="G824">
        <f>IF(F824&gt;F823,G823+B824*E824,B824*E824)</f>
        <v>0</v>
      </c>
      <c r="H824">
        <f t="shared" si="50"/>
        <v>0</v>
      </c>
      <c r="I824">
        <f t="shared" si="51"/>
        <v>0</v>
      </c>
      <c r="J824">
        <f>IF(I823=0,0,C823-I823)</f>
        <v>0.76607899999999951</v>
      </c>
    </row>
    <row r="825" spans="1:10" x14ac:dyDescent="0.25">
      <c r="A825" s="1">
        <v>39920</v>
      </c>
      <c r="B825">
        <v>4.0345800000000001</v>
      </c>
      <c r="C825">
        <v>4.7249999999999996</v>
      </c>
      <c r="D825">
        <f>WEEKDAY(A825,14)</f>
        <v>2</v>
      </c>
      <c r="E825">
        <f t="shared" si="48"/>
        <v>0</v>
      </c>
      <c r="F825">
        <f t="shared" si="49"/>
        <v>2</v>
      </c>
      <c r="G825">
        <f>IF(F825&gt;F824,G824+B825*E825,B825*E825)</f>
        <v>0</v>
      </c>
      <c r="H825">
        <f t="shared" si="50"/>
        <v>0</v>
      </c>
      <c r="I825">
        <f t="shared" si="51"/>
        <v>0</v>
      </c>
      <c r="J825">
        <f>IF(I824=0,0,C824-I824)</f>
        <v>0</v>
      </c>
    </row>
    <row r="826" spans="1:10" x14ac:dyDescent="0.25">
      <c r="A826" s="1">
        <v>39923</v>
      </c>
      <c r="B826">
        <v>3.9962200000000001</v>
      </c>
      <c r="C826">
        <v>4.7249999999999996</v>
      </c>
      <c r="D826">
        <f>WEEKDAY(A826,14)</f>
        <v>5</v>
      </c>
      <c r="E826">
        <f t="shared" si="48"/>
        <v>0.05</v>
      </c>
      <c r="F826">
        <f t="shared" si="49"/>
        <v>3</v>
      </c>
      <c r="G826">
        <f>IF(F826&gt;F825,G825+B826*E826,B826*E826)</f>
        <v>0.19981100000000002</v>
      </c>
      <c r="H826">
        <f t="shared" si="50"/>
        <v>0.05</v>
      </c>
      <c r="I826">
        <f t="shared" si="51"/>
        <v>0</v>
      </c>
      <c r="J826">
        <f>IF(I825=0,0,C825-I825)</f>
        <v>0</v>
      </c>
    </row>
    <row r="827" spans="1:10" x14ac:dyDescent="0.25">
      <c r="A827" s="1">
        <v>39924</v>
      </c>
      <c r="B827">
        <v>3.9960399999999998</v>
      </c>
      <c r="C827">
        <v>4.7249999999999996</v>
      </c>
      <c r="D827">
        <f>WEEKDAY(A827,14)</f>
        <v>6</v>
      </c>
      <c r="E827">
        <f t="shared" si="48"/>
        <v>0.7</v>
      </c>
      <c r="F827">
        <f t="shared" si="49"/>
        <v>4</v>
      </c>
      <c r="G827">
        <f>IF(F827&gt;F826,G826+B827*E827,B827*E827)</f>
        <v>2.9970389999999996</v>
      </c>
      <c r="H827">
        <f t="shared" si="50"/>
        <v>0.75</v>
      </c>
      <c r="I827">
        <f t="shared" si="51"/>
        <v>0</v>
      </c>
      <c r="J827">
        <f>IF(I826=0,0,C826-I826)</f>
        <v>0</v>
      </c>
    </row>
    <row r="828" spans="1:10" x14ac:dyDescent="0.25">
      <c r="A828" s="1">
        <v>39925</v>
      </c>
      <c r="B828">
        <v>4.0244499999999999</v>
      </c>
      <c r="C828">
        <v>4.7249999999999996</v>
      </c>
      <c r="D828">
        <f>WEEKDAY(A828,14)</f>
        <v>7</v>
      </c>
      <c r="E828">
        <f t="shared" si="48"/>
        <v>0.25</v>
      </c>
      <c r="F828">
        <f t="shared" si="49"/>
        <v>5</v>
      </c>
      <c r="G828">
        <f>IF(F828&gt;F827,G827+B828*E828,B828*E828)</f>
        <v>4.0031514999999995</v>
      </c>
      <c r="H828">
        <f t="shared" si="50"/>
        <v>1</v>
      </c>
      <c r="I828">
        <f t="shared" si="51"/>
        <v>4.0031514999999995</v>
      </c>
      <c r="J828">
        <f>IF(I827=0,0,C827-I827)</f>
        <v>0</v>
      </c>
    </row>
    <row r="829" spans="1:10" x14ac:dyDescent="0.25">
      <c r="A829" s="1">
        <v>39926</v>
      </c>
      <c r="B829">
        <v>3.9940099999999998</v>
      </c>
      <c r="C829">
        <v>4.7050000000000001</v>
      </c>
      <c r="D829">
        <f>WEEKDAY(A829,14)</f>
        <v>1</v>
      </c>
      <c r="E829">
        <f t="shared" si="48"/>
        <v>0</v>
      </c>
      <c r="F829">
        <f t="shared" si="49"/>
        <v>1</v>
      </c>
      <c r="G829">
        <f>IF(F829&gt;F828,G828+B829*E829,B829*E829)</f>
        <v>0</v>
      </c>
      <c r="H829">
        <f t="shared" si="50"/>
        <v>0</v>
      </c>
      <c r="I829">
        <f t="shared" si="51"/>
        <v>0</v>
      </c>
      <c r="J829">
        <f>IF(I828=0,0,C828-I828)</f>
        <v>0.72184850000000012</v>
      </c>
    </row>
    <row r="830" spans="1:10" x14ac:dyDescent="0.25">
      <c r="A830" s="1">
        <v>39927</v>
      </c>
      <c r="B830">
        <v>3.99335</v>
      </c>
      <c r="C830">
        <v>4.7050000000000001</v>
      </c>
      <c r="D830">
        <f>WEEKDAY(A830,14)</f>
        <v>2</v>
      </c>
      <c r="E830">
        <f t="shared" si="48"/>
        <v>0</v>
      </c>
      <c r="F830">
        <f t="shared" si="49"/>
        <v>2</v>
      </c>
      <c r="G830">
        <f>IF(F830&gt;F829,G829+B830*E830,B830*E830)</f>
        <v>0</v>
      </c>
      <c r="H830">
        <f t="shared" si="50"/>
        <v>0</v>
      </c>
      <c r="I830">
        <f t="shared" si="51"/>
        <v>0</v>
      </c>
      <c r="J830">
        <f>IF(I829=0,0,C829-I829)</f>
        <v>0</v>
      </c>
    </row>
    <row r="831" spans="1:10" x14ac:dyDescent="0.25">
      <c r="A831" s="1">
        <v>39930</v>
      </c>
      <c r="B831">
        <v>3.8380399999999999</v>
      </c>
      <c r="C831">
        <v>4.7050000000000001</v>
      </c>
      <c r="D831">
        <f>WEEKDAY(A831,14)</f>
        <v>5</v>
      </c>
      <c r="E831">
        <f t="shared" si="48"/>
        <v>0.05</v>
      </c>
      <c r="F831">
        <f t="shared" si="49"/>
        <v>3</v>
      </c>
      <c r="G831">
        <f>IF(F831&gt;F830,G830+B831*E831,B831*E831)</f>
        <v>0.19190200000000002</v>
      </c>
      <c r="H831">
        <f t="shared" si="50"/>
        <v>0.05</v>
      </c>
      <c r="I831">
        <f t="shared" si="51"/>
        <v>0</v>
      </c>
      <c r="J831">
        <f>IF(I830=0,0,C830-I830)</f>
        <v>0</v>
      </c>
    </row>
    <row r="832" spans="1:10" x14ac:dyDescent="0.25">
      <c r="A832" s="1">
        <v>39931</v>
      </c>
      <c r="B832">
        <v>3.9025099999999999</v>
      </c>
      <c r="C832">
        <v>4.7050000000000001</v>
      </c>
      <c r="D832">
        <f>WEEKDAY(A832,14)</f>
        <v>6</v>
      </c>
      <c r="E832">
        <f t="shared" si="48"/>
        <v>0.7</v>
      </c>
      <c r="F832">
        <f t="shared" si="49"/>
        <v>4</v>
      </c>
      <c r="G832">
        <f>IF(F832&gt;F831,G831+B832*E832,B832*E832)</f>
        <v>2.9236589999999998</v>
      </c>
      <c r="H832">
        <f t="shared" si="50"/>
        <v>0.75</v>
      </c>
      <c r="I832">
        <f t="shared" si="51"/>
        <v>0</v>
      </c>
      <c r="J832">
        <f>IF(I831=0,0,C831-I831)</f>
        <v>0</v>
      </c>
    </row>
    <row r="833" spans="1:10" x14ac:dyDescent="0.25">
      <c r="A833" s="1">
        <v>39932</v>
      </c>
      <c r="B833">
        <v>3.9857</v>
      </c>
      <c r="C833">
        <v>4.7050000000000001</v>
      </c>
      <c r="D833">
        <f>WEEKDAY(A833,14)</f>
        <v>7</v>
      </c>
      <c r="E833">
        <f t="shared" si="48"/>
        <v>0.25</v>
      </c>
      <c r="F833">
        <f t="shared" si="49"/>
        <v>5</v>
      </c>
      <c r="G833">
        <f>IF(F833&gt;F832,G832+B833*E833,B833*E833)</f>
        <v>3.9200839999999997</v>
      </c>
      <c r="H833">
        <f t="shared" si="50"/>
        <v>1</v>
      </c>
      <c r="I833">
        <f t="shared" si="51"/>
        <v>3.9200839999999997</v>
      </c>
      <c r="J833">
        <f>IF(I832=0,0,C832-I832)</f>
        <v>0</v>
      </c>
    </row>
    <row r="834" spans="1:10" x14ac:dyDescent="0.25">
      <c r="A834" s="1">
        <v>39933</v>
      </c>
      <c r="B834">
        <v>4.0141</v>
      </c>
      <c r="C834">
        <v>4.7649999999999997</v>
      </c>
      <c r="D834">
        <f>WEEKDAY(A834,14)</f>
        <v>1</v>
      </c>
      <c r="E834">
        <f t="shared" si="48"/>
        <v>0</v>
      </c>
      <c r="F834">
        <f t="shared" si="49"/>
        <v>1</v>
      </c>
      <c r="G834">
        <f>IF(F834&gt;F833,G833+B834*E834,B834*E834)</f>
        <v>0</v>
      </c>
      <c r="H834">
        <f t="shared" si="50"/>
        <v>0</v>
      </c>
      <c r="I834">
        <f t="shared" si="51"/>
        <v>0</v>
      </c>
      <c r="J834">
        <f>IF(I833=0,0,C833-I833)</f>
        <v>0.78491600000000039</v>
      </c>
    </row>
    <row r="835" spans="1:10" x14ac:dyDescent="0.25">
      <c r="A835" s="1">
        <v>39934</v>
      </c>
      <c r="B835">
        <v>4.08589</v>
      </c>
      <c r="C835">
        <v>4.7649999999999997</v>
      </c>
      <c r="D835">
        <f>WEEKDAY(A835,14)</f>
        <v>2</v>
      </c>
      <c r="E835">
        <f t="shared" ref="E835:E898" si="52">VLOOKUP(D835,M$2:N$8,2,FALSE)</f>
        <v>0</v>
      </c>
      <c r="F835">
        <f t="shared" ref="F835:F898" si="53">IF(AND(D835&gt;D834,F834&lt;6),F834+1,1)</f>
        <v>2</v>
      </c>
      <c r="G835">
        <f>IF(F835&gt;F834,G834+B835*E835,B835*E835)</f>
        <v>0</v>
      </c>
      <c r="H835">
        <f t="shared" si="50"/>
        <v>0</v>
      </c>
      <c r="I835">
        <f t="shared" si="51"/>
        <v>0</v>
      </c>
      <c r="J835">
        <f>IF(I834=0,0,C834-I834)</f>
        <v>0</v>
      </c>
    </row>
    <row r="836" spans="1:10" x14ac:dyDescent="0.25">
      <c r="A836" s="1">
        <v>39937</v>
      </c>
      <c r="B836">
        <v>4.0382800000000003</v>
      </c>
      <c r="C836">
        <v>4.7649999999999997</v>
      </c>
      <c r="D836">
        <f>WEEKDAY(A836,14)</f>
        <v>5</v>
      </c>
      <c r="E836">
        <f t="shared" si="52"/>
        <v>0.05</v>
      </c>
      <c r="F836">
        <f t="shared" si="53"/>
        <v>3</v>
      </c>
      <c r="G836">
        <f>IF(F836&gt;F835,G835+B836*E836,B836*E836)</f>
        <v>0.20191400000000004</v>
      </c>
      <c r="H836">
        <f t="shared" ref="H836:H899" si="54">IF(AND(F836&lt;6,F836&gt;F835),E836+H835,E836)</f>
        <v>0.05</v>
      </c>
      <c r="I836">
        <f t="shared" ref="I836:I899" si="55">IF(F836&gt;F837,G836/H836,0)</f>
        <v>0</v>
      </c>
      <c r="J836">
        <f>IF(I835=0,0,C835-I835)</f>
        <v>0</v>
      </c>
    </row>
    <row r="837" spans="1:10" x14ac:dyDescent="0.25">
      <c r="A837" s="1">
        <v>39938</v>
      </c>
      <c r="B837">
        <v>3.9839699999999998</v>
      </c>
      <c r="C837">
        <v>4.7649999999999997</v>
      </c>
      <c r="D837">
        <f>WEEKDAY(A837,14)</f>
        <v>6</v>
      </c>
      <c r="E837">
        <f t="shared" si="52"/>
        <v>0.7</v>
      </c>
      <c r="F837">
        <f t="shared" si="53"/>
        <v>4</v>
      </c>
      <c r="G837">
        <f>IF(F837&gt;F836,G836+B837*E837,B837*E837)</f>
        <v>2.9906929999999998</v>
      </c>
      <c r="H837">
        <f t="shared" si="54"/>
        <v>0.75</v>
      </c>
      <c r="I837">
        <f t="shared" si="55"/>
        <v>0</v>
      </c>
      <c r="J837">
        <f>IF(I836=0,0,C836-I836)</f>
        <v>0</v>
      </c>
    </row>
    <row r="838" spans="1:10" x14ac:dyDescent="0.25">
      <c r="A838" s="1">
        <v>39939</v>
      </c>
      <c r="B838">
        <v>3.9681299999999999</v>
      </c>
      <c r="C838">
        <v>4.7649999999999997</v>
      </c>
      <c r="D838">
        <f>WEEKDAY(A838,14)</f>
        <v>7</v>
      </c>
      <c r="E838">
        <f t="shared" si="52"/>
        <v>0.25</v>
      </c>
      <c r="F838">
        <f t="shared" si="53"/>
        <v>5</v>
      </c>
      <c r="G838">
        <f>IF(F838&gt;F837,G837+B838*E838,B838*E838)</f>
        <v>3.9827254999999999</v>
      </c>
      <c r="H838">
        <f t="shared" si="54"/>
        <v>1</v>
      </c>
      <c r="I838">
        <f t="shared" si="55"/>
        <v>3.9827254999999999</v>
      </c>
      <c r="J838">
        <f>IF(I837=0,0,C837-I837)</f>
        <v>0</v>
      </c>
    </row>
    <row r="839" spans="1:10" x14ac:dyDescent="0.25">
      <c r="A839" s="1">
        <v>39940</v>
      </c>
      <c r="B839">
        <v>4.0854200000000001</v>
      </c>
      <c r="C839">
        <v>4.76</v>
      </c>
      <c r="D839">
        <f>WEEKDAY(A839,14)</f>
        <v>1</v>
      </c>
      <c r="E839">
        <f t="shared" si="52"/>
        <v>0</v>
      </c>
      <c r="F839">
        <f t="shared" si="53"/>
        <v>1</v>
      </c>
      <c r="G839">
        <f>IF(F839&gt;F838,G838+B839*E839,B839*E839)</f>
        <v>0</v>
      </c>
      <c r="H839">
        <f t="shared" si="54"/>
        <v>0</v>
      </c>
      <c r="I839">
        <f t="shared" si="55"/>
        <v>0</v>
      </c>
      <c r="J839">
        <f>IF(I838=0,0,C838-I838)</f>
        <v>0.78227449999999976</v>
      </c>
    </row>
    <row r="840" spans="1:10" x14ac:dyDescent="0.25">
      <c r="A840" s="1">
        <v>39941</v>
      </c>
      <c r="B840">
        <v>4.1292600000000004</v>
      </c>
      <c r="C840">
        <v>4.76</v>
      </c>
      <c r="D840">
        <f>WEEKDAY(A840,14)</f>
        <v>2</v>
      </c>
      <c r="E840">
        <f t="shared" si="52"/>
        <v>0</v>
      </c>
      <c r="F840">
        <f t="shared" si="53"/>
        <v>2</v>
      </c>
      <c r="G840">
        <f>IF(F840&gt;F839,G839+B840*E840,B840*E840)</f>
        <v>0</v>
      </c>
      <c r="H840">
        <f t="shared" si="54"/>
        <v>0</v>
      </c>
      <c r="I840">
        <f t="shared" si="55"/>
        <v>0</v>
      </c>
      <c r="J840">
        <f>IF(I839=0,0,C839-I839)</f>
        <v>0</v>
      </c>
    </row>
    <row r="841" spans="1:10" x14ac:dyDescent="0.25">
      <c r="A841" s="1">
        <v>39944</v>
      </c>
      <c r="B841">
        <v>3.9994900000000002</v>
      </c>
      <c r="C841">
        <v>4.76</v>
      </c>
      <c r="D841">
        <f>WEEKDAY(A841,14)</f>
        <v>5</v>
      </c>
      <c r="E841">
        <f t="shared" si="52"/>
        <v>0.05</v>
      </c>
      <c r="F841">
        <f t="shared" si="53"/>
        <v>3</v>
      </c>
      <c r="G841">
        <f>IF(F841&gt;F840,G840+B841*E841,B841*E841)</f>
        <v>0.19997450000000003</v>
      </c>
      <c r="H841">
        <f t="shared" si="54"/>
        <v>0.05</v>
      </c>
      <c r="I841">
        <f t="shared" si="55"/>
        <v>0</v>
      </c>
      <c r="J841">
        <f>IF(I840=0,0,C840-I840)</f>
        <v>0</v>
      </c>
    </row>
    <row r="842" spans="1:10" x14ac:dyDescent="0.25">
      <c r="A842" s="1">
        <v>39945</v>
      </c>
      <c r="B842">
        <v>3.98366</v>
      </c>
      <c r="C842">
        <v>4.76</v>
      </c>
      <c r="D842">
        <f>WEEKDAY(A842,14)</f>
        <v>6</v>
      </c>
      <c r="E842">
        <f t="shared" si="52"/>
        <v>0.7</v>
      </c>
      <c r="F842">
        <f t="shared" si="53"/>
        <v>4</v>
      </c>
      <c r="G842">
        <f>IF(F842&gt;F841,G841+B842*E842,B842*E842)</f>
        <v>2.9885364999999999</v>
      </c>
      <c r="H842">
        <f t="shared" si="54"/>
        <v>0.75</v>
      </c>
      <c r="I842">
        <f t="shared" si="55"/>
        <v>0</v>
      </c>
      <c r="J842">
        <f>IF(I841=0,0,C841-I841)</f>
        <v>0</v>
      </c>
    </row>
    <row r="843" spans="1:10" x14ac:dyDescent="0.25">
      <c r="A843" s="1">
        <v>39946</v>
      </c>
      <c r="B843">
        <v>3.9344399999999999</v>
      </c>
      <c r="C843">
        <v>4.76</v>
      </c>
      <c r="D843">
        <f>WEEKDAY(A843,14)</f>
        <v>7</v>
      </c>
      <c r="E843">
        <f t="shared" si="52"/>
        <v>0.25</v>
      </c>
      <c r="F843">
        <f t="shared" si="53"/>
        <v>5</v>
      </c>
      <c r="G843">
        <f>IF(F843&gt;F842,G842+B843*E843,B843*E843)</f>
        <v>3.9721465</v>
      </c>
      <c r="H843">
        <f t="shared" si="54"/>
        <v>1</v>
      </c>
      <c r="I843">
        <f t="shared" si="55"/>
        <v>3.9721465</v>
      </c>
      <c r="J843">
        <f>IF(I842=0,0,C842-I842)</f>
        <v>0</v>
      </c>
    </row>
    <row r="844" spans="1:10" x14ac:dyDescent="0.25">
      <c r="A844" s="1">
        <v>39947</v>
      </c>
      <c r="B844">
        <v>3.93771</v>
      </c>
      <c r="C844">
        <v>4.7450000000000001</v>
      </c>
      <c r="D844">
        <f>WEEKDAY(A844,14)</f>
        <v>1</v>
      </c>
      <c r="E844">
        <f t="shared" si="52"/>
        <v>0</v>
      </c>
      <c r="F844">
        <f t="shared" si="53"/>
        <v>1</v>
      </c>
      <c r="G844">
        <f>IF(F844&gt;F843,G843+B844*E844,B844*E844)</f>
        <v>0</v>
      </c>
      <c r="H844">
        <f t="shared" si="54"/>
        <v>0</v>
      </c>
      <c r="I844">
        <f t="shared" si="55"/>
        <v>0</v>
      </c>
      <c r="J844">
        <f>IF(I843=0,0,C843-I843)</f>
        <v>0.78785349999999976</v>
      </c>
    </row>
    <row r="845" spans="1:10" x14ac:dyDescent="0.25">
      <c r="A845" s="1">
        <v>39948</v>
      </c>
      <c r="B845">
        <v>3.9483600000000001</v>
      </c>
      <c r="C845">
        <v>4.7450000000000001</v>
      </c>
      <c r="D845">
        <f>WEEKDAY(A845,14)</f>
        <v>2</v>
      </c>
      <c r="E845">
        <f t="shared" si="52"/>
        <v>0</v>
      </c>
      <c r="F845">
        <f t="shared" si="53"/>
        <v>2</v>
      </c>
      <c r="G845">
        <f>IF(F845&gt;F844,G844+B845*E845,B845*E845)</f>
        <v>0</v>
      </c>
      <c r="H845">
        <f t="shared" si="54"/>
        <v>0</v>
      </c>
      <c r="I845">
        <f t="shared" si="55"/>
        <v>0</v>
      </c>
      <c r="J845">
        <f>IF(I844=0,0,C844-I844)</f>
        <v>0</v>
      </c>
    </row>
    <row r="846" spans="1:10" x14ac:dyDescent="0.25">
      <c r="A846" s="1">
        <v>39951</v>
      </c>
      <c r="B846">
        <v>3.9990199999999998</v>
      </c>
      <c r="C846">
        <v>4.7450000000000001</v>
      </c>
      <c r="D846">
        <f>WEEKDAY(A846,14)</f>
        <v>5</v>
      </c>
      <c r="E846">
        <f t="shared" si="52"/>
        <v>0.05</v>
      </c>
      <c r="F846">
        <f t="shared" si="53"/>
        <v>3</v>
      </c>
      <c r="G846">
        <f>IF(F846&gt;F845,G845+B846*E846,B846*E846)</f>
        <v>0.19995099999999999</v>
      </c>
      <c r="H846">
        <f t="shared" si="54"/>
        <v>0.05</v>
      </c>
      <c r="I846">
        <f t="shared" si="55"/>
        <v>0</v>
      </c>
      <c r="J846">
        <f>IF(I845=0,0,C845-I845)</f>
        <v>0</v>
      </c>
    </row>
    <row r="847" spans="1:10" x14ac:dyDescent="0.25">
      <c r="A847" s="1">
        <v>39952</v>
      </c>
      <c r="B847">
        <v>4.0019400000000003</v>
      </c>
      <c r="C847">
        <v>4.7450000000000001</v>
      </c>
      <c r="D847">
        <f>WEEKDAY(A847,14)</f>
        <v>6</v>
      </c>
      <c r="E847">
        <f t="shared" si="52"/>
        <v>0.7</v>
      </c>
      <c r="F847">
        <f t="shared" si="53"/>
        <v>4</v>
      </c>
      <c r="G847">
        <f>IF(F847&gt;F846,G846+B847*E847,B847*E847)</f>
        <v>3.001309</v>
      </c>
      <c r="H847">
        <f t="shared" si="54"/>
        <v>0.75</v>
      </c>
      <c r="I847">
        <f t="shared" si="55"/>
        <v>0</v>
      </c>
      <c r="J847">
        <f>IF(I846=0,0,C846-I846)</f>
        <v>0</v>
      </c>
    </row>
    <row r="848" spans="1:10" x14ac:dyDescent="0.25">
      <c r="A848" s="1">
        <v>39953</v>
      </c>
      <c r="B848">
        <v>3.9658899999999999</v>
      </c>
      <c r="C848">
        <v>4.7450000000000001</v>
      </c>
      <c r="D848">
        <f>WEEKDAY(A848,14)</f>
        <v>7</v>
      </c>
      <c r="E848">
        <f t="shared" si="52"/>
        <v>0.25</v>
      </c>
      <c r="F848">
        <f t="shared" si="53"/>
        <v>5</v>
      </c>
      <c r="G848">
        <f>IF(F848&gt;F847,G847+B848*E848,B848*E848)</f>
        <v>3.9927815</v>
      </c>
      <c r="H848">
        <f t="shared" si="54"/>
        <v>1</v>
      </c>
      <c r="I848">
        <f t="shared" si="55"/>
        <v>3.9927815</v>
      </c>
      <c r="J848">
        <f>IF(I847=0,0,C847-I847)</f>
        <v>0</v>
      </c>
    </row>
    <row r="849" spans="1:10" x14ac:dyDescent="0.25">
      <c r="A849" s="1">
        <v>39954</v>
      </c>
      <c r="B849">
        <v>4.0625</v>
      </c>
      <c r="C849">
        <v>4.835</v>
      </c>
      <c r="D849">
        <f>WEEKDAY(A849,14)</f>
        <v>1</v>
      </c>
      <c r="E849">
        <f t="shared" si="52"/>
        <v>0</v>
      </c>
      <c r="F849">
        <f t="shared" si="53"/>
        <v>1</v>
      </c>
      <c r="G849">
        <f>IF(F849&gt;F848,G848+B849*E849,B849*E849)</f>
        <v>0</v>
      </c>
      <c r="H849">
        <f t="shared" si="54"/>
        <v>0</v>
      </c>
      <c r="I849">
        <f t="shared" si="55"/>
        <v>0</v>
      </c>
      <c r="J849">
        <f>IF(I848=0,0,C848-I848)</f>
        <v>0.75221850000000012</v>
      </c>
    </row>
    <row r="850" spans="1:10" x14ac:dyDescent="0.25">
      <c r="A850" s="1">
        <v>39955</v>
      </c>
      <c r="B850">
        <v>4.1267899999999997</v>
      </c>
      <c r="C850">
        <v>4.835</v>
      </c>
      <c r="D850">
        <f>WEEKDAY(A850,14)</f>
        <v>2</v>
      </c>
      <c r="E850">
        <f t="shared" si="52"/>
        <v>0</v>
      </c>
      <c r="F850">
        <f t="shared" si="53"/>
        <v>2</v>
      </c>
      <c r="G850">
        <f>IF(F850&gt;F849,G849+B850*E850,B850*E850)</f>
        <v>0</v>
      </c>
      <c r="H850">
        <f t="shared" si="54"/>
        <v>0</v>
      </c>
      <c r="I850">
        <f t="shared" si="55"/>
        <v>0</v>
      </c>
      <c r="J850">
        <f>IF(I849=0,0,C849-I849)</f>
        <v>0</v>
      </c>
    </row>
    <row r="851" spans="1:10" x14ac:dyDescent="0.25">
      <c r="A851" s="1">
        <v>39959</v>
      </c>
      <c r="B851">
        <v>4.1848000000000001</v>
      </c>
      <c r="C851">
        <v>4.835</v>
      </c>
      <c r="D851">
        <f>WEEKDAY(A851,14)</f>
        <v>6</v>
      </c>
      <c r="E851">
        <f t="shared" si="52"/>
        <v>0.7</v>
      </c>
      <c r="F851">
        <f t="shared" si="53"/>
        <v>3</v>
      </c>
      <c r="G851">
        <f>IF(F851&gt;F850,G850+B851*E851,B851*E851)</f>
        <v>2.92936</v>
      </c>
      <c r="H851">
        <f t="shared" si="54"/>
        <v>0.7</v>
      </c>
      <c r="I851">
        <f t="shared" si="55"/>
        <v>0</v>
      </c>
      <c r="J851">
        <f>IF(I850=0,0,C850-I850)</f>
        <v>0</v>
      </c>
    </row>
    <row r="852" spans="1:10" x14ac:dyDescent="0.25">
      <c r="A852" s="1">
        <v>39960</v>
      </c>
      <c r="B852">
        <v>4.5461299999999998</v>
      </c>
      <c r="C852">
        <v>4.835</v>
      </c>
      <c r="D852">
        <f>WEEKDAY(A852,14)</f>
        <v>7</v>
      </c>
      <c r="E852">
        <f t="shared" si="52"/>
        <v>0.25</v>
      </c>
      <c r="F852">
        <f t="shared" si="53"/>
        <v>4</v>
      </c>
      <c r="G852">
        <f>IF(F852&gt;F851,G851+B852*E852,B852*E852)</f>
        <v>4.0658925000000004</v>
      </c>
      <c r="H852">
        <f t="shared" si="54"/>
        <v>0.95</v>
      </c>
      <c r="I852">
        <f t="shared" si="55"/>
        <v>4.279886842105264</v>
      </c>
      <c r="J852">
        <f>IF(I851=0,0,C851-I851)</f>
        <v>0</v>
      </c>
    </row>
    <row r="853" spans="1:10" x14ac:dyDescent="0.25">
      <c r="A853" s="1">
        <v>39961</v>
      </c>
      <c r="B853">
        <v>4.6970099999999997</v>
      </c>
      <c r="C853">
        <v>5.2149999999999999</v>
      </c>
      <c r="D853">
        <f>WEEKDAY(A853,14)</f>
        <v>1</v>
      </c>
      <c r="E853">
        <f t="shared" si="52"/>
        <v>0</v>
      </c>
      <c r="F853">
        <f t="shared" si="53"/>
        <v>1</v>
      </c>
      <c r="G853">
        <f>IF(F853&gt;F852,G852+B853*E853,B853*E853)</f>
        <v>0</v>
      </c>
      <c r="H853">
        <f t="shared" si="54"/>
        <v>0</v>
      </c>
      <c r="I853">
        <f t="shared" si="55"/>
        <v>0</v>
      </c>
      <c r="J853">
        <f>IF(I852=0,0,C852-I852)</f>
        <v>0.55511315789473592</v>
      </c>
    </row>
    <row r="854" spans="1:10" x14ac:dyDescent="0.25">
      <c r="A854" s="1">
        <v>39962</v>
      </c>
      <c r="B854">
        <v>4.3483000000000001</v>
      </c>
      <c r="C854">
        <v>5.2149999999999999</v>
      </c>
      <c r="D854">
        <f>WEEKDAY(A854,14)</f>
        <v>2</v>
      </c>
      <c r="E854">
        <f t="shared" si="52"/>
        <v>0</v>
      </c>
      <c r="F854">
        <f t="shared" si="53"/>
        <v>2</v>
      </c>
      <c r="G854">
        <f>IF(F854&gt;F853,G853+B854*E854,B854*E854)</f>
        <v>0</v>
      </c>
      <c r="H854">
        <f t="shared" si="54"/>
        <v>0</v>
      </c>
      <c r="I854">
        <f t="shared" si="55"/>
        <v>0</v>
      </c>
      <c r="J854">
        <f>IF(I853=0,0,C853-I853)</f>
        <v>0</v>
      </c>
    </row>
    <row r="855" spans="1:10" x14ac:dyDescent="0.25">
      <c r="A855" s="1">
        <v>39965</v>
      </c>
      <c r="B855">
        <v>4.6571899999999999</v>
      </c>
      <c r="C855">
        <v>5.2149999999999999</v>
      </c>
      <c r="D855">
        <f>WEEKDAY(A855,14)</f>
        <v>5</v>
      </c>
      <c r="E855">
        <f t="shared" si="52"/>
        <v>0.05</v>
      </c>
      <c r="F855">
        <f t="shared" si="53"/>
        <v>3</v>
      </c>
      <c r="G855">
        <f>IF(F855&gt;F854,G854+B855*E855,B855*E855)</f>
        <v>0.2328595</v>
      </c>
      <c r="H855">
        <f t="shared" si="54"/>
        <v>0.05</v>
      </c>
      <c r="I855">
        <f t="shared" si="55"/>
        <v>0</v>
      </c>
      <c r="J855">
        <f>IF(I854=0,0,C854-I854)</f>
        <v>0</v>
      </c>
    </row>
    <row r="856" spans="1:10" x14ac:dyDescent="0.25">
      <c r="A856" s="1">
        <v>39966</v>
      </c>
      <c r="B856">
        <v>4.6038300000000003</v>
      </c>
      <c r="C856">
        <v>5.2149999999999999</v>
      </c>
      <c r="D856">
        <f>WEEKDAY(A856,14)</f>
        <v>6</v>
      </c>
      <c r="E856">
        <f t="shared" si="52"/>
        <v>0.7</v>
      </c>
      <c r="F856">
        <f t="shared" si="53"/>
        <v>4</v>
      </c>
      <c r="G856">
        <f>IF(F856&gt;F855,G855+B856*E856,B856*E856)</f>
        <v>3.4555405000000001</v>
      </c>
      <c r="H856">
        <f t="shared" si="54"/>
        <v>0.75</v>
      </c>
      <c r="I856">
        <f t="shared" si="55"/>
        <v>0</v>
      </c>
      <c r="J856">
        <f>IF(I855=0,0,C855-I855)</f>
        <v>0</v>
      </c>
    </row>
    <row r="857" spans="1:10" x14ac:dyDescent="0.25">
      <c r="A857" s="1">
        <v>39967</v>
      </c>
      <c r="B857">
        <v>4.5316599999999996</v>
      </c>
      <c r="C857">
        <v>5.2149999999999999</v>
      </c>
      <c r="D857">
        <f>WEEKDAY(A857,14)</f>
        <v>7</v>
      </c>
      <c r="E857">
        <f t="shared" si="52"/>
        <v>0.25</v>
      </c>
      <c r="F857">
        <f t="shared" si="53"/>
        <v>5</v>
      </c>
      <c r="G857">
        <f>IF(F857&gt;F856,G856+B857*E857,B857*E857)</f>
        <v>4.5884555000000002</v>
      </c>
      <c r="H857">
        <f t="shared" si="54"/>
        <v>1</v>
      </c>
      <c r="I857">
        <f t="shared" si="55"/>
        <v>4.5884555000000002</v>
      </c>
      <c r="J857">
        <f>IF(I856=0,0,C856-I856)</f>
        <v>0</v>
      </c>
    </row>
    <row r="858" spans="1:10" x14ac:dyDescent="0.25">
      <c r="A858" s="1">
        <v>39968</v>
      </c>
      <c r="B858">
        <v>4.7247700000000004</v>
      </c>
      <c r="C858">
        <v>5.5149999999999997</v>
      </c>
      <c r="D858">
        <f>WEEKDAY(A858,14)</f>
        <v>1</v>
      </c>
      <c r="E858">
        <f t="shared" si="52"/>
        <v>0</v>
      </c>
      <c r="F858">
        <f t="shared" si="53"/>
        <v>1</v>
      </c>
      <c r="G858">
        <f>IF(F858&gt;F857,G857+B858*E858,B858*E858)</f>
        <v>0</v>
      </c>
      <c r="H858">
        <f t="shared" si="54"/>
        <v>0</v>
      </c>
      <c r="I858">
        <f t="shared" si="55"/>
        <v>0</v>
      </c>
      <c r="J858">
        <f>IF(I857=0,0,C857-I857)</f>
        <v>0.62654449999999962</v>
      </c>
    </row>
    <row r="859" spans="1:10" x14ac:dyDescent="0.25">
      <c r="A859" s="1">
        <v>39969</v>
      </c>
      <c r="B859">
        <v>4.9133599999999999</v>
      </c>
      <c r="C859">
        <v>5.5149999999999997</v>
      </c>
      <c r="D859">
        <f>WEEKDAY(A859,14)</f>
        <v>2</v>
      </c>
      <c r="E859">
        <f t="shared" si="52"/>
        <v>0</v>
      </c>
      <c r="F859">
        <f t="shared" si="53"/>
        <v>2</v>
      </c>
      <c r="G859">
        <f>IF(F859&gt;F858,G858+B859*E859,B859*E859)</f>
        <v>0</v>
      </c>
      <c r="H859">
        <f t="shared" si="54"/>
        <v>0</v>
      </c>
      <c r="I859">
        <f t="shared" si="55"/>
        <v>0</v>
      </c>
      <c r="J859">
        <f>IF(I858=0,0,C858-I858)</f>
        <v>0</v>
      </c>
    </row>
    <row r="860" spans="1:10" x14ac:dyDescent="0.25">
      <c r="A860" s="1">
        <v>39972</v>
      </c>
      <c r="B860">
        <v>5.0210299999999997</v>
      </c>
      <c r="C860">
        <v>5.5149999999999997</v>
      </c>
      <c r="D860">
        <f>WEEKDAY(A860,14)</f>
        <v>5</v>
      </c>
      <c r="E860">
        <f t="shared" si="52"/>
        <v>0.05</v>
      </c>
      <c r="F860">
        <f t="shared" si="53"/>
        <v>3</v>
      </c>
      <c r="G860">
        <f>IF(F860&gt;F859,G859+B860*E860,B860*E860)</f>
        <v>0.25105149999999998</v>
      </c>
      <c r="H860">
        <f t="shared" si="54"/>
        <v>0.05</v>
      </c>
      <c r="I860">
        <f t="shared" si="55"/>
        <v>0</v>
      </c>
      <c r="J860">
        <f>IF(I859=0,0,C859-I859)</f>
        <v>0</v>
      </c>
    </row>
    <row r="861" spans="1:10" x14ac:dyDescent="0.25">
      <c r="A861" s="1">
        <v>39973</v>
      </c>
      <c r="B861">
        <v>4.9680900000000001</v>
      </c>
      <c r="C861">
        <v>5.5149999999999997</v>
      </c>
      <c r="D861">
        <f>WEEKDAY(A861,14)</f>
        <v>6</v>
      </c>
      <c r="E861">
        <f t="shared" si="52"/>
        <v>0.7</v>
      </c>
      <c r="F861">
        <f t="shared" si="53"/>
        <v>4</v>
      </c>
      <c r="G861">
        <f>IF(F861&gt;F860,G860+B861*E861,B861*E861)</f>
        <v>3.7287144999999997</v>
      </c>
      <c r="H861">
        <f t="shared" si="54"/>
        <v>0.75</v>
      </c>
      <c r="I861">
        <f t="shared" si="55"/>
        <v>0</v>
      </c>
      <c r="J861">
        <f>IF(I860=0,0,C860-I860)</f>
        <v>0</v>
      </c>
    </row>
    <row r="862" spans="1:10" x14ac:dyDescent="0.25">
      <c r="A862" s="1">
        <v>39974</v>
      </c>
      <c r="B862">
        <v>5.0580299999999996</v>
      </c>
      <c r="C862">
        <v>5.5149999999999997</v>
      </c>
      <c r="D862">
        <f>WEEKDAY(A862,14)</f>
        <v>7</v>
      </c>
      <c r="E862">
        <f t="shared" si="52"/>
        <v>0.25</v>
      </c>
      <c r="F862">
        <f t="shared" si="53"/>
        <v>5</v>
      </c>
      <c r="G862">
        <f>IF(F862&gt;F861,G861+B862*E862,B862*E862)</f>
        <v>4.9932219999999994</v>
      </c>
      <c r="H862">
        <f t="shared" si="54"/>
        <v>1</v>
      </c>
      <c r="I862">
        <f t="shared" si="55"/>
        <v>4.9932219999999994</v>
      </c>
      <c r="J862">
        <f>IF(I861=0,0,C861-I861)</f>
        <v>0</v>
      </c>
    </row>
    <row r="863" spans="1:10" x14ac:dyDescent="0.25">
      <c r="A863" s="1">
        <v>39975</v>
      </c>
      <c r="B863">
        <v>4.9733999999999998</v>
      </c>
      <c r="C863">
        <v>5.3049999999999997</v>
      </c>
      <c r="D863">
        <f>WEEKDAY(A863,14)</f>
        <v>1</v>
      </c>
      <c r="E863">
        <f t="shared" si="52"/>
        <v>0</v>
      </c>
      <c r="F863">
        <f t="shared" si="53"/>
        <v>1</v>
      </c>
      <c r="G863">
        <f>IF(F863&gt;F862,G862+B863*E863,B863*E863)</f>
        <v>0</v>
      </c>
      <c r="H863">
        <f t="shared" si="54"/>
        <v>0</v>
      </c>
      <c r="I863">
        <f t="shared" si="55"/>
        <v>0</v>
      </c>
      <c r="J863">
        <f>IF(I862=0,0,C862-I862)</f>
        <v>0.5217780000000003</v>
      </c>
    </row>
    <row r="864" spans="1:10" x14ac:dyDescent="0.25">
      <c r="A864" s="1">
        <v>39976</v>
      </c>
      <c r="B864">
        <v>4.84314</v>
      </c>
      <c r="C864">
        <v>5.3049999999999997</v>
      </c>
      <c r="D864">
        <f>WEEKDAY(A864,14)</f>
        <v>2</v>
      </c>
      <c r="E864">
        <f t="shared" si="52"/>
        <v>0</v>
      </c>
      <c r="F864">
        <f t="shared" si="53"/>
        <v>2</v>
      </c>
      <c r="G864">
        <f>IF(F864&gt;F863,G863+B864*E864,B864*E864)</f>
        <v>0</v>
      </c>
      <c r="H864">
        <f t="shared" si="54"/>
        <v>0</v>
      </c>
      <c r="I864">
        <f t="shared" si="55"/>
        <v>0</v>
      </c>
      <c r="J864">
        <f>IF(I863=0,0,C863-I863)</f>
        <v>0</v>
      </c>
    </row>
    <row r="865" spans="1:10" x14ac:dyDescent="0.25">
      <c r="A865" s="1">
        <v>39979</v>
      </c>
      <c r="B865">
        <v>4.7158499999999997</v>
      </c>
      <c r="C865">
        <v>5.3049999999999997</v>
      </c>
      <c r="D865">
        <f>WEEKDAY(A865,14)</f>
        <v>5</v>
      </c>
      <c r="E865">
        <f t="shared" si="52"/>
        <v>0.05</v>
      </c>
      <c r="F865">
        <f t="shared" si="53"/>
        <v>3</v>
      </c>
      <c r="G865">
        <f>IF(F865&gt;F864,G864+B865*E865,B865*E865)</f>
        <v>0.23579249999999999</v>
      </c>
      <c r="H865">
        <f t="shared" si="54"/>
        <v>0.05</v>
      </c>
      <c r="I865">
        <f t="shared" si="55"/>
        <v>0</v>
      </c>
      <c r="J865">
        <f>IF(I864=0,0,C864-I864)</f>
        <v>0</v>
      </c>
    </row>
    <row r="866" spans="1:10" x14ac:dyDescent="0.25">
      <c r="A866" s="1">
        <v>39980</v>
      </c>
      <c r="B866">
        <v>4.6514300000000004</v>
      </c>
      <c r="C866">
        <v>5.3049999999999997</v>
      </c>
      <c r="D866">
        <f>WEEKDAY(A866,14)</f>
        <v>6</v>
      </c>
      <c r="E866">
        <f t="shared" si="52"/>
        <v>0.7</v>
      </c>
      <c r="F866">
        <f t="shared" si="53"/>
        <v>4</v>
      </c>
      <c r="G866">
        <f>IF(F866&gt;F865,G865+B866*E866,B866*E866)</f>
        <v>3.4917935</v>
      </c>
      <c r="H866">
        <f t="shared" si="54"/>
        <v>0.75</v>
      </c>
      <c r="I866">
        <f t="shared" si="55"/>
        <v>0</v>
      </c>
      <c r="J866">
        <f>IF(I865=0,0,C865-I865)</f>
        <v>0</v>
      </c>
    </row>
    <row r="867" spans="1:10" x14ac:dyDescent="0.25">
      <c r="A867" s="1">
        <v>39981</v>
      </c>
      <c r="B867">
        <v>4.5533700000000001</v>
      </c>
      <c r="C867">
        <v>5.3049999999999997</v>
      </c>
      <c r="D867">
        <f>WEEKDAY(A867,14)</f>
        <v>7</v>
      </c>
      <c r="E867">
        <f t="shared" si="52"/>
        <v>0.25</v>
      </c>
      <c r="F867">
        <f t="shared" si="53"/>
        <v>5</v>
      </c>
      <c r="G867">
        <f>IF(F867&gt;F866,G866+B867*E867,B867*E867)</f>
        <v>4.6301360000000003</v>
      </c>
      <c r="H867">
        <f t="shared" si="54"/>
        <v>1</v>
      </c>
      <c r="I867">
        <f t="shared" si="55"/>
        <v>4.6301360000000003</v>
      </c>
      <c r="J867">
        <f>IF(I866=0,0,C866-I866)</f>
        <v>0</v>
      </c>
    </row>
    <row r="868" spans="1:10" x14ac:dyDescent="0.25">
      <c r="A868" s="1">
        <v>39982</v>
      </c>
      <c r="B868">
        <v>4.8695300000000001</v>
      </c>
      <c r="C868">
        <v>5.3449999999999998</v>
      </c>
      <c r="D868">
        <f>WEEKDAY(A868,14)</f>
        <v>1</v>
      </c>
      <c r="E868">
        <f t="shared" si="52"/>
        <v>0</v>
      </c>
      <c r="F868">
        <f t="shared" si="53"/>
        <v>1</v>
      </c>
      <c r="G868">
        <f>IF(F868&gt;F867,G867+B868*E868,B868*E868)</f>
        <v>0</v>
      </c>
      <c r="H868">
        <f t="shared" si="54"/>
        <v>0</v>
      </c>
      <c r="I868">
        <f t="shared" si="55"/>
        <v>0</v>
      </c>
      <c r="J868">
        <f>IF(I867=0,0,C867-I867)</f>
        <v>0.67486399999999946</v>
      </c>
    </row>
    <row r="869" spans="1:10" x14ac:dyDescent="0.25">
      <c r="A869" s="1">
        <v>39983</v>
      </c>
      <c r="B869">
        <v>4.7997699999999996</v>
      </c>
      <c r="C869">
        <v>5.3449999999999998</v>
      </c>
      <c r="D869">
        <f>WEEKDAY(A869,14)</f>
        <v>2</v>
      </c>
      <c r="E869">
        <f t="shared" si="52"/>
        <v>0</v>
      </c>
      <c r="F869">
        <f t="shared" si="53"/>
        <v>2</v>
      </c>
      <c r="G869">
        <f>IF(F869&gt;F868,G868+B869*E869,B869*E869)</f>
        <v>0</v>
      </c>
      <c r="H869">
        <f t="shared" si="54"/>
        <v>0</v>
      </c>
      <c r="I869">
        <f t="shared" si="55"/>
        <v>0</v>
      </c>
      <c r="J869">
        <f>IF(I868=0,0,C868-I868)</f>
        <v>0</v>
      </c>
    </row>
    <row r="870" spans="1:10" x14ac:dyDescent="0.25">
      <c r="A870" s="1">
        <v>39986</v>
      </c>
      <c r="B870">
        <v>4.7069200000000002</v>
      </c>
      <c r="C870">
        <v>5.3449999999999998</v>
      </c>
      <c r="D870">
        <f>WEEKDAY(A870,14)</f>
        <v>5</v>
      </c>
      <c r="E870">
        <f t="shared" si="52"/>
        <v>0.05</v>
      </c>
      <c r="F870">
        <f t="shared" si="53"/>
        <v>3</v>
      </c>
      <c r="G870">
        <f>IF(F870&gt;F869,G869+B870*E870,B870*E870)</f>
        <v>0.23534600000000003</v>
      </c>
      <c r="H870">
        <f t="shared" si="54"/>
        <v>0.05</v>
      </c>
      <c r="I870">
        <f t="shared" si="55"/>
        <v>0</v>
      </c>
      <c r="J870">
        <f>IF(I869=0,0,C869-I869)</f>
        <v>0</v>
      </c>
    </row>
    <row r="871" spans="1:10" x14ac:dyDescent="0.25">
      <c r="A871" s="1">
        <v>39987</v>
      </c>
      <c r="B871">
        <v>4.7171700000000003</v>
      </c>
      <c r="C871">
        <v>5.3449999999999998</v>
      </c>
      <c r="D871">
        <f>WEEKDAY(A871,14)</f>
        <v>6</v>
      </c>
      <c r="E871">
        <f t="shared" si="52"/>
        <v>0.7</v>
      </c>
      <c r="F871">
        <f t="shared" si="53"/>
        <v>4</v>
      </c>
      <c r="G871">
        <f>IF(F871&gt;F870,G870+B871*E871,B871*E871)</f>
        <v>3.5373649999999999</v>
      </c>
      <c r="H871">
        <f t="shared" si="54"/>
        <v>0.75</v>
      </c>
      <c r="I871">
        <f t="shared" si="55"/>
        <v>0</v>
      </c>
      <c r="J871">
        <f>IF(I870=0,0,C870-I870)</f>
        <v>0</v>
      </c>
    </row>
    <row r="872" spans="1:10" x14ac:dyDescent="0.25">
      <c r="A872" s="1">
        <v>39988</v>
      </c>
      <c r="B872">
        <v>4.7295199999999999</v>
      </c>
      <c r="C872">
        <v>5.3449999999999998</v>
      </c>
      <c r="D872">
        <f>WEEKDAY(A872,14)</f>
        <v>7</v>
      </c>
      <c r="E872">
        <f t="shared" si="52"/>
        <v>0.25</v>
      </c>
      <c r="F872">
        <f t="shared" si="53"/>
        <v>5</v>
      </c>
      <c r="G872">
        <f>IF(F872&gt;F871,G871+B872*E872,B872*E872)</f>
        <v>4.7197449999999996</v>
      </c>
      <c r="H872">
        <f t="shared" si="54"/>
        <v>1</v>
      </c>
      <c r="I872">
        <f t="shared" si="55"/>
        <v>4.7197449999999996</v>
      </c>
      <c r="J872">
        <f>IF(I871=0,0,C871-I871)</f>
        <v>0</v>
      </c>
    </row>
    <row r="873" spans="1:10" x14ac:dyDescent="0.25">
      <c r="A873" s="1">
        <v>39989</v>
      </c>
      <c r="B873">
        <v>4.5573600000000001</v>
      </c>
      <c r="C873">
        <v>5.2450000000000001</v>
      </c>
      <c r="D873">
        <f>WEEKDAY(A873,14)</f>
        <v>1</v>
      </c>
      <c r="E873">
        <f t="shared" si="52"/>
        <v>0</v>
      </c>
      <c r="F873">
        <f t="shared" si="53"/>
        <v>1</v>
      </c>
      <c r="G873">
        <f>IF(F873&gt;F872,G872+B873*E873,B873*E873)</f>
        <v>0</v>
      </c>
      <c r="H873">
        <f t="shared" si="54"/>
        <v>0</v>
      </c>
      <c r="I873">
        <f t="shared" si="55"/>
        <v>0</v>
      </c>
      <c r="J873">
        <f>IF(I872=0,0,C872-I872)</f>
        <v>0.62525500000000012</v>
      </c>
    </row>
    <row r="874" spans="1:10" x14ac:dyDescent="0.25">
      <c r="A874" s="1">
        <v>39990</v>
      </c>
      <c r="B874">
        <v>4.52963</v>
      </c>
      <c r="C874">
        <v>5.2450000000000001</v>
      </c>
      <c r="D874">
        <f>WEEKDAY(A874,14)</f>
        <v>2</v>
      </c>
      <c r="E874">
        <f t="shared" si="52"/>
        <v>0</v>
      </c>
      <c r="F874">
        <f t="shared" si="53"/>
        <v>2</v>
      </c>
      <c r="G874">
        <f>IF(F874&gt;F873,G873+B874*E874,B874*E874)</f>
        <v>0</v>
      </c>
      <c r="H874">
        <f t="shared" si="54"/>
        <v>0</v>
      </c>
      <c r="I874">
        <f t="shared" si="55"/>
        <v>0</v>
      </c>
      <c r="J874">
        <f>IF(I873=0,0,C873-I873)</f>
        <v>0</v>
      </c>
    </row>
    <row r="875" spans="1:10" x14ac:dyDescent="0.25">
      <c r="A875" s="1">
        <v>39993</v>
      </c>
      <c r="B875">
        <v>4.5382300000000004</v>
      </c>
      <c r="C875">
        <v>5.2450000000000001</v>
      </c>
      <c r="D875">
        <f>WEEKDAY(A875,14)</f>
        <v>5</v>
      </c>
      <c r="E875">
        <f t="shared" si="52"/>
        <v>0.05</v>
      </c>
      <c r="F875">
        <f t="shared" si="53"/>
        <v>3</v>
      </c>
      <c r="G875">
        <f>IF(F875&gt;F874,G874+B875*E875,B875*E875)</f>
        <v>0.22691150000000004</v>
      </c>
      <c r="H875">
        <f t="shared" si="54"/>
        <v>0.05</v>
      </c>
      <c r="I875">
        <f t="shared" si="55"/>
        <v>0</v>
      </c>
      <c r="J875">
        <f>IF(I874=0,0,C874-I874)</f>
        <v>0</v>
      </c>
    </row>
    <row r="876" spans="1:10" x14ac:dyDescent="0.25">
      <c r="A876" s="1">
        <v>39994</v>
      </c>
      <c r="B876">
        <v>4.5836899999999998</v>
      </c>
      <c r="C876">
        <v>5.2450000000000001</v>
      </c>
      <c r="D876">
        <f>WEEKDAY(A876,14)</f>
        <v>6</v>
      </c>
      <c r="E876">
        <f t="shared" si="52"/>
        <v>0.7</v>
      </c>
      <c r="F876">
        <f t="shared" si="53"/>
        <v>4</v>
      </c>
      <c r="G876">
        <f>IF(F876&gt;F875,G875+B876*E876,B876*E876)</f>
        <v>3.4354944999999995</v>
      </c>
      <c r="H876">
        <f t="shared" si="54"/>
        <v>0.75</v>
      </c>
      <c r="I876">
        <f t="shared" si="55"/>
        <v>0</v>
      </c>
      <c r="J876">
        <f>IF(I875=0,0,C875-I875)</f>
        <v>0</v>
      </c>
    </row>
    <row r="877" spans="1:10" x14ac:dyDescent="0.25">
      <c r="A877" s="1">
        <v>39995</v>
      </c>
      <c r="B877">
        <v>4.55199</v>
      </c>
      <c r="C877">
        <v>5.2450000000000001</v>
      </c>
      <c r="D877">
        <f>WEEKDAY(A877,14)</f>
        <v>7</v>
      </c>
      <c r="E877">
        <f t="shared" si="52"/>
        <v>0.25</v>
      </c>
      <c r="F877">
        <f t="shared" si="53"/>
        <v>5</v>
      </c>
      <c r="G877">
        <f>IF(F877&gt;F876,G876+B877*E877,B877*E877)</f>
        <v>4.5734919999999999</v>
      </c>
      <c r="H877">
        <f t="shared" si="54"/>
        <v>1</v>
      </c>
      <c r="I877">
        <f t="shared" si="55"/>
        <v>4.5734919999999999</v>
      </c>
      <c r="J877">
        <f>IF(I876=0,0,C876-I876)</f>
        <v>0</v>
      </c>
    </row>
    <row r="878" spans="1:10" x14ac:dyDescent="0.25">
      <c r="A878" s="1">
        <v>39996</v>
      </c>
      <c r="B878">
        <v>4.5123800000000003</v>
      </c>
      <c r="C878">
        <v>5.125</v>
      </c>
      <c r="D878">
        <f>WEEKDAY(A878,14)</f>
        <v>1</v>
      </c>
      <c r="E878">
        <f t="shared" si="52"/>
        <v>0</v>
      </c>
      <c r="F878">
        <f t="shared" si="53"/>
        <v>1</v>
      </c>
      <c r="G878">
        <f>IF(F878&gt;F877,G877+B878*E878,B878*E878)</f>
        <v>0</v>
      </c>
      <c r="H878">
        <f t="shared" si="54"/>
        <v>0</v>
      </c>
      <c r="I878">
        <f t="shared" si="55"/>
        <v>0</v>
      </c>
      <c r="J878">
        <f>IF(I877=0,0,C877-I877)</f>
        <v>0.67150800000000022</v>
      </c>
    </row>
    <row r="879" spans="1:10" x14ac:dyDescent="0.25">
      <c r="A879" s="1">
        <v>40000</v>
      </c>
      <c r="B879">
        <v>4.5132099999999999</v>
      </c>
      <c r="C879">
        <v>5.125</v>
      </c>
      <c r="D879">
        <f>WEEKDAY(A879,14)</f>
        <v>5</v>
      </c>
      <c r="E879">
        <f t="shared" si="52"/>
        <v>0.05</v>
      </c>
      <c r="F879">
        <f t="shared" si="53"/>
        <v>2</v>
      </c>
      <c r="G879">
        <f>IF(F879&gt;F878,G878+B879*E879,B879*E879)</f>
        <v>0.22566050000000001</v>
      </c>
      <c r="H879">
        <f t="shared" si="54"/>
        <v>0.05</v>
      </c>
      <c r="I879">
        <f t="shared" si="55"/>
        <v>0</v>
      </c>
      <c r="J879">
        <f>IF(I878=0,0,C878-I878)</f>
        <v>0</v>
      </c>
    </row>
    <row r="880" spans="1:10" x14ac:dyDescent="0.25">
      <c r="A880" s="1">
        <v>40001</v>
      </c>
      <c r="B880">
        <v>4.4764900000000001</v>
      </c>
      <c r="C880">
        <v>5.125</v>
      </c>
      <c r="D880">
        <f>WEEKDAY(A880,14)</f>
        <v>6</v>
      </c>
      <c r="E880">
        <f t="shared" si="52"/>
        <v>0.7</v>
      </c>
      <c r="F880">
        <f t="shared" si="53"/>
        <v>3</v>
      </c>
      <c r="G880">
        <f>IF(F880&gt;F879,G879+B880*E880,B880*E880)</f>
        <v>3.3592035</v>
      </c>
      <c r="H880">
        <f t="shared" si="54"/>
        <v>0.75</v>
      </c>
      <c r="I880">
        <f t="shared" si="55"/>
        <v>0</v>
      </c>
      <c r="J880">
        <f>IF(I879=0,0,C879-I879)</f>
        <v>0</v>
      </c>
    </row>
    <row r="881" spans="1:10" x14ac:dyDescent="0.25">
      <c r="A881" s="1">
        <v>40002</v>
      </c>
      <c r="B881">
        <v>4.3291700000000004</v>
      </c>
      <c r="C881">
        <v>5.125</v>
      </c>
      <c r="D881">
        <f>WEEKDAY(A881,14)</f>
        <v>7</v>
      </c>
      <c r="E881">
        <f t="shared" si="52"/>
        <v>0.25</v>
      </c>
      <c r="F881">
        <f t="shared" si="53"/>
        <v>4</v>
      </c>
      <c r="G881">
        <f>IF(F881&gt;F880,G880+B881*E881,B881*E881)</f>
        <v>4.4414959999999999</v>
      </c>
      <c r="H881">
        <f t="shared" si="54"/>
        <v>1</v>
      </c>
      <c r="I881">
        <f t="shared" si="55"/>
        <v>4.4414959999999999</v>
      </c>
      <c r="J881">
        <f>IF(I880=0,0,C880-I880)</f>
        <v>0</v>
      </c>
    </row>
    <row r="882" spans="1:10" x14ac:dyDescent="0.25">
      <c r="A882" s="1">
        <v>40003</v>
      </c>
      <c r="B882">
        <v>4.4334600000000002</v>
      </c>
      <c r="C882">
        <v>5.0650000000000004</v>
      </c>
      <c r="D882">
        <f>WEEKDAY(A882,14)</f>
        <v>1</v>
      </c>
      <c r="E882">
        <f t="shared" si="52"/>
        <v>0</v>
      </c>
      <c r="F882">
        <f t="shared" si="53"/>
        <v>1</v>
      </c>
      <c r="G882">
        <f>IF(F882&gt;F881,G881+B882*E882,B882*E882)</f>
        <v>0</v>
      </c>
      <c r="H882">
        <f t="shared" si="54"/>
        <v>0</v>
      </c>
      <c r="I882">
        <f t="shared" si="55"/>
        <v>0</v>
      </c>
      <c r="J882">
        <f>IF(I881=0,0,C881-I881)</f>
        <v>0.68350400000000011</v>
      </c>
    </row>
    <row r="883" spans="1:10" x14ac:dyDescent="0.25">
      <c r="A883" s="1">
        <v>40004</v>
      </c>
      <c r="B883">
        <v>4.3342700000000001</v>
      </c>
      <c r="C883">
        <v>5.0650000000000004</v>
      </c>
      <c r="D883">
        <f>WEEKDAY(A883,14)</f>
        <v>2</v>
      </c>
      <c r="E883">
        <f t="shared" si="52"/>
        <v>0</v>
      </c>
      <c r="F883">
        <f t="shared" si="53"/>
        <v>2</v>
      </c>
      <c r="G883">
        <f>IF(F883&gt;F882,G882+B883*E883,B883*E883)</f>
        <v>0</v>
      </c>
      <c r="H883">
        <f t="shared" si="54"/>
        <v>0</v>
      </c>
      <c r="I883">
        <f t="shared" si="55"/>
        <v>0</v>
      </c>
      <c r="J883">
        <f>IF(I882=0,0,C882-I882)</f>
        <v>0</v>
      </c>
    </row>
    <row r="884" spans="1:10" x14ac:dyDescent="0.25">
      <c r="A884" s="1">
        <v>40007</v>
      </c>
      <c r="B884">
        <v>4.4042599999999998</v>
      </c>
      <c r="C884">
        <v>5.0650000000000004</v>
      </c>
      <c r="D884">
        <f>WEEKDAY(A884,14)</f>
        <v>5</v>
      </c>
      <c r="E884">
        <f t="shared" si="52"/>
        <v>0.05</v>
      </c>
      <c r="F884">
        <f t="shared" si="53"/>
        <v>3</v>
      </c>
      <c r="G884">
        <f>IF(F884&gt;F883,G883+B884*E884,B884*E884)</f>
        <v>0.22021299999999999</v>
      </c>
      <c r="H884">
        <f t="shared" si="54"/>
        <v>0.05</v>
      </c>
      <c r="I884">
        <f t="shared" si="55"/>
        <v>0</v>
      </c>
      <c r="J884">
        <f>IF(I883=0,0,C883-I883)</f>
        <v>0</v>
      </c>
    </row>
    <row r="885" spans="1:10" x14ac:dyDescent="0.25">
      <c r="A885" s="1">
        <v>40008</v>
      </c>
      <c r="B885">
        <v>4.4750699999999997</v>
      </c>
      <c r="C885">
        <v>5.0650000000000004</v>
      </c>
      <c r="D885">
        <f>WEEKDAY(A885,14)</f>
        <v>6</v>
      </c>
      <c r="E885">
        <f t="shared" si="52"/>
        <v>0.7</v>
      </c>
      <c r="F885">
        <f t="shared" si="53"/>
        <v>4</v>
      </c>
      <c r="G885">
        <f>IF(F885&gt;F884,G884+B885*E885,B885*E885)</f>
        <v>3.3527619999999994</v>
      </c>
      <c r="H885">
        <f t="shared" si="54"/>
        <v>0.75</v>
      </c>
      <c r="I885">
        <f t="shared" si="55"/>
        <v>0</v>
      </c>
      <c r="J885">
        <f>IF(I884=0,0,C884-I884)</f>
        <v>0</v>
      </c>
    </row>
    <row r="886" spans="1:10" x14ac:dyDescent="0.25">
      <c r="A886" s="1">
        <v>40009</v>
      </c>
      <c r="B886">
        <v>4.64541</v>
      </c>
      <c r="C886">
        <v>5.0650000000000004</v>
      </c>
      <c r="D886">
        <f>WEEKDAY(A886,14)</f>
        <v>7</v>
      </c>
      <c r="E886">
        <f t="shared" si="52"/>
        <v>0.25</v>
      </c>
      <c r="F886">
        <f t="shared" si="53"/>
        <v>5</v>
      </c>
      <c r="G886">
        <f>IF(F886&gt;F885,G885+B886*E886,B886*E886)</f>
        <v>4.5141144999999998</v>
      </c>
      <c r="H886">
        <f t="shared" si="54"/>
        <v>1</v>
      </c>
      <c r="I886">
        <f t="shared" si="55"/>
        <v>4.5141144999999998</v>
      </c>
      <c r="J886">
        <f>IF(I885=0,0,C885-I885)</f>
        <v>0</v>
      </c>
    </row>
    <row r="887" spans="1:10" x14ac:dyDescent="0.25">
      <c r="A887" s="1">
        <v>40010</v>
      </c>
      <c r="B887">
        <v>4.5721499999999997</v>
      </c>
      <c r="C887">
        <v>5.125</v>
      </c>
      <c r="D887">
        <f>WEEKDAY(A887,14)</f>
        <v>1</v>
      </c>
      <c r="E887">
        <f t="shared" si="52"/>
        <v>0</v>
      </c>
      <c r="F887">
        <f t="shared" si="53"/>
        <v>1</v>
      </c>
      <c r="G887">
        <f>IF(F887&gt;F886,G886+B887*E887,B887*E887)</f>
        <v>0</v>
      </c>
      <c r="H887">
        <f t="shared" si="54"/>
        <v>0</v>
      </c>
      <c r="I887">
        <f t="shared" si="55"/>
        <v>0</v>
      </c>
      <c r="J887">
        <f>IF(I886=0,0,C886-I886)</f>
        <v>0.55088550000000058</v>
      </c>
    </row>
    <row r="888" spans="1:10" x14ac:dyDescent="0.25">
      <c r="A888" s="1">
        <v>40011</v>
      </c>
      <c r="B888">
        <v>4.6304800000000004</v>
      </c>
      <c r="C888">
        <v>5.125</v>
      </c>
      <c r="D888">
        <f>WEEKDAY(A888,14)</f>
        <v>2</v>
      </c>
      <c r="E888">
        <f t="shared" si="52"/>
        <v>0</v>
      </c>
      <c r="F888">
        <f t="shared" si="53"/>
        <v>2</v>
      </c>
      <c r="G888">
        <f>IF(F888&gt;F887,G887+B888*E888,B888*E888)</f>
        <v>0</v>
      </c>
      <c r="H888">
        <f t="shared" si="54"/>
        <v>0</v>
      </c>
      <c r="I888">
        <f t="shared" si="55"/>
        <v>0</v>
      </c>
      <c r="J888">
        <f>IF(I887=0,0,C887-I887)</f>
        <v>0</v>
      </c>
    </row>
    <row r="889" spans="1:10" x14ac:dyDescent="0.25">
      <c r="A889" s="1">
        <v>40014</v>
      </c>
      <c r="B889">
        <v>4.5684100000000001</v>
      </c>
      <c r="C889">
        <v>5.125</v>
      </c>
      <c r="D889">
        <f>WEEKDAY(A889,14)</f>
        <v>5</v>
      </c>
      <c r="E889">
        <f t="shared" si="52"/>
        <v>0.05</v>
      </c>
      <c r="F889">
        <f t="shared" si="53"/>
        <v>3</v>
      </c>
      <c r="G889">
        <f>IF(F889&gt;F888,G888+B889*E889,B889*E889)</f>
        <v>0.22842050000000003</v>
      </c>
      <c r="H889">
        <f t="shared" si="54"/>
        <v>0.05</v>
      </c>
      <c r="I889">
        <f t="shared" si="55"/>
        <v>0</v>
      </c>
      <c r="J889">
        <f>IF(I888=0,0,C888-I888)</f>
        <v>0</v>
      </c>
    </row>
    <row r="890" spans="1:10" x14ac:dyDescent="0.25">
      <c r="A890" s="1">
        <v>40015</v>
      </c>
      <c r="B890">
        <v>4.4450599999999998</v>
      </c>
      <c r="C890">
        <v>5.125</v>
      </c>
      <c r="D890">
        <f>WEEKDAY(A890,14)</f>
        <v>6</v>
      </c>
      <c r="E890">
        <f t="shared" si="52"/>
        <v>0.7</v>
      </c>
      <c r="F890">
        <f t="shared" si="53"/>
        <v>4</v>
      </c>
      <c r="G890">
        <f>IF(F890&gt;F889,G889+B890*E890,B890*E890)</f>
        <v>3.3399624999999995</v>
      </c>
      <c r="H890">
        <f t="shared" si="54"/>
        <v>0.75</v>
      </c>
      <c r="I890">
        <f t="shared" si="55"/>
        <v>0</v>
      </c>
      <c r="J890">
        <f>IF(I889=0,0,C889-I889)</f>
        <v>0</v>
      </c>
    </row>
    <row r="891" spans="1:10" x14ac:dyDescent="0.25">
      <c r="A891" s="1">
        <v>40016</v>
      </c>
      <c r="B891">
        <v>4.4958499999999999</v>
      </c>
      <c r="C891">
        <v>5.125</v>
      </c>
      <c r="D891">
        <f>WEEKDAY(A891,14)</f>
        <v>7</v>
      </c>
      <c r="E891">
        <f t="shared" si="52"/>
        <v>0.25</v>
      </c>
      <c r="F891">
        <f t="shared" si="53"/>
        <v>5</v>
      </c>
      <c r="G891">
        <f>IF(F891&gt;F890,G890+B891*E891,B891*E891)</f>
        <v>4.4639249999999997</v>
      </c>
      <c r="H891">
        <f t="shared" si="54"/>
        <v>1</v>
      </c>
      <c r="I891">
        <f t="shared" si="55"/>
        <v>4.4639249999999997</v>
      </c>
      <c r="J891">
        <f>IF(I890=0,0,C890-I890)</f>
        <v>0</v>
      </c>
    </row>
    <row r="892" spans="1:10" x14ac:dyDescent="0.25">
      <c r="A892" s="1">
        <v>40017</v>
      </c>
      <c r="B892">
        <v>4.6713699999999996</v>
      </c>
      <c r="C892">
        <v>5.1749999999999998</v>
      </c>
      <c r="D892">
        <f>WEEKDAY(A892,14)</f>
        <v>1</v>
      </c>
      <c r="E892">
        <f t="shared" si="52"/>
        <v>0</v>
      </c>
      <c r="F892">
        <f t="shared" si="53"/>
        <v>1</v>
      </c>
      <c r="G892">
        <f>IF(F892&gt;F891,G891+B892*E892,B892*E892)</f>
        <v>0</v>
      </c>
      <c r="H892">
        <f t="shared" si="54"/>
        <v>0</v>
      </c>
      <c r="I892">
        <f t="shared" si="55"/>
        <v>0</v>
      </c>
      <c r="J892">
        <f>IF(I891=0,0,C891-I891)</f>
        <v>0.6610750000000003</v>
      </c>
    </row>
    <row r="893" spans="1:10" x14ac:dyDescent="0.25">
      <c r="A893" s="1">
        <v>40018</v>
      </c>
      <c r="B893">
        <v>4.60961</v>
      </c>
      <c r="C893">
        <v>5.1749999999999998</v>
      </c>
      <c r="D893">
        <f>WEEKDAY(A893,14)</f>
        <v>2</v>
      </c>
      <c r="E893">
        <f t="shared" si="52"/>
        <v>0</v>
      </c>
      <c r="F893">
        <f t="shared" si="53"/>
        <v>2</v>
      </c>
      <c r="G893">
        <f>IF(F893&gt;F892,G892+B893*E893,B893*E893)</f>
        <v>0</v>
      </c>
      <c r="H893">
        <f t="shared" si="54"/>
        <v>0</v>
      </c>
      <c r="I893">
        <f t="shared" si="55"/>
        <v>0</v>
      </c>
      <c r="J893">
        <f>IF(I892=0,0,C892-I892)</f>
        <v>0</v>
      </c>
    </row>
    <row r="894" spans="1:10" x14ac:dyDescent="0.25">
      <c r="A894" s="1">
        <v>40021</v>
      </c>
      <c r="B894">
        <v>4.6386399999999997</v>
      </c>
      <c r="C894">
        <v>5.1749999999999998</v>
      </c>
      <c r="D894">
        <f>WEEKDAY(A894,14)</f>
        <v>5</v>
      </c>
      <c r="E894">
        <f t="shared" si="52"/>
        <v>0.05</v>
      </c>
      <c r="F894">
        <f t="shared" si="53"/>
        <v>3</v>
      </c>
      <c r="G894">
        <f>IF(F894&gt;F893,G893+B894*E894,B894*E894)</f>
        <v>0.231932</v>
      </c>
      <c r="H894">
        <f t="shared" si="54"/>
        <v>0.05</v>
      </c>
      <c r="I894">
        <f t="shared" si="55"/>
        <v>0</v>
      </c>
      <c r="J894">
        <f>IF(I893=0,0,C893-I893)</f>
        <v>0</v>
      </c>
    </row>
    <row r="895" spans="1:10" x14ac:dyDescent="0.25">
      <c r="A895" s="1">
        <v>40022</v>
      </c>
      <c r="B895">
        <v>4.5880599999999996</v>
      </c>
      <c r="C895">
        <v>5.1749999999999998</v>
      </c>
      <c r="D895">
        <f>WEEKDAY(A895,14)</f>
        <v>6</v>
      </c>
      <c r="E895">
        <f t="shared" si="52"/>
        <v>0.7</v>
      </c>
      <c r="F895">
        <f t="shared" si="53"/>
        <v>4</v>
      </c>
      <c r="G895">
        <f>IF(F895&gt;F894,G894+B895*E895,B895*E895)</f>
        <v>3.4435739999999995</v>
      </c>
      <c r="H895">
        <f t="shared" si="54"/>
        <v>0.75</v>
      </c>
      <c r="I895">
        <f t="shared" si="55"/>
        <v>0</v>
      </c>
      <c r="J895">
        <f>IF(I894=0,0,C894-I894)</f>
        <v>0</v>
      </c>
    </row>
    <row r="896" spans="1:10" x14ac:dyDescent="0.25">
      <c r="A896" s="1">
        <v>40023</v>
      </c>
      <c r="B896">
        <v>4.5456399999999997</v>
      </c>
      <c r="C896">
        <v>5.1749999999999998</v>
      </c>
      <c r="D896">
        <f>WEEKDAY(A896,14)</f>
        <v>7</v>
      </c>
      <c r="E896">
        <f t="shared" si="52"/>
        <v>0.25</v>
      </c>
      <c r="F896">
        <f t="shared" si="53"/>
        <v>5</v>
      </c>
      <c r="G896">
        <f>IF(F896&gt;F895,G895+B896*E896,B896*E896)</f>
        <v>4.5799839999999996</v>
      </c>
      <c r="H896">
        <f t="shared" si="54"/>
        <v>1</v>
      </c>
      <c r="I896">
        <f t="shared" si="55"/>
        <v>4.5799839999999996</v>
      </c>
      <c r="J896">
        <f>IF(I895=0,0,C895-I895)</f>
        <v>0</v>
      </c>
    </row>
    <row r="897" spans="1:10" x14ac:dyDescent="0.25">
      <c r="A897" s="1">
        <v>40024</v>
      </c>
      <c r="B897">
        <v>4.5411099999999998</v>
      </c>
      <c r="C897">
        <v>5.12</v>
      </c>
      <c r="D897">
        <f>WEEKDAY(A897,14)</f>
        <v>1</v>
      </c>
      <c r="E897">
        <f t="shared" si="52"/>
        <v>0</v>
      </c>
      <c r="F897">
        <f t="shared" si="53"/>
        <v>1</v>
      </c>
      <c r="G897">
        <f>IF(F897&gt;F896,G896+B897*E897,B897*E897)</f>
        <v>0</v>
      </c>
      <c r="H897">
        <f t="shared" si="54"/>
        <v>0</v>
      </c>
      <c r="I897">
        <f t="shared" si="55"/>
        <v>0</v>
      </c>
      <c r="J897">
        <f>IF(I896=0,0,C896-I896)</f>
        <v>0.59501600000000021</v>
      </c>
    </row>
    <row r="898" spans="1:10" x14ac:dyDescent="0.25">
      <c r="A898" s="1">
        <v>40025</v>
      </c>
      <c r="B898">
        <v>4.3966200000000004</v>
      </c>
      <c r="C898">
        <v>5.12</v>
      </c>
      <c r="D898">
        <f>WEEKDAY(A898,14)</f>
        <v>2</v>
      </c>
      <c r="E898">
        <f t="shared" si="52"/>
        <v>0</v>
      </c>
      <c r="F898">
        <f t="shared" si="53"/>
        <v>2</v>
      </c>
      <c r="G898">
        <f>IF(F898&gt;F897,G897+B898*E898,B898*E898)</f>
        <v>0</v>
      </c>
      <c r="H898">
        <f t="shared" si="54"/>
        <v>0</v>
      </c>
      <c r="I898">
        <f t="shared" si="55"/>
        <v>0</v>
      </c>
      <c r="J898">
        <f>IF(I897=0,0,C897-I897)</f>
        <v>0</v>
      </c>
    </row>
    <row r="899" spans="1:10" x14ac:dyDescent="0.25">
      <c r="A899" s="1">
        <v>40028</v>
      </c>
      <c r="B899">
        <v>4.5200199999999997</v>
      </c>
      <c r="C899">
        <v>5.12</v>
      </c>
      <c r="D899">
        <f>WEEKDAY(A899,14)</f>
        <v>5</v>
      </c>
      <c r="E899">
        <f t="shared" ref="E899:E962" si="56">VLOOKUP(D899,M$2:N$8,2,FALSE)</f>
        <v>0.05</v>
      </c>
      <c r="F899">
        <f t="shared" ref="F899:F962" si="57">IF(AND(D899&gt;D898,F898&lt;6),F898+1,1)</f>
        <v>3</v>
      </c>
      <c r="G899">
        <f>IF(F899&gt;F898,G898+B899*E899,B899*E899)</f>
        <v>0.22600100000000001</v>
      </c>
      <c r="H899">
        <f t="shared" si="54"/>
        <v>0.05</v>
      </c>
      <c r="I899">
        <f t="shared" si="55"/>
        <v>0</v>
      </c>
      <c r="J899">
        <f>IF(I898=0,0,C898-I898)</f>
        <v>0</v>
      </c>
    </row>
    <row r="900" spans="1:10" x14ac:dyDescent="0.25">
      <c r="A900" s="1">
        <v>40029</v>
      </c>
      <c r="B900">
        <v>4.5781799999999997</v>
      </c>
      <c r="C900">
        <v>5.12</v>
      </c>
      <c r="D900">
        <f>WEEKDAY(A900,14)</f>
        <v>6</v>
      </c>
      <c r="E900">
        <f t="shared" si="56"/>
        <v>0.7</v>
      </c>
      <c r="F900">
        <f t="shared" si="57"/>
        <v>4</v>
      </c>
      <c r="G900">
        <f>IF(F900&gt;F899,G899+B900*E900,B900*E900)</f>
        <v>3.4307269999999996</v>
      </c>
      <c r="H900">
        <f t="shared" ref="H900:H963" si="58">IF(AND(F900&lt;6,F900&gt;F899),E900+H899,E900)</f>
        <v>0.75</v>
      </c>
      <c r="I900">
        <f t="shared" ref="I900:I963" si="59">IF(F900&gt;F901,G900/H900,0)</f>
        <v>0</v>
      </c>
      <c r="J900">
        <f>IF(I899=0,0,C899-I899)</f>
        <v>0</v>
      </c>
    </row>
    <row r="901" spans="1:10" x14ac:dyDescent="0.25">
      <c r="A901" s="1">
        <v>40030</v>
      </c>
      <c r="B901">
        <v>4.6917</v>
      </c>
      <c r="C901">
        <v>5.12</v>
      </c>
      <c r="D901">
        <f>WEEKDAY(A901,14)</f>
        <v>7</v>
      </c>
      <c r="E901">
        <f t="shared" si="56"/>
        <v>0.25</v>
      </c>
      <c r="F901">
        <f t="shared" si="57"/>
        <v>5</v>
      </c>
      <c r="G901">
        <f>IF(F901&gt;F900,G900+B901*E901,B901*E901)</f>
        <v>4.6036519999999994</v>
      </c>
      <c r="H901">
        <f t="shared" si="58"/>
        <v>1</v>
      </c>
      <c r="I901">
        <f t="shared" si="59"/>
        <v>4.6036519999999994</v>
      </c>
      <c r="J901">
        <f>IF(I900=0,0,C900-I900)</f>
        <v>0</v>
      </c>
    </row>
    <row r="902" spans="1:10" x14ac:dyDescent="0.25">
      <c r="A902" s="1">
        <v>40031</v>
      </c>
      <c r="B902">
        <v>4.7088200000000002</v>
      </c>
      <c r="C902">
        <v>5.2149999999999999</v>
      </c>
      <c r="D902">
        <f>WEEKDAY(A902,14)</f>
        <v>1</v>
      </c>
      <c r="E902">
        <f t="shared" si="56"/>
        <v>0</v>
      </c>
      <c r="F902">
        <f t="shared" si="57"/>
        <v>1</v>
      </c>
      <c r="G902">
        <f>IF(F902&gt;F901,G901+B902*E902,B902*E902)</f>
        <v>0</v>
      </c>
      <c r="H902">
        <f t="shared" si="58"/>
        <v>0</v>
      </c>
      <c r="I902">
        <f t="shared" si="59"/>
        <v>0</v>
      </c>
      <c r="J902">
        <f>IF(I901=0,0,C901-I901)</f>
        <v>0.5163480000000007</v>
      </c>
    </row>
    <row r="903" spans="1:10" x14ac:dyDescent="0.25">
      <c r="A903" s="1">
        <v>40032</v>
      </c>
      <c r="B903">
        <v>4.8023300000000004</v>
      </c>
      <c r="C903">
        <v>5.2149999999999999</v>
      </c>
      <c r="D903">
        <f>WEEKDAY(A903,14)</f>
        <v>2</v>
      </c>
      <c r="E903">
        <f t="shared" si="56"/>
        <v>0</v>
      </c>
      <c r="F903">
        <f t="shared" si="57"/>
        <v>2</v>
      </c>
      <c r="G903">
        <f>IF(F903&gt;F902,G902+B903*E903,B903*E903)</f>
        <v>0</v>
      </c>
      <c r="H903">
        <f t="shared" si="58"/>
        <v>0</v>
      </c>
      <c r="I903">
        <f t="shared" si="59"/>
        <v>0</v>
      </c>
      <c r="J903">
        <f>IF(I902=0,0,C902-I902)</f>
        <v>0</v>
      </c>
    </row>
    <row r="904" spans="1:10" x14ac:dyDescent="0.25">
      <c r="A904" s="1">
        <v>40035</v>
      </c>
      <c r="B904">
        <v>4.69414</v>
      </c>
      <c r="C904">
        <v>5.2149999999999999</v>
      </c>
      <c r="D904">
        <f>WEEKDAY(A904,14)</f>
        <v>5</v>
      </c>
      <c r="E904">
        <f t="shared" si="56"/>
        <v>0.05</v>
      </c>
      <c r="F904">
        <f t="shared" si="57"/>
        <v>3</v>
      </c>
      <c r="G904">
        <f>IF(F904&gt;F903,G903+B904*E904,B904*E904)</f>
        <v>0.234707</v>
      </c>
      <c r="H904">
        <f t="shared" si="58"/>
        <v>0.05</v>
      </c>
      <c r="I904">
        <f t="shared" si="59"/>
        <v>0</v>
      </c>
      <c r="J904">
        <f>IF(I903=0,0,C903-I903)</f>
        <v>0</v>
      </c>
    </row>
    <row r="905" spans="1:10" x14ac:dyDescent="0.25">
      <c r="A905" s="1">
        <v>40036</v>
      </c>
      <c r="B905">
        <v>4.6273999999999997</v>
      </c>
      <c r="C905">
        <v>5.2149999999999999</v>
      </c>
      <c r="D905">
        <f>WEEKDAY(A905,14)</f>
        <v>6</v>
      </c>
      <c r="E905">
        <f t="shared" si="56"/>
        <v>0.7</v>
      </c>
      <c r="F905">
        <f t="shared" si="57"/>
        <v>4</v>
      </c>
      <c r="G905">
        <f>IF(F905&gt;F904,G904+B905*E905,B905*E905)</f>
        <v>3.4738869999999995</v>
      </c>
      <c r="H905">
        <f t="shared" si="58"/>
        <v>0.75</v>
      </c>
      <c r="I905">
        <f t="shared" si="59"/>
        <v>0</v>
      </c>
      <c r="J905">
        <f>IF(I904=0,0,C904-I904)</f>
        <v>0</v>
      </c>
    </row>
    <row r="906" spans="1:10" x14ac:dyDescent="0.25">
      <c r="A906" s="1">
        <v>40037</v>
      </c>
      <c r="B906">
        <v>4.6362800000000002</v>
      </c>
      <c r="C906">
        <v>5.2149999999999999</v>
      </c>
      <c r="D906">
        <f>WEEKDAY(A906,14)</f>
        <v>7</v>
      </c>
      <c r="E906">
        <f t="shared" si="56"/>
        <v>0.25</v>
      </c>
      <c r="F906">
        <f t="shared" si="57"/>
        <v>5</v>
      </c>
      <c r="G906">
        <f>IF(F906&gt;F905,G905+B906*E906,B906*E906)</f>
        <v>4.6329569999999993</v>
      </c>
      <c r="H906">
        <f t="shared" si="58"/>
        <v>1</v>
      </c>
      <c r="I906">
        <f t="shared" si="59"/>
        <v>4.6329569999999993</v>
      </c>
      <c r="J906">
        <f>IF(I905=0,0,C905-I905)</f>
        <v>0</v>
      </c>
    </row>
    <row r="907" spans="1:10" x14ac:dyDescent="0.25">
      <c r="A907" s="1">
        <v>40038</v>
      </c>
      <c r="B907">
        <v>4.5270599999999996</v>
      </c>
      <c r="C907">
        <v>5.0449999999999999</v>
      </c>
      <c r="D907">
        <f>WEEKDAY(A907,14)</f>
        <v>1</v>
      </c>
      <c r="E907">
        <f t="shared" si="56"/>
        <v>0</v>
      </c>
      <c r="F907">
        <f t="shared" si="57"/>
        <v>1</v>
      </c>
      <c r="G907">
        <f>IF(F907&gt;F906,G906+B907*E907,B907*E907)</f>
        <v>0</v>
      </c>
      <c r="H907">
        <f t="shared" si="58"/>
        <v>0</v>
      </c>
      <c r="I907">
        <f t="shared" si="59"/>
        <v>0</v>
      </c>
      <c r="J907">
        <f>IF(I906=0,0,C906-I906)</f>
        <v>0.58204300000000053</v>
      </c>
    </row>
    <row r="908" spans="1:10" x14ac:dyDescent="0.25">
      <c r="A908" s="1">
        <v>40039</v>
      </c>
      <c r="B908">
        <v>4.4905799999999996</v>
      </c>
      <c r="C908">
        <v>5.0449999999999999</v>
      </c>
      <c r="D908">
        <f>WEEKDAY(A908,14)</f>
        <v>2</v>
      </c>
      <c r="E908">
        <f t="shared" si="56"/>
        <v>0</v>
      </c>
      <c r="F908">
        <f t="shared" si="57"/>
        <v>2</v>
      </c>
      <c r="G908">
        <f>IF(F908&gt;F907,G907+B908*E908,B908*E908)</f>
        <v>0</v>
      </c>
      <c r="H908">
        <f t="shared" si="58"/>
        <v>0</v>
      </c>
      <c r="I908">
        <f t="shared" si="59"/>
        <v>0</v>
      </c>
      <c r="J908">
        <f>IF(I907=0,0,C907-I907)</f>
        <v>0</v>
      </c>
    </row>
    <row r="909" spans="1:10" x14ac:dyDescent="0.25">
      <c r="A909" s="1">
        <v>40042</v>
      </c>
      <c r="B909">
        <v>4.4661600000000004</v>
      </c>
      <c r="C909">
        <v>5.0449999999999999</v>
      </c>
      <c r="D909">
        <f>WEEKDAY(A909,14)</f>
        <v>5</v>
      </c>
      <c r="E909">
        <f t="shared" si="56"/>
        <v>0.05</v>
      </c>
      <c r="F909">
        <f t="shared" si="57"/>
        <v>3</v>
      </c>
      <c r="G909">
        <f>IF(F909&gt;F908,G908+B909*E909,B909*E909)</f>
        <v>0.22330800000000003</v>
      </c>
      <c r="H909">
        <f t="shared" si="58"/>
        <v>0.05</v>
      </c>
      <c r="I909">
        <f t="shared" si="59"/>
        <v>0</v>
      </c>
      <c r="J909">
        <f>IF(I908=0,0,C908-I908)</f>
        <v>0</v>
      </c>
    </row>
    <row r="910" spans="1:10" x14ac:dyDescent="0.25">
      <c r="A910" s="1">
        <v>40043</v>
      </c>
      <c r="B910">
        <v>4.5086599999999999</v>
      </c>
      <c r="C910">
        <v>5.0449999999999999</v>
      </c>
      <c r="D910">
        <f>WEEKDAY(A910,14)</f>
        <v>6</v>
      </c>
      <c r="E910">
        <f t="shared" si="56"/>
        <v>0.7</v>
      </c>
      <c r="F910">
        <f t="shared" si="57"/>
        <v>4</v>
      </c>
      <c r="G910">
        <f>IF(F910&gt;F909,G909+B910*E910,B910*E910)</f>
        <v>3.3793699999999998</v>
      </c>
      <c r="H910">
        <f t="shared" si="58"/>
        <v>0.75</v>
      </c>
      <c r="I910">
        <f t="shared" si="59"/>
        <v>0</v>
      </c>
      <c r="J910">
        <f>IF(I909=0,0,C909-I909)</f>
        <v>0</v>
      </c>
    </row>
    <row r="911" spans="1:10" x14ac:dyDescent="0.25">
      <c r="A911" s="1">
        <v>40044</v>
      </c>
      <c r="B911">
        <v>4.4772499999999997</v>
      </c>
      <c r="C911">
        <v>5.0449999999999999</v>
      </c>
      <c r="D911">
        <f>WEEKDAY(A911,14)</f>
        <v>7</v>
      </c>
      <c r="E911">
        <f t="shared" si="56"/>
        <v>0.25</v>
      </c>
      <c r="F911">
        <f t="shared" si="57"/>
        <v>5</v>
      </c>
      <c r="G911">
        <f>IF(F911&gt;F910,G910+B911*E911,B911*E911)</f>
        <v>4.4986824999999993</v>
      </c>
      <c r="H911">
        <f t="shared" si="58"/>
        <v>1</v>
      </c>
      <c r="I911">
        <f t="shared" si="59"/>
        <v>4.4986824999999993</v>
      </c>
      <c r="J911">
        <f>IF(I910=0,0,C910-I910)</f>
        <v>0</v>
      </c>
    </row>
    <row r="912" spans="1:10" x14ac:dyDescent="0.25">
      <c r="A912" s="1">
        <v>40045</v>
      </c>
      <c r="B912">
        <v>4.4468100000000002</v>
      </c>
      <c r="C912">
        <v>5.0650000000000004</v>
      </c>
      <c r="D912">
        <f>WEEKDAY(A912,14)</f>
        <v>1</v>
      </c>
      <c r="E912">
        <f t="shared" si="56"/>
        <v>0</v>
      </c>
      <c r="F912">
        <f t="shared" si="57"/>
        <v>1</v>
      </c>
      <c r="G912">
        <f>IF(F912&gt;F911,G911+B912*E912,B912*E912)</f>
        <v>0</v>
      </c>
      <c r="H912">
        <f t="shared" si="58"/>
        <v>0</v>
      </c>
      <c r="I912">
        <f t="shared" si="59"/>
        <v>0</v>
      </c>
      <c r="J912">
        <f>IF(I911=0,0,C911-I911)</f>
        <v>0.54631750000000068</v>
      </c>
    </row>
    <row r="913" spans="1:10" x14ac:dyDescent="0.25">
      <c r="A913" s="1">
        <v>40046</v>
      </c>
      <c r="B913">
        <v>4.5218299999999996</v>
      </c>
      <c r="C913">
        <v>5.0650000000000004</v>
      </c>
      <c r="D913">
        <f>WEEKDAY(A913,14)</f>
        <v>2</v>
      </c>
      <c r="E913">
        <f t="shared" si="56"/>
        <v>0</v>
      </c>
      <c r="F913">
        <f t="shared" si="57"/>
        <v>2</v>
      </c>
      <c r="G913">
        <f>IF(F913&gt;F912,G912+B913*E913,B913*E913)</f>
        <v>0</v>
      </c>
      <c r="H913">
        <f t="shared" si="58"/>
        <v>0</v>
      </c>
      <c r="I913">
        <f t="shared" si="59"/>
        <v>0</v>
      </c>
      <c r="J913">
        <f>IF(I912=0,0,C912-I912)</f>
        <v>0</v>
      </c>
    </row>
    <row r="914" spans="1:10" x14ac:dyDescent="0.25">
      <c r="A914" s="1">
        <v>40049</v>
      </c>
      <c r="B914">
        <v>4.4896900000000004</v>
      </c>
      <c r="C914">
        <v>5.0650000000000004</v>
      </c>
      <c r="D914">
        <f>WEEKDAY(A914,14)</f>
        <v>5</v>
      </c>
      <c r="E914">
        <f t="shared" si="56"/>
        <v>0.05</v>
      </c>
      <c r="F914">
        <f t="shared" si="57"/>
        <v>3</v>
      </c>
      <c r="G914">
        <f>IF(F914&gt;F913,G913+B914*E914,B914*E914)</f>
        <v>0.22448450000000003</v>
      </c>
      <c r="H914">
        <f t="shared" si="58"/>
        <v>0.05</v>
      </c>
      <c r="I914">
        <f t="shared" si="59"/>
        <v>0</v>
      </c>
      <c r="J914">
        <f>IF(I913=0,0,C913-I913)</f>
        <v>0</v>
      </c>
    </row>
    <row r="915" spans="1:10" x14ac:dyDescent="0.25">
      <c r="A915" s="1">
        <v>40050</v>
      </c>
      <c r="B915">
        <v>4.46678</v>
      </c>
      <c r="C915">
        <v>5.0650000000000004</v>
      </c>
      <c r="D915">
        <f>WEEKDAY(A915,14)</f>
        <v>6</v>
      </c>
      <c r="E915">
        <f t="shared" si="56"/>
        <v>0.7</v>
      </c>
      <c r="F915">
        <f t="shared" si="57"/>
        <v>4</v>
      </c>
      <c r="G915">
        <f>IF(F915&gt;F914,G914+B915*E915,B915*E915)</f>
        <v>3.3512304999999998</v>
      </c>
      <c r="H915">
        <f t="shared" si="58"/>
        <v>0.75</v>
      </c>
      <c r="I915">
        <f t="shared" si="59"/>
        <v>0</v>
      </c>
      <c r="J915">
        <f>IF(I914=0,0,C914-I914)</f>
        <v>0</v>
      </c>
    </row>
    <row r="916" spans="1:10" x14ac:dyDescent="0.25">
      <c r="A916" s="1">
        <v>40051</v>
      </c>
      <c r="B916">
        <v>4.4625000000000004</v>
      </c>
      <c r="C916">
        <v>5.0650000000000004</v>
      </c>
      <c r="D916">
        <f>WEEKDAY(A916,14)</f>
        <v>7</v>
      </c>
      <c r="E916">
        <f t="shared" si="56"/>
        <v>0.25</v>
      </c>
      <c r="F916">
        <f t="shared" si="57"/>
        <v>5</v>
      </c>
      <c r="G916">
        <f>IF(F916&gt;F915,G915+B916*E916,B916*E916)</f>
        <v>4.4668554999999994</v>
      </c>
      <c r="H916">
        <f t="shared" si="58"/>
        <v>1</v>
      </c>
      <c r="I916">
        <f t="shared" si="59"/>
        <v>4.4668554999999994</v>
      </c>
      <c r="J916">
        <f>IF(I915=0,0,C915-I915)</f>
        <v>0</v>
      </c>
    </row>
    <row r="917" spans="1:10" x14ac:dyDescent="0.25">
      <c r="A917" s="1">
        <v>40052</v>
      </c>
      <c r="B917">
        <v>4.4893200000000002</v>
      </c>
      <c r="C917">
        <v>5.0049999999999999</v>
      </c>
      <c r="D917">
        <f>WEEKDAY(A917,14)</f>
        <v>1</v>
      </c>
      <c r="E917">
        <f t="shared" si="56"/>
        <v>0</v>
      </c>
      <c r="F917">
        <f t="shared" si="57"/>
        <v>1</v>
      </c>
      <c r="G917">
        <f>IF(F917&gt;F916,G916+B917*E917,B917*E917)</f>
        <v>0</v>
      </c>
      <c r="H917">
        <f t="shared" si="58"/>
        <v>0</v>
      </c>
      <c r="I917">
        <f t="shared" si="59"/>
        <v>0</v>
      </c>
      <c r="J917">
        <f>IF(I916=0,0,C916-I916)</f>
        <v>0.59814450000000097</v>
      </c>
    </row>
    <row r="918" spans="1:10" x14ac:dyDescent="0.25">
      <c r="A918" s="1">
        <v>40053</v>
      </c>
      <c r="B918">
        <v>4.4840200000000001</v>
      </c>
      <c r="C918">
        <v>5.0049999999999999</v>
      </c>
      <c r="D918">
        <f>WEEKDAY(A918,14)</f>
        <v>2</v>
      </c>
      <c r="E918">
        <f t="shared" si="56"/>
        <v>0</v>
      </c>
      <c r="F918">
        <f t="shared" si="57"/>
        <v>2</v>
      </c>
      <c r="G918">
        <f>IF(F918&gt;F917,G917+B918*E918,B918*E918)</f>
        <v>0</v>
      </c>
      <c r="H918">
        <f t="shared" si="58"/>
        <v>0</v>
      </c>
      <c r="I918">
        <f t="shared" si="59"/>
        <v>0</v>
      </c>
      <c r="J918">
        <f>IF(I917=0,0,C917-I917)</f>
        <v>0</v>
      </c>
    </row>
    <row r="919" spans="1:10" x14ac:dyDescent="0.25">
      <c r="A919" s="1">
        <v>40056</v>
      </c>
      <c r="B919">
        <v>4.4218400000000004</v>
      </c>
      <c r="C919">
        <v>5.0049999999999999</v>
      </c>
      <c r="D919">
        <f>WEEKDAY(A919,14)</f>
        <v>5</v>
      </c>
      <c r="E919">
        <f t="shared" si="56"/>
        <v>0.05</v>
      </c>
      <c r="F919">
        <f t="shared" si="57"/>
        <v>3</v>
      </c>
      <c r="G919">
        <f>IF(F919&gt;F918,G918+B919*E919,B919*E919)</f>
        <v>0.22109200000000004</v>
      </c>
      <c r="H919">
        <f t="shared" si="58"/>
        <v>0.05</v>
      </c>
      <c r="I919">
        <f t="shared" si="59"/>
        <v>0</v>
      </c>
      <c r="J919">
        <f>IF(I918=0,0,C918-I918)</f>
        <v>0</v>
      </c>
    </row>
    <row r="920" spans="1:10" x14ac:dyDescent="0.25">
      <c r="A920" s="1">
        <v>40057</v>
      </c>
      <c r="B920">
        <v>4.4017999999999997</v>
      </c>
      <c r="C920">
        <v>5.0049999999999999</v>
      </c>
      <c r="D920">
        <f>WEEKDAY(A920,14)</f>
        <v>6</v>
      </c>
      <c r="E920">
        <f t="shared" si="56"/>
        <v>0.7</v>
      </c>
      <c r="F920">
        <f t="shared" si="57"/>
        <v>4</v>
      </c>
      <c r="G920">
        <f>IF(F920&gt;F919,G919+B920*E920,B920*E920)</f>
        <v>3.3023519999999995</v>
      </c>
      <c r="H920">
        <f t="shared" si="58"/>
        <v>0.75</v>
      </c>
      <c r="I920">
        <f t="shared" si="59"/>
        <v>0</v>
      </c>
      <c r="J920">
        <f>IF(I919=0,0,C919-I919)</f>
        <v>0</v>
      </c>
    </row>
    <row r="921" spans="1:10" x14ac:dyDescent="0.25">
      <c r="A921" s="1">
        <v>40058</v>
      </c>
      <c r="B921">
        <v>4.3146899999999997</v>
      </c>
      <c r="C921">
        <v>5.0049999999999999</v>
      </c>
      <c r="D921">
        <f>WEEKDAY(A921,14)</f>
        <v>7</v>
      </c>
      <c r="E921">
        <f t="shared" si="56"/>
        <v>0.25</v>
      </c>
      <c r="F921">
        <f t="shared" si="57"/>
        <v>5</v>
      </c>
      <c r="G921">
        <f>IF(F921&gt;F920,G920+B921*E921,B921*E921)</f>
        <v>4.3810244999999997</v>
      </c>
      <c r="H921">
        <f t="shared" si="58"/>
        <v>1</v>
      </c>
      <c r="I921">
        <f t="shared" si="59"/>
        <v>4.3810244999999997</v>
      </c>
      <c r="J921">
        <f>IF(I920=0,0,C920-I920)</f>
        <v>0</v>
      </c>
    </row>
    <row r="922" spans="1:10" x14ac:dyDescent="0.25">
      <c r="A922" s="1">
        <v>40059</v>
      </c>
      <c r="B922">
        <v>4.3619700000000003</v>
      </c>
      <c r="C922">
        <v>4.9950000000000001</v>
      </c>
      <c r="D922">
        <f>WEEKDAY(A922,14)</f>
        <v>1</v>
      </c>
      <c r="E922">
        <f t="shared" si="56"/>
        <v>0</v>
      </c>
      <c r="F922">
        <f t="shared" si="57"/>
        <v>1</v>
      </c>
      <c r="G922">
        <f>IF(F922&gt;F921,G921+B922*E922,B922*E922)</f>
        <v>0</v>
      </c>
      <c r="H922">
        <f t="shared" si="58"/>
        <v>0</v>
      </c>
      <c r="I922">
        <f t="shared" si="59"/>
        <v>0</v>
      </c>
      <c r="J922">
        <f>IF(I921=0,0,C921-I921)</f>
        <v>0.62397550000000024</v>
      </c>
    </row>
    <row r="923" spans="1:10" x14ac:dyDescent="0.25">
      <c r="A923" s="1">
        <v>40060</v>
      </c>
      <c r="B923">
        <v>4.4236899999999997</v>
      </c>
      <c r="C923">
        <v>4.9950000000000001</v>
      </c>
      <c r="D923">
        <f>WEEKDAY(A923,14)</f>
        <v>2</v>
      </c>
      <c r="E923">
        <f t="shared" si="56"/>
        <v>0</v>
      </c>
      <c r="F923">
        <f t="shared" si="57"/>
        <v>2</v>
      </c>
      <c r="G923">
        <f>IF(F923&gt;F922,G922+B923*E923,B923*E923)</f>
        <v>0</v>
      </c>
      <c r="H923">
        <f t="shared" si="58"/>
        <v>0</v>
      </c>
      <c r="I923">
        <f t="shared" si="59"/>
        <v>0</v>
      </c>
      <c r="J923">
        <f>IF(I922=0,0,C922-I922)</f>
        <v>0</v>
      </c>
    </row>
    <row r="924" spans="1:10" x14ac:dyDescent="0.25">
      <c r="A924" s="1">
        <v>40064</v>
      </c>
      <c r="B924">
        <v>4.4147100000000004</v>
      </c>
      <c r="C924">
        <v>4.9950000000000001</v>
      </c>
      <c r="D924">
        <f>WEEKDAY(A924,14)</f>
        <v>6</v>
      </c>
      <c r="E924">
        <f t="shared" si="56"/>
        <v>0.7</v>
      </c>
      <c r="F924">
        <f t="shared" si="57"/>
        <v>3</v>
      </c>
      <c r="G924">
        <f>IF(F924&gt;F923,G923+B924*E924,B924*E924)</f>
        <v>3.0902970000000001</v>
      </c>
      <c r="H924">
        <f t="shared" si="58"/>
        <v>0.7</v>
      </c>
      <c r="I924">
        <f t="shared" si="59"/>
        <v>0</v>
      </c>
      <c r="J924">
        <f>IF(I923=0,0,C923-I923)</f>
        <v>0</v>
      </c>
    </row>
    <row r="925" spans="1:10" x14ac:dyDescent="0.25">
      <c r="A925" s="1">
        <v>40065</v>
      </c>
      <c r="B925">
        <v>4.3998600000000003</v>
      </c>
      <c r="C925">
        <v>4.9950000000000001</v>
      </c>
      <c r="D925">
        <f>WEEKDAY(A925,14)</f>
        <v>7</v>
      </c>
      <c r="E925">
        <f t="shared" si="56"/>
        <v>0.25</v>
      </c>
      <c r="F925">
        <f t="shared" si="57"/>
        <v>4</v>
      </c>
      <c r="G925">
        <f>IF(F925&gt;F924,G924+B925*E925,B925*E925)</f>
        <v>4.1902620000000006</v>
      </c>
      <c r="H925">
        <f t="shared" si="58"/>
        <v>0.95</v>
      </c>
      <c r="I925">
        <f t="shared" si="59"/>
        <v>4.4108021052631585</v>
      </c>
      <c r="J925">
        <f>IF(I924=0,0,C924-I924)</f>
        <v>0</v>
      </c>
    </row>
    <row r="926" spans="1:10" x14ac:dyDescent="0.25">
      <c r="A926" s="1">
        <v>40066</v>
      </c>
      <c r="B926">
        <v>4.2849700000000004</v>
      </c>
      <c r="C926">
        <v>4.9649999999999999</v>
      </c>
      <c r="D926">
        <f>WEEKDAY(A926,14)</f>
        <v>1</v>
      </c>
      <c r="E926">
        <f t="shared" si="56"/>
        <v>0</v>
      </c>
      <c r="F926">
        <f t="shared" si="57"/>
        <v>1</v>
      </c>
      <c r="G926">
        <f>IF(F926&gt;F925,G925+B926*E926,B926*E926)</f>
        <v>0</v>
      </c>
      <c r="H926">
        <f t="shared" si="58"/>
        <v>0</v>
      </c>
      <c r="I926">
        <f t="shared" si="59"/>
        <v>0</v>
      </c>
      <c r="J926">
        <f>IF(I925=0,0,C925-I925)</f>
        <v>0.58419789473684158</v>
      </c>
    </row>
    <row r="927" spans="1:10" x14ac:dyDescent="0.25">
      <c r="A927" s="1">
        <v>40067</v>
      </c>
      <c r="B927">
        <v>4.28939</v>
      </c>
      <c r="C927">
        <v>4.9649999999999999</v>
      </c>
      <c r="D927">
        <f>WEEKDAY(A927,14)</f>
        <v>2</v>
      </c>
      <c r="E927">
        <f t="shared" si="56"/>
        <v>0</v>
      </c>
      <c r="F927">
        <f t="shared" si="57"/>
        <v>2</v>
      </c>
      <c r="G927">
        <f>IF(F927&gt;F926,G926+B927*E927,B927*E927)</f>
        <v>0</v>
      </c>
      <c r="H927">
        <f t="shared" si="58"/>
        <v>0</v>
      </c>
      <c r="I927">
        <f t="shared" si="59"/>
        <v>0</v>
      </c>
      <c r="J927">
        <f>IF(I926=0,0,C926-I926)</f>
        <v>0</v>
      </c>
    </row>
    <row r="928" spans="1:10" x14ac:dyDescent="0.25">
      <c r="A928" s="1">
        <v>40070</v>
      </c>
      <c r="B928">
        <v>4.3567200000000001</v>
      </c>
      <c r="C928">
        <v>4.9649999999999999</v>
      </c>
      <c r="D928">
        <f>WEEKDAY(A928,14)</f>
        <v>5</v>
      </c>
      <c r="E928">
        <f t="shared" si="56"/>
        <v>0.05</v>
      </c>
      <c r="F928">
        <f t="shared" si="57"/>
        <v>3</v>
      </c>
      <c r="G928">
        <f>IF(F928&gt;F927,G927+B928*E928,B928*E928)</f>
        <v>0.21783600000000003</v>
      </c>
      <c r="H928">
        <f t="shared" si="58"/>
        <v>0.05</v>
      </c>
      <c r="I928">
        <f t="shared" si="59"/>
        <v>0</v>
      </c>
      <c r="J928">
        <f>IF(I927=0,0,C927-I927)</f>
        <v>0</v>
      </c>
    </row>
    <row r="929" spans="1:10" x14ac:dyDescent="0.25">
      <c r="A929" s="1">
        <v>40071</v>
      </c>
      <c r="B929">
        <v>4.3923500000000004</v>
      </c>
      <c r="C929">
        <v>4.9649999999999999</v>
      </c>
      <c r="D929">
        <f>WEEKDAY(A929,14)</f>
        <v>6</v>
      </c>
      <c r="E929">
        <f t="shared" si="56"/>
        <v>0.7</v>
      </c>
      <c r="F929">
        <f t="shared" si="57"/>
        <v>4</v>
      </c>
      <c r="G929">
        <f>IF(F929&gt;F928,G928+B929*E929,B929*E929)</f>
        <v>3.2924810000000004</v>
      </c>
      <c r="H929">
        <f t="shared" si="58"/>
        <v>0.75</v>
      </c>
      <c r="I929">
        <f t="shared" si="59"/>
        <v>0</v>
      </c>
      <c r="J929">
        <f>IF(I928=0,0,C928-I928)</f>
        <v>0</v>
      </c>
    </row>
    <row r="930" spans="1:10" x14ac:dyDescent="0.25">
      <c r="A930" s="1">
        <v>40072</v>
      </c>
      <c r="B930">
        <v>4.3875000000000002</v>
      </c>
      <c r="C930">
        <v>4.9649999999999999</v>
      </c>
      <c r="D930">
        <f>WEEKDAY(A930,14)</f>
        <v>7</v>
      </c>
      <c r="E930">
        <f t="shared" si="56"/>
        <v>0.25</v>
      </c>
      <c r="F930">
        <f t="shared" si="57"/>
        <v>5</v>
      </c>
      <c r="G930">
        <f>IF(F930&gt;F929,G929+B930*E930,B930*E930)</f>
        <v>4.3893560000000003</v>
      </c>
      <c r="H930">
        <f t="shared" si="58"/>
        <v>1</v>
      </c>
      <c r="I930">
        <f t="shared" si="59"/>
        <v>4.3893560000000003</v>
      </c>
      <c r="J930">
        <f>IF(I929=0,0,C929-I929)</f>
        <v>0</v>
      </c>
    </row>
    <row r="931" spans="1:10" x14ac:dyDescent="0.25">
      <c r="A931" s="1">
        <v>40073</v>
      </c>
      <c r="B931">
        <v>4.3106099999999996</v>
      </c>
      <c r="C931">
        <v>4.9400000000000004</v>
      </c>
      <c r="D931">
        <f>WEEKDAY(A931,14)</f>
        <v>1</v>
      </c>
      <c r="E931">
        <f t="shared" si="56"/>
        <v>0</v>
      </c>
      <c r="F931">
        <f t="shared" si="57"/>
        <v>1</v>
      </c>
      <c r="G931">
        <f>IF(F931&gt;F930,G930+B931*E931,B931*E931)</f>
        <v>0</v>
      </c>
      <c r="H931">
        <f t="shared" si="58"/>
        <v>0</v>
      </c>
      <c r="I931">
        <f t="shared" si="59"/>
        <v>0</v>
      </c>
      <c r="J931">
        <f>IF(I930=0,0,C930-I930)</f>
        <v>0.5756439999999996</v>
      </c>
    </row>
    <row r="932" spans="1:10" x14ac:dyDescent="0.25">
      <c r="A932" s="1">
        <v>40074</v>
      </c>
      <c r="B932">
        <v>4.3872499999999999</v>
      </c>
      <c r="C932">
        <v>4.9400000000000004</v>
      </c>
      <c r="D932">
        <f>WEEKDAY(A932,14)</f>
        <v>2</v>
      </c>
      <c r="E932">
        <f t="shared" si="56"/>
        <v>0</v>
      </c>
      <c r="F932">
        <f t="shared" si="57"/>
        <v>2</v>
      </c>
      <c r="G932">
        <f>IF(F932&gt;F931,G931+B932*E932,B932*E932)</f>
        <v>0</v>
      </c>
      <c r="H932">
        <f t="shared" si="58"/>
        <v>0</v>
      </c>
      <c r="I932">
        <f t="shared" si="59"/>
        <v>0</v>
      </c>
      <c r="J932">
        <f>IF(I931=0,0,C931-I931)</f>
        <v>0</v>
      </c>
    </row>
    <row r="933" spans="1:10" x14ac:dyDescent="0.25">
      <c r="A933" s="1">
        <v>40077</v>
      </c>
      <c r="B933">
        <v>4.4135299999999997</v>
      </c>
      <c r="C933">
        <v>4.9400000000000004</v>
      </c>
      <c r="D933">
        <f>WEEKDAY(A933,14)</f>
        <v>5</v>
      </c>
      <c r="E933">
        <f t="shared" si="56"/>
        <v>0.05</v>
      </c>
      <c r="F933">
        <f t="shared" si="57"/>
        <v>3</v>
      </c>
      <c r="G933">
        <f>IF(F933&gt;F932,G932+B933*E933,B933*E933)</f>
        <v>0.2206765</v>
      </c>
      <c r="H933">
        <f t="shared" si="58"/>
        <v>0.05</v>
      </c>
      <c r="I933">
        <f t="shared" si="59"/>
        <v>0</v>
      </c>
      <c r="J933">
        <f>IF(I932=0,0,C932-I932)</f>
        <v>0</v>
      </c>
    </row>
    <row r="934" spans="1:10" x14ac:dyDescent="0.25">
      <c r="A934" s="1">
        <v>40078</v>
      </c>
      <c r="B934">
        <v>4.3859000000000004</v>
      </c>
      <c r="C934">
        <v>4.9400000000000004</v>
      </c>
      <c r="D934">
        <f>WEEKDAY(A934,14)</f>
        <v>6</v>
      </c>
      <c r="E934">
        <f t="shared" si="56"/>
        <v>0.7</v>
      </c>
      <c r="F934">
        <f t="shared" si="57"/>
        <v>4</v>
      </c>
      <c r="G934">
        <f>IF(F934&gt;F933,G933+B934*E934,B934*E934)</f>
        <v>3.2908065000000004</v>
      </c>
      <c r="H934">
        <f t="shared" si="58"/>
        <v>0.75</v>
      </c>
      <c r="I934">
        <f t="shared" si="59"/>
        <v>0</v>
      </c>
      <c r="J934">
        <f>IF(I933=0,0,C933-I933)</f>
        <v>0</v>
      </c>
    </row>
    <row r="935" spans="1:10" x14ac:dyDescent="0.25">
      <c r="A935" s="1">
        <v>40079</v>
      </c>
      <c r="B935">
        <v>4.3746999999999998</v>
      </c>
      <c r="C935">
        <v>4.9400000000000004</v>
      </c>
      <c r="D935">
        <f>WEEKDAY(A935,14)</f>
        <v>7</v>
      </c>
      <c r="E935">
        <f t="shared" si="56"/>
        <v>0.25</v>
      </c>
      <c r="F935">
        <f t="shared" si="57"/>
        <v>5</v>
      </c>
      <c r="G935">
        <f>IF(F935&gt;F934,G934+B935*E935,B935*E935)</f>
        <v>4.3844815000000006</v>
      </c>
      <c r="H935">
        <f t="shared" si="58"/>
        <v>1</v>
      </c>
      <c r="I935">
        <f t="shared" si="59"/>
        <v>4.3844815000000006</v>
      </c>
      <c r="J935">
        <f>IF(I934=0,0,C934-I934)</f>
        <v>0</v>
      </c>
    </row>
    <row r="936" spans="1:10" x14ac:dyDescent="0.25">
      <c r="A936" s="1">
        <v>40080</v>
      </c>
      <c r="B936">
        <v>4.30776</v>
      </c>
      <c r="C936">
        <v>4.8650000000000002</v>
      </c>
      <c r="D936">
        <f>WEEKDAY(A936,14)</f>
        <v>1</v>
      </c>
      <c r="E936">
        <f t="shared" si="56"/>
        <v>0</v>
      </c>
      <c r="F936">
        <f t="shared" si="57"/>
        <v>1</v>
      </c>
      <c r="G936">
        <f>IF(F936&gt;F935,G935+B936*E936,B936*E936)</f>
        <v>0</v>
      </c>
      <c r="H936">
        <f t="shared" si="58"/>
        <v>0</v>
      </c>
      <c r="I936">
        <f t="shared" si="59"/>
        <v>0</v>
      </c>
      <c r="J936">
        <f>IF(I935=0,0,C935-I935)</f>
        <v>0.5555184999999998</v>
      </c>
    </row>
    <row r="937" spans="1:10" x14ac:dyDescent="0.25">
      <c r="A937" s="1">
        <v>40081</v>
      </c>
      <c r="B937">
        <v>4.26938</v>
      </c>
      <c r="C937">
        <v>4.8650000000000002</v>
      </c>
      <c r="D937">
        <f>WEEKDAY(A937,14)</f>
        <v>2</v>
      </c>
      <c r="E937">
        <f t="shared" si="56"/>
        <v>0</v>
      </c>
      <c r="F937">
        <f t="shared" si="57"/>
        <v>2</v>
      </c>
      <c r="G937">
        <f>IF(F937&gt;F936,G936+B937*E937,B937*E937)</f>
        <v>0</v>
      </c>
      <c r="H937">
        <f t="shared" si="58"/>
        <v>0</v>
      </c>
      <c r="I937">
        <f t="shared" si="59"/>
        <v>0</v>
      </c>
      <c r="J937">
        <f>IF(I936=0,0,C936-I936)</f>
        <v>0</v>
      </c>
    </row>
    <row r="938" spans="1:10" x14ac:dyDescent="0.25">
      <c r="A938" s="1">
        <v>40084</v>
      </c>
      <c r="B938">
        <v>4.21577</v>
      </c>
      <c r="C938">
        <v>4.8650000000000002</v>
      </c>
      <c r="D938">
        <f>WEEKDAY(A938,14)</f>
        <v>5</v>
      </c>
      <c r="E938">
        <f t="shared" si="56"/>
        <v>0.05</v>
      </c>
      <c r="F938">
        <f t="shared" si="57"/>
        <v>3</v>
      </c>
      <c r="G938">
        <f>IF(F938&gt;F937,G937+B938*E938,B938*E938)</f>
        <v>0.21078850000000002</v>
      </c>
      <c r="H938">
        <f t="shared" si="58"/>
        <v>0.05</v>
      </c>
      <c r="I938">
        <f t="shared" si="59"/>
        <v>0</v>
      </c>
      <c r="J938">
        <f>IF(I937=0,0,C937-I937)</f>
        <v>0</v>
      </c>
    </row>
    <row r="939" spans="1:10" x14ac:dyDescent="0.25">
      <c r="A939" s="1">
        <v>40085</v>
      </c>
      <c r="B939">
        <v>4.2086199999999998</v>
      </c>
      <c r="C939">
        <v>4.8650000000000002</v>
      </c>
      <c r="D939">
        <f>WEEKDAY(A939,14)</f>
        <v>6</v>
      </c>
      <c r="E939">
        <f t="shared" si="56"/>
        <v>0.7</v>
      </c>
      <c r="F939">
        <f t="shared" si="57"/>
        <v>4</v>
      </c>
      <c r="G939">
        <f>IF(F939&gt;F938,G938+B939*E939,B939*E939)</f>
        <v>3.1568224999999996</v>
      </c>
      <c r="H939">
        <f t="shared" si="58"/>
        <v>0.75</v>
      </c>
      <c r="I939">
        <f t="shared" si="59"/>
        <v>0</v>
      </c>
      <c r="J939">
        <f>IF(I938=0,0,C938-I938)</f>
        <v>0</v>
      </c>
    </row>
    <row r="940" spans="1:10" x14ac:dyDescent="0.25">
      <c r="A940" s="1">
        <v>40086</v>
      </c>
      <c r="B940">
        <v>4.2246699999999997</v>
      </c>
      <c r="C940">
        <v>4.8650000000000002</v>
      </c>
      <c r="D940">
        <f>WEEKDAY(A940,14)</f>
        <v>7</v>
      </c>
      <c r="E940">
        <f t="shared" si="56"/>
        <v>0.25</v>
      </c>
      <c r="F940">
        <f t="shared" si="57"/>
        <v>5</v>
      </c>
      <c r="G940">
        <f>IF(F940&gt;F939,G939+B940*E940,B940*E940)</f>
        <v>4.2129899999999996</v>
      </c>
      <c r="H940">
        <f t="shared" si="58"/>
        <v>1</v>
      </c>
      <c r="I940">
        <f t="shared" si="59"/>
        <v>4.2129899999999996</v>
      </c>
      <c r="J940">
        <f>IF(I939=0,0,C939-I939)</f>
        <v>0</v>
      </c>
    </row>
    <row r="941" spans="1:10" x14ac:dyDescent="0.25">
      <c r="A941" s="1">
        <v>40087</v>
      </c>
      <c r="B941">
        <v>4.1036700000000002</v>
      </c>
      <c r="C941">
        <v>4.7949999999999999</v>
      </c>
      <c r="D941">
        <f>WEEKDAY(A941,14)</f>
        <v>1</v>
      </c>
      <c r="E941">
        <f t="shared" si="56"/>
        <v>0</v>
      </c>
      <c r="F941">
        <f t="shared" si="57"/>
        <v>1</v>
      </c>
      <c r="G941">
        <f>IF(F941&gt;F940,G940+B941*E941,B941*E941)</f>
        <v>0</v>
      </c>
      <c r="H941">
        <f t="shared" si="58"/>
        <v>0</v>
      </c>
      <c r="I941">
        <f t="shared" si="59"/>
        <v>0</v>
      </c>
      <c r="J941">
        <f>IF(I940=0,0,C940-I940)</f>
        <v>0.65201000000000064</v>
      </c>
    </row>
    <row r="942" spans="1:10" x14ac:dyDescent="0.25">
      <c r="A942" s="1">
        <v>40088</v>
      </c>
      <c r="B942">
        <v>4.1062799999999999</v>
      </c>
      <c r="C942">
        <v>4.7949999999999999</v>
      </c>
      <c r="D942">
        <f>WEEKDAY(A942,14)</f>
        <v>2</v>
      </c>
      <c r="E942">
        <f t="shared" si="56"/>
        <v>0</v>
      </c>
      <c r="F942">
        <f t="shared" si="57"/>
        <v>2</v>
      </c>
      <c r="G942">
        <f>IF(F942&gt;F941,G941+B942*E942,B942*E942)</f>
        <v>0</v>
      </c>
      <c r="H942">
        <f t="shared" si="58"/>
        <v>0</v>
      </c>
      <c r="I942">
        <f t="shared" si="59"/>
        <v>0</v>
      </c>
      <c r="J942">
        <f>IF(I941=0,0,C941-I941)</f>
        <v>0</v>
      </c>
    </row>
    <row r="943" spans="1:10" x14ac:dyDescent="0.25">
      <c r="A943" s="1">
        <v>40091</v>
      </c>
      <c r="B943">
        <v>4.1319699999999999</v>
      </c>
      <c r="C943">
        <v>4.7949999999999999</v>
      </c>
      <c r="D943">
        <f>WEEKDAY(A943,14)</f>
        <v>5</v>
      </c>
      <c r="E943">
        <f t="shared" si="56"/>
        <v>0.05</v>
      </c>
      <c r="F943">
        <f t="shared" si="57"/>
        <v>3</v>
      </c>
      <c r="G943">
        <f>IF(F943&gt;F942,G942+B943*E943,B943*E943)</f>
        <v>0.20659850000000002</v>
      </c>
      <c r="H943">
        <f t="shared" si="58"/>
        <v>0.05</v>
      </c>
      <c r="I943">
        <f t="shared" si="59"/>
        <v>0</v>
      </c>
      <c r="J943">
        <f>IF(I942=0,0,C942-I942)</f>
        <v>0</v>
      </c>
    </row>
    <row r="944" spans="1:10" x14ac:dyDescent="0.25">
      <c r="A944" s="1">
        <v>40092</v>
      </c>
      <c r="B944">
        <v>4.1411199999999999</v>
      </c>
      <c r="C944">
        <v>4.7949999999999999</v>
      </c>
      <c r="D944">
        <f>WEEKDAY(A944,14)</f>
        <v>6</v>
      </c>
      <c r="E944">
        <f t="shared" si="56"/>
        <v>0.7</v>
      </c>
      <c r="F944">
        <f t="shared" si="57"/>
        <v>4</v>
      </c>
      <c r="G944">
        <f>IF(F944&gt;F943,G943+B944*E944,B944*E944)</f>
        <v>3.1053824999999997</v>
      </c>
      <c r="H944">
        <f t="shared" si="58"/>
        <v>0.75</v>
      </c>
      <c r="I944">
        <f t="shared" si="59"/>
        <v>0</v>
      </c>
      <c r="J944">
        <f>IF(I943=0,0,C943-I943)</f>
        <v>0</v>
      </c>
    </row>
    <row r="945" spans="1:10" x14ac:dyDescent="0.25">
      <c r="A945" s="1">
        <v>40093</v>
      </c>
      <c r="B945">
        <v>4.0916499999999996</v>
      </c>
      <c r="C945">
        <v>4.7949999999999999</v>
      </c>
      <c r="D945">
        <f>WEEKDAY(A945,14)</f>
        <v>7</v>
      </c>
      <c r="E945">
        <f t="shared" si="56"/>
        <v>0.25</v>
      </c>
      <c r="F945">
        <f t="shared" si="57"/>
        <v>5</v>
      </c>
      <c r="G945">
        <f>IF(F945&gt;F944,G944+B945*E945,B945*E945)</f>
        <v>4.1282949999999996</v>
      </c>
      <c r="H945">
        <f t="shared" si="58"/>
        <v>1</v>
      </c>
      <c r="I945">
        <f t="shared" si="59"/>
        <v>4.1282949999999996</v>
      </c>
      <c r="J945">
        <f>IF(I944=0,0,C944-I944)</f>
        <v>0</v>
      </c>
    </row>
    <row r="946" spans="1:10" x14ac:dyDescent="0.25">
      <c r="A946" s="1">
        <v>40094</v>
      </c>
      <c r="B946">
        <v>4.12155</v>
      </c>
      <c r="C946">
        <v>4.8449999999999998</v>
      </c>
      <c r="D946">
        <f>WEEKDAY(A946,14)</f>
        <v>1</v>
      </c>
      <c r="E946">
        <f t="shared" si="56"/>
        <v>0</v>
      </c>
      <c r="F946">
        <f t="shared" si="57"/>
        <v>1</v>
      </c>
      <c r="G946">
        <f>IF(F946&gt;F945,G945+B946*E946,B946*E946)</f>
        <v>0</v>
      </c>
      <c r="H946">
        <f t="shared" si="58"/>
        <v>0</v>
      </c>
      <c r="I946">
        <f t="shared" si="59"/>
        <v>0</v>
      </c>
      <c r="J946">
        <f>IF(I945=0,0,C945-I945)</f>
        <v>0.66670500000000033</v>
      </c>
    </row>
    <row r="947" spans="1:10" x14ac:dyDescent="0.25">
      <c r="A947" s="1">
        <v>40095</v>
      </c>
      <c r="B947">
        <v>4.2515700000000001</v>
      </c>
      <c r="C947">
        <v>4.8449999999999998</v>
      </c>
      <c r="D947">
        <f>WEEKDAY(A947,14)</f>
        <v>2</v>
      </c>
      <c r="E947">
        <f t="shared" si="56"/>
        <v>0</v>
      </c>
      <c r="F947">
        <f t="shared" si="57"/>
        <v>2</v>
      </c>
      <c r="G947">
        <f>IF(F947&gt;F946,G946+B947*E947,B947*E947)</f>
        <v>0</v>
      </c>
      <c r="H947">
        <f t="shared" si="58"/>
        <v>0</v>
      </c>
      <c r="I947">
        <f t="shared" si="59"/>
        <v>0</v>
      </c>
      <c r="J947">
        <f>IF(I946=0,0,C946-I946)</f>
        <v>0</v>
      </c>
    </row>
    <row r="948" spans="1:10" x14ac:dyDescent="0.25">
      <c r="A948" s="1">
        <v>40099</v>
      </c>
      <c r="B948">
        <v>4.2189300000000003</v>
      </c>
      <c r="C948">
        <v>4.8449999999999998</v>
      </c>
      <c r="D948">
        <f>WEEKDAY(A948,14)</f>
        <v>6</v>
      </c>
      <c r="E948">
        <f t="shared" si="56"/>
        <v>0.7</v>
      </c>
      <c r="F948">
        <f t="shared" si="57"/>
        <v>3</v>
      </c>
      <c r="G948">
        <f>IF(F948&gt;F947,G947+B948*E948,B948*E948)</f>
        <v>2.9532509999999998</v>
      </c>
      <c r="H948">
        <f t="shared" si="58"/>
        <v>0.7</v>
      </c>
      <c r="I948">
        <f t="shared" si="59"/>
        <v>0</v>
      </c>
      <c r="J948">
        <f>IF(I947=0,0,C947-I947)</f>
        <v>0</v>
      </c>
    </row>
    <row r="949" spans="1:10" x14ac:dyDescent="0.25">
      <c r="A949" s="1">
        <v>40100</v>
      </c>
      <c r="B949">
        <v>4.3229699999999998</v>
      </c>
      <c r="C949">
        <v>4.8449999999999998</v>
      </c>
      <c r="D949">
        <f>WEEKDAY(A949,14)</f>
        <v>7</v>
      </c>
      <c r="E949">
        <f t="shared" si="56"/>
        <v>0.25</v>
      </c>
      <c r="F949">
        <f t="shared" si="57"/>
        <v>4</v>
      </c>
      <c r="G949">
        <f>IF(F949&gt;F948,G948+B949*E949,B949*E949)</f>
        <v>4.0339934999999993</v>
      </c>
      <c r="H949">
        <f t="shared" si="58"/>
        <v>0.95</v>
      </c>
      <c r="I949">
        <f t="shared" si="59"/>
        <v>4.2463089473684201</v>
      </c>
      <c r="J949">
        <f>IF(I948=0,0,C948-I948)</f>
        <v>0</v>
      </c>
    </row>
    <row r="950" spans="1:10" x14ac:dyDescent="0.25">
      <c r="A950" s="1">
        <v>40101</v>
      </c>
      <c r="B950">
        <v>4.4003899999999998</v>
      </c>
      <c r="C950">
        <v>4.9249999999999998</v>
      </c>
      <c r="D950">
        <f>WEEKDAY(A950,14)</f>
        <v>1</v>
      </c>
      <c r="E950">
        <f t="shared" si="56"/>
        <v>0</v>
      </c>
      <c r="F950">
        <f t="shared" si="57"/>
        <v>1</v>
      </c>
      <c r="G950">
        <f>IF(F950&gt;F949,G949+B950*E950,B950*E950)</f>
        <v>0</v>
      </c>
      <c r="H950">
        <f t="shared" si="58"/>
        <v>0</v>
      </c>
      <c r="I950">
        <f t="shared" si="59"/>
        <v>0</v>
      </c>
      <c r="J950">
        <f>IF(I949=0,0,C949-I949)</f>
        <v>0.59869105263157962</v>
      </c>
    </row>
    <row r="951" spans="1:10" x14ac:dyDescent="0.25">
      <c r="A951" s="1">
        <v>40102</v>
      </c>
      <c r="B951">
        <v>4.3581500000000002</v>
      </c>
      <c r="C951">
        <v>4.9249999999999998</v>
      </c>
      <c r="D951">
        <f>WEEKDAY(A951,14)</f>
        <v>2</v>
      </c>
      <c r="E951">
        <f t="shared" si="56"/>
        <v>0</v>
      </c>
      <c r="F951">
        <f t="shared" si="57"/>
        <v>2</v>
      </c>
      <c r="G951">
        <f>IF(F951&gt;F950,G950+B951*E951,B951*E951)</f>
        <v>0</v>
      </c>
      <c r="H951">
        <f t="shared" si="58"/>
        <v>0</v>
      </c>
      <c r="I951">
        <f t="shared" si="59"/>
        <v>0</v>
      </c>
      <c r="J951">
        <f>IF(I950=0,0,C950-I950)</f>
        <v>0</v>
      </c>
    </row>
    <row r="952" spans="1:10" x14ac:dyDescent="0.25">
      <c r="A952" s="1">
        <v>40105</v>
      </c>
      <c r="B952">
        <v>4.3423100000000003</v>
      </c>
      <c r="C952">
        <v>4.9249999999999998</v>
      </c>
      <c r="D952">
        <f>WEEKDAY(A952,14)</f>
        <v>5</v>
      </c>
      <c r="E952">
        <f t="shared" si="56"/>
        <v>0.05</v>
      </c>
      <c r="F952">
        <f t="shared" si="57"/>
        <v>3</v>
      </c>
      <c r="G952">
        <f>IF(F952&gt;F951,G951+B952*E952,B952*E952)</f>
        <v>0.21711550000000002</v>
      </c>
      <c r="H952">
        <f t="shared" si="58"/>
        <v>0.05</v>
      </c>
      <c r="I952">
        <f t="shared" si="59"/>
        <v>0</v>
      </c>
      <c r="J952">
        <f>IF(I951=0,0,C951-I951)</f>
        <v>0</v>
      </c>
    </row>
    <row r="953" spans="1:10" x14ac:dyDescent="0.25">
      <c r="A953" s="1">
        <v>40106</v>
      </c>
      <c r="B953">
        <v>4.3051000000000004</v>
      </c>
      <c r="C953">
        <v>4.9249999999999998</v>
      </c>
      <c r="D953">
        <f>WEEKDAY(A953,14)</f>
        <v>6</v>
      </c>
      <c r="E953">
        <f t="shared" si="56"/>
        <v>0.7</v>
      </c>
      <c r="F953">
        <f t="shared" si="57"/>
        <v>4</v>
      </c>
      <c r="G953">
        <f>IF(F953&gt;F952,G952+B953*E953,B953*E953)</f>
        <v>3.2306854999999999</v>
      </c>
      <c r="H953">
        <f t="shared" si="58"/>
        <v>0.75</v>
      </c>
      <c r="I953">
        <f t="shared" si="59"/>
        <v>0</v>
      </c>
      <c r="J953">
        <f>IF(I952=0,0,C952-I952)</f>
        <v>0</v>
      </c>
    </row>
    <row r="954" spans="1:10" x14ac:dyDescent="0.25">
      <c r="A954" s="1">
        <v>40107</v>
      </c>
      <c r="B954">
        <v>4.3519100000000002</v>
      </c>
      <c r="C954">
        <v>4.9249999999999998</v>
      </c>
      <c r="D954">
        <f>WEEKDAY(A954,14)</f>
        <v>7</v>
      </c>
      <c r="E954">
        <f t="shared" si="56"/>
        <v>0.25</v>
      </c>
      <c r="F954">
        <f t="shared" si="57"/>
        <v>5</v>
      </c>
      <c r="G954">
        <f>IF(F954&gt;F953,G953+B954*E954,B954*E954)</f>
        <v>4.3186629999999999</v>
      </c>
      <c r="H954">
        <f t="shared" si="58"/>
        <v>1</v>
      </c>
      <c r="I954">
        <f t="shared" si="59"/>
        <v>4.3186629999999999</v>
      </c>
      <c r="J954">
        <f>IF(I953=0,0,C953-I953)</f>
        <v>0</v>
      </c>
    </row>
    <row r="955" spans="1:10" x14ac:dyDescent="0.25">
      <c r="A955" s="1">
        <v>40108</v>
      </c>
      <c r="B955">
        <v>4.3488800000000003</v>
      </c>
      <c r="C955">
        <v>4.9550000000000001</v>
      </c>
      <c r="D955">
        <f>WEEKDAY(A955,14)</f>
        <v>1</v>
      </c>
      <c r="E955">
        <f t="shared" si="56"/>
        <v>0</v>
      </c>
      <c r="F955">
        <f t="shared" si="57"/>
        <v>1</v>
      </c>
      <c r="G955">
        <f>IF(F955&gt;F954,G954+B955*E955,B955*E955)</f>
        <v>0</v>
      </c>
      <c r="H955">
        <f t="shared" si="58"/>
        <v>0</v>
      </c>
      <c r="I955">
        <f t="shared" si="59"/>
        <v>0</v>
      </c>
      <c r="J955">
        <f>IF(I954=0,0,C954-I954)</f>
        <v>0.6063369999999999</v>
      </c>
    </row>
    <row r="956" spans="1:10" x14ac:dyDescent="0.25">
      <c r="A956" s="1">
        <v>40109</v>
      </c>
      <c r="B956">
        <v>4.3882599999999998</v>
      </c>
      <c r="C956">
        <v>4.9550000000000001</v>
      </c>
      <c r="D956">
        <f>WEEKDAY(A956,14)</f>
        <v>2</v>
      </c>
      <c r="E956">
        <f t="shared" si="56"/>
        <v>0</v>
      </c>
      <c r="F956">
        <f t="shared" si="57"/>
        <v>2</v>
      </c>
      <c r="G956">
        <f>IF(F956&gt;F955,G955+B956*E956,B956*E956)</f>
        <v>0</v>
      </c>
      <c r="H956">
        <f t="shared" si="58"/>
        <v>0</v>
      </c>
      <c r="I956">
        <f t="shared" si="59"/>
        <v>0</v>
      </c>
      <c r="J956">
        <f>IF(I955=0,0,C955-I955)</f>
        <v>0</v>
      </c>
    </row>
    <row r="957" spans="1:10" x14ac:dyDescent="0.25">
      <c r="A957" s="1">
        <v>40112</v>
      </c>
      <c r="B957">
        <v>4.4589600000000003</v>
      </c>
      <c r="C957">
        <v>4.9550000000000001</v>
      </c>
      <c r="D957">
        <f>WEEKDAY(A957,14)</f>
        <v>5</v>
      </c>
      <c r="E957">
        <f t="shared" si="56"/>
        <v>0.05</v>
      </c>
      <c r="F957">
        <f t="shared" si="57"/>
        <v>3</v>
      </c>
      <c r="G957">
        <f>IF(F957&gt;F956,G956+B957*E957,B957*E957)</f>
        <v>0.22294800000000004</v>
      </c>
      <c r="H957">
        <f t="shared" si="58"/>
        <v>0.05</v>
      </c>
      <c r="I957">
        <f t="shared" si="59"/>
        <v>0</v>
      </c>
      <c r="J957">
        <f>IF(I956=0,0,C956-I956)</f>
        <v>0</v>
      </c>
    </row>
    <row r="958" spans="1:10" x14ac:dyDescent="0.25">
      <c r="A958" s="1">
        <v>40113</v>
      </c>
      <c r="B958">
        <v>4.3817000000000004</v>
      </c>
      <c r="C958">
        <v>4.9550000000000001</v>
      </c>
      <c r="D958">
        <f>WEEKDAY(A958,14)</f>
        <v>6</v>
      </c>
      <c r="E958">
        <f t="shared" si="56"/>
        <v>0.7</v>
      </c>
      <c r="F958">
        <f t="shared" si="57"/>
        <v>4</v>
      </c>
      <c r="G958">
        <f>IF(F958&gt;F957,G957+B958*E958,B958*E958)</f>
        <v>3.2901380000000002</v>
      </c>
      <c r="H958">
        <f t="shared" si="58"/>
        <v>0.75</v>
      </c>
      <c r="I958">
        <f t="shared" si="59"/>
        <v>0</v>
      </c>
      <c r="J958">
        <f>IF(I957=0,0,C957-I957)</f>
        <v>0</v>
      </c>
    </row>
    <row r="959" spans="1:10" x14ac:dyDescent="0.25">
      <c r="A959" s="1">
        <v>40114</v>
      </c>
      <c r="B959">
        <v>4.2932100000000002</v>
      </c>
      <c r="C959">
        <v>4.9550000000000001</v>
      </c>
      <c r="D959">
        <f>WEEKDAY(A959,14)</f>
        <v>7</v>
      </c>
      <c r="E959">
        <f t="shared" si="56"/>
        <v>0.25</v>
      </c>
      <c r="F959">
        <f t="shared" si="57"/>
        <v>5</v>
      </c>
      <c r="G959">
        <f>IF(F959&gt;F958,G958+B959*E959,B959*E959)</f>
        <v>4.3634405000000003</v>
      </c>
      <c r="H959">
        <f t="shared" si="58"/>
        <v>1</v>
      </c>
      <c r="I959">
        <f t="shared" si="59"/>
        <v>4.3634405000000003</v>
      </c>
      <c r="J959">
        <f>IF(I958=0,0,C958-I958)</f>
        <v>0</v>
      </c>
    </row>
    <row r="960" spans="1:10" x14ac:dyDescent="0.25">
      <c r="A960" s="1">
        <v>40115</v>
      </c>
      <c r="B960">
        <v>4.35555</v>
      </c>
      <c r="C960">
        <v>4.9050000000000002</v>
      </c>
      <c r="D960">
        <f>WEEKDAY(A960,14)</f>
        <v>1</v>
      </c>
      <c r="E960">
        <f t="shared" si="56"/>
        <v>0</v>
      </c>
      <c r="F960">
        <f t="shared" si="57"/>
        <v>1</v>
      </c>
      <c r="G960">
        <f>IF(F960&gt;F959,G959+B960*E960,B960*E960)</f>
        <v>0</v>
      </c>
      <c r="H960">
        <f t="shared" si="58"/>
        <v>0</v>
      </c>
      <c r="I960">
        <f t="shared" si="59"/>
        <v>0</v>
      </c>
      <c r="J960">
        <f>IF(I959=0,0,C959-I959)</f>
        <v>0.59155949999999979</v>
      </c>
    </row>
    <row r="961" spans="1:10" x14ac:dyDescent="0.25">
      <c r="A961" s="1">
        <v>40116</v>
      </c>
      <c r="B961">
        <v>4.2897400000000001</v>
      </c>
      <c r="C961">
        <v>4.9050000000000002</v>
      </c>
      <c r="D961">
        <f>WEEKDAY(A961,14)</f>
        <v>2</v>
      </c>
      <c r="E961">
        <f t="shared" si="56"/>
        <v>0</v>
      </c>
      <c r="F961">
        <f t="shared" si="57"/>
        <v>2</v>
      </c>
      <c r="G961">
        <f>IF(F961&gt;F960,G960+B961*E961,B961*E961)</f>
        <v>0</v>
      </c>
      <c r="H961">
        <f t="shared" si="58"/>
        <v>0</v>
      </c>
      <c r="I961">
        <f t="shared" si="59"/>
        <v>0</v>
      </c>
      <c r="J961">
        <f>IF(I960=0,0,C960-I960)</f>
        <v>0</v>
      </c>
    </row>
    <row r="962" spans="1:10" x14ac:dyDescent="0.25">
      <c r="A962" s="1">
        <v>40119</v>
      </c>
      <c r="B962">
        <v>4.34084</v>
      </c>
      <c r="C962">
        <v>4.9050000000000002</v>
      </c>
      <c r="D962">
        <f>WEEKDAY(A962,14)</f>
        <v>5</v>
      </c>
      <c r="E962">
        <f t="shared" si="56"/>
        <v>0.05</v>
      </c>
      <c r="F962">
        <f t="shared" si="57"/>
        <v>3</v>
      </c>
      <c r="G962">
        <f>IF(F962&gt;F961,G961+B962*E962,B962*E962)</f>
        <v>0.21704200000000001</v>
      </c>
      <c r="H962">
        <f t="shared" si="58"/>
        <v>0.05</v>
      </c>
      <c r="I962">
        <f t="shared" si="59"/>
        <v>0</v>
      </c>
      <c r="J962">
        <f>IF(I961=0,0,C961-I961)</f>
        <v>0</v>
      </c>
    </row>
    <row r="963" spans="1:10" x14ac:dyDescent="0.25">
      <c r="A963" s="1">
        <v>40120</v>
      </c>
      <c r="B963">
        <v>4.3734099999999998</v>
      </c>
      <c r="C963">
        <v>4.9050000000000002</v>
      </c>
      <c r="D963">
        <f>WEEKDAY(A963,14)</f>
        <v>6</v>
      </c>
      <c r="E963">
        <f t="shared" ref="E963:E1026" si="60">VLOOKUP(D963,M$2:N$8,2,FALSE)</f>
        <v>0.7</v>
      </c>
      <c r="F963">
        <f t="shared" ref="F963:F1026" si="61">IF(AND(D963&gt;D962,F962&lt;6),F962+1,1)</f>
        <v>4</v>
      </c>
      <c r="G963">
        <f>IF(F963&gt;F962,G962+B963*E963,B963*E963)</f>
        <v>3.278429</v>
      </c>
      <c r="H963">
        <f t="shared" si="58"/>
        <v>0.75</v>
      </c>
      <c r="I963">
        <f t="shared" si="59"/>
        <v>0</v>
      </c>
      <c r="J963">
        <f>IF(I962=0,0,C962-I962)</f>
        <v>0</v>
      </c>
    </row>
    <row r="964" spans="1:10" x14ac:dyDescent="0.25">
      <c r="A964" s="1">
        <v>40121</v>
      </c>
      <c r="B964">
        <v>4.3972199999999999</v>
      </c>
      <c r="C964">
        <v>4.9050000000000002</v>
      </c>
      <c r="D964">
        <f>WEEKDAY(A964,14)</f>
        <v>7</v>
      </c>
      <c r="E964">
        <f t="shared" si="60"/>
        <v>0.25</v>
      </c>
      <c r="F964">
        <f t="shared" si="61"/>
        <v>5</v>
      </c>
      <c r="G964">
        <f>IF(F964&gt;F963,G963+B964*E964,B964*E964)</f>
        <v>4.3777340000000002</v>
      </c>
      <c r="H964">
        <f t="shared" ref="H964:H1027" si="62">IF(AND(F964&lt;6,F964&gt;F963),E964+H963,E964)</f>
        <v>1</v>
      </c>
      <c r="I964">
        <f t="shared" ref="I964:I1027" si="63">IF(F964&gt;F965,G964/H964,0)</f>
        <v>4.3777340000000002</v>
      </c>
      <c r="J964">
        <f>IF(I963=0,0,C963-I963)</f>
        <v>0</v>
      </c>
    </row>
    <row r="965" spans="1:10" x14ac:dyDescent="0.25">
      <c r="A965" s="1">
        <v>40122</v>
      </c>
      <c r="B965">
        <v>4.3402700000000003</v>
      </c>
      <c r="C965">
        <v>4.835</v>
      </c>
      <c r="D965">
        <f>WEEKDAY(A965,14)</f>
        <v>1</v>
      </c>
      <c r="E965">
        <f t="shared" si="60"/>
        <v>0</v>
      </c>
      <c r="F965">
        <f t="shared" si="61"/>
        <v>1</v>
      </c>
      <c r="G965">
        <f>IF(F965&gt;F964,G964+B965*E965,B965*E965)</f>
        <v>0</v>
      </c>
      <c r="H965">
        <f t="shared" si="62"/>
        <v>0</v>
      </c>
      <c r="I965">
        <f t="shared" si="63"/>
        <v>0</v>
      </c>
      <c r="J965">
        <f>IF(I964=0,0,C964-I964)</f>
        <v>0.52726600000000001</v>
      </c>
    </row>
    <row r="966" spans="1:10" x14ac:dyDescent="0.25">
      <c r="A966" s="1">
        <v>40123</v>
      </c>
      <c r="B966">
        <v>4.2931800000000004</v>
      </c>
      <c r="C966">
        <v>4.835</v>
      </c>
      <c r="D966">
        <f>WEEKDAY(A966,14)</f>
        <v>2</v>
      </c>
      <c r="E966">
        <f t="shared" si="60"/>
        <v>0</v>
      </c>
      <c r="F966">
        <f t="shared" si="61"/>
        <v>2</v>
      </c>
      <c r="G966">
        <f>IF(F966&gt;F965,G965+B966*E966,B966*E966)</f>
        <v>0</v>
      </c>
      <c r="H966">
        <f t="shared" si="62"/>
        <v>0</v>
      </c>
      <c r="I966">
        <f t="shared" si="63"/>
        <v>0</v>
      </c>
      <c r="J966">
        <f>IF(I965=0,0,C965-I965)</f>
        <v>0</v>
      </c>
    </row>
    <row r="967" spans="1:10" x14ac:dyDescent="0.25">
      <c r="A967" s="1">
        <v>40126</v>
      </c>
      <c r="B967">
        <v>4.2771800000000004</v>
      </c>
      <c r="C967">
        <v>4.835</v>
      </c>
      <c r="D967">
        <f>WEEKDAY(A967,14)</f>
        <v>5</v>
      </c>
      <c r="E967">
        <f t="shared" si="60"/>
        <v>0.05</v>
      </c>
      <c r="F967">
        <f t="shared" si="61"/>
        <v>3</v>
      </c>
      <c r="G967">
        <f>IF(F967&gt;F966,G966+B967*E967,B967*E967)</f>
        <v>0.21385900000000002</v>
      </c>
      <c r="H967">
        <f t="shared" si="62"/>
        <v>0.05</v>
      </c>
      <c r="I967">
        <f t="shared" si="63"/>
        <v>0</v>
      </c>
      <c r="J967">
        <f>IF(I966=0,0,C966-I966)</f>
        <v>0</v>
      </c>
    </row>
    <row r="968" spans="1:10" x14ac:dyDescent="0.25">
      <c r="A968" s="1">
        <v>40127</v>
      </c>
      <c r="B968">
        <v>4.2500600000000004</v>
      </c>
      <c r="C968">
        <v>4.835</v>
      </c>
      <c r="D968">
        <f>WEEKDAY(A968,14)</f>
        <v>6</v>
      </c>
      <c r="E968">
        <f t="shared" si="60"/>
        <v>0.7</v>
      </c>
      <c r="F968">
        <f t="shared" si="61"/>
        <v>4</v>
      </c>
      <c r="G968">
        <f>IF(F968&gt;F967,G967+B968*E968,B968*E968)</f>
        <v>3.1889010000000004</v>
      </c>
      <c r="H968">
        <f t="shared" si="62"/>
        <v>0.75</v>
      </c>
      <c r="I968">
        <f t="shared" si="63"/>
        <v>4.2518680000000009</v>
      </c>
      <c r="J968">
        <f>IF(I967=0,0,C967-I967)</f>
        <v>0</v>
      </c>
    </row>
    <row r="969" spans="1:10" x14ac:dyDescent="0.25">
      <c r="A969" s="1">
        <v>40129</v>
      </c>
      <c r="B969">
        <v>4.2054900000000002</v>
      </c>
      <c r="C969">
        <v>4.7549999999999999</v>
      </c>
      <c r="D969">
        <f>WEEKDAY(A969,14)</f>
        <v>1</v>
      </c>
      <c r="E969">
        <f t="shared" si="60"/>
        <v>0</v>
      </c>
      <c r="F969">
        <f t="shared" si="61"/>
        <v>1</v>
      </c>
      <c r="G969">
        <f>IF(F969&gt;F968,G968+B969*E969,B969*E969)</f>
        <v>0</v>
      </c>
      <c r="H969">
        <f t="shared" si="62"/>
        <v>0</v>
      </c>
      <c r="I969">
        <f t="shared" si="63"/>
        <v>0</v>
      </c>
      <c r="J969">
        <f>IF(I968=0,0,C968-I968)</f>
        <v>0.5831319999999991</v>
      </c>
    </row>
    <row r="970" spans="1:10" x14ac:dyDescent="0.25">
      <c r="A970" s="1">
        <v>40130</v>
      </c>
      <c r="B970">
        <v>4.1259800000000002</v>
      </c>
      <c r="C970">
        <v>4.7549999999999999</v>
      </c>
      <c r="D970">
        <f>WEEKDAY(A970,14)</f>
        <v>2</v>
      </c>
      <c r="E970">
        <f t="shared" si="60"/>
        <v>0</v>
      </c>
      <c r="F970">
        <f t="shared" si="61"/>
        <v>2</v>
      </c>
      <c r="G970">
        <f>IF(F970&gt;F969,G969+B970*E970,B970*E970)</f>
        <v>0</v>
      </c>
      <c r="H970">
        <f t="shared" si="62"/>
        <v>0</v>
      </c>
      <c r="I970">
        <f t="shared" si="63"/>
        <v>0</v>
      </c>
      <c r="J970">
        <f>IF(I969=0,0,C969-I969)</f>
        <v>0</v>
      </c>
    </row>
    <row r="971" spans="1:10" x14ac:dyDescent="0.25">
      <c r="A971" s="1">
        <v>40133</v>
      </c>
      <c r="B971">
        <v>4.0276399999999999</v>
      </c>
      <c r="C971">
        <v>4.7549999999999999</v>
      </c>
      <c r="D971">
        <f>WEEKDAY(A971,14)</f>
        <v>5</v>
      </c>
      <c r="E971">
        <f t="shared" si="60"/>
        <v>0.05</v>
      </c>
      <c r="F971">
        <f t="shared" si="61"/>
        <v>3</v>
      </c>
      <c r="G971">
        <f>IF(F971&gt;F970,G970+B971*E971,B971*E971)</f>
        <v>0.20138200000000001</v>
      </c>
      <c r="H971">
        <f t="shared" si="62"/>
        <v>0.05</v>
      </c>
      <c r="I971">
        <f t="shared" si="63"/>
        <v>0</v>
      </c>
      <c r="J971">
        <f>IF(I970=0,0,C970-I970)</f>
        <v>0</v>
      </c>
    </row>
    <row r="972" spans="1:10" x14ac:dyDescent="0.25">
      <c r="A972" s="1">
        <v>40134</v>
      </c>
      <c r="B972">
        <v>4.0836399999999999</v>
      </c>
      <c r="C972">
        <v>4.7549999999999999</v>
      </c>
      <c r="D972">
        <f>WEEKDAY(A972,14)</f>
        <v>6</v>
      </c>
      <c r="E972">
        <f t="shared" si="60"/>
        <v>0.7</v>
      </c>
      <c r="F972">
        <f t="shared" si="61"/>
        <v>4</v>
      </c>
      <c r="G972">
        <f>IF(F972&gt;F971,G971+B972*E972,B972*E972)</f>
        <v>3.05993</v>
      </c>
      <c r="H972">
        <f t="shared" si="62"/>
        <v>0.75</v>
      </c>
      <c r="I972">
        <f t="shared" si="63"/>
        <v>0</v>
      </c>
      <c r="J972">
        <f>IF(I971=0,0,C971-I971)</f>
        <v>0</v>
      </c>
    </row>
    <row r="973" spans="1:10" x14ac:dyDescent="0.25">
      <c r="A973" s="1">
        <v>40135</v>
      </c>
      <c r="B973">
        <v>4.1321899999999996</v>
      </c>
      <c r="C973">
        <v>4.7050000000000001</v>
      </c>
      <c r="D973">
        <f>WEEKDAY(A973,14)</f>
        <v>7</v>
      </c>
      <c r="E973">
        <f t="shared" si="60"/>
        <v>0.25</v>
      </c>
      <c r="F973">
        <f t="shared" si="61"/>
        <v>5</v>
      </c>
      <c r="G973">
        <f>IF(F973&gt;F972,G972+B973*E973,B973*E973)</f>
        <v>4.0929774999999999</v>
      </c>
      <c r="H973">
        <f t="shared" si="62"/>
        <v>1</v>
      </c>
      <c r="I973">
        <f t="shared" si="63"/>
        <v>4.0929774999999999</v>
      </c>
      <c r="J973">
        <f>IF(I972=0,0,C972-I972)</f>
        <v>0</v>
      </c>
    </row>
    <row r="974" spans="1:10" x14ac:dyDescent="0.25">
      <c r="A974" s="1">
        <v>40136</v>
      </c>
      <c r="B974">
        <v>4.1420300000000001</v>
      </c>
      <c r="C974">
        <v>4.7549999999999999</v>
      </c>
      <c r="D974">
        <f>WEEKDAY(A974,14)</f>
        <v>1</v>
      </c>
      <c r="E974">
        <f t="shared" si="60"/>
        <v>0</v>
      </c>
      <c r="F974">
        <f t="shared" si="61"/>
        <v>1</v>
      </c>
      <c r="G974">
        <f>IF(F974&gt;F973,G973+B974*E974,B974*E974)</f>
        <v>0</v>
      </c>
      <c r="H974">
        <f t="shared" si="62"/>
        <v>0</v>
      </c>
      <c r="I974">
        <f t="shared" si="63"/>
        <v>0</v>
      </c>
      <c r="J974">
        <f>IF(I973=0,0,C973-I973)</f>
        <v>0.61202250000000014</v>
      </c>
    </row>
    <row r="975" spans="1:10" x14ac:dyDescent="0.25">
      <c r="A975" s="1">
        <v>40137</v>
      </c>
      <c r="B975">
        <v>4.1140699999999999</v>
      </c>
      <c r="C975">
        <v>4.7050000000000001</v>
      </c>
      <c r="D975">
        <f>WEEKDAY(A975,14)</f>
        <v>2</v>
      </c>
      <c r="E975">
        <f t="shared" si="60"/>
        <v>0</v>
      </c>
      <c r="F975">
        <f t="shared" si="61"/>
        <v>2</v>
      </c>
      <c r="G975">
        <f>IF(F975&gt;F974,G974+B975*E975,B975*E975)</f>
        <v>0</v>
      </c>
      <c r="H975">
        <f t="shared" si="62"/>
        <v>0</v>
      </c>
      <c r="I975">
        <f t="shared" si="63"/>
        <v>0</v>
      </c>
      <c r="J975">
        <f>IF(I974=0,0,C974-I974)</f>
        <v>0</v>
      </c>
    </row>
    <row r="976" spans="1:10" x14ac:dyDescent="0.25">
      <c r="A976" s="1">
        <v>40140</v>
      </c>
      <c r="B976">
        <v>4.0891400000000004</v>
      </c>
      <c r="C976">
        <v>4.7050000000000001</v>
      </c>
      <c r="D976">
        <f>WEEKDAY(A976,14)</f>
        <v>5</v>
      </c>
      <c r="E976">
        <f t="shared" si="60"/>
        <v>0.05</v>
      </c>
      <c r="F976">
        <f t="shared" si="61"/>
        <v>3</v>
      </c>
      <c r="G976">
        <f>IF(F976&gt;F975,G975+B976*E976,B976*E976)</f>
        <v>0.20445700000000003</v>
      </c>
      <c r="H976">
        <f t="shared" si="62"/>
        <v>0.05</v>
      </c>
      <c r="I976">
        <f t="shared" si="63"/>
        <v>0</v>
      </c>
      <c r="J976">
        <f>IF(I975=0,0,C975-I975)</f>
        <v>0</v>
      </c>
    </row>
    <row r="977" spans="1:10" x14ac:dyDescent="0.25">
      <c r="A977" s="1">
        <v>40141</v>
      </c>
      <c r="B977">
        <v>4.0075700000000003</v>
      </c>
      <c r="C977">
        <v>4.7050000000000001</v>
      </c>
      <c r="D977">
        <f>WEEKDAY(A977,14)</f>
        <v>6</v>
      </c>
      <c r="E977">
        <f t="shared" si="60"/>
        <v>0.7</v>
      </c>
      <c r="F977">
        <f t="shared" si="61"/>
        <v>4</v>
      </c>
      <c r="G977">
        <f>IF(F977&gt;F976,G976+B977*E977,B977*E977)</f>
        <v>3.0097560000000003</v>
      </c>
      <c r="H977">
        <f t="shared" si="62"/>
        <v>0.75</v>
      </c>
      <c r="I977">
        <f t="shared" si="63"/>
        <v>0</v>
      </c>
      <c r="J977">
        <f>IF(I976=0,0,C976-I976)</f>
        <v>0</v>
      </c>
    </row>
    <row r="978" spans="1:10" x14ac:dyDescent="0.25">
      <c r="A978" s="1">
        <v>40142</v>
      </c>
      <c r="B978">
        <v>3.9974500000000002</v>
      </c>
      <c r="C978">
        <v>4.7050000000000001</v>
      </c>
      <c r="D978">
        <f>WEEKDAY(A978,14)</f>
        <v>7</v>
      </c>
      <c r="E978">
        <f t="shared" si="60"/>
        <v>0.25</v>
      </c>
      <c r="F978">
        <f t="shared" si="61"/>
        <v>5</v>
      </c>
      <c r="G978">
        <f>IF(F978&gt;F977,G977+B978*E978,B978*E978)</f>
        <v>4.0091185000000005</v>
      </c>
      <c r="H978">
        <f t="shared" si="62"/>
        <v>1</v>
      </c>
      <c r="I978">
        <f t="shared" si="63"/>
        <v>4.0091185000000005</v>
      </c>
      <c r="J978">
        <f>IF(I977=0,0,C977-I977)</f>
        <v>0</v>
      </c>
    </row>
    <row r="979" spans="1:10" x14ac:dyDescent="0.25">
      <c r="A979" s="1">
        <v>40144</v>
      </c>
      <c r="B979">
        <v>3.9539499999999999</v>
      </c>
      <c r="C979">
        <v>4.6349999999999998</v>
      </c>
      <c r="D979">
        <f>WEEKDAY(A979,14)</f>
        <v>2</v>
      </c>
      <c r="E979">
        <f t="shared" si="60"/>
        <v>0</v>
      </c>
      <c r="F979">
        <f t="shared" si="61"/>
        <v>1</v>
      </c>
      <c r="G979">
        <f>IF(F979&gt;F978,G978+B979*E979,B979*E979)</f>
        <v>0</v>
      </c>
      <c r="H979">
        <f t="shared" si="62"/>
        <v>0</v>
      </c>
      <c r="I979">
        <f t="shared" si="63"/>
        <v>0</v>
      </c>
      <c r="J979">
        <f>IF(I978=0,0,C978-I978)</f>
        <v>0.6958814999999996</v>
      </c>
    </row>
    <row r="980" spans="1:10" x14ac:dyDescent="0.25">
      <c r="A980" s="1">
        <v>40147</v>
      </c>
      <c r="B980">
        <v>3.9489999999999998</v>
      </c>
      <c r="C980">
        <v>4.6349999999999998</v>
      </c>
      <c r="D980">
        <f>WEEKDAY(A980,14)</f>
        <v>5</v>
      </c>
      <c r="E980">
        <f t="shared" si="60"/>
        <v>0.05</v>
      </c>
      <c r="F980">
        <f t="shared" si="61"/>
        <v>2</v>
      </c>
      <c r="G980">
        <f>IF(F980&gt;F979,G979+B980*E980,B980*E980)</f>
        <v>0.19745000000000001</v>
      </c>
      <c r="H980">
        <f t="shared" si="62"/>
        <v>0.05</v>
      </c>
      <c r="I980">
        <f t="shared" si="63"/>
        <v>0</v>
      </c>
      <c r="J980">
        <f>IF(I979=0,0,C979-I979)</f>
        <v>0</v>
      </c>
    </row>
    <row r="981" spans="1:10" x14ac:dyDescent="0.25">
      <c r="A981" s="1">
        <v>40148</v>
      </c>
      <c r="B981">
        <v>4.0436500000000004</v>
      </c>
      <c r="C981">
        <v>4.6349999999999998</v>
      </c>
      <c r="D981">
        <f>WEEKDAY(A981,14)</f>
        <v>6</v>
      </c>
      <c r="E981">
        <f t="shared" si="60"/>
        <v>0.7</v>
      </c>
      <c r="F981">
        <f t="shared" si="61"/>
        <v>3</v>
      </c>
      <c r="G981">
        <f>IF(F981&gt;F980,G980+B981*E981,B981*E981)</f>
        <v>3.0280049999999998</v>
      </c>
      <c r="H981">
        <f t="shared" si="62"/>
        <v>0.75</v>
      </c>
      <c r="I981">
        <f t="shared" si="63"/>
        <v>0</v>
      </c>
      <c r="J981">
        <f>IF(I980=0,0,C980-I980)</f>
        <v>0</v>
      </c>
    </row>
    <row r="982" spans="1:10" x14ac:dyDescent="0.25">
      <c r="A982" s="1">
        <v>40149</v>
      </c>
      <c r="B982">
        <v>4.1065100000000001</v>
      </c>
      <c r="C982">
        <v>4.6349999999999998</v>
      </c>
      <c r="D982">
        <f>WEEKDAY(A982,14)</f>
        <v>7</v>
      </c>
      <c r="E982">
        <f t="shared" si="60"/>
        <v>0.25</v>
      </c>
      <c r="F982">
        <f t="shared" si="61"/>
        <v>4</v>
      </c>
      <c r="G982">
        <f>IF(F982&gt;F981,G981+B982*E982,B982*E982)</f>
        <v>4.0546325000000003</v>
      </c>
      <c r="H982">
        <f t="shared" si="62"/>
        <v>1</v>
      </c>
      <c r="I982">
        <f t="shared" si="63"/>
        <v>4.0546325000000003</v>
      </c>
      <c r="J982">
        <f>IF(I981=0,0,C981-I981)</f>
        <v>0</v>
      </c>
    </row>
    <row r="983" spans="1:10" x14ac:dyDescent="0.25">
      <c r="A983" s="1">
        <v>40150</v>
      </c>
      <c r="B983">
        <v>4.1694300000000002</v>
      </c>
      <c r="C983">
        <v>4.7350000000000003</v>
      </c>
      <c r="D983">
        <f>WEEKDAY(A983,14)</f>
        <v>1</v>
      </c>
      <c r="E983">
        <f t="shared" si="60"/>
        <v>0</v>
      </c>
      <c r="F983">
        <f t="shared" si="61"/>
        <v>1</v>
      </c>
      <c r="G983">
        <f>IF(F983&gt;F982,G982+B983*E983,B983*E983)</f>
        <v>0</v>
      </c>
      <c r="H983">
        <f t="shared" si="62"/>
        <v>0</v>
      </c>
      <c r="I983">
        <f t="shared" si="63"/>
        <v>0</v>
      </c>
      <c r="J983">
        <f>IF(I982=0,0,C982-I982)</f>
        <v>0.58036749999999948</v>
      </c>
    </row>
    <row r="984" spans="1:10" x14ac:dyDescent="0.25">
      <c r="A984" s="1">
        <v>40151</v>
      </c>
      <c r="B984">
        <v>4.2443099999999996</v>
      </c>
      <c r="C984">
        <v>4.7350000000000003</v>
      </c>
      <c r="D984">
        <f>WEEKDAY(A984,14)</f>
        <v>2</v>
      </c>
      <c r="E984">
        <f t="shared" si="60"/>
        <v>0</v>
      </c>
      <c r="F984">
        <f t="shared" si="61"/>
        <v>2</v>
      </c>
      <c r="G984">
        <f>IF(F984&gt;F983,G983+B984*E984,B984*E984)</f>
        <v>0</v>
      </c>
      <c r="H984">
        <f t="shared" si="62"/>
        <v>0</v>
      </c>
      <c r="I984">
        <f t="shared" si="63"/>
        <v>0</v>
      </c>
      <c r="J984">
        <f>IF(I983=0,0,C983-I983)</f>
        <v>0</v>
      </c>
    </row>
    <row r="985" spans="1:10" x14ac:dyDescent="0.25">
      <c r="A985" s="1">
        <v>40154</v>
      </c>
      <c r="B985">
        <v>4.1946000000000003</v>
      </c>
      <c r="C985">
        <v>4.7350000000000003</v>
      </c>
      <c r="D985">
        <f>WEEKDAY(A985,14)</f>
        <v>5</v>
      </c>
      <c r="E985">
        <f t="shared" si="60"/>
        <v>0.05</v>
      </c>
      <c r="F985">
        <f t="shared" si="61"/>
        <v>3</v>
      </c>
      <c r="G985">
        <f>IF(F985&gt;F984,G984+B985*E985,B985*E985)</f>
        <v>0.20973000000000003</v>
      </c>
      <c r="H985">
        <f t="shared" si="62"/>
        <v>0.05</v>
      </c>
      <c r="I985">
        <f t="shared" si="63"/>
        <v>0</v>
      </c>
      <c r="J985">
        <f>IF(I984=0,0,C984-I984)</f>
        <v>0</v>
      </c>
    </row>
    <row r="986" spans="1:10" x14ac:dyDescent="0.25">
      <c r="A986" s="1">
        <v>40155</v>
      </c>
      <c r="B986">
        <v>4.1504300000000001</v>
      </c>
      <c r="C986">
        <v>4.7350000000000003</v>
      </c>
      <c r="D986">
        <f>WEEKDAY(A986,14)</f>
        <v>6</v>
      </c>
      <c r="E986">
        <f t="shared" si="60"/>
        <v>0.7</v>
      </c>
      <c r="F986">
        <f t="shared" si="61"/>
        <v>4</v>
      </c>
      <c r="G986">
        <f>IF(F986&gt;F985,G985+B986*E986,B986*E986)</f>
        <v>3.1150309999999997</v>
      </c>
      <c r="H986">
        <f t="shared" si="62"/>
        <v>0.75</v>
      </c>
      <c r="I986">
        <f t="shared" si="63"/>
        <v>0</v>
      </c>
      <c r="J986">
        <f>IF(I985=0,0,C985-I985)</f>
        <v>0</v>
      </c>
    </row>
    <row r="987" spans="1:10" x14ac:dyDescent="0.25">
      <c r="A987" s="1">
        <v>40156</v>
      </c>
      <c r="B987">
        <v>4.1916700000000002</v>
      </c>
      <c r="C987">
        <v>4.7350000000000003</v>
      </c>
      <c r="D987">
        <f>WEEKDAY(A987,14)</f>
        <v>7</v>
      </c>
      <c r="E987">
        <f t="shared" si="60"/>
        <v>0.25</v>
      </c>
      <c r="F987">
        <f t="shared" si="61"/>
        <v>5</v>
      </c>
      <c r="G987">
        <f>IF(F987&gt;F986,G986+B987*E987,B987*E987)</f>
        <v>4.1629484999999997</v>
      </c>
      <c r="H987">
        <f t="shared" si="62"/>
        <v>1</v>
      </c>
      <c r="I987">
        <f t="shared" si="63"/>
        <v>4.1629484999999997</v>
      </c>
      <c r="J987">
        <f>IF(I986=0,0,C986-I986)</f>
        <v>0</v>
      </c>
    </row>
    <row r="988" spans="1:10" x14ac:dyDescent="0.25">
      <c r="A988" s="1">
        <v>40157</v>
      </c>
      <c r="B988">
        <v>4.2251500000000002</v>
      </c>
      <c r="C988">
        <v>4.8650000000000002</v>
      </c>
      <c r="D988">
        <f>WEEKDAY(A988,14)</f>
        <v>1</v>
      </c>
      <c r="E988">
        <f t="shared" si="60"/>
        <v>0</v>
      </c>
      <c r="F988">
        <f t="shared" si="61"/>
        <v>1</v>
      </c>
      <c r="G988">
        <f>IF(F988&gt;F987,G987+B988*E988,B988*E988)</f>
        <v>0</v>
      </c>
      <c r="H988">
        <f t="shared" si="62"/>
        <v>0</v>
      </c>
      <c r="I988">
        <f t="shared" si="63"/>
        <v>0</v>
      </c>
      <c r="J988">
        <f>IF(I987=0,0,C987-I987)</f>
        <v>0.5720515000000006</v>
      </c>
    </row>
    <row r="989" spans="1:10" x14ac:dyDescent="0.25">
      <c r="A989" s="1">
        <v>40158</v>
      </c>
      <c r="B989">
        <v>4.24709</v>
      </c>
      <c r="C989">
        <v>4.8650000000000002</v>
      </c>
      <c r="D989">
        <f>WEEKDAY(A989,14)</f>
        <v>2</v>
      </c>
      <c r="E989">
        <f t="shared" si="60"/>
        <v>0</v>
      </c>
      <c r="F989">
        <f t="shared" si="61"/>
        <v>2</v>
      </c>
      <c r="G989">
        <f>IF(F989&gt;F988,G988+B989*E989,B989*E989)</f>
        <v>0</v>
      </c>
      <c r="H989">
        <f t="shared" si="62"/>
        <v>0</v>
      </c>
      <c r="I989">
        <f t="shared" si="63"/>
        <v>0</v>
      </c>
      <c r="J989">
        <f>IF(I988=0,0,C988-I988)</f>
        <v>0</v>
      </c>
    </row>
    <row r="990" spans="1:10" x14ac:dyDescent="0.25">
      <c r="A990" s="1">
        <v>40161</v>
      </c>
      <c r="B990">
        <v>4.2831700000000001</v>
      </c>
      <c r="C990">
        <v>4.8650000000000002</v>
      </c>
      <c r="D990">
        <f>WEEKDAY(A990,14)</f>
        <v>5</v>
      </c>
      <c r="E990">
        <f t="shared" si="60"/>
        <v>0.05</v>
      </c>
      <c r="F990">
        <f t="shared" si="61"/>
        <v>3</v>
      </c>
      <c r="G990">
        <f>IF(F990&gt;F989,G989+B990*E990,B990*E990)</f>
        <v>0.21415850000000003</v>
      </c>
      <c r="H990">
        <f t="shared" si="62"/>
        <v>0.05</v>
      </c>
      <c r="I990">
        <f t="shared" si="63"/>
        <v>0</v>
      </c>
      <c r="J990">
        <f>IF(I989=0,0,C989-I989)</f>
        <v>0</v>
      </c>
    </row>
    <row r="991" spans="1:10" x14ac:dyDescent="0.25">
      <c r="A991" s="1">
        <v>40162</v>
      </c>
      <c r="B991">
        <v>4.3540700000000001</v>
      </c>
      <c r="C991">
        <v>4.8650000000000002</v>
      </c>
      <c r="D991">
        <f>WEEKDAY(A991,14)</f>
        <v>6</v>
      </c>
      <c r="E991">
        <f t="shared" si="60"/>
        <v>0.7</v>
      </c>
      <c r="F991">
        <f t="shared" si="61"/>
        <v>4</v>
      </c>
      <c r="G991">
        <f>IF(F991&gt;F990,G990+B991*E991,B991*E991)</f>
        <v>3.2620074999999997</v>
      </c>
      <c r="H991">
        <f t="shared" si="62"/>
        <v>0.75</v>
      </c>
      <c r="I991">
        <f t="shared" si="63"/>
        <v>0</v>
      </c>
      <c r="J991">
        <f>IF(I990=0,0,C990-I990)</f>
        <v>0</v>
      </c>
    </row>
    <row r="992" spans="1:10" x14ac:dyDescent="0.25">
      <c r="A992" s="1">
        <v>40163</v>
      </c>
      <c r="B992">
        <v>4.3249199999999997</v>
      </c>
      <c r="C992">
        <v>4.8650000000000002</v>
      </c>
      <c r="D992">
        <f>WEEKDAY(A992,14)</f>
        <v>7</v>
      </c>
      <c r="E992">
        <f t="shared" si="60"/>
        <v>0.25</v>
      </c>
      <c r="F992">
        <f t="shared" si="61"/>
        <v>5</v>
      </c>
      <c r="G992">
        <f>IF(F992&gt;F991,G991+B992*E992,B992*E992)</f>
        <v>4.3432374999999999</v>
      </c>
      <c r="H992">
        <f t="shared" si="62"/>
        <v>1</v>
      </c>
      <c r="I992">
        <f t="shared" si="63"/>
        <v>4.3432374999999999</v>
      </c>
      <c r="J992">
        <f>IF(I991=0,0,C991-I991)</f>
        <v>0</v>
      </c>
    </row>
    <row r="993" spans="1:10" x14ac:dyDescent="0.25">
      <c r="A993" s="1">
        <v>40164</v>
      </c>
      <c r="B993">
        <v>4.1982200000000001</v>
      </c>
      <c r="C993">
        <v>4.9749999999999996</v>
      </c>
      <c r="D993">
        <f>WEEKDAY(A993,14)</f>
        <v>1</v>
      </c>
      <c r="E993">
        <f t="shared" si="60"/>
        <v>0</v>
      </c>
      <c r="F993">
        <f t="shared" si="61"/>
        <v>1</v>
      </c>
      <c r="G993">
        <f>IF(F993&gt;F992,G992+B993*E993,B993*E993)</f>
        <v>0</v>
      </c>
      <c r="H993">
        <f t="shared" si="62"/>
        <v>0</v>
      </c>
      <c r="I993">
        <f t="shared" si="63"/>
        <v>0</v>
      </c>
      <c r="J993">
        <f>IF(I992=0,0,C992-I992)</f>
        <v>0.52176250000000035</v>
      </c>
    </row>
    <row r="994" spans="1:10" x14ac:dyDescent="0.25">
      <c r="A994" s="1">
        <v>40165</v>
      </c>
      <c r="B994">
        <v>4.2629099999999998</v>
      </c>
      <c r="C994">
        <v>4.9749999999999996</v>
      </c>
      <c r="D994">
        <f>WEEKDAY(A994,14)</f>
        <v>2</v>
      </c>
      <c r="E994">
        <f t="shared" si="60"/>
        <v>0</v>
      </c>
      <c r="F994">
        <f t="shared" si="61"/>
        <v>2</v>
      </c>
      <c r="G994">
        <f>IF(F994&gt;F993,G993+B994*E994,B994*E994)</f>
        <v>0</v>
      </c>
      <c r="H994">
        <f t="shared" si="62"/>
        <v>0</v>
      </c>
      <c r="I994">
        <f t="shared" si="63"/>
        <v>0</v>
      </c>
      <c r="J994">
        <f>IF(I993=0,0,C993-I993)</f>
        <v>0</v>
      </c>
    </row>
    <row r="995" spans="1:10" x14ac:dyDescent="0.25">
      <c r="A995" s="1">
        <v>40168</v>
      </c>
      <c r="B995">
        <v>4.4100400000000004</v>
      </c>
      <c r="C995">
        <v>4.9749999999999996</v>
      </c>
      <c r="D995">
        <f>WEEKDAY(A995,14)</f>
        <v>5</v>
      </c>
      <c r="E995">
        <f t="shared" si="60"/>
        <v>0.05</v>
      </c>
      <c r="F995">
        <f t="shared" si="61"/>
        <v>3</v>
      </c>
      <c r="G995">
        <f>IF(F995&gt;F994,G994+B995*E995,B995*E995)</f>
        <v>0.22050200000000003</v>
      </c>
      <c r="H995">
        <f t="shared" si="62"/>
        <v>0.05</v>
      </c>
      <c r="I995">
        <f t="shared" si="63"/>
        <v>0</v>
      </c>
      <c r="J995">
        <f>IF(I994=0,0,C994-I994)</f>
        <v>0</v>
      </c>
    </row>
    <row r="996" spans="1:10" x14ac:dyDescent="0.25">
      <c r="A996" s="1">
        <v>40169</v>
      </c>
      <c r="B996">
        <v>4.4854000000000003</v>
      </c>
      <c r="C996">
        <v>4.9749999999999996</v>
      </c>
      <c r="D996">
        <f>WEEKDAY(A996,14)</f>
        <v>6</v>
      </c>
      <c r="E996">
        <f t="shared" si="60"/>
        <v>0.7</v>
      </c>
      <c r="F996">
        <f t="shared" si="61"/>
        <v>4</v>
      </c>
      <c r="G996">
        <f>IF(F996&gt;F995,G995+B996*E996,B996*E996)</f>
        <v>3.3602820000000002</v>
      </c>
      <c r="H996">
        <f t="shared" si="62"/>
        <v>0.75</v>
      </c>
      <c r="I996">
        <f t="shared" si="63"/>
        <v>0</v>
      </c>
      <c r="J996">
        <f>IF(I995=0,0,C995-I995)</f>
        <v>0</v>
      </c>
    </row>
    <row r="997" spans="1:10" x14ac:dyDescent="0.25">
      <c r="A997" s="1">
        <v>40170</v>
      </c>
      <c r="B997">
        <v>4.49594</v>
      </c>
      <c r="C997">
        <v>4.9749999999999996</v>
      </c>
      <c r="D997">
        <f>WEEKDAY(A997,14)</f>
        <v>7</v>
      </c>
      <c r="E997">
        <f t="shared" si="60"/>
        <v>0.25</v>
      </c>
      <c r="F997">
        <f t="shared" si="61"/>
        <v>5</v>
      </c>
      <c r="G997">
        <f>IF(F997&gt;F996,G996+B997*E997,B997*E997)</f>
        <v>4.484267</v>
      </c>
      <c r="H997">
        <f t="shared" si="62"/>
        <v>1</v>
      </c>
      <c r="I997">
        <f t="shared" si="63"/>
        <v>4.484267</v>
      </c>
      <c r="J997">
        <f>IF(I996=0,0,C996-I996)</f>
        <v>0</v>
      </c>
    </row>
    <row r="998" spans="1:10" x14ac:dyDescent="0.25">
      <c r="A998" s="1">
        <v>40171</v>
      </c>
      <c r="B998">
        <v>4.5466699999999998</v>
      </c>
      <c r="C998">
        <v>5.0650000000000004</v>
      </c>
      <c r="D998">
        <f>WEEKDAY(A998,14)</f>
        <v>1</v>
      </c>
      <c r="E998">
        <f t="shared" si="60"/>
        <v>0</v>
      </c>
      <c r="F998">
        <f t="shared" si="61"/>
        <v>1</v>
      </c>
      <c r="G998">
        <f>IF(F998&gt;F997,G997+B998*E998,B998*E998)</f>
        <v>0</v>
      </c>
      <c r="H998">
        <f t="shared" si="62"/>
        <v>0</v>
      </c>
      <c r="I998">
        <f t="shared" si="63"/>
        <v>0</v>
      </c>
      <c r="J998">
        <f>IF(I997=0,0,C997-I997)</f>
        <v>0.49073299999999964</v>
      </c>
    </row>
    <row r="999" spans="1:10" x14ac:dyDescent="0.25">
      <c r="A999" s="1">
        <v>40175</v>
      </c>
      <c r="B999">
        <v>4.5967799999999999</v>
      </c>
      <c r="C999">
        <v>5.0650000000000004</v>
      </c>
      <c r="D999">
        <f>WEEKDAY(A999,14)</f>
        <v>5</v>
      </c>
      <c r="E999">
        <f t="shared" si="60"/>
        <v>0.05</v>
      </c>
      <c r="F999">
        <f t="shared" si="61"/>
        <v>2</v>
      </c>
      <c r="G999">
        <f>IF(F999&gt;F998,G998+B999*E999,B999*E999)</f>
        <v>0.22983900000000002</v>
      </c>
      <c r="H999">
        <f t="shared" si="62"/>
        <v>0.05</v>
      </c>
      <c r="I999">
        <f t="shared" si="63"/>
        <v>0</v>
      </c>
      <c r="J999">
        <f>IF(I998=0,0,C998-I998)</f>
        <v>0</v>
      </c>
    </row>
    <row r="1000" spans="1:10" x14ac:dyDescent="0.25">
      <c r="A1000" s="1">
        <v>40176</v>
      </c>
      <c r="B1000">
        <v>4.5562300000000002</v>
      </c>
      <c r="C1000">
        <v>5.0650000000000004</v>
      </c>
      <c r="D1000">
        <f>WEEKDAY(A1000,14)</f>
        <v>6</v>
      </c>
      <c r="E1000">
        <f t="shared" si="60"/>
        <v>0.7</v>
      </c>
      <c r="F1000">
        <f t="shared" si="61"/>
        <v>3</v>
      </c>
      <c r="G1000">
        <f>IF(F1000&gt;F999,G999+B1000*E1000,B1000*E1000)</f>
        <v>3.4192</v>
      </c>
      <c r="H1000">
        <f t="shared" si="62"/>
        <v>0.75</v>
      </c>
      <c r="I1000">
        <f t="shared" si="63"/>
        <v>0</v>
      </c>
      <c r="J1000">
        <f>IF(I999=0,0,C999-I999)</f>
        <v>0</v>
      </c>
    </row>
    <row r="1001" spans="1:10" x14ac:dyDescent="0.25">
      <c r="A1001" s="1">
        <v>40177</v>
      </c>
      <c r="B1001">
        <v>4.5227700000000004</v>
      </c>
      <c r="C1001">
        <v>5.0650000000000004</v>
      </c>
      <c r="D1001">
        <f>WEEKDAY(A1001,14)</f>
        <v>7</v>
      </c>
      <c r="E1001">
        <f t="shared" si="60"/>
        <v>0.25</v>
      </c>
      <c r="F1001">
        <f t="shared" si="61"/>
        <v>4</v>
      </c>
      <c r="G1001">
        <f>IF(F1001&gt;F1000,G1000+B1001*E1001,B1001*E1001)</f>
        <v>4.5498925000000003</v>
      </c>
      <c r="H1001">
        <f t="shared" si="62"/>
        <v>1</v>
      </c>
      <c r="I1001">
        <f t="shared" si="63"/>
        <v>4.5498925000000003</v>
      </c>
      <c r="J1001">
        <f>IF(I1000=0,0,C1000-I1000)</f>
        <v>0</v>
      </c>
    </row>
    <row r="1002" spans="1:10" x14ac:dyDescent="0.25">
      <c r="A1002" s="1">
        <v>40178</v>
      </c>
      <c r="B1002">
        <v>4.5592499999999996</v>
      </c>
      <c r="C1002">
        <v>5.0149999999999997</v>
      </c>
      <c r="D1002">
        <f>WEEKDAY(A1002,14)</f>
        <v>1</v>
      </c>
      <c r="E1002">
        <f t="shared" si="60"/>
        <v>0</v>
      </c>
      <c r="F1002">
        <f t="shared" si="61"/>
        <v>1</v>
      </c>
      <c r="G1002">
        <f>IF(F1002&gt;F1001,G1001+B1002*E1002,B1002*E1002)</f>
        <v>0</v>
      </c>
      <c r="H1002">
        <f t="shared" si="62"/>
        <v>0</v>
      </c>
      <c r="I1002">
        <f t="shared" si="63"/>
        <v>0</v>
      </c>
      <c r="J1002">
        <f>IF(I1001=0,0,C1001-I1001)</f>
        <v>0.51510750000000005</v>
      </c>
    </row>
    <row r="1003" spans="1:10" x14ac:dyDescent="0.25">
      <c r="A1003" s="1">
        <v>40182</v>
      </c>
      <c r="B1003">
        <v>4.5325300000000004</v>
      </c>
      <c r="C1003">
        <v>5.0149999999999997</v>
      </c>
      <c r="D1003">
        <f>WEEKDAY(A1003,14)</f>
        <v>5</v>
      </c>
      <c r="E1003">
        <f t="shared" si="60"/>
        <v>0.05</v>
      </c>
      <c r="F1003">
        <f t="shared" si="61"/>
        <v>2</v>
      </c>
      <c r="G1003">
        <f>IF(F1003&gt;F1002,G1002+B1003*E1003,B1003*E1003)</f>
        <v>0.22662650000000004</v>
      </c>
      <c r="H1003">
        <f t="shared" si="62"/>
        <v>0.05</v>
      </c>
      <c r="I1003">
        <f t="shared" si="63"/>
        <v>0</v>
      </c>
      <c r="J1003">
        <f>IF(I1002=0,0,C1002-I1002)</f>
        <v>0</v>
      </c>
    </row>
    <row r="1004" spans="1:10" x14ac:dyDescent="0.25">
      <c r="A1004" s="1">
        <v>40183</v>
      </c>
      <c r="B1004">
        <v>4.4366599999999998</v>
      </c>
      <c r="C1004">
        <v>5.0149999999999997</v>
      </c>
      <c r="D1004">
        <f>WEEKDAY(A1004,14)</f>
        <v>6</v>
      </c>
      <c r="E1004">
        <f t="shared" si="60"/>
        <v>0.7</v>
      </c>
      <c r="F1004">
        <f t="shared" si="61"/>
        <v>3</v>
      </c>
      <c r="G1004">
        <f>IF(F1004&gt;F1003,G1003+B1004*E1004,B1004*E1004)</f>
        <v>3.3322884999999998</v>
      </c>
      <c r="H1004">
        <f t="shared" si="62"/>
        <v>0.75</v>
      </c>
      <c r="I1004">
        <f t="shared" si="63"/>
        <v>0</v>
      </c>
      <c r="J1004">
        <f>IF(I1003=0,0,C1003-I1003)</f>
        <v>0</v>
      </c>
    </row>
    <row r="1005" spans="1:10" x14ac:dyDescent="0.25">
      <c r="A1005" s="1">
        <v>40184</v>
      </c>
      <c r="B1005">
        <v>4.4757400000000001</v>
      </c>
      <c r="C1005">
        <v>5.0149999999999997</v>
      </c>
      <c r="D1005">
        <f>WEEKDAY(A1005,14)</f>
        <v>7</v>
      </c>
      <c r="E1005">
        <f t="shared" si="60"/>
        <v>0.25</v>
      </c>
      <c r="F1005">
        <f t="shared" si="61"/>
        <v>4</v>
      </c>
      <c r="G1005">
        <f>IF(F1005&gt;F1004,G1004+B1005*E1005,B1005*E1005)</f>
        <v>4.4512234999999993</v>
      </c>
      <c r="H1005">
        <f t="shared" si="62"/>
        <v>1</v>
      </c>
      <c r="I1005">
        <f t="shared" si="63"/>
        <v>4.4512234999999993</v>
      </c>
      <c r="J1005">
        <f>IF(I1004=0,0,C1004-I1004)</f>
        <v>0</v>
      </c>
    </row>
    <row r="1006" spans="1:10" x14ac:dyDescent="0.25">
      <c r="A1006" s="1">
        <v>40185</v>
      </c>
      <c r="B1006">
        <v>4.5050400000000002</v>
      </c>
      <c r="C1006">
        <v>4.9850000000000003</v>
      </c>
      <c r="D1006">
        <f>WEEKDAY(A1006,14)</f>
        <v>1</v>
      </c>
      <c r="E1006">
        <f t="shared" si="60"/>
        <v>0</v>
      </c>
      <c r="F1006">
        <f t="shared" si="61"/>
        <v>1</v>
      </c>
      <c r="G1006">
        <f>IF(F1006&gt;F1005,G1005+B1006*E1006,B1006*E1006)</f>
        <v>0</v>
      </c>
      <c r="H1006">
        <f t="shared" si="62"/>
        <v>0</v>
      </c>
      <c r="I1006">
        <f t="shared" si="63"/>
        <v>0</v>
      </c>
      <c r="J1006">
        <f>IF(I1005=0,0,C1005-I1005)</f>
        <v>0.56377650000000035</v>
      </c>
    </row>
    <row r="1007" spans="1:10" x14ac:dyDescent="0.25">
      <c r="A1007" s="1">
        <v>40186</v>
      </c>
      <c r="B1007">
        <v>4.49953</v>
      </c>
      <c r="C1007">
        <v>4.9850000000000003</v>
      </c>
      <c r="D1007">
        <f>WEEKDAY(A1007,14)</f>
        <v>2</v>
      </c>
      <c r="E1007">
        <f t="shared" si="60"/>
        <v>0</v>
      </c>
      <c r="F1007">
        <f t="shared" si="61"/>
        <v>2</v>
      </c>
      <c r="G1007">
        <f>IF(F1007&gt;F1006,G1006+B1007*E1007,B1007*E1007)</f>
        <v>0</v>
      </c>
      <c r="H1007">
        <f t="shared" si="62"/>
        <v>0</v>
      </c>
      <c r="I1007">
        <f t="shared" si="63"/>
        <v>0</v>
      </c>
      <c r="J1007">
        <f>IF(I1006=0,0,C1006-I1006)</f>
        <v>0</v>
      </c>
    </row>
    <row r="1008" spans="1:10" x14ac:dyDescent="0.25">
      <c r="A1008" s="1">
        <v>40189</v>
      </c>
      <c r="B1008">
        <v>4.48888</v>
      </c>
      <c r="C1008">
        <v>4.9850000000000003</v>
      </c>
      <c r="D1008">
        <f>WEEKDAY(A1008,14)</f>
        <v>5</v>
      </c>
      <c r="E1008">
        <f t="shared" si="60"/>
        <v>0.05</v>
      </c>
      <c r="F1008">
        <f t="shared" si="61"/>
        <v>3</v>
      </c>
      <c r="G1008">
        <f>IF(F1008&gt;F1007,G1007+B1008*E1008,B1008*E1008)</f>
        <v>0.224444</v>
      </c>
      <c r="H1008">
        <f t="shared" si="62"/>
        <v>0.05</v>
      </c>
      <c r="I1008">
        <f t="shared" si="63"/>
        <v>0</v>
      </c>
      <c r="J1008">
        <f>IF(I1007=0,0,C1007-I1007)</f>
        <v>0</v>
      </c>
    </row>
    <row r="1009" spans="1:10" x14ac:dyDescent="0.25">
      <c r="A1009" s="1">
        <v>40190</v>
      </c>
      <c r="B1009">
        <v>4.40876</v>
      </c>
      <c r="C1009">
        <v>4.9850000000000003</v>
      </c>
      <c r="D1009">
        <f>WEEKDAY(A1009,14)</f>
        <v>6</v>
      </c>
      <c r="E1009">
        <f t="shared" si="60"/>
        <v>0.7</v>
      </c>
      <c r="F1009">
        <f t="shared" si="61"/>
        <v>4</v>
      </c>
      <c r="G1009">
        <f>IF(F1009&gt;F1008,G1008+B1009*E1009,B1009*E1009)</f>
        <v>3.3105759999999997</v>
      </c>
      <c r="H1009">
        <f t="shared" si="62"/>
        <v>0.75</v>
      </c>
      <c r="I1009">
        <f t="shared" si="63"/>
        <v>0</v>
      </c>
      <c r="J1009">
        <f>IF(I1008=0,0,C1008-I1008)</f>
        <v>0</v>
      </c>
    </row>
    <row r="1010" spans="1:10" x14ac:dyDescent="0.25">
      <c r="A1010" s="1">
        <v>40191</v>
      </c>
      <c r="B1010">
        <v>4.4541500000000003</v>
      </c>
      <c r="C1010">
        <v>4.9850000000000003</v>
      </c>
      <c r="D1010">
        <f>WEEKDAY(A1010,14)</f>
        <v>7</v>
      </c>
      <c r="E1010">
        <f t="shared" si="60"/>
        <v>0.25</v>
      </c>
      <c r="F1010">
        <f t="shared" si="61"/>
        <v>5</v>
      </c>
      <c r="G1010">
        <f>IF(F1010&gt;F1009,G1009+B1010*E1010,B1010*E1010)</f>
        <v>4.4241134999999998</v>
      </c>
      <c r="H1010">
        <f t="shared" si="62"/>
        <v>1</v>
      </c>
      <c r="I1010">
        <f t="shared" si="63"/>
        <v>4.4241134999999998</v>
      </c>
      <c r="J1010">
        <f>IF(I1009=0,0,C1009-I1009)</f>
        <v>0</v>
      </c>
    </row>
    <row r="1011" spans="1:10" x14ac:dyDescent="0.25">
      <c r="A1011" s="1">
        <v>40192</v>
      </c>
      <c r="B1011">
        <v>4.42659</v>
      </c>
      <c r="C1011">
        <v>4.915</v>
      </c>
      <c r="D1011">
        <f>WEEKDAY(A1011,14)</f>
        <v>1</v>
      </c>
      <c r="E1011">
        <f t="shared" si="60"/>
        <v>0</v>
      </c>
      <c r="F1011">
        <f t="shared" si="61"/>
        <v>1</v>
      </c>
      <c r="G1011">
        <f>IF(F1011&gt;F1010,G1010+B1011*E1011,B1011*E1011)</f>
        <v>0</v>
      </c>
      <c r="H1011">
        <f t="shared" si="62"/>
        <v>0</v>
      </c>
      <c r="I1011">
        <f t="shared" si="63"/>
        <v>0</v>
      </c>
      <c r="J1011">
        <f>IF(I1010=0,0,C1010-I1010)</f>
        <v>0.56088650000000051</v>
      </c>
    </row>
    <row r="1012" spans="1:10" x14ac:dyDescent="0.25">
      <c r="A1012" s="1">
        <v>40193</v>
      </c>
      <c r="B1012">
        <v>4.3696700000000002</v>
      </c>
      <c r="C1012">
        <v>4.915</v>
      </c>
      <c r="D1012">
        <f>WEEKDAY(A1012,14)</f>
        <v>2</v>
      </c>
      <c r="E1012">
        <f t="shared" si="60"/>
        <v>0</v>
      </c>
      <c r="F1012">
        <f t="shared" si="61"/>
        <v>2</v>
      </c>
      <c r="G1012">
        <f>IF(F1012&gt;F1011,G1011+B1012*E1012,B1012*E1012)</f>
        <v>0</v>
      </c>
      <c r="H1012">
        <f t="shared" si="62"/>
        <v>0</v>
      </c>
      <c r="I1012">
        <f t="shared" si="63"/>
        <v>0</v>
      </c>
      <c r="J1012">
        <f>IF(I1011=0,0,C1011-I1011)</f>
        <v>0</v>
      </c>
    </row>
    <row r="1013" spans="1:10" x14ac:dyDescent="0.25">
      <c r="A1013" s="1">
        <v>40197</v>
      </c>
      <c r="B1013">
        <v>4.4019700000000004</v>
      </c>
      <c r="C1013">
        <v>4.915</v>
      </c>
      <c r="D1013">
        <f>WEEKDAY(A1013,14)</f>
        <v>6</v>
      </c>
      <c r="E1013">
        <f t="shared" si="60"/>
        <v>0.7</v>
      </c>
      <c r="F1013">
        <f t="shared" si="61"/>
        <v>3</v>
      </c>
      <c r="G1013">
        <f>IF(F1013&gt;F1012,G1012+B1013*E1013,B1013*E1013)</f>
        <v>3.0813790000000001</v>
      </c>
      <c r="H1013">
        <f t="shared" si="62"/>
        <v>0.7</v>
      </c>
      <c r="I1013">
        <f t="shared" si="63"/>
        <v>0</v>
      </c>
      <c r="J1013">
        <f>IF(I1012=0,0,C1012-I1012)</f>
        <v>0</v>
      </c>
    </row>
    <row r="1014" spans="1:10" x14ac:dyDescent="0.25">
      <c r="A1014" s="1">
        <v>40198</v>
      </c>
      <c r="B1014">
        <v>4.3677900000000003</v>
      </c>
      <c r="C1014">
        <v>4.915</v>
      </c>
      <c r="D1014">
        <f>WEEKDAY(A1014,14)</f>
        <v>7</v>
      </c>
      <c r="E1014">
        <f t="shared" si="60"/>
        <v>0.25</v>
      </c>
      <c r="F1014">
        <f t="shared" si="61"/>
        <v>4</v>
      </c>
      <c r="G1014">
        <f>IF(F1014&gt;F1013,G1013+B1014*E1014,B1014*E1014)</f>
        <v>4.1733264999999999</v>
      </c>
      <c r="H1014">
        <f t="shared" si="62"/>
        <v>0.95</v>
      </c>
      <c r="I1014">
        <f t="shared" si="63"/>
        <v>4.3929752631578944</v>
      </c>
      <c r="J1014">
        <f>IF(I1013=0,0,C1013-I1013)</f>
        <v>0</v>
      </c>
    </row>
    <row r="1015" spans="1:10" x14ac:dyDescent="0.25">
      <c r="A1015" s="1">
        <v>40199</v>
      </c>
      <c r="B1015">
        <v>4.3351699999999997</v>
      </c>
      <c r="C1015">
        <v>4.88</v>
      </c>
      <c r="D1015">
        <f>WEEKDAY(A1015,14)</f>
        <v>1</v>
      </c>
      <c r="E1015">
        <f t="shared" si="60"/>
        <v>0</v>
      </c>
      <c r="F1015">
        <f t="shared" si="61"/>
        <v>1</v>
      </c>
      <c r="G1015">
        <f>IF(F1015&gt;F1014,G1014+B1015*E1015,B1015*E1015)</f>
        <v>0</v>
      </c>
      <c r="H1015">
        <f t="shared" si="62"/>
        <v>0</v>
      </c>
      <c r="I1015">
        <f t="shared" si="63"/>
        <v>0</v>
      </c>
      <c r="J1015">
        <f>IF(I1014=0,0,C1014-I1014)</f>
        <v>0.5220247368421056</v>
      </c>
    </row>
    <row r="1016" spans="1:10" x14ac:dyDescent="0.25">
      <c r="A1016" s="1">
        <v>40200</v>
      </c>
      <c r="B1016">
        <v>4.3453099999999996</v>
      </c>
      <c r="C1016">
        <v>4.88</v>
      </c>
      <c r="D1016">
        <f>WEEKDAY(A1016,14)</f>
        <v>2</v>
      </c>
      <c r="E1016">
        <f t="shared" si="60"/>
        <v>0</v>
      </c>
      <c r="F1016">
        <f t="shared" si="61"/>
        <v>2</v>
      </c>
      <c r="G1016">
        <f>IF(F1016&gt;F1015,G1015+B1016*E1016,B1016*E1016)</f>
        <v>0</v>
      </c>
      <c r="H1016">
        <f t="shared" si="62"/>
        <v>0</v>
      </c>
      <c r="I1016">
        <f t="shared" si="63"/>
        <v>0</v>
      </c>
      <c r="J1016">
        <f>IF(I1015=0,0,C1015-I1015)</f>
        <v>0</v>
      </c>
    </row>
    <row r="1017" spans="1:10" x14ac:dyDescent="0.25">
      <c r="A1017" s="1">
        <v>40203</v>
      </c>
      <c r="B1017">
        <v>4.3808100000000003</v>
      </c>
      <c r="C1017">
        <v>4.88</v>
      </c>
      <c r="D1017">
        <f>WEEKDAY(A1017,14)</f>
        <v>5</v>
      </c>
      <c r="E1017">
        <f t="shared" si="60"/>
        <v>0.05</v>
      </c>
      <c r="F1017">
        <f t="shared" si="61"/>
        <v>3</v>
      </c>
      <c r="G1017">
        <f>IF(F1017&gt;F1016,G1016+B1017*E1017,B1017*E1017)</f>
        <v>0.21904050000000003</v>
      </c>
      <c r="H1017">
        <f t="shared" si="62"/>
        <v>0.05</v>
      </c>
      <c r="I1017">
        <f t="shared" si="63"/>
        <v>0</v>
      </c>
      <c r="J1017">
        <f>IF(I1016=0,0,C1016-I1016)</f>
        <v>0</v>
      </c>
    </row>
    <row r="1018" spans="1:10" x14ac:dyDescent="0.25">
      <c r="A1018" s="1">
        <v>40204</v>
      </c>
      <c r="B1018">
        <v>4.3708200000000001</v>
      </c>
      <c r="C1018">
        <v>4.88</v>
      </c>
      <c r="D1018">
        <f>WEEKDAY(A1018,14)</f>
        <v>6</v>
      </c>
      <c r="E1018">
        <f t="shared" si="60"/>
        <v>0.7</v>
      </c>
      <c r="F1018">
        <f t="shared" si="61"/>
        <v>4</v>
      </c>
      <c r="G1018">
        <f>IF(F1018&gt;F1017,G1017+B1018*E1018,B1018*E1018)</f>
        <v>3.2786145000000002</v>
      </c>
      <c r="H1018">
        <f t="shared" si="62"/>
        <v>0.75</v>
      </c>
      <c r="I1018">
        <f t="shared" si="63"/>
        <v>0</v>
      </c>
      <c r="J1018">
        <f>IF(I1017=0,0,C1017-I1017)</f>
        <v>0</v>
      </c>
    </row>
    <row r="1019" spans="1:10" x14ac:dyDescent="0.25">
      <c r="A1019" s="1">
        <v>40205</v>
      </c>
      <c r="B1019">
        <v>4.38713</v>
      </c>
      <c r="C1019">
        <v>4.88</v>
      </c>
      <c r="D1019">
        <f>WEEKDAY(A1019,14)</f>
        <v>7</v>
      </c>
      <c r="E1019">
        <f t="shared" si="60"/>
        <v>0.25</v>
      </c>
      <c r="F1019">
        <f t="shared" si="61"/>
        <v>5</v>
      </c>
      <c r="G1019">
        <f>IF(F1019&gt;F1018,G1018+B1019*E1019,B1019*E1019)</f>
        <v>4.3753970000000004</v>
      </c>
      <c r="H1019">
        <f t="shared" si="62"/>
        <v>1</v>
      </c>
      <c r="I1019">
        <f t="shared" si="63"/>
        <v>4.3753970000000004</v>
      </c>
      <c r="J1019">
        <f>IF(I1018=0,0,C1018-I1018)</f>
        <v>0</v>
      </c>
    </row>
    <row r="1020" spans="1:10" x14ac:dyDescent="0.25">
      <c r="A1020" s="1">
        <v>40206</v>
      </c>
      <c r="B1020">
        <v>4.4035399999999996</v>
      </c>
      <c r="C1020">
        <v>4.9349999999999996</v>
      </c>
      <c r="D1020">
        <f>WEEKDAY(A1020,14)</f>
        <v>1</v>
      </c>
      <c r="E1020">
        <f t="shared" si="60"/>
        <v>0</v>
      </c>
      <c r="F1020">
        <f t="shared" si="61"/>
        <v>1</v>
      </c>
      <c r="G1020">
        <f>IF(F1020&gt;F1019,G1019+B1020*E1020,B1020*E1020)</f>
        <v>0</v>
      </c>
      <c r="H1020">
        <f t="shared" si="62"/>
        <v>0</v>
      </c>
      <c r="I1020">
        <f t="shared" si="63"/>
        <v>0</v>
      </c>
      <c r="J1020">
        <f>IF(I1019=0,0,C1019-I1019)</f>
        <v>0.50460299999999947</v>
      </c>
    </row>
    <row r="1021" spans="1:10" x14ac:dyDescent="0.25">
      <c r="A1021" s="1">
        <v>40207</v>
      </c>
      <c r="B1021">
        <v>4.3620299999999999</v>
      </c>
      <c r="C1021">
        <v>4.9349999999999996</v>
      </c>
      <c r="D1021">
        <f>WEEKDAY(A1021,14)</f>
        <v>2</v>
      </c>
      <c r="E1021">
        <f t="shared" si="60"/>
        <v>0</v>
      </c>
      <c r="F1021">
        <f t="shared" si="61"/>
        <v>2</v>
      </c>
      <c r="G1021">
        <f>IF(F1021&gt;F1020,G1020+B1021*E1021,B1021*E1021)</f>
        <v>0</v>
      </c>
      <c r="H1021">
        <f t="shared" si="62"/>
        <v>0</v>
      </c>
      <c r="I1021">
        <f t="shared" si="63"/>
        <v>0</v>
      </c>
      <c r="J1021">
        <f>IF(I1020=0,0,C1020-I1020)</f>
        <v>0</v>
      </c>
    </row>
    <row r="1022" spans="1:10" x14ac:dyDescent="0.25">
      <c r="A1022" s="1">
        <v>40210</v>
      </c>
      <c r="B1022">
        <v>4.3830400000000003</v>
      </c>
      <c r="C1022">
        <v>4.9349999999999996</v>
      </c>
      <c r="D1022">
        <f>WEEKDAY(A1022,14)</f>
        <v>5</v>
      </c>
      <c r="E1022">
        <f t="shared" si="60"/>
        <v>0.05</v>
      </c>
      <c r="F1022">
        <f t="shared" si="61"/>
        <v>3</v>
      </c>
      <c r="G1022">
        <f>IF(F1022&gt;F1021,G1021+B1022*E1022,B1022*E1022)</f>
        <v>0.21915200000000001</v>
      </c>
      <c r="H1022">
        <f t="shared" si="62"/>
        <v>0.05</v>
      </c>
      <c r="I1022">
        <f t="shared" si="63"/>
        <v>0</v>
      </c>
      <c r="J1022">
        <f>IF(I1021=0,0,C1021-I1021)</f>
        <v>0</v>
      </c>
    </row>
    <row r="1023" spans="1:10" x14ac:dyDescent="0.25">
      <c r="A1023" s="1">
        <v>40211</v>
      </c>
      <c r="B1023">
        <v>4.3619300000000001</v>
      </c>
      <c r="C1023">
        <v>4.9349999999999996</v>
      </c>
      <c r="D1023">
        <f>WEEKDAY(A1023,14)</f>
        <v>6</v>
      </c>
      <c r="E1023">
        <f t="shared" si="60"/>
        <v>0.7</v>
      </c>
      <c r="F1023">
        <f t="shared" si="61"/>
        <v>4</v>
      </c>
      <c r="G1023">
        <f>IF(F1023&gt;F1022,G1022+B1023*E1023,B1023*E1023)</f>
        <v>3.2725029999999995</v>
      </c>
      <c r="H1023">
        <f t="shared" si="62"/>
        <v>0.75</v>
      </c>
      <c r="I1023">
        <f t="shared" si="63"/>
        <v>0</v>
      </c>
      <c r="J1023">
        <f>IF(I1022=0,0,C1022-I1022)</f>
        <v>0</v>
      </c>
    </row>
    <row r="1024" spans="1:10" x14ac:dyDescent="0.25">
      <c r="A1024" s="1">
        <v>40212</v>
      </c>
      <c r="B1024">
        <v>4.3947799999999999</v>
      </c>
      <c r="C1024">
        <v>4.9349999999999996</v>
      </c>
      <c r="D1024">
        <f>WEEKDAY(A1024,14)</f>
        <v>7</v>
      </c>
      <c r="E1024">
        <f t="shared" si="60"/>
        <v>0.25</v>
      </c>
      <c r="F1024">
        <f t="shared" si="61"/>
        <v>5</v>
      </c>
      <c r="G1024">
        <f>IF(F1024&gt;F1023,G1023+B1024*E1024,B1024*E1024)</f>
        <v>4.3711979999999997</v>
      </c>
      <c r="H1024">
        <f t="shared" si="62"/>
        <v>1</v>
      </c>
      <c r="I1024">
        <f t="shared" si="63"/>
        <v>4.3711979999999997</v>
      </c>
      <c r="J1024">
        <f>IF(I1023=0,0,C1023-I1023)</f>
        <v>0</v>
      </c>
    </row>
    <row r="1025" spans="1:10" x14ac:dyDescent="0.25">
      <c r="A1025" s="1">
        <v>40213</v>
      </c>
      <c r="B1025">
        <v>4.3238500000000002</v>
      </c>
      <c r="C1025">
        <v>4.8949999999999996</v>
      </c>
      <c r="D1025">
        <f>WEEKDAY(A1025,14)</f>
        <v>1</v>
      </c>
      <c r="E1025">
        <f t="shared" si="60"/>
        <v>0</v>
      </c>
      <c r="F1025">
        <f t="shared" si="61"/>
        <v>1</v>
      </c>
      <c r="G1025">
        <f>IF(F1025&gt;F1024,G1024+B1025*E1025,B1025*E1025)</f>
        <v>0</v>
      </c>
      <c r="H1025">
        <f t="shared" si="62"/>
        <v>0</v>
      </c>
      <c r="I1025">
        <f t="shared" si="63"/>
        <v>0</v>
      </c>
      <c r="J1025">
        <f>IF(I1024=0,0,C1024-I1024)</f>
        <v>0.56380199999999991</v>
      </c>
    </row>
    <row r="1026" spans="1:10" x14ac:dyDescent="0.25">
      <c r="A1026" s="1">
        <v>40214</v>
      </c>
      <c r="B1026">
        <v>4.2766000000000002</v>
      </c>
      <c r="C1026">
        <v>4.8949999999999996</v>
      </c>
      <c r="D1026">
        <f>WEEKDAY(A1026,14)</f>
        <v>2</v>
      </c>
      <c r="E1026">
        <f t="shared" si="60"/>
        <v>0</v>
      </c>
      <c r="F1026">
        <f t="shared" si="61"/>
        <v>2</v>
      </c>
      <c r="G1026">
        <f>IF(F1026&gt;F1025,G1025+B1026*E1026,B1026*E1026)</f>
        <v>0</v>
      </c>
      <c r="H1026">
        <f t="shared" si="62"/>
        <v>0</v>
      </c>
      <c r="I1026">
        <f t="shared" si="63"/>
        <v>0</v>
      </c>
      <c r="J1026">
        <f>IF(I1025=0,0,C1025-I1025)</f>
        <v>0</v>
      </c>
    </row>
    <row r="1027" spans="1:10" x14ac:dyDescent="0.25">
      <c r="A1027" s="1">
        <v>40217</v>
      </c>
      <c r="B1027">
        <v>4.3320400000000001</v>
      </c>
      <c r="C1027">
        <v>4.8949999999999996</v>
      </c>
      <c r="D1027">
        <f>WEEKDAY(A1027,14)</f>
        <v>5</v>
      </c>
      <c r="E1027">
        <f t="shared" ref="E1027:E1090" si="64">VLOOKUP(D1027,M$2:N$8,2,FALSE)</f>
        <v>0.05</v>
      </c>
      <c r="F1027">
        <f t="shared" ref="F1027:F1090" si="65">IF(AND(D1027&gt;D1026,F1026&lt;6),F1026+1,1)</f>
        <v>3</v>
      </c>
      <c r="G1027">
        <f>IF(F1027&gt;F1026,G1026+B1027*E1027,B1027*E1027)</f>
        <v>0.21660200000000002</v>
      </c>
      <c r="H1027">
        <f t="shared" si="62"/>
        <v>0.05</v>
      </c>
      <c r="I1027">
        <f t="shared" si="63"/>
        <v>0</v>
      </c>
      <c r="J1027">
        <f>IF(I1026=0,0,C1026-I1026)</f>
        <v>0</v>
      </c>
    </row>
    <row r="1028" spans="1:10" x14ac:dyDescent="0.25">
      <c r="A1028" s="1">
        <v>40218</v>
      </c>
      <c r="B1028">
        <v>4.3653199999999996</v>
      </c>
      <c r="C1028">
        <v>4.8949999999999996</v>
      </c>
      <c r="D1028">
        <f>WEEKDAY(A1028,14)</f>
        <v>6</v>
      </c>
      <c r="E1028">
        <f t="shared" si="64"/>
        <v>0.7</v>
      </c>
      <c r="F1028">
        <f t="shared" si="65"/>
        <v>4</v>
      </c>
      <c r="G1028">
        <f>IF(F1028&gt;F1027,G1027+B1028*E1028,B1028*E1028)</f>
        <v>3.2723259999999996</v>
      </c>
      <c r="H1028">
        <f t="shared" ref="H1028:H1091" si="66">IF(AND(F1028&lt;6,F1028&gt;F1027),E1028+H1027,E1028)</f>
        <v>0.75</v>
      </c>
      <c r="I1028">
        <f t="shared" ref="I1028:I1091" si="67">IF(F1028&gt;F1029,G1028/H1028,0)</f>
        <v>0</v>
      </c>
      <c r="J1028">
        <f>IF(I1027=0,0,C1027-I1027)</f>
        <v>0</v>
      </c>
    </row>
    <row r="1029" spans="1:10" x14ac:dyDescent="0.25">
      <c r="A1029" s="1">
        <v>40219</v>
      </c>
      <c r="B1029">
        <v>4.4063600000000003</v>
      </c>
      <c r="C1029">
        <v>4.8949999999999996</v>
      </c>
      <c r="D1029">
        <f>WEEKDAY(A1029,14)</f>
        <v>7</v>
      </c>
      <c r="E1029">
        <f t="shared" si="64"/>
        <v>0.25</v>
      </c>
      <c r="F1029">
        <f t="shared" si="65"/>
        <v>5</v>
      </c>
      <c r="G1029">
        <f>IF(F1029&gt;F1028,G1028+B1029*E1029,B1029*E1029)</f>
        <v>4.3739159999999995</v>
      </c>
      <c r="H1029">
        <f t="shared" si="66"/>
        <v>1</v>
      </c>
      <c r="I1029">
        <f t="shared" si="67"/>
        <v>4.3739159999999995</v>
      </c>
      <c r="J1029">
        <f>IF(I1028=0,0,C1028-I1028)</f>
        <v>0</v>
      </c>
    </row>
    <row r="1030" spans="1:10" x14ac:dyDescent="0.25">
      <c r="A1030" s="1">
        <v>40220</v>
      </c>
      <c r="B1030">
        <v>4.39879</v>
      </c>
      <c r="C1030">
        <v>4.8550000000000004</v>
      </c>
      <c r="D1030">
        <f>WEEKDAY(A1030,14)</f>
        <v>1</v>
      </c>
      <c r="E1030">
        <f t="shared" si="64"/>
        <v>0</v>
      </c>
      <c r="F1030">
        <f t="shared" si="65"/>
        <v>1</v>
      </c>
      <c r="G1030">
        <f>IF(F1030&gt;F1029,G1029+B1030*E1030,B1030*E1030)</f>
        <v>0</v>
      </c>
      <c r="H1030">
        <f t="shared" si="66"/>
        <v>0</v>
      </c>
      <c r="I1030">
        <f t="shared" si="67"/>
        <v>0</v>
      </c>
      <c r="J1030">
        <f>IF(I1029=0,0,C1029-I1029)</f>
        <v>0.5210840000000001</v>
      </c>
    </row>
    <row r="1031" spans="1:10" x14ac:dyDescent="0.25">
      <c r="A1031" s="1">
        <v>40221</v>
      </c>
      <c r="B1031">
        <v>4.3460599999999996</v>
      </c>
      <c r="C1031">
        <v>4.8550000000000004</v>
      </c>
      <c r="D1031">
        <f>WEEKDAY(A1031,14)</f>
        <v>2</v>
      </c>
      <c r="E1031">
        <f t="shared" si="64"/>
        <v>0</v>
      </c>
      <c r="F1031">
        <f t="shared" si="65"/>
        <v>2</v>
      </c>
      <c r="G1031">
        <f>IF(F1031&gt;F1030,G1030+B1031*E1031,B1031*E1031)</f>
        <v>0</v>
      </c>
      <c r="H1031">
        <f t="shared" si="66"/>
        <v>0</v>
      </c>
      <c r="I1031">
        <f t="shared" si="67"/>
        <v>0</v>
      </c>
      <c r="J1031">
        <f>IF(I1030=0,0,C1030-I1030)</f>
        <v>0</v>
      </c>
    </row>
    <row r="1032" spans="1:10" x14ac:dyDescent="0.25">
      <c r="A1032" s="1">
        <v>40225</v>
      </c>
      <c r="B1032">
        <v>4.3232699999999999</v>
      </c>
      <c r="C1032">
        <v>4.8550000000000004</v>
      </c>
      <c r="D1032">
        <f>WEEKDAY(A1032,14)</f>
        <v>6</v>
      </c>
      <c r="E1032">
        <f t="shared" si="64"/>
        <v>0.7</v>
      </c>
      <c r="F1032">
        <f t="shared" si="65"/>
        <v>3</v>
      </c>
      <c r="G1032">
        <f>IF(F1032&gt;F1031,G1031+B1032*E1032,B1032*E1032)</f>
        <v>3.0262889999999998</v>
      </c>
      <c r="H1032">
        <f t="shared" si="66"/>
        <v>0.7</v>
      </c>
      <c r="I1032">
        <f t="shared" si="67"/>
        <v>0</v>
      </c>
      <c r="J1032">
        <f>IF(I1031=0,0,C1031-I1031)</f>
        <v>0</v>
      </c>
    </row>
    <row r="1033" spans="1:10" x14ac:dyDescent="0.25">
      <c r="A1033" s="1">
        <v>40226</v>
      </c>
      <c r="B1033">
        <v>4.3914</v>
      </c>
      <c r="C1033">
        <v>4.8550000000000004</v>
      </c>
      <c r="D1033">
        <f>WEEKDAY(A1033,14)</f>
        <v>7</v>
      </c>
      <c r="E1033">
        <f t="shared" si="64"/>
        <v>0.25</v>
      </c>
      <c r="F1033">
        <f t="shared" si="65"/>
        <v>4</v>
      </c>
      <c r="G1033">
        <f>IF(F1033&gt;F1032,G1032+B1033*E1033,B1033*E1033)</f>
        <v>4.1241389999999996</v>
      </c>
      <c r="H1033">
        <f t="shared" si="66"/>
        <v>0.95</v>
      </c>
      <c r="I1033">
        <f t="shared" si="67"/>
        <v>4.3411989473684205</v>
      </c>
      <c r="J1033">
        <f>IF(I1032=0,0,C1032-I1032)</f>
        <v>0</v>
      </c>
    </row>
    <row r="1034" spans="1:10" x14ac:dyDescent="0.25">
      <c r="A1034" s="1">
        <v>40227</v>
      </c>
      <c r="B1034">
        <v>4.4681600000000001</v>
      </c>
      <c r="C1034">
        <v>4.9749999999999996</v>
      </c>
      <c r="D1034">
        <f>WEEKDAY(A1034,14)</f>
        <v>1</v>
      </c>
      <c r="E1034">
        <f t="shared" si="64"/>
        <v>0</v>
      </c>
      <c r="F1034">
        <f t="shared" si="65"/>
        <v>1</v>
      </c>
      <c r="G1034">
        <f>IF(F1034&gt;F1033,G1033+B1034*E1034,B1034*E1034)</f>
        <v>0</v>
      </c>
      <c r="H1034">
        <f t="shared" si="66"/>
        <v>0</v>
      </c>
      <c r="I1034">
        <f t="shared" si="67"/>
        <v>0</v>
      </c>
      <c r="J1034">
        <f>IF(I1033=0,0,C1033-I1033)</f>
        <v>0.51380105263157994</v>
      </c>
    </row>
    <row r="1035" spans="1:10" x14ac:dyDescent="0.25">
      <c r="A1035" s="1">
        <v>40228</v>
      </c>
      <c r="B1035">
        <v>4.4863099999999996</v>
      </c>
      <c r="C1035">
        <v>4.9749999999999996</v>
      </c>
      <c r="D1035">
        <f>WEEKDAY(A1035,14)</f>
        <v>2</v>
      </c>
      <c r="E1035">
        <f t="shared" si="64"/>
        <v>0</v>
      </c>
      <c r="F1035">
        <f t="shared" si="65"/>
        <v>2</v>
      </c>
      <c r="G1035">
        <f>IF(F1035&gt;F1034,G1034+B1035*E1035,B1035*E1035)</f>
        <v>0</v>
      </c>
      <c r="H1035">
        <f t="shared" si="66"/>
        <v>0</v>
      </c>
      <c r="I1035">
        <f t="shared" si="67"/>
        <v>0</v>
      </c>
      <c r="J1035">
        <f>IF(I1034=0,0,C1034-I1034)</f>
        <v>0</v>
      </c>
    </row>
    <row r="1036" spans="1:10" x14ac:dyDescent="0.25">
      <c r="A1036" s="1">
        <v>40231</v>
      </c>
      <c r="B1036">
        <v>4.4624499999999996</v>
      </c>
      <c r="C1036">
        <v>4.9749999999999996</v>
      </c>
      <c r="D1036">
        <f>WEEKDAY(A1036,14)</f>
        <v>5</v>
      </c>
      <c r="E1036">
        <f t="shared" si="64"/>
        <v>0.05</v>
      </c>
      <c r="F1036">
        <f t="shared" si="65"/>
        <v>3</v>
      </c>
      <c r="G1036">
        <f>IF(F1036&gt;F1035,G1035+B1036*E1036,B1036*E1036)</f>
        <v>0.2231225</v>
      </c>
      <c r="H1036">
        <f t="shared" si="66"/>
        <v>0.05</v>
      </c>
      <c r="I1036">
        <f t="shared" si="67"/>
        <v>0</v>
      </c>
      <c r="J1036">
        <f>IF(I1035=0,0,C1035-I1035)</f>
        <v>0</v>
      </c>
    </row>
    <row r="1037" spans="1:10" x14ac:dyDescent="0.25">
      <c r="A1037" s="1">
        <v>40232</v>
      </c>
      <c r="B1037">
        <v>4.3914400000000002</v>
      </c>
      <c r="C1037">
        <v>4.9749999999999996</v>
      </c>
      <c r="D1037">
        <f>WEEKDAY(A1037,14)</f>
        <v>6</v>
      </c>
      <c r="E1037">
        <f t="shared" si="64"/>
        <v>0.7</v>
      </c>
      <c r="F1037">
        <f t="shared" si="65"/>
        <v>4</v>
      </c>
      <c r="G1037">
        <f>IF(F1037&gt;F1036,G1036+B1037*E1037,B1037*E1037)</f>
        <v>3.2971305000000002</v>
      </c>
      <c r="H1037">
        <f t="shared" si="66"/>
        <v>0.75</v>
      </c>
      <c r="I1037">
        <f t="shared" si="67"/>
        <v>0</v>
      </c>
      <c r="J1037">
        <f>IF(I1036=0,0,C1036-I1036)</f>
        <v>0</v>
      </c>
    </row>
    <row r="1038" spans="1:10" x14ac:dyDescent="0.25">
      <c r="A1038" s="1">
        <v>40233</v>
      </c>
      <c r="B1038">
        <v>4.3958500000000003</v>
      </c>
      <c r="C1038">
        <v>4.9749999999999996</v>
      </c>
      <c r="D1038">
        <f>WEEKDAY(A1038,14)</f>
        <v>7</v>
      </c>
      <c r="E1038">
        <f t="shared" si="64"/>
        <v>0.25</v>
      </c>
      <c r="F1038">
        <f t="shared" si="65"/>
        <v>5</v>
      </c>
      <c r="G1038">
        <f>IF(F1038&gt;F1037,G1037+B1038*E1038,B1038*E1038)</f>
        <v>4.3960930000000005</v>
      </c>
      <c r="H1038">
        <f t="shared" si="66"/>
        <v>1</v>
      </c>
      <c r="I1038">
        <f t="shared" si="67"/>
        <v>4.3960930000000005</v>
      </c>
      <c r="J1038">
        <f>IF(I1037=0,0,C1037-I1037)</f>
        <v>0</v>
      </c>
    </row>
    <row r="1039" spans="1:10" x14ac:dyDescent="0.25">
      <c r="A1039" s="1">
        <v>40234</v>
      </c>
      <c r="B1039">
        <v>4.3541800000000004</v>
      </c>
      <c r="C1039">
        <v>4.8949999999999996</v>
      </c>
      <c r="D1039">
        <f>WEEKDAY(A1039,14)</f>
        <v>1</v>
      </c>
      <c r="E1039">
        <f t="shared" si="64"/>
        <v>0</v>
      </c>
      <c r="F1039">
        <f t="shared" si="65"/>
        <v>1</v>
      </c>
      <c r="G1039">
        <f>IF(F1039&gt;F1038,G1038+B1039*E1039,B1039*E1039)</f>
        <v>0</v>
      </c>
      <c r="H1039">
        <f t="shared" si="66"/>
        <v>0</v>
      </c>
      <c r="I1039">
        <f t="shared" si="67"/>
        <v>0</v>
      </c>
      <c r="J1039">
        <f>IF(I1038=0,0,C1038-I1038)</f>
        <v>0.57890699999999917</v>
      </c>
    </row>
    <row r="1040" spans="1:10" x14ac:dyDescent="0.25">
      <c r="A1040" s="1">
        <v>40235</v>
      </c>
      <c r="B1040">
        <v>4.2907500000000001</v>
      </c>
      <c r="C1040">
        <v>4.8949999999999996</v>
      </c>
      <c r="D1040">
        <f>WEEKDAY(A1040,14)</f>
        <v>2</v>
      </c>
      <c r="E1040">
        <f t="shared" si="64"/>
        <v>0</v>
      </c>
      <c r="F1040">
        <f t="shared" si="65"/>
        <v>2</v>
      </c>
      <c r="G1040">
        <f>IF(F1040&gt;F1039,G1039+B1040*E1040,B1040*E1040)</f>
        <v>0</v>
      </c>
      <c r="H1040">
        <f t="shared" si="66"/>
        <v>0</v>
      </c>
      <c r="I1040">
        <f t="shared" si="67"/>
        <v>0</v>
      </c>
      <c r="J1040">
        <f>IF(I1039=0,0,C1039-I1039)</f>
        <v>0</v>
      </c>
    </row>
    <row r="1041" spans="1:10" x14ac:dyDescent="0.25">
      <c r="A1041" s="1">
        <v>40238</v>
      </c>
      <c r="B1041">
        <v>4.3283699999999996</v>
      </c>
      <c r="C1041">
        <v>4.8949999999999996</v>
      </c>
      <c r="D1041">
        <f>WEEKDAY(A1041,14)</f>
        <v>5</v>
      </c>
      <c r="E1041">
        <f t="shared" si="64"/>
        <v>0.05</v>
      </c>
      <c r="F1041">
        <f t="shared" si="65"/>
        <v>3</v>
      </c>
      <c r="G1041">
        <f>IF(F1041&gt;F1040,G1040+B1041*E1041,B1041*E1041)</f>
        <v>0.21641849999999999</v>
      </c>
      <c r="H1041">
        <f t="shared" si="66"/>
        <v>0.05</v>
      </c>
      <c r="I1041">
        <f t="shared" si="67"/>
        <v>0</v>
      </c>
      <c r="J1041">
        <f>IF(I1040=0,0,C1040-I1040)</f>
        <v>0</v>
      </c>
    </row>
    <row r="1042" spans="1:10" x14ac:dyDescent="0.25">
      <c r="A1042" s="1">
        <v>40239</v>
      </c>
      <c r="B1042">
        <v>4.3343699999999998</v>
      </c>
      <c r="C1042">
        <v>4.8949999999999996</v>
      </c>
      <c r="D1042">
        <f>WEEKDAY(A1042,14)</f>
        <v>6</v>
      </c>
      <c r="E1042">
        <f t="shared" si="64"/>
        <v>0.7</v>
      </c>
      <c r="F1042">
        <f t="shared" si="65"/>
        <v>4</v>
      </c>
      <c r="G1042">
        <f>IF(F1042&gt;F1041,G1041+B1042*E1042,B1042*E1042)</f>
        <v>3.2504774999999997</v>
      </c>
      <c r="H1042">
        <f t="shared" si="66"/>
        <v>0.75</v>
      </c>
      <c r="I1042">
        <f t="shared" si="67"/>
        <v>0</v>
      </c>
      <c r="J1042">
        <f>IF(I1041=0,0,C1041-I1041)</f>
        <v>0</v>
      </c>
    </row>
    <row r="1043" spans="1:10" x14ac:dyDescent="0.25">
      <c r="A1043" s="1">
        <v>40240</v>
      </c>
      <c r="B1043">
        <v>4.3075700000000001</v>
      </c>
      <c r="C1043">
        <v>4.8949999999999996</v>
      </c>
      <c r="D1043">
        <f>WEEKDAY(A1043,14)</f>
        <v>7</v>
      </c>
      <c r="E1043">
        <f t="shared" si="64"/>
        <v>0.25</v>
      </c>
      <c r="F1043">
        <f t="shared" si="65"/>
        <v>5</v>
      </c>
      <c r="G1043">
        <f>IF(F1043&gt;F1042,G1042+B1043*E1043,B1043*E1043)</f>
        <v>4.3273700000000002</v>
      </c>
      <c r="H1043">
        <f t="shared" si="66"/>
        <v>1</v>
      </c>
      <c r="I1043">
        <f t="shared" si="67"/>
        <v>4.3273700000000002</v>
      </c>
      <c r="J1043">
        <f>IF(I1042=0,0,C1042-I1042)</f>
        <v>0</v>
      </c>
    </row>
    <row r="1044" spans="1:10" x14ac:dyDescent="0.25">
      <c r="A1044" s="1">
        <v>40241</v>
      </c>
      <c r="B1044">
        <v>4.2835400000000003</v>
      </c>
      <c r="C1044">
        <v>4.875</v>
      </c>
      <c r="D1044">
        <f>WEEKDAY(A1044,14)</f>
        <v>1</v>
      </c>
      <c r="E1044">
        <f t="shared" si="64"/>
        <v>0</v>
      </c>
      <c r="F1044">
        <f t="shared" si="65"/>
        <v>1</v>
      </c>
      <c r="G1044">
        <f>IF(F1044&gt;F1043,G1043+B1044*E1044,B1044*E1044)</f>
        <v>0</v>
      </c>
      <c r="H1044">
        <f t="shared" si="66"/>
        <v>0</v>
      </c>
      <c r="I1044">
        <f t="shared" si="67"/>
        <v>0</v>
      </c>
      <c r="J1044">
        <f>IF(I1043=0,0,C1043-I1043)</f>
        <v>0.56762999999999941</v>
      </c>
    </row>
    <row r="1045" spans="1:10" x14ac:dyDescent="0.25">
      <c r="A1045" s="1">
        <v>40242</v>
      </c>
      <c r="B1045">
        <v>4.3264399999999998</v>
      </c>
      <c r="C1045">
        <v>4.875</v>
      </c>
      <c r="D1045">
        <f>WEEKDAY(A1045,14)</f>
        <v>2</v>
      </c>
      <c r="E1045">
        <f t="shared" si="64"/>
        <v>0</v>
      </c>
      <c r="F1045">
        <f t="shared" si="65"/>
        <v>2</v>
      </c>
      <c r="G1045">
        <f>IF(F1045&gt;F1044,G1044+B1045*E1045,B1045*E1045)</f>
        <v>0</v>
      </c>
      <c r="H1045">
        <f t="shared" si="66"/>
        <v>0</v>
      </c>
      <c r="I1045">
        <f t="shared" si="67"/>
        <v>0</v>
      </c>
      <c r="J1045">
        <f>IF(I1044=0,0,C1044-I1044)</f>
        <v>0</v>
      </c>
    </row>
    <row r="1046" spans="1:10" x14ac:dyDescent="0.25">
      <c r="A1046" s="1">
        <v>40245</v>
      </c>
      <c r="B1046">
        <v>4.3426</v>
      </c>
      <c r="C1046">
        <v>4.875</v>
      </c>
      <c r="D1046">
        <f>WEEKDAY(A1046,14)</f>
        <v>5</v>
      </c>
      <c r="E1046">
        <f t="shared" si="64"/>
        <v>0.05</v>
      </c>
      <c r="F1046">
        <f t="shared" si="65"/>
        <v>3</v>
      </c>
      <c r="G1046">
        <f>IF(F1046&gt;F1045,G1045+B1046*E1046,B1046*E1046)</f>
        <v>0.21713000000000002</v>
      </c>
      <c r="H1046">
        <f t="shared" si="66"/>
        <v>0.05</v>
      </c>
      <c r="I1046">
        <f t="shared" si="67"/>
        <v>0</v>
      </c>
      <c r="J1046">
        <f>IF(I1045=0,0,C1045-I1045)</f>
        <v>0</v>
      </c>
    </row>
    <row r="1047" spans="1:10" x14ac:dyDescent="0.25">
      <c r="A1047" s="1">
        <v>40246</v>
      </c>
      <c r="B1047">
        <v>4.3086399999999996</v>
      </c>
      <c r="C1047">
        <v>4.875</v>
      </c>
      <c r="D1047">
        <f>WEEKDAY(A1047,14)</f>
        <v>6</v>
      </c>
      <c r="E1047">
        <f t="shared" si="64"/>
        <v>0.7</v>
      </c>
      <c r="F1047">
        <f t="shared" si="65"/>
        <v>4</v>
      </c>
      <c r="G1047">
        <f>IF(F1047&gt;F1046,G1046+B1047*E1047,B1047*E1047)</f>
        <v>3.2331779999999997</v>
      </c>
      <c r="H1047">
        <f t="shared" si="66"/>
        <v>0.75</v>
      </c>
      <c r="I1047">
        <f t="shared" si="67"/>
        <v>0</v>
      </c>
      <c r="J1047">
        <f>IF(I1046=0,0,C1046-I1046)</f>
        <v>0</v>
      </c>
    </row>
    <row r="1048" spans="1:10" x14ac:dyDescent="0.25">
      <c r="A1048" s="1">
        <v>40247</v>
      </c>
      <c r="B1048">
        <v>4.3172600000000001</v>
      </c>
      <c r="C1048">
        <v>4.875</v>
      </c>
      <c r="D1048">
        <f>WEEKDAY(A1048,14)</f>
        <v>7</v>
      </c>
      <c r="E1048">
        <f t="shared" si="64"/>
        <v>0.25</v>
      </c>
      <c r="F1048">
        <f t="shared" si="65"/>
        <v>5</v>
      </c>
      <c r="G1048">
        <f>IF(F1048&gt;F1047,G1047+B1048*E1048,B1048*E1048)</f>
        <v>4.3124929999999999</v>
      </c>
      <c r="H1048">
        <f t="shared" si="66"/>
        <v>1</v>
      </c>
      <c r="I1048">
        <f t="shared" si="67"/>
        <v>4.3124929999999999</v>
      </c>
      <c r="J1048">
        <f>IF(I1047=0,0,C1047-I1047)</f>
        <v>0</v>
      </c>
    </row>
    <row r="1049" spans="1:10" x14ac:dyDescent="0.25">
      <c r="A1049" s="1">
        <v>40248</v>
      </c>
      <c r="B1049">
        <v>4.32585</v>
      </c>
      <c r="C1049">
        <v>4.8849999999999998</v>
      </c>
      <c r="D1049">
        <f>WEEKDAY(A1049,14)</f>
        <v>1</v>
      </c>
      <c r="E1049">
        <f t="shared" si="64"/>
        <v>0</v>
      </c>
      <c r="F1049">
        <f t="shared" si="65"/>
        <v>1</v>
      </c>
      <c r="G1049">
        <f>IF(F1049&gt;F1048,G1048+B1049*E1049,B1049*E1049)</f>
        <v>0</v>
      </c>
      <c r="H1049">
        <f t="shared" si="66"/>
        <v>0</v>
      </c>
      <c r="I1049">
        <f t="shared" si="67"/>
        <v>0</v>
      </c>
      <c r="J1049">
        <f>IF(I1048=0,0,C1048-I1048)</f>
        <v>0.56250700000000009</v>
      </c>
    </row>
    <row r="1050" spans="1:10" x14ac:dyDescent="0.25">
      <c r="A1050" s="1">
        <v>40249</v>
      </c>
      <c r="B1050">
        <v>4.3434299999999997</v>
      </c>
      <c r="C1050">
        <v>4.8849999999999998</v>
      </c>
      <c r="D1050">
        <f>WEEKDAY(A1050,14)</f>
        <v>2</v>
      </c>
      <c r="E1050">
        <f t="shared" si="64"/>
        <v>0</v>
      </c>
      <c r="F1050">
        <f t="shared" si="65"/>
        <v>2</v>
      </c>
      <c r="G1050">
        <f>IF(F1050&gt;F1049,G1049+B1050*E1050,B1050*E1050)</f>
        <v>0</v>
      </c>
      <c r="H1050">
        <f t="shared" si="66"/>
        <v>0</v>
      </c>
      <c r="I1050">
        <f t="shared" si="67"/>
        <v>0</v>
      </c>
      <c r="J1050">
        <f>IF(I1049=0,0,C1049-I1049)</f>
        <v>0</v>
      </c>
    </row>
    <row r="1051" spans="1:10" x14ac:dyDescent="0.25">
      <c r="A1051" s="1">
        <v>40252</v>
      </c>
      <c r="B1051">
        <v>4.33894</v>
      </c>
      <c r="C1051">
        <v>4.8849999999999998</v>
      </c>
      <c r="D1051">
        <f>WEEKDAY(A1051,14)</f>
        <v>5</v>
      </c>
      <c r="E1051">
        <f t="shared" si="64"/>
        <v>0.05</v>
      </c>
      <c r="F1051">
        <f t="shared" si="65"/>
        <v>3</v>
      </c>
      <c r="G1051">
        <f>IF(F1051&gt;F1050,G1050+B1051*E1051,B1051*E1051)</f>
        <v>0.216947</v>
      </c>
      <c r="H1051">
        <f t="shared" si="66"/>
        <v>0.05</v>
      </c>
      <c r="I1051">
        <f t="shared" si="67"/>
        <v>0</v>
      </c>
      <c r="J1051">
        <f>IF(I1050=0,0,C1050-I1050)</f>
        <v>0</v>
      </c>
    </row>
    <row r="1052" spans="1:10" x14ac:dyDescent="0.25">
      <c r="A1052" s="1">
        <v>40253</v>
      </c>
      <c r="B1052">
        <v>4.3166599999999997</v>
      </c>
      <c r="C1052">
        <v>4.8849999999999998</v>
      </c>
      <c r="D1052">
        <f>WEEKDAY(A1052,14)</f>
        <v>6</v>
      </c>
      <c r="E1052">
        <f t="shared" si="64"/>
        <v>0.7</v>
      </c>
      <c r="F1052">
        <f t="shared" si="65"/>
        <v>4</v>
      </c>
      <c r="G1052">
        <f>IF(F1052&gt;F1051,G1051+B1052*E1052,B1052*E1052)</f>
        <v>3.2386089999999994</v>
      </c>
      <c r="H1052">
        <f t="shared" si="66"/>
        <v>0.75</v>
      </c>
      <c r="I1052">
        <f t="shared" si="67"/>
        <v>0</v>
      </c>
      <c r="J1052">
        <f>IF(I1051=0,0,C1051-I1051)</f>
        <v>0</v>
      </c>
    </row>
    <row r="1053" spans="1:10" x14ac:dyDescent="0.25">
      <c r="A1053" s="1">
        <v>40254</v>
      </c>
      <c r="B1053">
        <v>4.2959899999999998</v>
      </c>
      <c r="C1053">
        <v>4.8849999999999998</v>
      </c>
      <c r="D1053">
        <f>WEEKDAY(A1053,14)</f>
        <v>7</v>
      </c>
      <c r="E1053">
        <f t="shared" si="64"/>
        <v>0.25</v>
      </c>
      <c r="F1053">
        <f t="shared" si="65"/>
        <v>5</v>
      </c>
      <c r="G1053">
        <f>IF(F1053&gt;F1052,G1052+B1053*E1053,B1053*E1053)</f>
        <v>4.3126064999999993</v>
      </c>
      <c r="H1053">
        <f t="shared" si="66"/>
        <v>1</v>
      </c>
      <c r="I1053">
        <f t="shared" si="67"/>
        <v>4.3126064999999993</v>
      </c>
      <c r="J1053">
        <f>IF(I1052=0,0,C1052-I1052)</f>
        <v>0</v>
      </c>
    </row>
    <row r="1054" spans="1:10" x14ac:dyDescent="0.25">
      <c r="A1054" s="1">
        <v>40255</v>
      </c>
      <c r="B1054">
        <v>4.3324199999999999</v>
      </c>
      <c r="C1054">
        <v>4.8899999999999997</v>
      </c>
      <c r="D1054">
        <f>WEEKDAY(A1054,14)</f>
        <v>1</v>
      </c>
      <c r="E1054">
        <f t="shared" si="64"/>
        <v>0</v>
      </c>
      <c r="F1054">
        <f t="shared" si="65"/>
        <v>1</v>
      </c>
      <c r="G1054">
        <f>IF(F1054&gt;F1053,G1053+B1054*E1054,B1054*E1054)</f>
        <v>0</v>
      </c>
      <c r="H1054">
        <f t="shared" si="66"/>
        <v>0</v>
      </c>
      <c r="I1054">
        <f t="shared" si="67"/>
        <v>0</v>
      </c>
      <c r="J1054">
        <f>IF(I1053=0,0,C1053-I1053)</f>
        <v>0.57239350000000044</v>
      </c>
    </row>
    <row r="1055" spans="1:10" x14ac:dyDescent="0.25">
      <c r="A1055" s="1">
        <v>40256</v>
      </c>
      <c r="B1055">
        <v>4.3559200000000002</v>
      </c>
      <c r="C1055">
        <v>4.8899999999999997</v>
      </c>
      <c r="D1055">
        <f>WEEKDAY(A1055,14)</f>
        <v>2</v>
      </c>
      <c r="E1055">
        <f t="shared" si="64"/>
        <v>0</v>
      </c>
      <c r="F1055">
        <f t="shared" si="65"/>
        <v>2</v>
      </c>
      <c r="G1055">
        <f>IF(F1055&gt;F1054,G1054+B1055*E1055,B1055*E1055)</f>
        <v>0</v>
      </c>
      <c r="H1055">
        <f t="shared" si="66"/>
        <v>0</v>
      </c>
      <c r="I1055">
        <f t="shared" si="67"/>
        <v>0</v>
      </c>
      <c r="J1055">
        <f>IF(I1054=0,0,C1054-I1054)</f>
        <v>0</v>
      </c>
    </row>
    <row r="1056" spans="1:10" x14ac:dyDescent="0.25">
      <c r="A1056" s="1">
        <v>40259</v>
      </c>
      <c r="B1056">
        <v>4.3264699999999996</v>
      </c>
      <c r="C1056">
        <v>4.8899999999999997</v>
      </c>
      <c r="D1056">
        <f>WEEKDAY(A1056,14)</f>
        <v>5</v>
      </c>
      <c r="E1056">
        <f t="shared" si="64"/>
        <v>0.05</v>
      </c>
      <c r="F1056">
        <f t="shared" si="65"/>
        <v>3</v>
      </c>
      <c r="G1056">
        <f>IF(F1056&gt;F1055,G1055+B1056*E1056,B1056*E1056)</f>
        <v>0.2163235</v>
      </c>
      <c r="H1056">
        <f t="shared" si="66"/>
        <v>0.05</v>
      </c>
      <c r="I1056">
        <f t="shared" si="67"/>
        <v>0</v>
      </c>
      <c r="J1056">
        <f>IF(I1055=0,0,C1055-I1055)</f>
        <v>0</v>
      </c>
    </row>
    <row r="1057" spans="1:10" x14ac:dyDescent="0.25">
      <c r="A1057" s="1">
        <v>40260</v>
      </c>
      <c r="B1057">
        <v>4.3288799999999998</v>
      </c>
      <c r="C1057">
        <v>4.8899999999999997</v>
      </c>
      <c r="D1057">
        <f>WEEKDAY(A1057,14)</f>
        <v>6</v>
      </c>
      <c r="E1057">
        <f t="shared" si="64"/>
        <v>0.7</v>
      </c>
      <c r="F1057">
        <f t="shared" si="65"/>
        <v>4</v>
      </c>
      <c r="G1057">
        <f>IF(F1057&gt;F1056,G1056+B1057*E1057,B1057*E1057)</f>
        <v>3.2465394999999999</v>
      </c>
      <c r="H1057">
        <f t="shared" si="66"/>
        <v>0.75</v>
      </c>
      <c r="I1057">
        <f t="shared" si="67"/>
        <v>0</v>
      </c>
      <c r="J1057">
        <f>IF(I1056=0,0,C1056-I1056)</f>
        <v>0</v>
      </c>
    </row>
    <row r="1058" spans="1:10" x14ac:dyDescent="0.25">
      <c r="A1058" s="1">
        <v>40261</v>
      </c>
      <c r="B1058">
        <v>4.4480700000000004</v>
      </c>
      <c r="C1058">
        <v>4.8899999999999997</v>
      </c>
      <c r="D1058">
        <f>WEEKDAY(A1058,14)</f>
        <v>7</v>
      </c>
      <c r="E1058">
        <f t="shared" si="64"/>
        <v>0.25</v>
      </c>
      <c r="F1058">
        <f t="shared" si="65"/>
        <v>5</v>
      </c>
      <c r="G1058">
        <f>IF(F1058&gt;F1057,G1057+B1058*E1058,B1058*E1058)</f>
        <v>4.3585570000000002</v>
      </c>
      <c r="H1058">
        <f t="shared" si="66"/>
        <v>1</v>
      </c>
      <c r="I1058">
        <f t="shared" si="67"/>
        <v>4.3585570000000002</v>
      </c>
      <c r="J1058">
        <f>IF(I1057=0,0,C1057-I1057)</f>
        <v>0</v>
      </c>
    </row>
    <row r="1059" spans="1:10" x14ac:dyDescent="0.25">
      <c r="A1059" s="1">
        <v>40262</v>
      </c>
      <c r="B1059">
        <v>4.5108100000000002</v>
      </c>
      <c r="C1059">
        <v>5.0049999999999999</v>
      </c>
      <c r="D1059">
        <f>WEEKDAY(A1059,14)</f>
        <v>1</v>
      </c>
      <c r="E1059">
        <f t="shared" si="64"/>
        <v>0</v>
      </c>
      <c r="F1059">
        <f t="shared" si="65"/>
        <v>1</v>
      </c>
      <c r="G1059">
        <f>IF(F1059&gt;F1058,G1058+B1059*E1059,B1059*E1059)</f>
        <v>0</v>
      </c>
      <c r="H1059">
        <f t="shared" si="66"/>
        <v>0</v>
      </c>
      <c r="I1059">
        <f t="shared" si="67"/>
        <v>0</v>
      </c>
      <c r="J1059">
        <f>IF(I1058=0,0,C1058-I1058)</f>
        <v>0.53144299999999944</v>
      </c>
    </row>
    <row r="1060" spans="1:10" x14ac:dyDescent="0.25">
      <c r="A1060" s="1">
        <v>40263</v>
      </c>
      <c r="B1060">
        <v>4.4567899999999998</v>
      </c>
      <c r="C1060">
        <v>5.0049999999999999</v>
      </c>
      <c r="D1060">
        <f>WEEKDAY(A1060,14)</f>
        <v>2</v>
      </c>
      <c r="E1060">
        <f t="shared" si="64"/>
        <v>0</v>
      </c>
      <c r="F1060">
        <f t="shared" si="65"/>
        <v>2</v>
      </c>
      <c r="G1060">
        <f>IF(F1060&gt;F1059,G1059+B1060*E1060,B1060*E1060)</f>
        <v>0</v>
      </c>
      <c r="H1060">
        <f t="shared" si="66"/>
        <v>0</v>
      </c>
      <c r="I1060">
        <f t="shared" si="67"/>
        <v>0</v>
      </c>
      <c r="J1060">
        <f>IF(I1059=0,0,C1059-I1059)</f>
        <v>0</v>
      </c>
    </row>
    <row r="1061" spans="1:10" x14ac:dyDescent="0.25">
      <c r="A1061" s="1">
        <v>40266</v>
      </c>
      <c r="B1061">
        <v>4.4592799999999997</v>
      </c>
      <c r="C1061">
        <v>5.0049999999999999</v>
      </c>
      <c r="D1061">
        <f>WEEKDAY(A1061,14)</f>
        <v>5</v>
      </c>
      <c r="E1061">
        <f t="shared" si="64"/>
        <v>0.05</v>
      </c>
      <c r="F1061">
        <f t="shared" si="65"/>
        <v>3</v>
      </c>
      <c r="G1061">
        <f>IF(F1061&gt;F1060,G1060+B1061*E1061,B1061*E1061)</f>
        <v>0.222964</v>
      </c>
      <c r="H1061">
        <f t="shared" si="66"/>
        <v>0.05</v>
      </c>
      <c r="I1061">
        <f t="shared" si="67"/>
        <v>0</v>
      </c>
      <c r="J1061">
        <f>IF(I1060=0,0,C1060-I1060)</f>
        <v>0</v>
      </c>
    </row>
    <row r="1062" spans="1:10" x14ac:dyDescent="0.25">
      <c r="A1062" s="1">
        <v>40267</v>
      </c>
      <c r="B1062">
        <v>4.4898899999999999</v>
      </c>
      <c r="C1062">
        <v>5.0049999999999999</v>
      </c>
      <c r="D1062">
        <f>WEEKDAY(A1062,14)</f>
        <v>6</v>
      </c>
      <c r="E1062">
        <f t="shared" si="64"/>
        <v>0.7</v>
      </c>
      <c r="F1062">
        <f t="shared" si="65"/>
        <v>4</v>
      </c>
      <c r="G1062">
        <f>IF(F1062&gt;F1061,G1061+B1062*E1062,B1062*E1062)</f>
        <v>3.3658869999999999</v>
      </c>
      <c r="H1062">
        <f t="shared" si="66"/>
        <v>0.75</v>
      </c>
      <c r="I1062">
        <f t="shared" si="67"/>
        <v>0</v>
      </c>
      <c r="J1062">
        <f>IF(I1061=0,0,C1061-I1061)</f>
        <v>0</v>
      </c>
    </row>
    <row r="1063" spans="1:10" x14ac:dyDescent="0.25">
      <c r="A1063" s="1">
        <v>40268</v>
      </c>
      <c r="B1063">
        <v>4.5033099999999999</v>
      </c>
      <c r="C1063">
        <v>5.0049999999999999</v>
      </c>
      <c r="D1063">
        <f>WEEKDAY(A1063,14)</f>
        <v>7</v>
      </c>
      <c r="E1063">
        <f t="shared" si="64"/>
        <v>0.25</v>
      </c>
      <c r="F1063">
        <f t="shared" si="65"/>
        <v>5</v>
      </c>
      <c r="G1063">
        <f>IF(F1063&gt;F1062,G1062+B1063*E1063,B1063*E1063)</f>
        <v>4.4917144999999996</v>
      </c>
      <c r="H1063">
        <f t="shared" si="66"/>
        <v>1</v>
      </c>
      <c r="I1063">
        <f t="shared" si="67"/>
        <v>4.4917144999999996</v>
      </c>
      <c r="J1063">
        <f>IF(I1062=0,0,C1062-I1062)</f>
        <v>0</v>
      </c>
    </row>
    <row r="1064" spans="1:10" x14ac:dyDescent="0.25">
      <c r="A1064" s="1">
        <v>40269</v>
      </c>
      <c r="B1064">
        <v>4.5550100000000002</v>
      </c>
      <c r="C1064">
        <v>5.1100000000000003</v>
      </c>
      <c r="D1064">
        <f>WEEKDAY(A1064,14)</f>
        <v>1</v>
      </c>
      <c r="E1064">
        <f t="shared" si="64"/>
        <v>0</v>
      </c>
      <c r="F1064">
        <f t="shared" si="65"/>
        <v>1</v>
      </c>
      <c r="G1064">
        <f>IF(F1064&gt;F1063,G1063+B1064*E1064,B1064*E1064)</f>
        <v>0</v>
      </c>
      <c r="H1064">
        <f t="shared" si="66"/>
        <v>0</v>
      </c>
      <c r="I1064">
        <f t="shared" si="67"/>
        <v>0</v>
      </c>
      <c r="J1064">
        <f>IF(I1063=0,0,C1063-I1063)</f>
        <v>0.51328550000000028</v>
      </c>
    </row>
    <row r="1065" spans="1:10" x14ac:dyDescent="0.25">
      <c r="A1065" s="1">
        <v>40273</v>
      </c>
      <c r="B1065">
        <v>4.6749299999999998</v>
      </c>
      <c r="C1065">
        <v>5.1100000000000003</v>
      </c>
      <c r="D1065">
        <f>WEEKDAY(A1065,14)</f>
        <v>5</v>
      </c>
      <c r="E1065">
        <f t="shared" si="64"/>
        <v>0.05</v>
      </c>
      <c r="F1065">
        <f t="shared" si="65"/>
        <v>2</v>
      </c>
      <c r="G1065">
        <f>IF(F1065&gt;F1064,G1064+B1065*E1065,B1065*E1065)</f>
        <v>0.2337465</v>
      </c>
      <c r="H1065">
        <f t="shared" si="66"/>
        <v>0.05</v>
      </c>
      <c r="I1065">
        <f t="shared" si="67"/>
        <v>0</v>
      </c>
      <c r="J1065">
        <f>IF(I1064=0,0,C1064-I1064)</f>
        <v>0</v>
      </c>
    </row>
    <row r="1066" spans="1:10" x14ac:dyDescent="0.25">
      <c r="A1066" s="1">
        <v>40274</v>
      </c>
      <c r="B1066">
        <v>4.6396600000000001</v>
      </c>
      <c r="C1066">
        <v>5.1100000000000003</v>
      </c>
      <c r="D1066">
        <f>WEEKDAY(A1066,14)</f>
        <v>6</v>
      </c>
      <c r="E1066">
        <f t="shared" si="64"/>
        <v>0.7</v>
      </c>
      <c r="F1066">
        <f t="shared" si="65"/>
        <v>3</v>
      </c>
      <c r="G1066">
        <f>IF(F1066&gt;F1065,G1065+B1066*E1066,B1066*E1066)</f>
        <v>3.4815084999999999</v>
      </c>
      <c r="H1066">
        <f t="shared" si="66"/>
        <v>0.75</v>
      </c>
      <c r="I1066">
        <f t="shared" si="67"/>
        <v>0</v>
      </c>
      <c r="J1066">
        <f>IF(I1065=0,0,C1065-I1065)</f>
        <v>0</v>
      </c>
    </row>
    <row r="1067" spans="1:10" x14ac:dyDescent="0.25">
      <c r="A1067" s="1">
        <v>40275</v>
      </c>
      <c r="B1067">
        <v>4.5339099999999997</v>
      </c>
      <c r="C1067">
        <v>5.1100000000000003</v>
      </c>
      <c r="D1067">
        <f>WEEKDAY(A1067,14)</f>
        <v>7</v>
      </c>
      <c r="E1067">
        <f t="shared" si="64"/>
        <v>0.25</v>
      </c>
      <c r="F1067">
        <f t="shared" si="65"/>
        <v>4</v>
      </c>
      <c r="G1067">
        <f>IF(F1067&gt;F1066,G1066+B1067*E1067,B1067*E1067)</f>
        <v>4.614986</v>
      </c>
      <c r="H1067">
        <f t="shared" si="66"/>
        <v>1</v>
      </c>
      <c r="I1067">
        <f t="shared" si="67"/>
        <v>4.614986</v>
      </c>
      <c r="J1067">
        <f>IF(I1066=0,0,C1066-I1066)</f>
        <v>0</v>
      </c>
    </row>
    <row r="1068" spans="1:10" x14ac:dyDescent="0.25">
      <c r="A1068" s="1">
        <v>40276</v>
      </c>
      <c r="B1068">
        <v>4.55471</v>
      </c>
      <c r="C1068">
        <v>4.97</v>
      </c>
      <c r="D1068">
        <f>WEEKDAY(A1068,14)</f>
        <v>1</v>
      </c>
      <c r="E1068">
        <f t="shared" si="64"/>
        <v>0</v>
      </c>
      <c r="F1068">
        <f t="shared" si="65"/>
        <v>1</v>
      </c>
      <c r="G1068">
        <f>IF(F1068&gt;F1067,G1067+B1068*E1068,B1068*E1068)</f>
        <v>0</v>
      </c>
      <c r="H1068">
        <f t="shared" si="66"/>
        <v>0</v>
      </c>
      <c r="I1068">
        <f t="shared" si="67"/>
        <v>0</v>
      </c>
      <c r="J1068">
        <f>IF(I1067=0,0,C1067-I1067)</f>
        <v>0.49501400000000029</v>
      </c>
    </row>
    <row r="1069" spans="1:10" x14ac:dyDescent="0.25">
      <c r="A1069" s="1">
        <v>40277</v>
      </c>
      <c r="B1069">
        <v>4.5415000000000001</v>
      </c>
      <c r="C1069">
        <v>4.97</v>
      </c>
      <c r="D1069">
        <f>WEEKDAY(A1069,14)</f>
        <v>2</v>
      </c>
      <c r="E1069">
        <f t="shared" si="64"/>
        <v>0</v>
      </c>
      <c r="F1069">
        <f t="shared" si="65"/>
        <v>2</v>
      </c>
      <c r="G1069">
        <f>IF(F1069&gt;F1068,G1068+B1069*E1069,B1069*E1069)</f>
        <v>0</v>
      </c>
      <c r="H1069">
        <f t="shared" si="66"/>
        <v>0</v>
      </c>
      <c r="I1069">
        <f t="shared" si="67"/>
        <v>0</v>
      </c>
      <c r="J1069">
        <f>IF(I1068=0,0,C1068-I1068)</f>
        <v>0</v>
      </c>
    </row>
    <row r="1070" spans="1:10" x14ac:dyDescent="0.25">
      <c r="A1070" s="1">
        <v>40280</v>
      </c>
      <c r="B1070">
        <v>4.46068</v>
      </c>
      <c r="C1070">
        <v>4.97</v>
      </c>
      <c r="D1070">
        <f>WEEKDAY(A1070,14)</f>
        <v>5</v>
      </c>
      <c r="E1070">
        <f t="shared" si="64"/>
        <v>0.05</v>
      </c>
      <c r="F1070">
        <f t="shared" si="65"/>
        <v>3</v>
      </c>
      <c r="G1070">
        <f>IF(F1070&gt;F1069,G1069+B1070*E1070,B1070*E1070)</f>
        <v>0.22303400000000001</v>
      </c>
      <c r="H1070">
        <f t="shared" si="66"/>
        <v>0.05</v>
      </c>
      <c r="I1070">
        <f t="shared" si="67"/>
        <v>0</v>
      </c>
      <c r="J1070">
        <f>IF(I1069=0,0,C1069-I1069)</f>
        <v>0</v>
      </c>
    </row>
    <row r="1071" spans="1:10" x14ac:dyDescent="0.25">
      <c r="A1071" s="1">
        <v>40281</v>
      </c>
      <c r="B1071">
        <v>4.43649</v>
      </c>
      <c r="C1071">
        <v>4.97</v>
      </c>
      <c r="D1071">
        <f>WEEKDAY(A1071,14)</f>
        <v>6</v>
      </c>
      <c r="E1071">
        <f t="shared" si="64"/>
        <v>0.7</v>
      </c>
      <c r="F1071">
        <f t="shared" si="65"/>
        <v>4</v>
      </c>
      <c r="G1071">
        <f>IF(F1071&gt;F1070,G1070+B1071*E1071,B1071*E1071)</f>
        <v>3.3285770000000001</v>
      </c>
      <c r="H1071">
        <f t="shared" si="66"/>
        <v>0.75</v>
      </c>
      <c r="I1071">
        <f t="shared" si="67"/>
        <v>0</v>
      </c>
      <c r="J1071">
        <f>IF(I1070=0,0,C1070-I1070)</f>
        <v>0</v>
      </c>
    </row>
    <row r="1072" spans="1:10" x14ac:dyDescent="0.25">
      <c r="A1072" s="1">
        <v>40282</v>
      </c>
      <c r="B1072">
        <v>4.4864100000000002</v>
      </c>
      <c r="C1072">
        <v>4.97</v>
      </c>
      <c r="D1072">
        <f>WEEKDAY(A1072,14)</f>
        <v>7</v>
      </c>
      <c r="E1072">
        <f t="shared" si="64"/>
        <v>0.25</v>
      </c>
      <c r="F1072">
        <f t="shared" si="65"/>
        <v>5</v>
      </c>
      <c r="G1072">
        <f>IF(F1072&gt;F1071,G1071+B1072*E1072,B1072*E1072)</f>
        <v>4.4501795</v>
      </c>
      <c r="H1072">
        <f t="shared" si="66"/>
        <v>1</v>
      </c>
      <c r="I1072">
        <f t="shared" si="67"/>
        <v>4.4501795</v>
      </c>
      <c r="J1072">
        <f>IF(I1071=0,0,C1071-I1071)</f>
        <v>0</v>
      </c>
    </row>
    <row r="1073" spans="1:10" x14ac:dyDescent="0.25">
      <c r="A1073" s="1">
        <v>40283</v>
      </c>
      <c r="B1073">
        <v>4.4789500000000002</v>
      </c>
      <c r="C1073">
        <v>4.9950000000000001</v>
      </c>
      <c r="D1073">
        <f>WEEKDAY(A1073,14)</f>
        <v>1</v>
      </c>
      <c r="E1073">
        <f t="shared" si="64"/>
        <v>0</v>
      </c>
      <c r="F1073">
        <f t="shared" si="65"/>
        <v>1</v>
      </c>
      <c r="G1073">
        <f>IF(F1073&gt;F1072,G1072+B1073*E1073,B1073*E1073)</f>
        <v>0</v>
      </c>
      <c r="H1073">
        <f t="shared" si="66"/>
        <v>0</v>
      </c>
      <c r="I1073">
        <f t="shared" si="67"/>
        <v>0</v>
      </c>
      <c r="J1073">
        <f>IF(I1072=0,0,C1072-I1072)</f>
        <v>0.5198204999999998</v>
      </c>
    </row>
    <row r="1074" spans="1:10" x14ac:dyDescent="0.25">
      <c r="A1074" s="1">
        <v>40284</v>
      </c>
      <c r="B1074">
        <v>4.4211499999999999</v>
      </c>
      <c r="C1074">
        <v>4.9950000000000001</v>
      </c>
      <c r="D1074">
        <f>WEEKDAY(A1074,14)</f>
        <v>2</v>
      </c>
      <c r="E1074">
        <f t="shared" si="64"/>
        <v>0</v>
      </c>
      <c r="F1074">
        <f t="shared" si="65"/>
        <v>2</v>
      </c>
      <c r="G1074">
        <f>IF(F1074&gt;F1073,G1073+B1074*E1074,B1074*E1074)</f>
        <v>0</v>
      </c>
      <c r="H1074">
        <f t="shared" si="66"/>
        <v>0</v>
      </c>
      <c r="I1074">
        <f t="shared" si="67"/>
        <v>0</v>
      </c>
      <c r="J1074">
        <f>IF(I1073=0,0,C1073-I1073)</f>
        <v>0</v>
      </c>
    </row>
    <row r="1075" spans="1:10" x14ac:dyDescent="0.25">
      <c r="A1075" s="1">
        <v>40287</v>
      </c>
      <c r="B1075">
        <v>4.4647699999999997</v>
      </c>
      <c r="C1075">
        <v>4.9950000000000001</v>
      </c>
      <c r="D1075">
        <f>WEEKDAY(A1075,14)</f>
        <v>5</v>
      </c>
      <c r="E1075">
        <f t="shared" si="64"/>
        <v>0.05</v>
      </c>
      <c r="F1075">
        <f t="shared" si="65"/>
        <v>3</v>
      </c>
      <c r="G1075">
        <f>IF(F1075&gt;F1074,G1074+B1075*E1075,B1075*E1075)</f>
        <v>0.22323850000000001</v>
      </c>
      <c r="H1075">
        <f t="shared" si="66"/>
        <v>0.05</v>
      </c>
      <c r="I1075">
        <f t="shared" si="67"/>
        <v>0</v>
      </c>
      <c r="J1075">
        <f>IF(I1074=0,0,C1074-I1074)</f>
        <v>0</v>
      </c>
    </row>
    <row r="1076" spans="1:10" x14ac:dyDescent="0.25">
      <c r="A1076" s="1">
        <v>40288</v>
      </c>
      <c r="B1076">
        <v>4.4716800000000001</v>
      </c>
      <c r="C1076">
        <v>4.9950000000000001</v>
      </c>
      <c r="D1076">
        <f>WEEKDAY(A1076,14)</f>
        <v>6</v>
      </c>
      <c r="E1076">
        <f t="shared" si="64"/>
        <v>0.7</v>
      </c>
      <c r="F1076">
        <f t="shared" si="65"/>
        <v>4</v>
      </c>
      <c r="G1076">
        <f>IF(F1076&gt;F1075,G1075+B1076*E1076,B1076*E1076)</f>
        <v>3.3534145</v>
      </c>
      <c r="H1076">
        <f t="shared" si="66"/>
        <v>0.75</v>
      </c>
      <c r="I1076">
        <f t="shared" si="67"/>
        <v>0</v>
      </c>
      <c r="J1076">
        <f>IF(I1075=0,0,C1075-I1075)</f>
        <v>0</v>
      </c>
    </row>
    <row r="1077" spans="1:10" x14ac:dyDescent="0.25">
      <c r="A1077" s="1">
        <v>40289</v>
      </c>
      <c r="B1077">
        <v>4.4287000000000001</v>
      </c>
      <c r="C1077">
        <v>4.9950000000000001</v>
      </c>
      <c r="D1077">
        <f>WEEKDAY(A1077,14)</f>
        <v>7</v>
      </c>
      <c r="E1077">
        <f t="shared" si="64"/>
        <v>0.25</v>
      </c>
      <c r="F1077">
        <f t="shared" si="65"/>
        <v>5</v>
      </c>
      <c r="G1077">
        <f>IF(F1077&gt;F1076,G1076+B1077*E1077,B1077*E1077)</f>
        <v>4.4605895000000002</v>
      </c>
      <c r="H1077">
        <f t="shared" si="66"/>
        <v>1</v>
      </c>
      <c r="I1077">
        <f t="shared" si="67"/>
        <v>4.4605895000000002</v>
      </c>
      <c r="J1077">
        <f>IF(I1076=0,0,C1076-I1076)</f>
        <v>0</v>
      </c>
    </row>
    <row r="1078" spans="1:10" x14ac:dyDescent="0.25">
      <c r="A1078" s="1">
        <v>40290</v>
      </c>
      <c r="B1078">
        <v>4.4736799999999999</v>
      </c>
      <c r="C1078">
        <v>4.9850000000000003</v>
      </c>
      <c r="D1078">
        <f>WEEKDAY(A1078,14)</f>
        <v>1</v>
      </c>
      <c r="E1078">
        <f t="shared" si="64"/>
        <v>0</v>
      </c>
      <c r="F1078">
        <f t="shared" si="65"/>
        <v>1</v>
      </c>
      <c r="G1078">
        <f>IF(F1078&gt;F1077,G1077+B1078*E1078,B1078*E1078)</f>
        <v>0</v>
      </c>
      <c r="H1078">
        <f t="shared" si="66"/>
        <v>0</v>
      </c>
      <c r="I1078">
        <f t="shared" si="67"/>
        <v>0</v>
      </c>
      <c r="J1078">
        <f>IF(I1077=0,0,C1077-I1077)</f>
        <v>0.5344104999999999</v>
      </c>
    </row>
    <row r="1079" spans="1:10" x14ac:dyDescent="0.25">
      <c r="A1079" s="1">
        <v>40291</v>
      </c>
      <c r="B1079">
        <v>4.4965799999999998</v>
      </c>
      <c r="C1079">
        <v>4.9850000000000003</v>
      </c>
      <c r="D1079">
        <f>WEEKDAY(A1079,14)</f>
        <v>2</v>
      </c>
      <c r="E1079">
        <f t="shared" si="64"/>
        <v>0</v>
      </c>
      <c r="F1079">
        <f t="shared" si="65"/>
        <v>2</v>
      </c>
      <c r="G1079">
        <f>IF(F1079&gt;F1078,G1078+B1079*E1079,B1079*E1079)</f>
        <v>0</v>
      </c>
      <c r="H1079">
        <f t="shared" si="66"/>
        <v>0</v>
      </c>
      <c r="I1079">
        <f t="shared" si="67"/>
        <v>0</v>
      </c>
      <c r="J1079">
        <f>IF(I1078=0,0,C1078-I1078)</f>
        <v>0</v>
      </c>
    </row>
    <row r="1080" spans="1:10" x14ac:dyDescent="0.25">
      <c r="A1080" s="1">
        <v>40294</v>
      </c>
      <c r="B1080">
        <v>4.4869700000000003</v>
      </c>
      <c r="C1080">
        <v>4.9850000000000003</v>
      </c>
      <c r="D1080">
        <f>WEEKDAY(A1080,14)</f>
        <v>5</v>
      </c>
      <c r="E1080">
        <f t="shared" si="64"/>
        <v>0.05</v>
      </c>
      <c r="F1080">
        <f t="shared" si="65"/>
        <v>3</v>
      </c>
      <c r="G1080">
        <f>IF(F1080&gt;F1079,G1079+B1080*E1080,B1080*E1080)</f>
        <v>0.22434850000000003</v>
      </c>
      <c r="H1080">
        <f t="shared" si="66"/>
        <v>0.05</v>
      </c>
      <c r="I1080">
        <f t="shared" si="67"/>
        <v>0</v>
      </c>
      <c r="J1080">
        <f>IF(I1079=0,0,C1079-I1079)</f>
        <v>0</v>
      </c>
    </row>
    <row r="1081" spans="1:10" x14ac:dyDescent="0.25">
      <c r="A1081" s="1">
        <v>40295</v>
      </c>
      <c r="B1081">
        <v>4.4098199999999999</v>
      </c>
      <c r="C1081">
        <v>4.9850000000000003</v>
      </c>
      <c r="D1081">
        <f>WEEKDAY(A1081,14)</f>
        <v>6</v>
      </c>
      <c r="E1081">
        <f t="shared" si="64"/>
        <v>0.7</v>
      </c>
      <c r="F1081">
        <f t="shared" si="65"/>
        <v>4</v>
      </c>
      <c r="G1081">
        <f>IF(F1081&gt;F1080,G1080+B1081*E1081,B1081*E1081)</f>
        <v>3.3112225</v>
      </c>
      <c r="H1081">
        <f t="shared" si="66"/>
        <v>0.75</v>
      </c>
      <c r="I1081">
        <f t="shared" si="67"/>
        <v>0</v>
      </c>
      <c r="J1081">
        <f>IF(I1080=0,0,C1080-I1080)</f>
        <v>0</v>
      </c>
    </row>
    <row r="1082" spans="1:10" x14ac:dyDescent="0.25">
      <c r="A1082" s="1">
        <v>40296</v>
      </c>
      <c r="B1082">
        <v>4.4652900000000004</v>
      </c>
      <c r="C1082">
        <v>4.9850000000000003</v>
      </c>
      <c r="D1082">
        <f>WEEKDAY(A1082,14)</f>
        <v>7</v>
      </c>
      <c r="E1082">
        <f t="shared" si="64"/>
        <v>0.25</v>
      </c>
      <c r="F1082">
        <f t="shared" si="65"/>
        <v>5</v>
      </c>
      <c r="G1082">
        <f>IF(F1082&gt;F1081,G1081+B1082*E1082,B1082*E1082)</f>
        <v>4.4275450000000003</v>
      </c>
      <c r="H1082">
        <f t="shared" si="66"/>
        <v>1</v>
      </c>
      <c r="I1082">
        <f t="shared" si="67"/>
        <v>4.4275450000000003</v>
      </c>
      <c r="J1082">
        <f>IF(I1081=0,0,C1081-I1081)</f>
        <v>0</v>
      </c>
    </row>
    <row r="1083" spans="1:10" x14ac:dyDescent="0.25">
      <c r="A1083" s="1">
        <v>40297</v>
      </c>
      <c r="B1083">
        <v>4.4231699999999998</v>
      </c>
      <c r="C1083">
        <v>4.9249999999999998</v>
      </c>
      <c r="D1083">
        <f>WEEKDAY(A1083,14)</f>
        <v>1</v>
      </c>
      <c r="E1083">
        <f t="shared" si="64"/>
        <v>0</v>
      </c>
      <c r="F1083">
        <f t="shared" si="65"/>
        <v>1</v>
      </c>
      <c r="G1083">
        <f>IF(F1083&gt;F1082,G1082+B1083*E1083,B1083*E1083)</f>
        <v>0</v>
      </c>
      <c r="H1083">
        <f t="shared" si="66"/>
        <v>0</v>
      </c>
      <c r="I1083">
        <f t="shared" si="67"/>
        <v>0</v>
      </c>
      <c r="J1083">
        <f>IF(I1082=0,0,C1082-I1082)</f>
        <v>0.55745500000000003</v>
      </c>
    </row>
    <row r="1084" spans="1:10" x14ac:dyDescent="0.25">
      <c r="A1084" s="1">
        <v>40298</v>
      </c>
      <c r="B1084">
        <v>4.3906999999999998</v>
      </c>
      <c r="C1084">
        <v>4.9249999999999998</v>
      </c>
      <c r="D1084">
        <f>WEEKDAY(A1084,14)</f>
        <v>2</v>
      </c>
      <c r="E1084">
        <f t="shared" si="64"/>
        <v>0</v>
      </c>
      <c r="F1084">
        <f t="shared" si="65"/>
        <v>2</v>
      </c>
      <c r="G1084">
        <f>IF(F1084&gt;F1083,G1083+B1084*E1084,B1084*E1084)</f>
        <v>0</v>
      </c>
      <c r="H1084">
        <f t="shared" si="66"/>
        <v>0</v>
      </c>
      <c r="I1084">
        <f t="shared" si="67"/>
        <v>0</v>
      </c>
      <c r="J1084">
        <f>IF(I1083=0,0,C1083-I1083)</f>
        <v>0</v>
      </c>
    </row>
    <row r="1085" spans="1:10" x14ac:dyDescent="0.25">
      <c r="A1085" s="1">
        <v>40301</v>
      </c>
      <c r="B1085">
        <v>4.43302</v>
      </c>
      <c r="C1085">
        <v>4.9249999999999998</v>
      </c>
      <c r="D1085">
        <f>WEEKDAY(A1085,14)</f>
        <v>5</v>
      </c>
      <c r="E1085">
        <f t="shared" si="64"/>
        <v>0.05</v>
      </c>
      <c r="F1085">
        <f t="shared" si="65"/>
        <v>3</v>
      </c>
      <c r="G1085">
        <f>IF(F1085&gt;F1084,G1084+B1085*E1085,B1085*E1085)</f>
        <v>0.22165100000000001</v>
      </c>
      <c r="H1085">
        <f t="shared" si="66"/>
        <v>0.05</v>
      </c>
      <c r="I1085">
        <f t="shared" si="67"/>
        <v>0</v>
      </c>
      <c r="J1085">
        <f>IF(I1084=0,0,C1084-I1084)</f>
        <v>0</v>
      </c>
    </row>
    <row r="1086" spans="1:10" x14ac:dyDescent="0.25">
      <c r="A1086" s="1">
        <v>40302</v>
      </c>
      <c r="B1086">
        <v>4.3804400000000001</v>
      </c>
      <c r="C1086">
        <v>4.9249999999999998</v>
      </c>
      <c r="D1086">
        <f>WEEKDAY(A1086,14)</f>
        <v>6</v>
      </c>
      <c r="E1086">
        <f t="shared" si="64"/>
        <v>0.7</v>
      </c>
      <c r="F1086">
        <f t="shared" si="65"/>
        <v>4</v>
      </c>
      <c r="G1086">
        <f>IF(F1086&gt;F1085,G1085+B1086*E1086,B1086*E1086)</f>
        <v>3.2879589999999999</v>
      </c>
      <c r="H1086">
        <f t="shared" si="66"/>
        <v>0.75</v>
      </c>
      <c r="I1086">
        <f t="shared" si="67"/>
        <v>0</v>
      </c>
      <c r="J1086">
        <f>IF(I1085=0,0,C1085-I1085)</f>
        <v>0</v>
      </c>
    </row>
    <row r="1087" spans="1:10" x14ac:dyDescent="0.25">
      <c r="A1087" s="1">
        <v>40303</v>
      </c>
      <c r="B1087">
        <v>4.3351600000000001</v>
      </c>
      <c r="C1087">
        <v>4.9249999999999998</v>
      </c>
      <c r="D1087">
        <f>WEEKDAY(A1087,14)</f>
        <v>7</v>
      </c>
      <c r="E1087">
        <f t="shared" si="64"/>
        <v>0.25</v>
      </c>
      <c r="F1087">
        <f t="shared" si="65"/>
        <v>5</v>
      </c>
      <c r="G1087">
        <f>IF(F1087&gt;F1086,G1086+B1087*E1087,B1087*E1087)</f>
        <v>4.3717489999999994</v>
      </c>
      <c r="H1087">
        <f t="shared" si="66"/>
        <v>1</v>
      </c>
      <c r="I1087">
        <f t="shared" si="67"/>
        <v>4.3717489999999994</v>
      </c>
      <c r="J1087">
        <f>IF(I1086=0,0,C1086-I1086)</f>
        <v>0</v>
      </c>
    </row>
    <row r="1088" spans="1:10" x14ac:dyDescent="0.25">
      <c r="A1088" s="1">
        <v>40304</v>
      </c>
      <c r="B1088">
        <v>4.2225599999999996</v>
      </c>
      <c r="C1088">
        <v>4.8550000000000004</v>
      </c>
      <c r="D1088">
        <f>WEEKDAY(A1088,14)</f>
        <v>1</v>
      </c>
      <c r="E1088">
        <f t="shared" si="64"/>
        <v>0</v>
      </c>
      <c r="F1088">
        <f t="shared" si="65"/>
        <v>1</v>
      </c>
      <c r="G1088">
        <f>IF(F1088&gt;F1087,G1087+B1088*E1088,B1088*E1088)</f>
        <v>0</v>
      </c>
      <c r="H1088">
        <f t="shared" si="66"/>
        <v>0</v>
      </c>
      <c r="I1088">
        <f t="shared" si="67"/>
        <v>0</v>
      </c>
      <c r="J1088">
        <f>IF(I1087=0,0,C1087-I1087)</f>
        <v>0.55325100000000038</v>
      </c>
    </row>
    <row r="1089" spans="1:10" x14ac:dyDescent="0.25">
      <c r="A1089" s="1">
        <v>40305</v>
      </c>
      <c r="B1089">
        <v>4.2583799999999998</v>
      </c>
      <c r="C1089">
        <v>4.8550000000000004</v>
      </c>
      <c r="D1089">
        <f>WEEKDAY(A1089,14)</f>
        <v>2</v>
      </c>
      <c r="E1089">
        <f t="shared" si="64"/>
        <v>0</v>
      </c>
      <c r="F1089">
        <f t="shared" si="65"/>
        <v>2</v>
      </c>
      <c r="G1089">
        <f>IF(F1089&gt;F1088,G1088+B1089*E1089,B1089*E1089)</f>
        <v>0</v>
      </c>
      <c r="H1089">
        <f t="shared" si="66"/>
        <v>0</v>
      </c>
      <c r="I1089">
        <f t="shared" si="67"/>
        <v>0</v>
      </c>
      <c r="J1089">
        <f>IF(I1088=0,0,C1088-I1088)</f>
        <v>0</v>
      </c>
    </row>
    <row r="1090" spans="1:10" x14ac:dyDescent="0.25">
      <c r="A1090" s="1">
        <v>40308</v>
      </c>
      <c r="B1090">
        <v>4.3116500000000002</v>
      </c>
      <c r="C1090">
        <v>4.8550000000000004</v>
      </c>
      <c r="D1090">
        <f>WEEKDAY(A1090,14)</f>
        <v>5</v>
      </c>
      <c r="E1090">
        <f t="shared" si="64"/>
        <v>0.05</v>
      </c>
      <c r="F1090">
        <f t="shared" si="65"/>
        <v>3</v>
      </c>
      <c r="G1090">
        <f>IF(F1090&gt;F1089,G1089+B1090*E1090,B1090*E1090)</f>
        <v>0.21558250000000001</v>
      </c>
      <c r="H1090">
        <f t="shared" si="66"/>
        <v>0.05</v>
      </c>
      <c r="I1090">
        <f t="shared" si="67"/>
        <v>0</v>
      </c>
      <c r="J1090">
        <f>IF(I1089=0,0,C1089-I1089)</f>
        <v>0</v>
      </c>
    </row>
    <row r="1091" spans="1:10" x14ac:dyDescent="0.25">
      <c r="A1091" s="1">
        <v>40309</v>
      </c>
      <c r="B1091">
        <v>4.2863800000000003</v>
      </c>
      <c r="C1091">
        <v>4.8550000000000004</v>
      </c>
      <c r="D1091">
        <f>WEEKDAY(A1091,14)</f>
        <v>6</v>
      </c>
      <c r="E1091">
        <f t="shared" ref="E1091:E1154" si="68">VLOOKUP(D1091,M$2:N$8,2,FALSE)</f>
        <v>0.7</v>
      </c>
      <c r="F1091">
        <f t="shared" ref="F1091:F1154" si="69">IF(AND(D1091&gt;D1090,F1090&lt;6),F1090+1,1)</f>
        <v>4</v>
      </c>
      <c r="G1091">
        <f>IF(F1091&gt;F1090,G1090+B1091*E1091,B1091*E1091)</f>
        <v>3.2160484999999999</v>
      </c>
      <c r="H1091">
        <f t="shared" si="66"/>
        <v>0.75</v>
      </c>
      <c r="I1091">
        <f t="shared" si="67"/>
        <v>0</v>
      </c>
      <c r="J1091">
        <f>IF(I1090=0,0,C1090-I1090)</f>
        <v>0</v>
      </c>
    </row>
    <row r="1092" spans="1:10" x14ac:dyDescent="0.25">
      <c r="A1092" s="1">
        <v>40310</v>
      </c>
      <c r="B1092">
        <v>4.2926700000000002</v>
      </c>
      <c r="C1092">
        <v>4.8550000000000004</v>
      </c>
      <c r="D1092">
        <f>WEEKDAY(A1092,14)</f>
        <v>7</v>
      </c>
      <c r="E1092">
        <f t="shared" si="68"/>
        <v>0.25</v>
      </c>
      <c r="F1092">
        <f t="shared" si="69"/>
        <v>5</v>
      </c>
      <c r="G1092">
        <f>IF(F1092&gt;F1091,G1091+B1092*E1092,B1092*E1092)</f>
        <v>4.2892159999999997</v>
      </c>
      <c r="H1092">
        <f t="shared" ref="H1092:H1155" si="70">IF(AND(F1092&lt;6,F1092&gt;F1091),E1092+H1091,E1092)</f>
        <v>1</v>
      </c>
      <c r="I1092">
        <f t="shared" ref="I1092:I1155" si="71">IF(F1092&gt;F1093,G1092/H1092,0)</f>
        <v>4.2892159999999997</v>
      </c>
      <c r="J1092">
        <f>IF(I1091=0,0,C1091-I1091)</f>
        <v>0</v>
      </c>
    </row>
    <row r="1093" spans="1:10" x14ac:dyDescent="0.25">
      <c r="A1093" s="1">
        <v>40311</v>
      </c>
      <c r="B1093">
        <v>4.2824900000000001</v>
      </c>
      <c r="C1093">
        <v>4.7649999999999997</v>
      </c>
      <c r="D1093">
        <f>WEEKDAY(A1093,14)</f>
        <v>1</v>
      </c>
      <c r="E1093">
        <f t="shared" si="68"/>
        <v>0</v>
      </c>
      <c r="F1093">
        <f t="shared" si="69"/>
        <v>1</v>
      </c>
      <c r="G1093">
        <f>IF(F1093&gt;F1092,G1092+B1093*E1093,B1093*E1093)</f>
        <v>0</v>
      </c>
      <c r="H1093">
        <f t="shared" si="70"/>
        <v>0</v>
      </c>
      <c r="I1093">
        <f t="shared" si="71"/>
        <v>0</v>
      </c>
      <c r="J1093">
        <f>IF(I1092=0,0,C1092-I1092)</f>
        <v>0.56578400000000073</v>
      </c>
    </row>
    <row r="1094" spans="1:10" x14ac:dyDescent="0.25">
      <c r="A1094" s="1">
        <v>40312</v>
      </c>
      <c r="B1094">
        <v>4.1918499999999996</v>
      </c>
      <c r="C1094">
        <v>4.7649999999999997</v>
      </c>
      <c r="D1094">
        <f>WEEKDAY(A1094,14)</f>
        <v>2</v>
      </c>
      <c r="E1094">
        <f t="shared" si="68"/>
        <v>0</v>
      </c>
      <c r="F1094">
        <f t="shared" si="69"/>
        <v>2</v>
      </c>
      <c r="G1094">
        <f>IF(F1094&gt;F1093,G1093+B1094*E1094,B1094*E1094)</f>
        <v>0</v>
      </c>
      <c r="H1094">
        <f t="shared" si="70"/>
        <v>0</v>
      </c>
      <c r="I1094">
        <f t="shared" si="71"/>
        <v>0</v>
      </c>
      <c r="J1094">
        <f>IF(I1093=0,0,C1093-I1093)</f>
        <v>0</v>
      </c>
    </row>
    <row r="1095" spans="1:10" x14ac:dyDescent="0.25">
      <c r="A1095" s="1">
        <v>40315</v>
      </c>
      <c r="B1095">
        <v>4.1901599999999997</v>
      </c>
      <c r="C1095">
        <v>4.7649999999999997</v>
      </c>
      <c r="D1095">
        <f>WEEKDAY(A1095,14)</f>
        <v>5</v>
      </c>
      <c r="E1095">
        <f t="shared" si="68"/>
        <v>0.05</v>
      </c>
      <c r="F1095">
        <f t="shared" si="69"/>
        <v>3</v>
      </c>
      <c r="G1095">
        <f>IF(F1095&gt;F1094,G1094+B1095*E1095,B1095*E1095)</f>
        <v>0.209508</v>
      </c>
      <c r="H1095">
        <f t="shared" si="70"/>
        <v>0.05</v>
      </c>
      <c r="I1095">
        <f t="shared" si="71"/>
        <v>0</v>
      </c>
      <c r="J1095">
        <f>IF(I1094=0,0,C1094-I1094)</f>
        <v>0</v>
      </c>
    </row>
    <row r="1096" spans="1:10" x14ac:dyDescent="0.25">
      <c r="A1096" s="1">
        <v>40316</v>
      </c>
      <c r="B1096">
        <v>4.1365999999999996</v>
      </c>
      <c r="C1096">
        <v>4.7649999999999997</v>
      </c>
      <c r="D1096">
        <f>WEEKDAY(A1096,14)</f>
        <v>6</v>
      </c>
      <c r="E1096">
        <f t="shared" si="68"/>
        <v>0.7</v>
      </c>
      <c r="F1096">
        <f t="shared" si="69"/>
        <v>4</v>
      </c>
      <c r="G1096">
        <f>IF(F1096&gt;F1095,G1095+B1096*E1096,B1096*E1096)</f>
        <v>3.1051279999999997</v>
      </c>
      <c r="H1096">
        <f t="shared" si="70"/>
        <v>0.75</v>
      </c>
      <c r="I1096">
        <f t="shared" si="71"/>
        <v>0</v>
      </c>
      <c r="J1096">
        <f>IF(I1095=0,0,C1095-I1095)</f>
        <v>0</v>
      </c>
    </row>
    <row r="1097" spans="1:10" x14ac:dyDescent="0.25">
      <c r="A1097" s="1">
        <v>40317</v>
      </c>
      <c r="B1097">
        <v>4.1277699999999999</v>
      </c>
      <c r="C1097">
        <v>4.7649999999999997</v>
      </c>
      <c r="D1097">
        <f>WEEKDAY(A1097,14)</f>
        <v>7</v>
      </c>
      <c r="E1097">
        <f t="shared" si="68"/>
        <v>0.25</v>
      </c>
      <c r="F1097">
        <f t="shared" si="69"/>
        <v>5</v>
      </c>
      <c r="G1097">
        <f>IF(F1097&gt;F1096,G1096+B1097*E1097,B1097*E1097)</f>
        <v>4.1370705000000001</v>
      </c>
      <c r="H1097">
        <f t="shared" si="70"/>
        <v>1</v>
      </c>
      <c r="I1097">
        <f t="shared" si="71"/>
        <v>4.1370705000000001</v>
      </c>
      <c r="J1097">
        <f>IF(I1096=0,0,C1096-I1096)</f>
        <v>0</v>
      </c>
    </row>
    <row r="1098" spans="1:10" x14ac:dyDescent="0.25">
      <c r="A1098" s="1">
        <v>40318</v>
      </c>
      <c r="B1098">
        <v>4.0602999999999998</v>
      </c>
      <c r="C1098">
        <v>4.7050000000000001</v>
      </c>
      <c r="D1098">
        <f>WEEKDAY(A1098,14)</f>
        <v>1</v>
      </c>
      <c r="E1098">
        <f t="shared" si="68"/>
        <v>0</v>
      </c>
      <c r="F1098">
        <f t="shared" si="69"/>
        <v>1</v>
      </c>
      <c r="G1098">
        <f>IF(F1098&gt;F1097,G1097+B1098*E1098,B1098*E1098)</f>
        <v>0</v>
      </c>
      <c r="H1098">
        <f t="shared" si="70"/>
        <v>0</v>
      </c>
      <c r="I1098">
        <f t="shared" si="71"/>
        <v>0</v>
      </c>
      <c r="J1098">
        <f>IF(I1097=0,0,C1097-I1097)</f>
        <v>0.62792949999999959</v>
      </c>
    </row>
    <row r="1099" spans="1:10" x14ac:dyDescent="0.25">
      <c r="A1099" s="1">
        <v>40319</v>
      </c>
      <c r="B1099">
        <v>4.0434400000000004</v>
      </c>
      <c r="C1099">
        <v>4.7050000000000001</v>
      </c>
      <c r="D1099">
        <f>WEEKDAY(A1099,14)</f>
        <v>2</v>
      </c>
      <c r="E1099">
        <f t="shared" si="68"/>
        <v>0</v>
      </c>
      <c r="F1099">
        <f t="shared" si="69"/>
        <v>2</v>
      </c>
      <c r="G1099">
        <f>IF(F1099&gt;F1098,G1098+B1099*E1099,B1099*E1099)</f>
        <v>0</v>
      </c>
      <c r="H1099">
        <f t="shared" si="70"/>
        <v>0</v>
      </c>
      <c r="I1099">
        <f t="shared" si="71"/>
        <v>0</v>
      </c>
      <c r="J1099">
        <f>IF(I1098=0,0,C1098-I1098)</f>
        <v>0</v>
      </c>
    </row>
    <row r="1100" spans="1:10" x14ac:dyDescent="0.25">
      <c r="A1100" s="1">
        <v>40322</v>
      </c>
      <c r="B1100">
        <v>4.11355</v>
      </c>
      <c r="C1100">
        <v>4.7050000000000001</v>
      </c>
      <c r="D1100">
        <f>WEEKDAY(A1100,14)</f>
        <v>5</v>
      </c>
      <c r="E1100">
        <f t="shared" si="68"/>
        <v>0.05</v>
      </c>
      <c r="F1100">
        <f t="shared" si="69"/>
        <v>3</v>
      </c>
      <c r="G1100">
        <f>IF(F1100&gt;F1099,G1099+B1100*E1100,B1100*E1100)</f>
        <v>0.20567750000000001</v>
      </c>
      <c r="H1100">
        <f t="shared" si="70"/>
        <v>0.05</v>
      </c>
      <c r="I1100">
        <f t="shared" si="71"/>
        <v>0</v>
      </c>
      <c r="J1100">
        <f>IF(I1099=0,0,C1099-I1099)</f>
        <v>0</v>
      </c>
    </row>
    <row r="1101" spans="1:10" x14ac:dyDescent="0.25">
      <c r="A1101" s="1">
        <v>40323</v>
      </c>
      <c r="B1101">
        <v>4.0582200000000004</v>
      </c>
      <c r="C1101">
        <v>4.7050000000000001</v>
      </c>
      <c r="D1101">
        <f>WEEKDAY(A1101,14)</f>
        <v>6</v>
      </c>
      <c r="E1101">
        <f t="shared" si="68"/>
        <v>0.7</v>
      </c>
      <c r="F1101">
        <f t="shared" si="69"/>
        <v>4</v>
      </c>
      <c r="G1101">
        <f>IF(F1101&gt;F1100,G1100+B1101*E1101,B1101*E1101)</f>
        <v>3.0464315000000002</v>
      </c>
      <c r="H1101">
        <f t="shared" si="70"/>
        <v>0.75</v>
      </c>
      <c r="I1101">
        <f t="shared" si="71"/>
        <v>0</v>
      </c>
      <c r="J1101">
        <f>IF(I1100=0,0,C1100-I1100)</f>
        <v>0</v>
      </c>
    </row>
    <row r="1102" spans="1:10" x14ac:dyDescent="0.25">
      <c r="A1102" s="1">
        <v>40324</v>
      </c>
      <c r="B1102">
        <v>4.0848800000000001</v>
      </c>
      <c r="C1102">
        <v>4.7050000000000001</v>
      </c>
      <c r="D1102">
        <f>WEEKDAY(A1102,14)</f>
        <v>7</v>
      </c>
      <c r="E1102">
        <f t="shared" si="68"/>
        <v>0.25</v>
      </c>
      <c r="F1102">
        <f t="shared" si="69"/>
        <v>5</v>
      </c>
      <c r="G1102">
        <f>IF(F1102&gt;F1101,G1101+B1102*E1102,B1102*E1102)</f>
        <v>4.0676515000000002</v>
      </c>
      <c r="H1102">
        <f t="shared" si="70"/>
        <v>1</v>
      </c>
      <c r="I1102">
        <f t="shared" si="71"/>
        <v>4.0676515000000002</v>
      </c>
      <c r="J1102">
        <f>IF(I1101=0,0,C1101-I1101)</f>
        <v>0</v>
      </c>
    </row>
    <row r="1103" spans="1:10" x14ac:dyDescent="0.25">
      <c r="A1103" s="1">
        <v>40325</v>
      </c>
      <c r="B1103">
        <v>4.1816199999999997</v>
      </c>
      <c r="C1103">
        <v>4.74</v>
      </c>
      <c r="D1103">
        <f>WEEKDAY(A1103,14)</f>
        <v>1</v>
      </c>
      <c r="E1103">
        <f t="shared" si="68"/>
        <v>0</v>
      </c>
      <c r="F1103">
        <f t="shared" si="69"/>
        <v>1</v>
      </c>
      <c r="G1103">
        <f>IF(F1103&gt;F1102,G1102+B1103*E1103,B1103*E1103)</f>
        <v>0</v>
      </c>
      <c r="H1103">
        <f t="shared" si="70"/>
        <v>0</v>
      </c>
      <c r="I1103">
        <f t="shared" si="71"/>
        <v>0</v>
      </c>
      <c r="J1103">
        <f>IF(I1102=0,0,C1102-I1102)</f>
        <v>0.63734849999999987</v>
      </c>
    </row>
    <row r="1104" spans="1:10" x14ac:dyDescent="0.25">
      <c r="A1104" s="1">
        <v>40326</v>
      </c>
      <c r="B1104">
        <v>4.1547400000000003</v>
      </c>
      <c r="C1104">
        <v>4.74</v>
      </c>
      <c r="D1104">
        <f>WEEKDAY(A1104,14)</f>
        <v>2</v>
      </c>
      <c r="E1104">
        <f t="shared" si="68"/>
        <v>0</v>
      </c>
      <c r="F1104">
        <f t="shared" si="69"/>
        <v>2</v>
      </c>
      <c r="G1104">
        <f>IF(F1104&gt;F1103,G1103+B1104*E1104,B1104*E1104)</f>
        <v>0</v>
      </c>
      <c r="H1104">
        <f t="shared" si="70"/>
        <v>0</v>
      </c>
      <c r="I1104">
        <f t="shared" si="71"/>
        <v>0</v>
      </c>
      <c r="J1104">
        <f>IF(I1103=0,0,C1103-I1103)</f>
        <v>0</v>
      </c>
    </row>
    <row r="1105" spans="1:10" x14ac:dyDescent="0.25">
      <c r="A1105" s="1">
        <v>40330</v>
      </c>
      <c r="B1105">
        <v>4.1510699999999998</v>
      </c>
      <c r="C1105">
        <v>4.74</v>
      </c>
      <c r="D1105">
        <f>WEEKDAY(A1105,14)</f>
        <v>6</v>
      </c>
      <c r="E1105">
        <f t="shared" si="68"/>
        <v>0.7</v>
      </c>
      <c r="F1105">
        <f t="shared" si="69"/>
        <v>3</v>
      </c>
      <c r="G1105">
        <f>IF(F1105&gt;F1104,G1104+B1105*E1105,B1105*E1105)</f>
        <v>2.9057489999999997</v>
      </c>
      <c r="H1105">
        <f t="shared" si="70"/>
        <v>0.7</v>
      </c>
      <c r="I1105">
        <f t="shared" si="71"/>
        <v>0</v>
      </c>
      <c r="J1105">
        <f>IF(I1104=0,0,C1104-I1104)</f>
        <v>0</v>
      </c>
    </row>
    <row r="1106" spans="1:10" x14ac:dyDescent="0.25">
      <c r="A1106" s="1">
        <v>40331</v>
      </c>
      <c r="B1106">
        <v>4.1766800000000002</v>
      </c>
      <c r="C1106">
        <v>4.74</v>
      </c>
      <c r="D1106">
        <f>WEEKDAY(A1106,14)</f>
        <v>7</v>
      </c>
      <c r="E1106">
        <f t="shared" si="68"/>
        <v>0.25</v>
      </c>
      <c r="F1106">
        <f t="shared" si="69"/>
        <v>4</v>
      </c>
      <c r="G1106">
        <f>IF(F1106&gt;F1105,G1105+B1106*E1106,B1106*E1106)</f>
        <v>3.9499189999999995</v>
      </c>
      <c r="H1106">
        <f t="shared" si="70"/>
        <v>0.95</v>
      </c>
      <c r="I1106">
        <f t="shared" si="71"/>
        <v>4.1578094736842104</v>
      </c>
      <c r="J1106">
        <f>IF(I1105=0,0,C1105-I1105)</f>
        <v>0</v>
      </c>
    </row>
    <row r="1107" spans="1:10" x14ac:dyDescent="0.25">
      <c r="A1107" s="1">
        <v>40332</v>
      </c>
      <c r="B1107">
        <v>4.1875799999999996</v>
      </c>
      <c r="C1107">
        <v>4.6449999999999996</v>
      </c>
      <c r="D1107">
        <f>WEEKDAY(A1107,14)</f>
        <v>1</v>
      </c>
      <c r="E1107">
        <f t="shared" si="68"/>
        <v>0</v>
      </c>
      <c r="F1107">
        <f t="shared" si="69"/>
        <v>1</v>
      </c>
      <c r="G1107">
        <f>IF(F1107&gt;F1106,G1106+B1107*E1107,B1107*E1107)</f>
        <v>0</v>
      </c>
      <c r="H1107">
        <f t="shared" si="70"/>
        <v>0</v>
      </c>
      <c r="I1107">
        <f t="shared" si="71"/>
        <v>0</v>
      </c>
      <c r="J1107">
        <f>IF(I1106=0,0,C1106-I1106)</f>
        <v>0.58219052631578982</v>
      </c>
    </row>
    <row r="1108" spans="1:10" x14ac:dyDescent="0.25">
      <c r="A1108" s="1">
        <v>40333</v>
      </c>
      <c r="B1108">
        <v>4.0385</v>
      </c>
      <c r="C1108">
        <v>4.6449999999999996</v>
      </c>
      <c r="D1108">
        <f>WEEKDAY(A1108,14)</f>
        <v>2</v>
      </c>
      <c r="E1108">
        <f t="shared" si="68"/>
        <v>0</v>
      </c>
      <c r="F1108">
        <f t="shared" si="69"/>
        <v>2</v>
      </c>
      <c r="G1108">
        <f>IF(F1108&gt;F1107,G1107+B1108*E1108,B1108*E1108)</f>
        <v>0</v>
      </c>
      <c r="H1108">
        <f t="shared" si="70"/>
        <v>0</v>
      </c>
      <c r="I1108">
        <f t="shared" si="71"/>
        <v>0</v>
      </c>
      <c r="J1108">
        <f>IF(I1107=0,0,C1107-I1107)</f>
        <v>0</v>
      </c>
    </row>
    <row r="1109" spans="1:10" x14ac:dyDescent="0.25">
      <c r="A1109" s="1">
        <v>40336</v>
      </c>
      <c r="B1109">
        <v>4.0322199999999997</v>
      </c>
      <c r="C1109">
        <v>4.6449999999999996</v>
      </c>
      <c r="D1109">
        <f>WEEKDAY(A1109,14)</f>
        <v>5</v>
      </c>
      <c r="E1109">
        <f t="shared" si="68"/>
        <v>0.05</v>
      </c>
      <c r="F1109">
        <f t="shared" si="69"/>
        <v>3</v>
      </c>
      <c r="G1109">
        <f>IF(F1109&gt;F1108,G1108+B1109*E1109,B1109*E1109)</f>
        <v>0.20161099999999998</v>
      </c>
      <c r="H1109">
        <f t="shared" si="70"/>
        <v>0.05</v>
      </c>
      <c r="I1109">
        <f t="shared" si="71"/>
        <v>0</v>
      </c>
      <c r="J1109">
        <f>IF(I1108=0,0,C1108-I1108)</f>
        <v>0</v>
      </c>
    </row>
    <row r="1110" spans="1:10" x14ac:dyDescent="0.25">
      <c r="A1110" s="1">
        <v>40337</v>
      </c>
      <c r="B1110">
        <v>3.9995799999999999</v>
      </c>
      <c r="C1110">
        <v>4.6449999999999996</v>
      </c>
      <c r="D1110">
        <f>WEEKDAY(A1110,14)</f>
        <v>6</v>
      </c>
      <c r="E1110">
        <f t="shared" si="68"/>
        <v>0.7</v>
      </c>
      <c r="F1110">
        <f t="shared" si="69"/>
        <v>4</v>
      </c>
      <c r="G1110">
        <f>IF(F1110&gt;F1109,G1109+B1110*E1110,B1110*E1110)</f>
        <v>3.0013169999999993</v>
      </c>
      <c r="H1110">
        <f t="shared" si="70"/>
        <v>0.75</v>
      </c>
      <c r="I1110">
        <f t="shared" si="71"/>
        <v>0</v>
      </c>
      <c r="J1110">
        <f>IF(I1109=0,0,C1109-I1109)</f>
        <v>0</v>
      </c>
    </row>
    <row r="1111" spans="1:10" x14ac:dyDescent="0.25">
      <c r="A1111" s="1">
        <v>40338</v>
      </c>
      <c r="B1111">
        <v>3.9942500000000001</v>
      </c>
      <c r="C1111">
        <v>4.6449999999999996</v>
      </c>
      <c r="D1111">
        <f>WEEKDAY(A1111,14)</f>
        <v>7</v>
      </c>
      <c r="E1111">
        <f t="shared" si="68"/>
        <v>0.25</v>
      </c>
      <c r="F1111">
        <f t="shared" si="69"/>
        <v>5</v>
      </c>
      <c r="G1111">
        <f>IF(F1111&gt;F1110,G1110+B1111*E1111,B1111*E1111)</f>
        <v>3.9998794999999996</v>
      </c>
      <c r="H1111">
        <f t="shared" si="70"/>
        <v>1</v>
      </c>
      <c r="I1111">
        <f t="shared" si="71"/>
        <v>3.9998794999999996</v>
      </c>
      <c r="J1111">
        <f>IF(I1110=0,0,C1110-I1110)</f>
        <v>0</v>
      </c>
    </row>
    <row r="1112" spans="1:10" x14ac:dyDescent="0.25">
      <c r="A1112" s="1">
        <v>40339</v>
      </c>
      <c r="B1112">
        <v>4.1065300000000002</v>
      </c>
      <c r="C1112">
        <v>4.6749999999999998</v>
      </c>
      <c r="D1112">
        <f>WEEKDAY(A1112,14)</f>
        <v>1</v>
      </c>
      <c r="E1112">
        <f t="shared" si="68"/>
        <v>0</v>
      </c>
      <c r="F1112">
        <f t="shared" si="69"/>
        <v>1</v>
      </c>
      <c r="G1112">
        <f>IF(F1112&gt;F1111,G1111+B1112*E1112,B1112*E1112)</f>
        <v>0</v>
      </c>
      <c r="H1112">
        <f t="shared" si="70"/>
        <v>0</v>
      </c>
      <c r="I1112">
        <f t="shared" si="71"/>
        <v>0</v>
      </c>
      <c r="J1112">
        <f>IF(I1111=0,0,C1111-I1111)</f>
        <v>0.64512049999999999</v>
      </c>
    </row>
    <row r="1113" spans="1:10" x14ac:dyDescent="0.25">
      <c r="A1113" s="1">
        <v>40340</v>
      </c>
      <c r="B1113">
        <v>4.0220500000000001</v>
      </c>
      <c r="C1113">
        <v>4.6749999999999998</v>
      </c>
      <c r="D1113">
        <f>WEEKDAY(A1113,14)</f>
        <v>2</v>
      </c>
      <c r="E1113">
        <f t="shared" si="68"/>
        <v>0</v>
      </c>
      <c r="F1113">
        <f t="shared" si="69"/>
        <v>2</v>
      </c>
      <c r="G1113">
        <f>IF(F1113&gt;F1112,G1112+B1113*E1113,B1113*E1113)</f>
        <v>0</v>
      </c>
      <c r="H1113">
        <f t="shared" si="70"/>
        <v>0</v>
      </c>
      <c r="I1113">
        <f t="shared" si="71"/>
        <v>0</v>
      </c>
      <c r="J1113">
        <f>IF(I1112=0,0,C1112-I1112)</f>
        <v>0</v>
      </c>
    </row>
    <row r="1114" spans="1:10" x14ac:dyDescent="0.25">
      <c r="A1114" s="1">
        <v>40343</v>
      </c>
      <c r="B1114">
        <v>4.0388500000000001</v>
      </c>
      <c r="C1114">
        <v>4.6749999999999998</v>
      </c>
      <c r="D1114">
        <f>WEEKDAY(A1114,14)</f>
        <v>5</v>
      </c>
      <c r="E1114">
        <f t="shared" si="68"/>
        <v>0.05</v>
      </c>
      <c r="F1114">
        <f t="shared" si="69"/>
        <v>3</v>
      </c>
      <c r="G1114">
        <f>IF(F1114&gt;F1113,G1113+B1114*E1114,B1114*E1114)</f>
        <v>0.20194250000000002</v>
      </c>
      <c r="H1114">
        <f t="shared" si="70"/>
        <v>0.05</v>
      </c>
      <c r="I1114">
        <f t="shared" si="71"/>
        <v>0</v>
      </c>
      <c r="J1114">
        <f>IF(I1113=0,0,C1113-I1113)</f>
        <v>0</v>
      </c>
    </row>
    <row r="1115" spans="1:10" x14ac:dyDescent="0.25">
      <c r="A1115" s="1">
        <v>40344</v>
      </c>
      <c r="B1115">
        <v>4.0755400000000002</v>
      </c>
      <c r="C1115">
        <v>4.6749999999999998</v>
      </c>
      <c r="D1115">
        <f>WEEKDAY(A1115,14)</f>
        <v>6</v>
      </c>
      <c r="E1115">
        <f t="shared" si="68"/>
        <v>0.7</v>
      </c>
      <c r="F1115">
        <f t="shared" si="69"/>
        <v>4</v>
      </c>
      <c r="G1115">
        <f>IF(F1115&gt;F1114,G1114+B1115*E1115,B1115*E1115)</f>
        <v>3.0548204999999999</v>
      </c>
      <c r="H1115">
        <f t="shared" si="70"/>
        <v>0.75</v>
      </c>
      <c r="I1115">
        <f t="shared" si="71"/>
        <v>0</v>
      </c>
      <c r="J1115">
        <f>IF(I1114=0,0,C1114-I1114)</f>
        <v>0</v>
      </c>
    </row>
    <row r="1116" spans="1:10" x14ac:dyDescent="0.25">
      <c r="A1116" s="1">
        <v>40345</v>
      </c>
      <c r="B1116">
        <v>4.0548799999999998</v>
      </c>
      <c r="C1116">
        <v>4.6749999999999998</v>
      </c>
      <c r="D1116">
        <f>WEEKDAY(A1116,14)</f>
        <v>7</v>
      </c>
      <c r="E1116">
        <f t="shared" si="68"/>
        <v>0.25</v>
      </c>
      <c r="F1116">
        <f t="shared" si="69"/>
        <v>5</v>
      </c>
      <c r="G1116">
        <f>IF(F1116&gt;F1115,G1115+B1116*E1116,B1116*E1116)</f>
        <v>4.0685405000000001</v>
      </c>
      <c r="H1116">
        <f t="shared" si="70"/>
        <v>1</v>
      </c>
      <c r="I1116">
        <f t="shared" si="71"/>
        <v>4.0685405000000001</v>
      </c>
      <c r="J1116">
        <f>IF(I1115=0,0,C1115-I1115)</f>
        <v>0</v>
      </c>
    </row>
    <row r="1117" spans="1:10" x14ac:dyDescent="0.25">
      <c r="A1117" s="1">
        <v>40346</v>
      </c>
      <c r="B1117">
        <v>3.9681899999999999</v>
      </c>
      <c r="C1117">
        <v>4.6150000000000002</v>
      </c>
      <c r="D1117">
        <f>WEEKDAY(A1117,14)</f>
        <v>1</v>
      </c>
      <c r="E1117">
        <f t="shared" si="68"/>
        <v>0</v>
      </c>
      <c r="F1117">
        <f t="shared" si="69"/>
        <v>1</v>
      </c>
      <c r="G1117">
        <f>IF(F1117&gt;F1116,G1116+B1117*E1117,B1117*E1117)</f>
        <v>0</v>
      </c>
      <c r="H1117">
        <f t="shared" si="70"/>
        <v>0</v>
      </c>
      <c r="I1117">
        <f t="shared" si="71"/>
        <v>0</v>
      </c>
      <c r="J1117">
        <f>IF(I1116=0,0,C1116-I1116)</f>
        <v>0.60645949999999971</v>
      </c>
    </row>
    <row r="1118" spans="1:10" x14ac:dyDescent="0.25">
      <c r="A1118" s="1">
        <v>40347</v>
      </c>
      <c r="B1118">
        <v>3.97044</v>
      </c>
      <c r="C1118">
        <v>4.6150000000000002</v>
      </c>
      <c r="D1118">
        <f>WEEKDAY(A1118,14)</f>
        <v>2</v>
      </c>
      <c r="E1118">
        <f t="shared" si="68"/>
        <v>0</v>
      </c>
      <c r="F1118">
        <f t="shared" si="69"/>
        <v>2</v>
      </c>
      <c r="G1118">
        <f>IF(F1118&gt;F1117,G1117+B1118*E1118,B1118*E1118)</f>
        <v>0</v>
      </c>
      <c r="H1118">
        <f t="shared" si="70"/>
        <v>0</v>
      </c>
      <c r="I1118">
        <f t="shared" si="71"/>
        <v>0</v>
      </c>
      <c r="J1118">
        <f>IF(I1117=0,0,C1117-I1117)</f>
        <v>0</v>
      </c>
    </row>
    <row r="1119" spans="1:10" x14ac:dyDescent="0.25">
      <c r="A1119" s="1">
        <v>40350</v>
      </c>
      <c r="B1119">
        <v>3.9550399999999999</v>
      </c>
      <c r="C1119">
        <v>4.6150000000000002</v>
      </c>
      <c r="D1119">
        <f>WEEKDAY(A1119,14)</f>
        <v>5</v>
      </c>
      <c r="E1119">
        <f t="shared" si="68"/>
        <v>0.05</v>
      </c>
      <c r="F1119">
        <f t="shared" si="69"/>
        <v>3</v>
      </c>
      <c r="G1119">
        <f>IF(F1119&gt;F1118,G1118+B1119*E1119,B1119*E1119)</f>
        <v>0.19775200000000001</v>
      </c>
      <c r="H1119">
        <f t="shared" si="70"/>
        <v>0.05</v>
      </c>
      <c r="I1119">
        <f t="shared" si="71"/>
        <v>0</v>
      </c>
      <c r="J1119">
        <f>IF(I1118=0,0,C1118-I1118)</f>
        <v>0</v>
      </c>
    </row>
    <row r="1120" spans="1:10" x14ac:dyDescent="0.25">
      <c r="A1120" s="1">
        <v>40351</v>
      </c>
      <c r="B1120">
        <v>3.8749199999999999</v>
      </c>
      <c r="C1120">
        <v>4.6150000000000002</v>
      </c>
      <c r="D1120">
        <f>WEEKDAY(A1120,14)</f>
        <v>6</v>
      </c>
      <c r="E1120">
        <f t="shared" si="68"/>
        <v>0.7</v>
      </c>
      <c r="F1120">
        <f t="shared" si="69"/>
        <v>4</v>
      </c>
      <c r="G1120">
        <f>IF(F1120&gt;F1119,G1119+B1120*E1120,B1120*E1120)</f>
        <v>2.9101959999999996</v>
      </c>
      <c r="H1120">
        <f t="shared" si="70"/>
        <v>0.75</v>
      </c>
      <c r="I1120">
        <f t="shared" si="71"/>
        <v>0</v>
      </c>
      <c r="J1120">
        <f>IF(I1119=0,0,C1119-I1119)</f>
        <v>0</v>
      </c>
    </row>
    <row r="1121" spans="1:10" x14ac:dyDescent="0.25">
      <c r="A1121" s="1">
        <v>40352</v>
      </c>
      <c r="B1121">
        <v>3.8309199999999999</v>
      </c>
      <c r="C1121">
        <v>4.6150000000000002</v>
      </c>
      <c r="D1121">
        <f>WEEKDAY(A1121,14)</f>
        <v>7</v>
      </c>
      <c r="E1121">
        <f t="shared" si="68"/>
        <v>0.25</v>
      </c>
      <c r="F1121">
        <f t="shared" si="69"/>
        <v>5</v>
      </c>
      <c r="G1121">
        <f>IF(F1121&gt;F1120,G1120+B1121*E1121,B1121*E1121)</f>
        <v>3.8679259999999998</v>
      </c>
      <c r="H1121">
        <f t="shared" si="70"/>
        <v>1</v>
      </c>
      <c r="I1121">
        <f t="shared" si="71"/>
        <v>3.8679259999999998</v>
      </c>
      <c r="J1121">
        <f>IF(I1120=0,0,C1120-I1120)</f>
        <v>0</v>
      </c>
    </row>
    <row r="1122" spans="1:10" x14ac:dyDescent="0.25">
      <c r="A1122" s="1">
        <v>40353</v>
      </c>
      <c r="B1122">
        <v>3.9081399999999999</v>
      </c>
      <c r="C1122">
        <v>4.5049999999999999</v>
      </c>
      <c r="D1122">
        <f>WEEKDAY(A1122,14)</f>
        <v>1</v>
      </c>
      <c r="E1122">
        <f t="shared" si="68"/>
        <v>0</v>
      </c>
      <c r="F1122">
        <f t="shared" si="69"/>
        <v>1</v>
      </c>
      <c r="G1122">
        <f>IF(F1122&gt;F1121,G1121+B1122*E1122,B1122*E1122)</f>
        <v>0</v>
      </c>
      <c r="H1122">
        <f t="shared" si="70"/>
        <v>0</v>
      </c>
      <c r="I1122">
        <f t="shared" si="71"/>
        <v>0</v>
      </c>
      <c r="J1122">
        <f>IF(I1121=0,0,C1121-I1121)</f>
        <v>0.74707400000000046</v>
      </c>
    </row>
    <row r="1123" spans="1:10" x14ac:dyDescent="0.25">
      <c r="A1123" s="1">
        <v>40354</v>
      </c>
      <c r="B1123">
        <v>3.8645800000000001</v>
      </c>
      <c r="C1123">
        <v>4.5049999999999999</v>
      </c>
      <c r="D1123">
        <f>WEEKDAY(A1123,14)</f>
        <v>2</v>
      </c>
      <c r="E1123">
        <f t="shared" si="68"/>
        <v>0</v>
      </c>
      <c r="F1123">
        <f t="shared" si="69"/>
        <v>2</v>
      </c>
      <c r="G1123">
        <f>IF(F1123&gt;F1122,G1122+B1123*E1123,B1123*E1123)</f>
        <v>0</v>
      </c>
      <c r="H1123">
        <f t="shared" si="70"/>
        <v>0</v>
      </c>
      <c r="I1123">
        <f t="shared" si="71"/>
        <v>0</v>
      </c>
      <c r="J1123">
        <f>IF(I1122=0,0,C1122-I1122)</f>
        <v>0</v>
      </c>
    </row>
    <row r="1124" spans="1:10" x14ac:dyDescent="0.25">
      <c r="A1124" s="1">
        <v>40357</v>
      </c>
      <c r="B1124">
        <v>3.7615699999999999</v>
      </c>
      <c r="C1124">
        <v>4.5049999999999999</v>
      </c>
      <c r="D1124">
        <f>WEEKDAY(A1124,14)</f>
        <v>5</v>
      </c>
      <c r="E1124">
        <f t="shared" si="68"/>
        <v>0.05</v>
      </c>
      <c r="F1124">
        <f t="shared" si="69"/>
        <v>3</v>
      </c>
      <c r="G1124">
        <f>IF(F1124&gt;F1123,G1123+B1124*E1124,B1124*E1124)</f>
        <v>0.18807850000000001</v>
      </c>
      <c r="H1124">
        <f t="shared" si="70"/>
        <v>0.05</v>
      </c>
      <c r="I1124">
        <f t="shared" si="71"/>
        <v>0</v>
      </c>
      <c r="J1124">
        <f>IF(I1123=0,0,C1123-I1123)</f>
        <v>0</v>
      </c>
    </row>
    <row r="1125" spans="1:10" x14ac:dyDescent="0.25">
      <c r="A1125" s="1">
        <v>40358</v>
      </c>
      <c r="B1125">
        <v>3.72533</v>
      </c>
      <c r="C1125">
        <v>4.5049999999999999</v>
      </c>
      <c r="D1125">
        <f>WEEKDAY(A1125,14)</f>
        <v>6</v>
      </c>
      <c r="E1125">
        <f t="shared" si="68"/>
        <v>0.7</v>
      </c>
      <c r="F1125">
        <f t="shared" si="69"/>
        <v>4</v>
      </c>
      <c r="G1125">
        <f>IF(F1125&gt;F1124,G1124+B1125*E1125,B1125*E1125)</f>
        <v>2.7958094999999998</v>
      </c>
      <c r="H1125">
        <f t="shared" si="70"/>
        <v>0.75</v>
      </c>
      <c r="I1125">
        <f t="shared" si="71"/>
        <v>0</v>
      </c>
      <c r="J1125">
        <f>IF(I1124=0,0,C1124-I1124)</f>
        <v>0</v>
      </c>
    </row>
    <row r="1126" spans="1:10" x14ac:dyDescent="0.25">
      <c r="A1126" s="1">
        <v>40359</v>
      </c>
      <c r="B1126">
        <v>3.7245900000000001</v>
      </c>
      <c r="C1126">
        <v>4.5049999999999999</v>
      </c>
      <c r="D1126">
        <f>WEEKDAY(A1126,14)</f>
        <v>7</v>
      </c>
      <c r="E1126">
        <f t="shared" si="68"/>
        <v>0.25</v>
      </c>
      <c r="F1126">
        <f t="shared" si="69"/>
        <v>5</v>
      </c>
      <c r="G1126">
        <f>IF(F1126&gt;F1125,G1125+B1126*E1126,B1126*E1126)</f>
        <v>3.7269569999999996</v>
      </c>
      <c r="H1126">
        <f t="shared" si="70"/>
        <v>1</v>
      </c>
      <c r="I1126">
        <f t="shared" si="71"/>
        <v>3.7269569999999996</v>
      </c>
      <c r="J1126">
        <f>IF(I1125=0,0,C1125-I1125)</f>
        <v>0</v>
      </c>
    </row>
    <row r="1127" spans="1:10" x14ac:dyDescent="0.25">
      <c r="A1127" s="1">
        <v>40360</v>
      </c>
      <c r="B1127">
        <v>3.6937899999999999</v>
      </c>
      <c r="C1127">
        <v>4.4950000000000001</v>
      </c>
      <c r="D1127">
        <f>WEEKDAY(A1127,14)</f>
        <v>1</v>
      </c>
      <c r="E1127">
        <f t="shared" si="68"/>
        <v>0</v>
      </c>
      <c r="F1127">
        <f t="shared" si="69"/>
        <v>1</v>
      </c>
      <c r="G1127">
        <f>IF(F1127&gt;F1126,G1126+B1127*E1127,B1127*E1127)</f>
        <v>0</v>
      </c>
      <c r="H1127">
        <f t="shared" si="70"/>
        <v>0</v>
      </c>
      <c r="I1127">
        <f t="shared" si="71"/>
        <v>0</v>
      </c>
      <c r="J1127">
        <f>IF(I1126=0,0,C1126-I1126)</f>
        <v>0.77804300000000026</v>
      </c>
    </row>
    <row r="1128" spans="1:10" x14ac:dyDescent="0.25">
      <c r="A1128" s="1">
        <v>40361</v>
      </c>
      <c r="B1128">
        <v>3.7169599999999998</v>
      </c>
      <c r="C1128">
        <v>4.4950000000000001</v>
      </c>
      <c r="D1128">
        <f>WEEKDAY(A1128,14)</f>
        <v>2</v>
      </c>
      <c r="E1128">
        <f t="shared" si="68"/>
        <v>0</v>
      </c>
      <c r="F1128">
        <f t="shared" si="69"/>
        <v>2</v>
      </c>
      <c r="G1128">
        <f>IF(F1128&gt;F1127,G1127+B1128*E1128,B1128*E1128)</f>
        <v>0</v>
      </c>
      <c r="H1128">
        <f t="shared" si="70"/>
        <v>0</v>
      </c>
      <c r="I1128">
        <f t="shared" si="71"/>
        <v>0</v>
      </c>
      <c r="J1128">
        <f>IF(I1127=0,0,C1127-I1127)</f>
        <v>0</v>
      </c>
    </row>
    <row r="1129" spans="1:10" x14ac:dyDescent="0.25">
      <c r="A1129" s="1">
        <v>40365</v>
      </c>
      <c r="B1129">
        <v>3.6351300000000002</v>
      </c>
      <c r="C1129">
        <v>4.4950000000000001</v>
      </c>
      <c r="D1129">
        <f>WEEKDAY(A1129,14)</f>
        <v>6</v>
      </c>
      <c r="E1129">
        <f t="shared" si="68"/>
        <v>0.7</v>
      </c>
      <c r="F1129">
        <f t="shared" si="69"/>
        <v>3</v>
      </c>
      <c r="G1129">
        <f>IF(F1129&gt;F1128,G1128+B1129*E1129,B1129*E1129)</f>
        <v>2.544591</v>
      </c>
      <c r="H1129">
        <f t="shared" si="70"/>
        <v>0.7</v>
      </c>
      <c r="I1129">
        <f t="shared" si="71"/>
        <v>0</v>
      </c>
      <c r="J1129">
        <f>IF(I1128=0,0,C1128-I1128)</f>
        <v>0</v>
      </c>
    </row>
    <row r="1130" spans="1:10" x14ac:dyDescent="0.25">
      <c r="A1130" s="1">
        <v>40366</v>
      </c>
      <c r="B1130">
        <v>3.6983700000000002</v>
      </c>
      <c r="C1130">
        <v>4.4950000000000001</v>
      </c>
      <c r="D1130">
        <f>WEEKDAY(A1130,14)</f>
        <v>7</v>
      </c>
      <c r="E1130">
        <f t="shared" si="68"/>
        <v>0.25</v>
      </c>
      <c r="F1130">
        <f t="shared" si="69"/>
        <v>4</v>
      </c>
      <c r="G1130">
        <f>IF(F1130&gt;F1129,G1129+B1130*E1130,B1130*E1130)</f>
        <v>3.4691835000000002</v>
      </c>
      <c r="H1130">
        <f t="shared" si="70"/>
        <v>0.95</v>
      </c>
      <c r="I1130">
        <f t="shared" si="71"/>
        <v>3.6517721052631584</v>
      </c>
      <c r="J1130">
        <f>IF(I1129=0,0,C1129-I1129)</f>
        <v>0</v>
      </c>
    </row>
    <row r="1131" spans="1:10" x14ac:dyDescent="0.25">
      <c r="A1131" s="1">
        <v>40367</v>
      </c>
      <c r="B1131">
        <v>3.7116799999999999</v>
      </c>
      <c r="C1131">
        <v>4.4950000000000001</v>
      </c>
      <c r="D1131">
        <f>WEEKDAY(A1131,14)</f>
        <v>1</v>
      </c>
      <c r="E1131">
        <f t="shared" si="68"/>
        <v>0</v>
      </c>
      <c r="F1131">
        <f t="shared" si="69"/>
        <v>1</v>
      </c>
      <c r="G1131">
        <f>IF(F1131&gt;F1130,G1130+B1131*E1131,B1131*E1131)</f>
        <v>0</v>
      </c>
      <c r="H1131">
        <f t="shared" si="70"/>
        <v>0</v>
      </c>
      <c r="I1131">
        <f t="shared" si="71"/>
        <v>0</v>
      </c>
      <c r="J1131">
        <f>IF(I1130=0,0,C1130-I1130)</f>
        <v>0.84322789473684168</v>
      </c>
    </row>
    <row r="1132" spans="1:10" x14ac:dyDescent="0.25">
      <c r="A1132" s="1">
        <v>40368</v>
      </c>
      <c r="B1132">
        <v>3.7157499999999999</v>
      </c>
      <c r="C1132">
        <v>4.4950000000000001</v>
      </c>
      <c r="D1132">
        <f>WEEKDAY(A1132,14)</f>
        <v>2</v>
      </c>
      <c r="E1132">
        <f t="shared" si="68"/>
        <v>0</v>
      </c>
      <c r="F1132">
        <f t="shared" si="69"/>
        <v>2</v>
      </c>
      <c r="G1132">
        <f>IF(F1132&gt;F1131,G1131+B1132*E1132,B1132*E1132)</f>
        <v>0</v>
      </c>
      <c r="H1132">
        <f t="shared" si="70"/>
        <v>0</v>
      </c>
      <c r="I1132">
        <f t="shared" si="71"/>
        <v>0</v>
      </c>
      <c r="J1132">
        <f>IF(I1131=0,0,C1131-I1131)</f>
        <v>0</v>
      </c>
    </row>
    <row r="1133" spans="1:10" x14ac:dyDescent="0.25">
      <c r="A1133" s="1">
        <v>40371</v>
      </c>
      <c r="B1133">
        <v>3.7139500000000001</v>
      </c>
      <c r="C1133">
        <v>4.4950000000000001</v>
      </c>
      <c r="D1133">
        <f>WEEKDAY(A1133,14)</f>
        <v>5</v>
      </c>
      <c r="E1133">
        <f t="shared" si="68"/>
        <v>0.05</v>
      </c>
      <c r="F1133">
        <f t="shared" si="69"/>
        <v>3</v>
      </c>
      <c r="G1133">
        <f>IF(F1133&gt;F1132,G1132+B1133*E1133,B1133*E1133)</f>
        <v>0.18569750000000002</v>
      </c>
      <c r="H1133">
        <f t="shared" si="70"/>
        <v>0.05</v>
      </c>
      <c r="I1133">
        <f t="shared" si="71"/>
        <v>0</v>
      </c>
      <c r="J1133">
        <f>IF(I1132=0,0,C1132-I1132)</f>
        <v>0</v>
      </c>
    </row>
    <row r="1134" spans="1:10" x14ac:dyDescent="0.25">
      <c r="A1134" s="1">
        <v>40372</v>
      </c>
      <c r="B1134">
        <v>3.7530600000000001</v>
      </c>
      <c r="C1134">
        <v>4.4950000000000001</v>
      </c>
      <c r="D1134">
        <f>WEEKDAY(A1134,14)</f>
        <v>6</v>
      </c>
      <c r="E1134">
        <f t="shared" si="68"/>
        <v>0.7</v>
      </c>
      <c r="F1134">
        <f t="shared" si="69"/>
        <v>4</v>
      </c>
      <c r="G1134">
        <f>IF(F1134&gt;F1133,G1133+B1134*E1134,B1134*E1134)</f>
        <v>2.8128394999999999</v>
      </c>
      <c r="H1134">
        <f t="shared" si="70"/>
        <v>0.75</v>
      </c>
      <c r="I1134">
        <f t="shared" si="71"/>
        <v>0</v>
      </c>
      <c r="J1134">
        <f>IF(I1133=0,0,C1133-I1133)</f>
        <v>0</v>
      </c>
    </row>
    <row r="1135" spans="1:10" x14ac:dyDescent="0.25">
      <c r="A1135" s="1">
        <v>40373</v>
      </c>
      <c r="B1135">
        <v>3.7004299999999999</v>
      </c>
      <c r="C1135">
        <v>4.4950000000000001</v>
      </c>
      <c r="D1135">
        <f>WEEKDAY(A1135,14)</f>
        <v>7</v>
      </c>
      <c r="E1135">
        <f t="shared" si="68"/>
        <v>0.25</v>
      </c>
      <c r="F1135">
        <f t="shared" si="69"/>
        <v>5</v>
      </c>
      <c r="G1135">
        <f>IF(F1135&gt;F1134,G1134+B1135*E1135,B1135*E1135)</f>
        <v>3.7379470000000001</v>
      </c>
      <c r="H1135">
        <f t="shared" si="70"/>
        <v>1</v>
      </c>
      <c r="I1135">
        <f t="shared" si="71"/>
        <v>3.7379470000000001</v>
      </c>
      <c r="J1135">
        <f>IF(I1134=0,0,C1134-I1134)</f>
        <v>0</v>
      </c>
    </row>
    <row r="1136" spans="1:10" x14ac:dyDescent="0.25">
      <c r="A1136" s="1">
        <v>40374</v>
      </c>
      <c r="B1136">
        <v>3.61225</v>
      </c>
      <c r="C1136">
        <v>4.4850000000000003</v>
      </c>
      <c r="D1136">
        <f>WEEKDAY(A1136,14)</f>
        <v>1</v>
      </c>
      <c r="E1136">
        <f t="shared" si="68"/>
        <v>0</v>
      </c>
      <c r="F1136">
        <f t="shared" si="69"/>
        <v>1</v>
      </c>
      <c r="G1136">
        <f>IF(F1136&gt;F1135,G1135+B1136*E1136,B1136*E1136)</f>
        <v>0</v>
      </c>
      <c r="H1136">
        <f t="shared" si="70"/>
        <v>0</v>
      </c>
      <c r="I1136">
        <f t="shared" si="71"/>
        <v>0</v>
      </c>
      <c r="J1136">
        <f>IF(I1135=0,0,C1135-I1135)</f>
        <v>0.75705299999999998</v>
      </c>
    </row>
    <row r="1137" spans="1:10" x14ac:dyDescent="0.25">
      <c r="A1137" s="1">
        <v>40375</v>
      </c>
      <c r="B1137">
        <v>3.5977299999999999</v>
      </c>
      <c r="C1137">
        <v>4.4850000000000003</v>
      </c>
      <c r="D1137">
        <f>WEEKDAY(A1137,14)</f>
        <v>2</v>
      </c>
      <c r="E1137">
        <f t="shared" si="68"/>
        <v>0</v>
      </c>
      <c r="F1137">
        <f t="shared" si="69"/>
        <v>2</v>
      </c>
      <c r="G1137">
        <f>IF(F1137&gt;F1136,G1136+B1137*E1137,B1137*E1137)</f>
        <v>0</v>
      </c>
      <c r="H1137">
        <f t="shared" si="70"/>
        <v>0</v>
      </c>
      <c r="I1137">
        <f t="shared" si="71"/>
        <v>0</v>
      </c>
      <c r="J1137">
        <f>IF(I1136=0,0,C1136-I1136)</f>
        <v>0</v>
      </c>
    </row>
    <row r="1138" spans="1:10" x14ac:dyDescent="0.25">
      <c r="A1138" s="1">
        <v>40378</v>
      </c>
      <c r="B1138">
        <v>3.65741</v>
      </c>
      <c r="C1138">
        <v>4.4850000000000003</v>
      </c>
      <c r="D1138">
        <f>WEEKDAY(A1138,14)</f>
        <v>5</v>
      </c>
      <c r="E1138">
        <f t="shared" si="68"/>
        <v>0.05</v>
      </c>
      <c r="F1138">
        <f t="shared" si="69"/>
        <v>3</v>
      </c>
      <c r="G1138">
        <f>IF(F1138&gt;F1137,G1137+B1138*E1138,B1138*E1138)</f>
        <v>0.18287050000000002</v>
      </c>
      <c r="H1138">
        <f t="shared" si="70"/>
        <v>0.05</v>
      </c>
      <c r="I1138">
        <f t="shared" si="71"/>
        <v>0</v>
      </c>
      <c r="J1138">
        <f>IF(I1137=0,0,C1137-I1137)</f>
        <v>0</v>
      </c>
    </row>
    <row r="1139" spans="1:10" x14ac:dyDescent="0.25">
      <c r="A1139" s="1">
        <v>40379</v>
      </c>
      <c r="B1139">
        <v>3.6359300000000001</v>
      </c>
      <c r="C1139">
        <v>4.4850000000000003</v>
      </c>
      <c r="D1139">
        <f>WEEKDAY(A1139,14)</f>
        <v>6</v>
      </c>
      <c r="E1139">
        <f t="shared" si="68"/>
        <v>0.7</v>
      </c>
      <c r="F1139">
        <f t="shared" si="69"/>
        <v>4</v>
      </c>
      <c r="G1139">
        <f>IF(F1139&gt;F1138,G1138+B1139*E1139,B1139*E1139)</f>
        <v>2.7280214999999997</v>
      </c>
      <c r="H1139">
        <f t="shared" si="70"/>
        <v>0.75</v>
      </c>
      <c r="I1139">
        <f t="shared" si="71"/>
        <v>0</v>
      </c>
      <c r="J1139">
        <f>IF(I1138=0,0,C1138-I1138)</f>
        <v>0</v>
      </c>
    </row>
    <row r="1140" spans="1:10" x14ac:dyDescent="0.25">
      <c r="A1140" s="1">
        <v>40380</v>
      </c>
      <c r="B1140">
        <v>3.5678700000000001</v>
      </c>
      <c r="C1140">
        <v>4.4850000000000003</v>
      </c>
      <c r="D1140">
        <f>WEEKDAY(A1140,14)</f>
        <v>7</v>
      </c>
      <c r="E1140">
        <f t="shared" si="68"/>
        <v>0.25</v>
      </c>
      <c r="F1140">
        <f t="shared" si="69"/>
        <v>5</v>
      </c>
      <c r="G1140">
        <f>IF(F1140&gt;F1139,G1139+B1140*E1140,B1140*E1140)</f>
        <v>3.6199889999999995</v>
      </c>
      <c r="H1140">
        <f t="shared" si="70"/>
        <v>1</v>
      </c>
      <c r="I1140">
        <f t="shared" si="71"/>
        <v>3.6199889999999995</v>
      </c>
      <c r="J1140">
        <f>IF(I1139=0,0,C1139-I1139)</f>
        <v>0</v>
      </c>
    </row>
    <row r="1141" spans="1:10" x14ac:dyDescent="0.25">
      <c r="A1141" s="1">
        <v>40381</v>
      </c>
      <c r="B1141">
        <v>3.5744500000000001</v>
      </c>
      <c r="C1141">
        <v>4.4649999999999999</v>
      </c>
      <c r="D1141">
        <f>WEEKDAY(A1141,14)</f>
        <v>1</v>
      </c>
      <c r="E1141">
        <f t="shared" si="68"/>
        <v>0</v>
      </c>
      <c r="F1141">
        <f t="shared" si="69"/>
        <v>1</v>
      </c>
      <c r="G1141">
        <f>IF(F1141&gt;F1140,G1140+B1141*E1141,B1141*E1141)</f>
        <v>0</v>
      </c>
      <c r="H1141">
        <f t="shared" si="70"/>
        <v>0</v>
      </c>
      <c r="I1141">
        <f t="shared" si="71"/>
        <v>0</v>
      </c>
      <c r="J1141">
        <f>IF(I1140=0,0,C1140-I1140)</f>
        <v>0.86501100000000086</v>
      </c>
    </row>
    <row r="1142" spans="1:10" x14ac:dyDescent="0.25">
      <c r="A1142" s="1">
        <v>40382</v>
      </c>
      <c r="B1142">
        <v>3.6186199999999999</v>
      </c>
      <c r="C1142">
        <v>4.4649999999999999</v>
      </c>
      <c r="D1142">
        <f>WEEKDAY(A1142,14)</f>
        <v>2</v>
      </c>
      <c r="E1142">
        <f t="shared" si="68"/>
        <v>0</v>
      </c>
      <c r="F1142">
        <f t="shared" si="69"/>
        <v>2</v>
      </c>
      <c r="G1142">
        <f>IF(F1142&gt;F1141,G1141+B1142*E1142,B1142*E1142)</f>
        <v>0</v>
      </c>
      <c r="H1142">
        <f t="shared" si="70"/>
        <v>0</v>
      </c>
      <c r="I1142">
        <f t="shared" si="71"/>
        <v>0</v>
      </c>
      <c r="J1142">
        <f>IF(I1141=0,0,C1141-I1141)</f>
        <v>0</v>
      </c>
    </row>
    <row r="1143" spans="1:10" x14ac:dyDescent="0.25">
      <c r="A1143" s="1">
        <v>40385</v>
      </c>
      <c r="B1143">
        <v>3.6202999999999999</v>
      </c>
      <c r="C1143">
        <v>4.4649999999999999</v>
      </c>
      <c r="D1143">
        <f>WEEKDAY(A1143,14)</f>
        <v>5</v>
      </c>
      <c r="E1143">
        <f t="shared" si="68"/>
        <v>0.05</v>
      </c>
      <c r="F1143">
        <f t="shared" si="69"/>
        <v>3</v>
      </c>
      <c r="G1143">
        <f>IF(F1143&gt;F1142,G1142+B1143*E1143,B1143*E1143)</f>
        <v>0.18101500000000001</v>
      </c>
      <c r="H1143">
        <f t="shared" si="70"/>
        <v>0.05</v>
      </c>
      <c r="I1143">
        <f t="shared" si="71"/>
        <v>0</v>
      </c>
      <c r="J1143">
        <f>IF(I1142=0,0,C1142-I1142)</f>
        <v>0</v>
      </c>
    </row>
    <row r="1144" spans="1:10" x14ac:dyDescent="0.25">
      <c r="A1144" s="1">
        <v>40386</v>
      </c>
      <c r="B1144">
        <v>3.62</v>
      </c>
      <c r="C1144">
        <v>4.4649999999999999</v>
      </c>
      <c r="D1144">
        <f>WEEKDAY(A1144,14)</f>
        <v>6</v>
      </c>
      <c r="E1144">
        <f t="shared" si="68"/>
        <v>0.7</v>
      </c>
      <c r="F1144">
        <f t="shared" si="69"/>
        <v>4</v>
      </c>
      <c r="G1144">
        <f>IF(F1144&gt;F1143,G1143+B1144*E1144,B1144*E1144)</f>
        <v>2.7150149999999997</v>
      </c>
      <c r="H1144">
        <f t="shared" si="70"/>
        <v>0.75</v>
      </c>
      <c r="I1144">
        <f t="shared" si="71"/>
        <v>0</v>
      </c>
      <c r="J1144">
        <f>IF(I1143=0,0,C1143-I1143)</f>
        <v>0</v>
      </c>
    </row>
    <row r="1145" spans="1:10" x14ac:dyDescent="0.25">
      <c r="A1145" s="1">
        <v>40387</v>
      </c>
      <c r="B1145">
        <v>3.57124</v>
      </c>
      <c r="C1145">
        <v>4.4649999999999999</v>
      </c>
      <c r="D1145">
        <f>WEEKDAY(A1145,14)</f>
        <v>7</v>
      </c>
      <c r="E1145">
        <f t="shared" si="68"/>
        <v>0.25</v>
      </c>
      <c r="F1145">
        <f t="shared" si="69"/>
        <v>5</v>
      </c>
      <c r="G1145">
        <f>IF(F1145&gt;F1144,G1144+B1145*E1145,B1145*E1145)</f>
        <v>3.6078249999999996</v>
      </c>
      <c r="H1145">
        <f t="shared" si="70"/>
        <v>1</v>
      </c>
      <c r="I1145">
        <f t="shared" si="71"/>
        <v>3.6078249999999996</v>
      </c>
      <c r="J1145">
        <f>IF(I1144=0,0,C1144-I1144)</f>
        <v>0</v>
      </c>
    </row>
    <row r="1146" spans="1:10" x14ac:dyDescent="0.25">
      <c r="A1146" s="1">
        <v>40388</v>
      </c>
      <c r="B1146">
        <v>3.5563099999999999</v>
      </c>
      <c r="C1146">
        <v>4.415</v>
      </c>
      <c r="D1146">
        <f>WEEKDAY(A1146,14)</f>
        <v>1</v>
      </c>
      <c r="E1146">
        <f t="shared" si="68"/>
        <v>0</v>
      </c>
      <c r="F1146">
        <f t="shared" si="69"/>
        <v>1</v>
      </c>
      <c r="G1146">
        <f>IF(F1146&gt;F1145,G1145+B1146*E1146,B1146*E1146)</f>
        <v>0</v>
      </c>
      <c r="H1146">
        <f t="shared" si="70"/>
        <v>0</v>
      </c>
      <c r="I1146">
        <f t="shared" si="71"/>
        <v>0</v>
      </c>
      <c r="J1146">
        <f>IF(I1145=0,0,C1145-I1145)</f>
        <v>0.85717500000000024</v>
      </c>
    </row>
    <row r="1147" spans="1:10" x14ac:dyDescent="0.25">
      <c r="A1147" s="1">
        <v>40389</v>
      </c>
      <c r="B1147">
        <v>3.48603</v>
      </c>
      <c r="C1147">
        <v>4.415</v>
      </c>
      <c r="D1147">
        <f>WEEKDAY(A1147,14)</f>
        <v>2</v>
      </c>
      <c r="E1147">
        <f t="shared" si="68"/>
        <v>0</v>
      </c>
      <c r="F1147">
        <f t="shared" si="69"/>
        <v>2</v>
      </c>
      <c r="G1147">
        <f>IF(F1147&gt;F1146,G1146+B1147*E1147,B1147*E1147)</f>
        <v>0</v>
      </c>
      <c r="H1147">
        <f t="shared" si="70"/>
        <v>0</v>
      </c>
      <c r="I1147">
        <f t="shared" si="71"/>
        <v>0</v>
      </c>
      <c r="J1147">
        <f>IF(I1146=0,0,C1146-I1146)</f>
        <v>0</v>
      </c>
    </row>
    <row r="1148" spans="1:10" x14ac:dyDescent="0.25">
      <c r="A1148" s="1">
        <v>40392</v>
      </c>
      <c r="B1148">
        <v>3.5727000000000002</v>
      </c>
      <c r="C1148">
        <v>4.415</v>
      </c>
      <c r="D1148">
        <f>WEEKDAY(A1148,14)</f>
        <v>5</v>
      </c>
      <c r="E1148">
        <f t="shared" si="68"/>
        <v>0.05</v>
      </c>
      <c r="F1148">
        <f t="shared" si="69"/>
        <v>3</v>
      </c>
      <c r="G1148">
        <f>IF(F1148&gt;F1147,G1147+B1148*E1148,B1148*E1148)</f>
        <v>0.17863500000000002</v>
      </c>
      <c r="H1148">
        <f t="shared" si="70"/>
        <v>0.05</v>
      </c>
      <c r="I1148">
        <f t="shared" si="71"/>
        <v>0</v>
      </c>
      <c r="J1148">
        <f>IF(I1147=0,0,C1147-I1147)</f>
        <v>0</v>
      </c>
    </row>
    <row r="1149" spans="1:10" x14ac:dyDescent="0.25">
      <c r="A1149" s="1">
        <v>40393</v>
      </c>
      <c r="B1149">
        <v>3.5228600000000001</v>
      </c>
      <c r="C1149">
        <v>4.415</v>
      </c>
      <c r="D1149">
        <f>WEEKDAY(A1149,14)</f>
        <v>6</v>
      </c>
      <c r="E1149">
        <f t="shared" si="68"/>
        <v>0.7</v>
      </c>
      <c r="F1149">
        <f t="shared" si="69"/>
        <v>4</v>
      </c>
      <c r="G1149">
        <f>IF(F1149&gt;F1148,G1148+B1149*E1149,B1149*E1149)</f>
        <v>2.6446369999999999</v>
      </c>
      <c r="H1149">
        <f t="shared" si="70"/>
        <v>0.75</v>
      </c>
      <c r="I1149">
        <f t="shared" si="71"/>
        <v>0</v>
      </c>
      <c r="J1149">
        <f>IF(I1148=0,0,C1148-I1148)</f>
        <v>0</v>
      </c>
    </row>
    <row r="1150" spans="1:10" x14ac:dyDescent="0.25">
      <c r="A1150" s="1">
        <v>40394</v>
      </c>
      <c r="B1150">
        <v>3.5817000000000001</v>
      </c>
      <c r="C1150">
        <v>4.415</v>
      </c>
      <c r="D1150">
        <f>WEEKDAY(A1150,14)</f>
        <v>7</v>
      </c>
      <c r="E1150">
        <f t="shared" si="68"/>
        <v>0.25</v>
      </c>
      <c r="F1150">
        <f t="shared" si="69"/>
        <v>5</v>
      </c>
      <c r="G1150">
        <f>IF(F1150&gt;F1149,G1149+B1150*E1150,B1150*E1150)</f>
        <v>3.5400619999999998</v>
      </c>
      <c r="H1150">
        <f t="shared" si="70"/>
        <v>1</v>
      </c>
      <c r="I1150">
        <f t="shared" si="71"/>
        <v>3.5400619999999998</v>
      </c>
      <c r="J1150">
        <f>IF(I1149=0,0,C1149-I1149)</f>
        <v>0</v>
      </c>
    </row>
    <row r="1151" spans="1:10" x14ac:dyDescent="0.25">
      <c r="A1151" s="1">
        <v>40395</v>
      </c>
      <c r="B1151">
        <v>3.5533700000000001</v>
      </c>
      <c r="C1151">
        <v>4.3650000000000002</v>
      </c>
      <c r="D1151">
        <f>WEEKDAY(A1151,14)</f>
        <v>1</v>
      </c>
      <c r="E1151">
        <f t="shared" si="68"/>
        <v>0</v>
      </c>
      <c r="F1151">
        <f t="shared" si="69"/>
        <v>1</v>
      </c>
      <c r="G1151">
        <f>IF(F1151&gt;F1150,G1150+B1151*E1151,B1151*E1151)</f>
        <v>0</v>
      </c>
      <c r="H1151">
        <f t="shared" si="70"/>
        <v>0</v>
      </c>
      <c r="I1151">
        <f t="shared" si="71"/>
        <v>0</v>
      </c>
      <c r="J1151">
        <f>IF(I1150=0,0,C1150-I1150)</f>
        <v>0.87493800000000022</v>
      </c>
    </row>
    <row r="1152" spans="1:10" x14ac:dyDescent="0.25">
      <c r="A1152" s="1">
        <v>40396</v>
      </c>
      <c r="B1152">
        <v>3.48719</v>
      </c>
      <c r="C1152">
        <v>4.3650000000000002</v>
      </c>
      <c r="D1152">
        <f>WEEKDAY(A1152,14)</f>
        <v>2</v>
      </c>
      <c r="E1152">
        <f t="shared" si="68"/>
        <v>0</v>
      </c>
      <c r="F1152">
        <f t="shared" si="69"/>
        <v>2</v>
      </c>
      <c r="G1152">
        <f>IF(F1152&gt;F1151,G1151+B1152*E1152,B1152*E1152)</f>
        <v>0</v>
      </c>
      <c r="H1152">
        <f t="shared" si="70"/>
        <v>0</v>
      </c>
      <c r="I1152">
        <f t="shared" si="71"/>
        <v>0</v>
      </c>
      <c r="J1152">
        <f>IF(I1151=0,0,C1151-I1151)</f>
        <v>0</v>
      </c>
    </row>
    <row r="1153" spans="1:10" x14ac:dyDescent="0.25">
      <c r="A1153" s="1">
        <v>40399</v>
      </c>
      <c r="B1153">
        <v>3.4885299999999999</v>
      </c>
      <c r="C1153">
        <v>4.3650000000000002</v>
      </c>
      <c r="D1153">
        <f>WEEKDAY(A1153,14)</f>
        <v>5</v>
      </c>
      <c r="E1153">
        <f t="shared" si="68"/>
        <v>0.05</v>
      </c>
      <c r="F1153">
        <f t="shared" si="69"/>
        <v>3</v>
      </c>
      <c r="G1153">
        <f>IF(F1153&gt;F1152,G1152+B1153*E1153,B1153*E1153)</f>
        <v>0.17442650000000001</v>
      </c>
      <c r="H1153">
        <f t="shared" si="70"/>
        <v>0.05</v>
      </c>
      <c r="I1153">
        <f t="shared" si="71"/>
        <v>0</v>
      </c>
      <c r="J1153">
        <f>IF(I1152=0,0,C1152-I1152)</f>
        <v>0</v>
      </c>
    </row>
    <row r="1154" spans="1:10" x14ac:dyDescent="0.25">
      <c r="A1154" s="1">
        <v>40400</v>
      </c>
      <c r="B1154">
        <v>3.44746</v>
      </c>
      <c r="C1154">
        <v>4.3650000000000002</v>
      </c>
      <c r="D1154">
        <f>WEEKDAY(A1154,14)</f>
        <v>6</v>
      </c>
      <c r="E1154">
        <f t="shared" si="68"/>
        <v>0.7</v>
      </c>
      <c r="F1154">
        <f t="shared" si="69"/>
        <v>4</v>
      </c>
      <c r="G1154">
        <f>IF(F1154&gt;F1153,G1153+B1154*E1154,B1154*E1154)</f>
        <v>2.5876484999999998</v>
      </c>
      <c r="H1154">
        <f t="shared" si="70"/>
        <v>0.75</v>
      </c>
      <c r="I1154">
        <f t="shared" si="71"/>
        <v>0</v>
      </c>
      <c r="J1154">
        <f>IF(I1153=0,0,C1153-I1153)</f>
        <v>0</v>
      </c>
    </row>
    <row r="1155" spans="1:10" x14ac:dyDescent="0.25">
      <c r="A1155" s="1">
        <v>40401</v>
      </c>
      <c r="B1155">
        <v>3.3409900000000001</v>
      </c>
      <c r="C1155">
        <v>4.3650000000000002</v>
      </c>
      <c r="D1155">
        <f>WEEKDAY(A1155,14)</f>
        <v>7</v>
      </c>
      <c r="E1155">
        <f t="shared" ref="E1155:E1218" si="72">VLOOKUP(D1155,M$2:N$8,2,FALSE)</f>
        <v>0.25</v>
      </c>
      <c r="F1155">
        <f t="shared" ref="F1155:F1218" si="73">IF(AND(D1155&gt;D1154,F1154&lt;6),F1154+1,1)</f>
        <v>5</v>
      </c>
      <c r="G1155">
        <f>IF(F1155&gt;F1154,G1154+B1155*E1155,B1155*E1155)</f>
        <v>3.4228959999999997</v>
      </c>
      <c r="H1155">
        <f t="shared" si="70"/>
        <v>1</v>
      </c>
      <c r="I1155">
        <f t="shared" si="71"/>
        <v>3.4228959999999997</v>
      </c>
      <c r="J1155">
        <f>IF(I1154=0,0,C1154-I1154)</f>
        <v>0</v>
      </c>
    </row>
    <row r="1156" spans="1:10" x14ac:dyDescent="0.25">
      <c r="A1156" s="1">
        <v>40402</v>
      </c>
      <c r="B1156">
        <v>3.4474800000000001</v>
      </c>
      <c r="C1156">
        <v>4.3449999999999998</v>
      </c>
      <c r="D1156">
        <f>WEEKDAY(A1156,14)</f>
        <v>1</v>
      </c>
      <c r="E1156">
        <f t="shared" si="72"/>
        <v>0</v>
      </c>
      <c r="F1156">
        <f t="shared" si="73"/>
        <v>1</v>
      </c>
      <c r="G1156">
        <f>IF(F1156&gt;F1155,G1155+B1156*E1156,B1156*E1156)</f>
        <v>0</v>
      </c>
      <c r="H1156">
        <f t="shared" ref="H1156:H1219" si="74">IF(AND(F1156&lt;6,F1156&gt;F1155),E1156+H1155,E1156)</f>
        <v>0</v>
      </c>
      <c r="I1156">
        <f t="shared" ref="I1156:I1219" si="75">IF(F1156&gt;F1157,G1156/H1156,0)</f>
        <v>0</v>
      </c>
      <c r="J1156">
        <f>IF(I1155=0,0,C1155-I1155)</f>
        <v>0.9421040000000005</v>
      </c>
    </row>
    <row r="1157" spans="1:10" x14ac:dyDescent="0.25">
      <c r="A1157" s="1">
        <v>40403</v>
      </c>
      <c r="B1157">
        <v>3.3766099999999999</v>
      </c>
      <c r="C1157">
        <v>4.3449999999999998</v>
      </c>
      <c r="D1157">
        <f>WEEKDAY(A1157,14)</f>
        <v>2</v>
      </c>
      <c r="E1157">
        <f t="shared" si="72"/>
        <v>0</v>
      </c>
      <c r="F1157">
        <f t="shared" si="73"/>
        <v>2</v>
      </c>
      <c r="G1157">
        <f>IF(F1157&gt;F1156,G1156+B1157*E1157,B1157*E1157)</f>
        <v>0</v>
      </c>
      <c r="H1157">
        <f t="shared" si="74"/>
        <v>0</v>
      </c>
      <c r="I1157">
        <f t="shared" si="75"/>
        <v>0</v>
      </c>
      <c r="J1157">
        <f>IF(I1156=0,0,C1156-I1156)</f>
        <v>0</v>
      </c>
    </row>
    <row r="1158" spans="1:10" x14ac:dyDescent="0.25">
      <c r="A1158" s="1">
        <v>40406</v>
      </c>
      <c r="B1158">
        <v>3.3086700000000002</v>
      </c>
      <c r="C1158">
        <v>4.3449999999999998</v>
      </c>
      <c r="D1158">
        <f>WEEKDAY(A1158,14)</f>
        <v>5</v>
      </c>
      <c r="E1158">
        <f t="shared" si="72"/>
        <v>0.05</v>
      </c>
      <c r="F1158">
        <f t="shared" si="73"/>
        <v>3</v>
      </c>
      <c r="G1158">
        <f>IF(F1158&gt;F1157,G1157+B1158*E1158,B1158*E1158)</f>
        <v>0.16543350000000001</v>
      </c>
      <c r="H1158">
        <f t="shared" si="74"/>
        <v>0.05</v>
      </c>
      <c r="I1158">
        <f t="shared" si="75"/>
        <v>0</v>
      </c>
      <c r="J1158">
        <f>IF(I1157=0,0,C1157-I1157)</f>
        <v>0</v>
      </c>
    </row>
    <row r="1159" spans="1:10" x14ac:dyDescent="0.25">
      <c r="A1159" s="1">
        <v>40407</v>
      </c>
      <c r="B1159">
        <v>3.4014099999999998</v>
      </c>
      <c r="C1159">
        <v>4.3449999999999998</v>
      </c>
      <c r="D1159">
        <f>WEEKDAY(A1159,14)</f>
        <v>6</v>
      </c>
      <c r="E1159">
        <f t="shared" si="72"/>
        <v>0.7</v>
      </c>
      <c r="F1159">
        <f t="shared" si="73"/>
        <v>4</v>
      </c>
      <c r="G1159">
        <f>IF(F1159&gt;F1158,G1158+B1159*E1159,B1159*E1159)</f>
        <v>2.5464205</v>
      </c>
      <c r="H1159">
        <f t="shared" si="74"/>
        <v>0.75</v>
      </c>
      <c r="I1159">
        <f t="shared" si="75"/>
        <v>0</v>
      </c>
      <c r="J1159">
        <f>IF(I1158=0,0,C1158-I1158)</f>
        <v>0</v>
      </c>
    </row>
    <row r="1160" spans="1:10" x14ac:dyDescent="0.25">
      <c r="A1160" s="1">
        <v>40408</v>
      </c>
      <c r="B1160">
        <v>3.4498700000000002</v>
      </c>
      <c r="C1160">
        <v>4.3449999999999998</v>
      </c>
      <c r="D1160">
        <f>WEEKDAY(A1160,14)</f>
        <v>7</v>
      </c>
      <c r="E1160">
        <f t="shared" si="72"/>
        <v>0.25</v>
      </c>
      <c r="F1160">
        <f t="shared" si="73"/>
        <v>5</v>
      </c>
      <c r="G1160">
        <f>IF(F1160&gt;F1159,G1159+B1160*E1160,B1160*E1160)</f>
        <v>3.4088880000000001</v>
      </c>
      <c r="H1160">
        <f t="shared" si="74"/>
        <v>1</v>
      </c>
      <c r="I1160">
        <f t="shared" si="75"/>
        <v>3.4088880000000001</v>
      </c>
      <c r="J1160">
        <f>IF(I1159=0,0,C1159-I1159)</f>
        <v>0</v>
      </c>
    </row>
    <row r="1161" spans="1:10" x14ac:dyDescent="0.25">
      <c r="A1161" s="1">
        <v>40409</v>
      </c>
      <c r="B1161">
        <v>3.3088799999999998</v>
      </c>
      <c r="C1161">
        <v>4.2850000000000001</v>
      </c>
      <c r="D1161">
        <f>WEEKDAY(A1161,14)</f>
        <v>1</v>
      </c>
      <c r="E1161">
        <f t="shared" si="72"/>
        <v>0</v>
      </c>
      <c r="F1161">
        <f t="shared" si="73"/>
        <v>1</v>
      </c>
      <c r="G1161">
        <f>IF(F1161&gt;F1160,G1160+B1161*E1161,B1161*E1161)</f>
        <v>0</v>
      </c>
      <c r="H1161">
        <f t="shared" si="74"/>
        <v>0</v>
      </c>
      <c r="I1161">
        <f t="shared" si="75"/>
        <v>0</v>
      </c>
      <c r="J1161">
        <f>IF(I1160=0,0,C1160-I1160)</f>
        <v>0.93611199999999961</v>
      </c>
    </row>
    <row r="1162" spans="1:10" x14ac:dyDescent="0.25">
      <c r="A1162" s="1">
        <v>40410</v>
      </c>
      <c r="B1162">
        <v>3.4228100000000001</v>
      </c>
      <c r="C1162">
        <v>4.2850000000000001</v>
      </c>
      <c r="D1162">
        <f>WEEKDAY(A1162,14)</f>
        <v>2</v>
      </c>
      <c r="E1162">
        <f t="shared" si="72"/>
        <v>0</v>
      </c>
      <c r="F1162">
        <f t="shared" si="73"/>
        <v>2</v>
      </c>
      <c r="G1162">
        <f>IF(F1162&gt;F1161,G1161+B1162*E1162,B1162*E1162)</f>
        <v>0</v>
      </c>
      <c r="H1162">
        <f t="shared" si="74"/>
        <v>0</v>
      </c>
      <c r="I1162">
        <f t="shared" si="75"/>
        <v>0</v>
      </c>
      <c r="J1162">
        <f>IF(I1161=0,0,C1161-I1161)</f>
        <v>0</v>
      </c>
    </row>
    <row r="1163" spans="1:10" x14ac:dyDescent="0.25">
      <c r="A1163" s="1">
        <v>40413</v>
      </c>
      <c r="B1163">
        <v>3.4239899999999999</v>
      </c>
      <c r="C1163">
        <v>4.2850000000000001</v>
      </c>
      <c r="D1163">
        <f>WEEKDAY(A1163,14)</f>
        <v>5</v>
      </c>
      <c r="E1163">
        <f t="shared" si="72"/>
        <v>0.05</v>
      </c>
      <c r="F1163">
        <f t="shared" si="73"/>
        <v>3</v>
      </c>
      <c r="G1163">
        <f>IF(F1163&gt;F1162,G1162+B1163*E1163,B1163*E1163)</f>
        <v>0.1711995</v>
      </c>
      <c r="H1163">
        <f t="shared" si="74"/>
        <v>0.05</v>
      </c>
      <c r="I1163">
        <f t="shared" si="75"/>
        <v>0</v>
      </c>
      <c r="J1163">
        <f>IF(I1162=0,0,C1162-I1162)</f>
        <v>0</v>
      </c>
    </row>
    <row r="1164" spans="1:10" x14ac:dyDescent="0.25">
      <c r="A1164" s="1">
        <v>40414</v>
      </c>
      <c r="B1164">
        <v>3.3561000000000001</v>
      </c>
      <c r="C1164">
        <v>4.2850000000000001</v>
      </c>
      <c r="D1164">
        <f>WEEKDAY(A1164,14)</f>
        <v>6</v>
      </c>
      <c r="E1164">
        <f t="shared" si="72"/>
        <v>0.7</v>
      </c>
      <c r="F1164">
        <f t="shared" si="73"/>
        <v>4</v>
      </c>
      <c r="G1164">
        <f>IF(F1164&gt;F1163,G1163+B1164*E1164,B1164*E1164)</f>
        <v>2.5204694999999999</v>
      </c>
      <c r="H1164">
        <f t="shared" si="74"/>
        <v>0.75</v>
      </c>
      <c r="I1164">
        <f t="shared" si="75"/>
        <v>0</v>
      </c>
      <c r="J1164">
        <f>IF(I1163=0,0,C1163-I1163)</f>
        <v>0</v>
      </c>
    </row>
    <row r="1165" spans="1:10" x14ac:dyDescent="0.25">
      <c r="A1165" s="1">
        <v>40415</v>
      </c>
      <c r="B1165">
        <v>3.3686799999999999</v>
      </c>
      <c r="C1165">
        <v>4.2850000000000001</v>
      </c>
      <c r="D1165">
        <f>WEEKDAY(A1165,14)</f>
        <v>7</v>
      </c>
      <c r="E1165">
        <f t="shared" si="72"/>
        <v>0.25</v>
      </c>
      <c r="F1165">
        <f t="shared" si="73"/>
        <v>5</v>
      </c>
      <c r="G1165">
        <f>IF(F1165&gt;F1164,G1164+B1165*E1165,B1165*E1165)</f>
        <v>3.3626394999999998</v>
      </c>
      <c r="H1165">
        <f t="shared" si="74"/>
        <v>1</v>
      </c>
      <c r="I1165">
        <f t="shared" si="75"/>
        <v>3.3626394999999998</v>
      </c>
      <c r="J1165">
        <f>IF(I1164=0,0,C1164-I1164)</f>
        <v>0</v>
      </c>
    </row>
    <row r="1166" spans="1:10" x14ac:dyDescent="0.25">
      <c r="A1166" s="1">
        <v>40416</v>
      </c>
      <c r="B1166">
        <v>3.3029600000000001</v>
      </c>
      <c r="C1166">
        <v>4.2450000000000001</v>
      </c>
      <c r="D1166">
        <f>WEEKDAY(A1166,14)</f>
        <v>1</v>
      </c>
      <c r="E1166">
        <f t="shared" si="72"/>
        <v>0</v>
      </c>
      <c r="F1166">
        <f t="shared" si="73"/>
        <v>1</v>
      </c>
      <c r="G1166">
        <f>IF(F1166&gt;F1165,G1165+B1166*E1166,B1166*E1166)</f>
        <v>0</v>
      </c>
      <c r="H1166">
        <f t="shared" si="74"/>
        <v>0</v>
      </c>
      <c r="I1166">
        <f t="shared" si="75"/>
        <v>0</v>
      </c>
      <c r="J1166">
        <f>IF(I1165=0,0,C1165-I1165)</f>
        <v>0.92236050000000036</v>
      </c>
    </row>
    <row r="1167" spans="1:10" x14ac:dyDescent="0.25">
      <c r="A1167" s="1">
        <v>40417</v>
      </c>
      <c r="B1167">
        <v>3.4705499999999998</v>
      </c>
      <c r="C1167">
        <v>4.2450000000000001</v>
      </c>
      <c r="D1167">
        <f>WEEKDAY(A1167,14)</f>
        <v>2</v>
      </c>
      <c r="E1167">
        <f t="shared" si="72"/>
        <v>0</v>
      </c>
      <c r="F1167">
        <f t="shared" si="73"/>
        <v>2</v>
      </c>
      <c r="G1167">
        <f>IF(F1167&gt;F1166,G1166+B1167*E1167,B1167*E1167)</f>
        <v>0</v>
      </c>
      <c r="H1167">
        <f t="shared" si="74"/>
        <v>0</v>
      </c>
      <c r="I1167">
        <f t="shared" si="75"/>
        <v>0</v>
      </c>
      <c r="J1167">
        <f>IF(I1166=0,0,C1166-I1166)</f>
        <v>0</v>
      </c>
    </row>
    <row r="1168" spans="1:10" x14ac:dyDescent="0.25">
      <c r="A1168" s="1">
        <v>40420</v>
      </c>
      <c r="B1168">
        <v>3.3366899999999999</v>
      </c>
      <c r="C1168">
        <v>4.2450000000000001</v>
      </c>
      <c r="D1168">
        <f>WEEKDAY(A1168,14)</f>
        <v>5</v>
      </c>
      <c r="E1168">
        <f t="shared" si="72"/>
        <v>0.05</v>
      </c>
      <c r="F1168">
        <f t="shared" si="73"/>
        <v>3</v>
      </c>
      <c r="G1168">
        <f>IF(F1168&gt;F1167,G1167+B1168*E1168,B1168*E1168)</f>
        <v>0.1668345</v>
      </c>
      <c r="H1168">
        <f t="shared" si="74"/>
        <v>0.05</v>
      </c>
      <c r="I1168">
        <f t="shared" si="75"/>
        <v>0</v>
      </c>
      <c r="J1168">
        <f>IF(I1167=0,0,C1167-I1167)</f>
        <v>0</v>
      </c>
    </row>
    <row r="1169" spans="1:10" x14ac:dyDescent="0.25">
      <c r="A1169" s="1">
        <v>40421</v>
      </c>
      <c r="B1169">
        <v>3.1910799999999999</v>
      </c>
      <c r="C1169">
        <v>4.2450000000000001</v>
      </c>
      <c r="D1169">
        <f>WEEKDAY(A1169,14)</f>
        <v>6</v>
      </c>
      <c r="E1169">
        <f t="shared" si="72"/>
        <v>0.7</v>
      </c>
      <c r="F1169">
        <f t="shared" si="73"/>
        <v>4</v>
      </c>
      <c r="G1169">
        <f>IF(F1169&gt;F1168,G1168+B1169*E1169,B1169*E1169)</f>
        <v>2.4005904999999998</v>
      </c>
      <c r="H1169">
        <f t="shared" si="74"/>
        <v>0.75</v>
      </c>
      <c r="I1169">
        <f t="shared" si="75"/>
        <v>0</v>
      </c>
      <c r="J1169">
        <f>IF(I1168=0,0,C1168-I1168)</f>
        <v>0</v>
      </c>
    </row>
    <row r="1170" spans="1:10" x14ac:dyDescent="0.25">
      <c r="A1170" s="1">
        <v>40422</v>
      </c>
      <c r="B1170">
        <v>3.3082600000000002</v>
      </c>
      <c r="C1170">
        <v>4.2450000000000001</v>
      </c>
      <c r="D1170">
        <f>WEEKDAY(A1170,14)</f>
        <v>7</v>
      </c>
      <c r="E1170">
        <f t="shared" si="72"/>
        <v>0.25</v>
      </c>
      <c r="F1170">
        <f t="shared" si="73"/>
        <v>5</v>
      </c>
      <c r="G1170">
        <f>IF(F1170&gt;F1169,G1169+B1170*E1170,B1170*E1170)</f>
        <v>3.2276555</v>
      </c>
      <c r="H1170">
        <f t="shared" si="74"/>
        <v>1</v>
      </c>
      <c r="I1170">
        <f t="shared" si="75"/>
        <v>3.2276555</v>
      </c>
      <c r="J1170">
        <f>IF(I1169=0,0,C1169-I1169)</f>
        <v>0</v>
      </c>
    </row>
    <row r="1171" spans="1:10" x14ac:dyDescent="0.25">
      <c r="A1171" s="1">
        <v>40423</v>
      </c>
      <c r="B1171">
        <v>3.37636</v>
      </c>
      <c r="C1171">
        <v>4.2750000000000004</v>
      </c>
      <c r="D1171">
        <f>WEEKDAY(A1171,14)</f>
        <v>1</v>
      </c>
      <c r="E1171">
        <f t="shared" si="72"/>
        <v>0</v>
      </c>
      <c r="F1171">
        <f t="shared" si="73"/>
        <v>1</v>
      </c>
      <c r="G1171">
        <f>IF(F1171&gt;F1170,G1170+B1171*E1171,B1171*E1171)</f>
        <v>0</v>
      </c>
      <c r="H1171">
        <f t="shared" si="74"/>
        <v>0</v>
      </c>
      <c r="I1171">
        <f t="shared" si="75"/>
        <v>0</v>
      </c>
      <c r="J1171">
        <f>IF(I1170=0,0,C1170-I1170)</f>
        <v>1.0173445000000001</v>
      </c>
    </row>
    <row r="1172" spans="1:10" x14ac:dyDescent="0.25">
      <c r="A1172" s="1">
        <v>40424</v>
      </c>
      <c r="B1172">
        <v>3.4823300000000001</v>
      </c>
      <c r="C1172">
        <v>4.2750000000000004</v>
      </c>
      <c r="D1172">
        <f>WEEKDAY(A1172,14)</f>
        <v>2</v>
      </c>
      <c r="E1172">
        <f t="shared" si="72"/>
        <v>0</v>
      </c>
      <c r="F1172">
        <f t="shared" si="73"/>
        <v>2</v>
      </c>
      <c r="G1172">
        <f>IF(F1172&gt;F1171,G1171+B1172*E1172,B1172*E1172)</f>
        <v>0</v>
      </c>
      <c r="H1172">
        <f t="shared" si="74"/>
        <v>0</v>
      </c>
      <c r="I1172" t="e">
        <f t="shared" si="75"/>
        <v>#DIV/0!</v>
      </c>
      <c r="J1172">
        <f>IF(I1171=0,0,C1171-I1171)</f>
        <v>0</v>
      </c>
    </row>
    <row r="1173" spans="1:10" x14ac:dyDescent="0.25">
      <c r="A1173" s="1">
        <v>40430</v>
      </c>
      <c r="B1173">
        <v>3.2742300000000002</v>
      </c>
      <c r="C1173">
        <v>4.2949999999999999</v>
      </c>
      <c r="D1173">
        <f>WEEKDAY(A1173,14)</f>
        <v>1</v>
      </c>
      <c r="E1173">
        <f t="shared" si="72"/>
        <v>0</v>
      </c>
      <c r="F1173">
        <f t="shared" si="73"/>
        <v>1</v>
      </c>
      <c r="G1173">
        <f>IF(F1173&gt;F1172,G1172+B1173*E1173,B1173*E1173)</f>
        <v>0</v>
      </c>
      <c r="H1173">
        <f t="shared" si="74"/>
        <v>0</v>
      </c>
      <c r="I1173">
        <f t="shared" si="75"/>
        <v>0</v>
      </c>
      <c r="J1173" t="e">
        <f>IF(I1172=0,0,C1172-I1172)</f>
        <v>#DIV/0!</v>
      </c>
    </row>
    <row r="1174" spans="1:10" x14ac:dyDescent="0.25">
      <c r="A1174" s="1">
        <v>40431</v>
      </c>
      <c r="B1174">
        <v>3.5824199999999999</v>
      </c>
      <c r="C1174">
        <v>4.2949999999999999</v>
      </c>
      <c r="D1174">
        <f>WEEKDAY(A1174,14)</f>
        <v>2</v>
      </c>
      <c r="E1174">
        <f t="shared" si="72"/>
        <v>0</v>
      </c>
      <c r="F1174">
        <f t="shared" si="73"/>
        <v>2</v>
      </c>
      <c r="G1174">
        <f>IF(F1174&gt;F1173,G1173+B1174*E1174,B1174*E1174)</f>
        <v>0</v>
      </c>
      <c r="H1174">
        <f t="shared" si="74"/>
        <v>0</v>
      </c>
      <c r="I1174">
        <f t="shared" si="75"/>
        <v>0</v>
      </c>
      <c r="J1174">
        <f>IF(I1173=0,0,C1173-I1173)</f>
        <v>0</v>
      </c>
    </row>
    <row r="1175" spans="1:10" x14ac:dyDescent="0.25">
      <c r="A1175" s="1">
        <v>40434</v>
      </c>
      <c r="B1175">
        <v>3.4826600000000001</v>
      </c>
      <c r="C1175">
        <v>4.2949999999999999</v>
      </c>
      <c r="D1175">
        <f>WEEKDAY(A1175,14)</f>
        <v>5</v>
      </c>
      <c r="E1175">
        <f t="shared" si="72"/>
        <v>0.05</v>
      </c>
      <c r="F1175">
        <f t="shared" si="73"/>
        <v>3</v>
      </c>
      <c r="G1175">
        <f>IF(F1175&gt;F1174,G1174+B1175*E1175,B1175*E1175)</f>
        <v>0.17413300000000001</v>
      </c>
      <c r="H1175">
        <f t="shared" si="74"/>
        <v>0.05</v>
      </c>
      <c r="I1175">
        <f t="shared" si="75"/>
        <v>0</v>
      </c>
      <c r="J1175">
        <f>IF(I1174=0,0,C1174-I1174)</f>
        <v>0</v>
      </c>
    </row>
    <row r="1176" spans="1:10" x14ac:dyDescent="0.25">
      <c r="A1176" s="1">
        <v>40435</v>
      </c>
      <c r="B1176">
        <v>3.4240400000000002</v>
      </c>
      <c r="C1176">
        <v>4.2949999999999999</v>
      </c>
      <c r="D1176">
        <f>WEEKDAY(A1176,14)</f>
        <v>6</v>
      </c>
      <c r="E1176">
        <f t="shared" si="72"/>
        <v>0.7</v>
      </c>
      <c r="F1176">
        <f t="shared" si="73"/>
        <v>4</v>
      </c>
      <c r="G1176">
        <f>IF(F1176&gt;F1175,G1175+B1176*E1176,B1176*E1176)</f>
        <v>2.5709610000000001</v>
      </c>
      <c r="H1176">
        <f t="shared" si="74"/>
        <v>0.75</v>
      </c>
      <c r="I1176">
        <f t="shared" si="75"/>
        <v>0</v>
      </c>
      <c r="J1176">
        <f>IF(I1175=0,0,C1175-I1175)</f>
        <v>0</v>
      </c>
    </row>
    <row r="1177" spans="1:10" x14ac:dyDescent="0.25">
      <c r="A1177" s="1">
        <v>40436</v>
      </c>
      <c r="B1177">
        <v>3.4999899999999999</v>
      </c>
      <c r="C1177">
        <v>4.2949999999999999</v>
      </c>
      <c r="D1177">
        <f>WEEKDAY(A1177,14)</f>
        <v>7</v>
      </c>
      <c r="E1177">
        <f t="shared" si="72"/>
        <v>0.25</v>
      </c>
      <c r="F1177">
        <f t="shared" si="73"/>
        <v>5</v>
      </c>
      <c r="G1177">
        <f>IF(F1177&gt;F1176,G1176+B1177*E1177,B1177*E1177)</f>
        <v>3.4459585000000001</v>
      </c>
      <c r="H1177">
        <f t="shared" si="74"/>
        <v>1</v>
      </c>
      <c r="I1177">
        <f t="shared" si="75"/>
        <v>3.4459585000000001</v>
      </c>
      <c r="J1177">
        <f>IF(I1176=0,0,C1176-I1176)</f>
        <v>0</v>
      </c>
    </row>
    <row r="1178" spans="1:10" x14ac:dyDescent="0.25">
      <c r="A1178" s="1">
        <v>40437</v>
      </c>
      <c r="B1178">
        <v>3.5452599999999999</v>
      </c>
      <c r="C1178">
        <v>4.2949999999999999</v>
      </c>
      <c r="D1178">
        <f>WEEKDAY(A1178,14)</f>
        <v>1</v>
      </c>
      <c r="E1178">
        <f t="shared" si="72"/>
        <v>0</v>
      </c>
      <c r="F1178">
        <f t="shared" si="73"/>
        <v>1</v>
      </c>
      <c r="G1178">
        <f>IF(F1178&gt;F1177,G1177+B1178*E1178,B1178*E1178)</f>
        <v>0</v>
      </c>
      <c r="H1178">
        <f t="shared" si="74"/>
        <v>0</v>
      </c>
      <c r="I1178">
        <f t="shared" si="75"/>
        <v>0</v>
      </c>
      <c r="J1178">
        <f>IF(I1177=0,0,C1177-I1177)</f>
        <v>0.84904149999999978</v>
      </c>
    </row>
    <row r="1179" spans="1:10" x14ac:dyDescent="0.25">
      <c r="A1179" s="1">
        <v>40438</v>
      </c>
      <c r="B1179">
        <v>3.5812200000000001</v>
      </c>
      <c r="C1179">
        <v>4.2949999999999999</v>
      </c>
      <c r="D1179">
        <f>WEEKDAY(A1179,14)</f>
        <v>2</v>
      </c>
      <c r="E1179">
        <f t="shared" si="72"/>
        <v>0</v>
      </c>
      <c r="F1179">
        <f t="shared" si="73"/>
        <v>2</v>
      </c>
      <c r="G1179">
        <f>IF(F1179&gt;F1178,G1178+B1179*E1179,B1179*E1179)</f>
        <v>0</v>
      </c>
      <c r="H1179">
        <f t="shared" si="74"/>
        <v>0</v>
      </c>
      <c r="I1179">
        <f t="shared" si="75"/>
        <v>0</v>
      </c>
      <c r="J1179">
        <f>IF(I1178=0,0,C1178-I1178)</f>
        <v>0</v>
      </c>
    </row>
    <row r="1180" spans="1:10" x14ac:dyDescent="0.25">
      <c r="A1180" s="1">
        <v>40441</v>
      </c>
      <c r="B1180">
        <v>3.5072899999999998</v>
      </c>
      <c r="C1180">
        <v>4.2949999999999999</v>
      </c>
      <c r="D1180">
        <f>WEEKDAY(A1180,14)</f>
        <v>5</v>
      </c>
      <c r="E1180">
        <f t="shared" si="72"/>
        <v>0.05</v>
      </c>
      <c r="F1180">
        <f t="shared" si="73"/>
        <v>3</v>
      </c>
      <c r="G1180">
        <f>IF(F1180&gt;F1179,G1179+B1180*E1180,B1180*E1180)</f>
        <v>0.17536450000000001</v>
      </c>
      <c r="H1180">
        <f t="shared" si="74"/>
        <v>0.05</v>
      </c>
      <c r="I1180">
        <f t="shared" si="75"/>
        <v>0</v>
      </c>
      <c r="J1180">
        <f>IF(I1179=0,0,C1179-I1179)</f>
        <v>0</v>
      </c>
    </row>
    <row r="1181" spans="1:10" x14ac:dyDescent="0.25">
      <c r="A1181" s="1">
        <v>40442</v>
      </c>
      <c r="B1181">
        <v>3.3816899999999999</v>
      </c>
      <c r="C1181">
        <v>4.2949999999999999</v>
      </c>
      <c r="D1181">
        <f>WEEKDAY(A1181,14)</f>
        <v>6</v>
      </c>
      <c r="E1181">
        <f t="shared" si="72"/>
        <v>0.7</v>
      </c>
      <c r="F1181">
        <f t="shared" si="73"/>
        <v>4</v>
      </c>
      <c r="G1181">
        <f>IF(F1181&gt;F1180,G1180+B1181*E1181,B1181*E1181)</f>
        <v>2.5425475</v>
      </c>
      <c r="H1181">
        <f t="shared" si="74"/>
        <v>0.75</v>
      </c>
      <c r="I1181">
        <f t="shared" si="75"/>
        <v>0</v>
      </c>
      <c r="J1181">
        <f>IF(I1180=0,0,C1180-I1180)</f>
        <v>0</v>
      </c>
    </row>
    <row r="1182" spans="1:10" x14ac:dyDescent="0.25">
      <c r="A1182" s="1">
        <v>40443</v>
      </c>
      <c r="B1182">
        <v>3.3486199999999999</v>
      </c>
      <c r="C1182">
        <v>4.2949999999999999</v>
      </c>
      <c r="D1182">
        <f>WEEKDAY(A1182,14)</f>
        <v>7</v>
      </c>
      <c r="E1182">
        <f t="shared" si="72"/>
        <v>0.25</v>
      </c>
      <c r="F1182">
        <f t="shared" si="73"/>
        <v>5</v>
      </c>
      <c r="G1182">
        <f>IF(F1182&gt;F1181,G1181+B1182*E1182,B1182*E1182)</f>
        <v>3.3797025000000001</v>
      </c>
      <c r="H1182">
        <f t="shared" si="74"/>
        <v>1</v>
      </c>
      <c r="I1182">
        <f t="shared" si="75"/>
        <v>3.3797025000000001</v>
      </c>
      <c r="J1182">
        <f>IF(I1181=0,0,C1181-I1181)</f>
        <v>0</v>
      </c>
    </row>
    <row r="1183" spans="1:10" x14ac:dyDescent="0.25">
      <c r="A1183" s="1">
        <v>40444</v>
      </c>
      <c r="B1183">
        <v>3.3812600000000002</v>
      </c>
      <c r="C1183">
        <v>4.2699999999999996</v>
      </c>
      <c r="D1183">
        <f>WEEKDAY(A1183,14)</f>
        <v>1</v>
      </c>
      <c r="E1183">
        <f t="shared" si="72"/>
        <v>0</v>
      </c>
      <c r="F1183">
        <f t="shared" si="73"/>
        <v>1</v>
      </c>
      <c r="G1183">
        <f>IF(F1183&gt;F1182,G1182+B1183*E1183,B1183*E1183)</f>
        <v>0</v>
      </c>
      <c r="H1183">
        <f t="shared" si="74"/>
        <v>0</v>
      </c>
      <c r="I1183">
        <f t="shared" si="75"/>
        <v>0</v>
      </c>
      <c r="J1183">
        <f>IF(I1182=0,0,C1182-I1182)</f>
        <v>0.91529749999999988</v>
      </c>
    </row>
    <row r="1184" spans="1:10" x14ac:dyDescent="0.25">
      <c r="A1184" s="1">
        <v>40445</v>
      </c>
      <c r="B1184">
        <v>3.4477899999999999</v>
      </c>
      <c r="C1184">
        <v>4.2699999999999996</v>
      </c>
      <c r="D1184">
        <f>WEEKDAY(A1184,14)</f>
        <v>2</v>
      </c>
      <c r="E1184">
        <f t="shared" si="72"/>
        <v>0</v>
      </c>
      <c r="F1184">
        <f t="shared" si="73"/>
        <v>2</v>
      </c>
      <c r="G1184">
        <f>IF(F1184&gt;F1183,G1183+B1184*E1184,B1184*E1184)</f>
        <v>0</v>
      </c>
      <c r="H1184">
        <f t="shared" si="74"/>
        <v>0</v>
      </c>
      <c r="I1184">
        <f t="shared" si="75"/>
        <v>0</v>
      </c>
      <c r="J1184">
        <f>IF(I1183=0,0,C1183-I1183)</f>
        <v>0</v>
      </c>
    </row>
    <row r="1185" spans="1:10" x14ac:dyDescent="0.25">
      <c r="A1185" s="1">
        <v>40448</v>
      </c>
      <c r="B1185">
        <v>3.3545500000000001</v>
      </c>
      <c r="C1185">
        <v>4.2699999999999996</v>
      </c>
      <c r="D1185">
        <f>WEEKDAY(A1185,14)</f>
        <v>5</v>
      </c>
      <c r="E1185">
        <f t="shared" si="72"/>
        <v>0.05</v>
      </c>
      <c r="F1185">
        <f t="shared" si="73"/>
        <v>3</v>
      </c>
      <c r="G1185">
        <f>IF(F1185&gt;F1184,G1184+B1185*E1185,B1185*E1185)</f>
        <v>0.16772750000000003</v>
      </c>
      <c r="H1185">
        <f t="shared" si="74"/>
        <v>0.05</v>
      </c>
      <c r="I1185">
        <f t="shared" si="75"/>
        <v>0</v>
      </c>
      <c r="J1185">
        <f>IF(I1184=0,0,C1184-I1184)</f>
        <v>0</v>
      </c>
    </row>
    <row r="1186" spans="1:10" x14ac:dyDescent="0.25">
      <c r="A1186" s="1">
        <v>40449</v>
      </c>
      <c r="B1186">
        <v>3.3126600000000002</v>
      </c>
      <c r="C1186">
        <v>4.2699999999999996</v>
      </c>
      <c r="D1186">
        <f>WEEKDAY(A1186,14)</f>
        <v>6</v>
      </c>
      <c r="E1186">
        <f t="shared" si="72"/>
        <v>0.7</v>
      </c>
      <c r="F1186">
        <f t="shared" si="73"/>
        <v>4</v>
      </c>
      <c r="G1186">
        <f>IF(F1186&gt;F1185,G1185+B1186*E1186,B1186*E1186)</f>
        <v>2.4865895</v>
      </c>
      <c r="H1186">
        <f t="shared" si="74"/>
        <v>0.75</v>
      </c>
      <c r="I1186">
        <f t="shared" si="75"/>
        <v>0</v>
      </c>
      <c r="J1186">
        <f>IF(I1185=0,0,C1185-I1185)</f>
        <v>0</v>
      </c>
    </row>
    <row r="1187" spans="1:10" x14ac:dyDescent="0.25">
      <c r="A1187" s="1">
        <v>40450</v>
      </c>
      <c r="B1187">
        <v>3.3780600000000001</v>
      </c>
      <c r="C1187">
        <v>4.2699999999999996</v>
      </c>
      <c r="D1187">
        <f>WEEKDAY(A1187,14)</f>
        <v>7</v>
      </c>
      <c r="E1187">
        <f t="shared" si="72"/>
        <v>0.25</v>
      </c>
      <c r="F1187">
        <f t="shared" si="73"/>
        <v>5</v>
      </c>
      <c r="G1187">
        <f>IF(F1187&gt;F1186,G1186+B1187*E1187,B1187*E1187)</f>
        <v>3.3311044999999999</v>
      </c>
      <c r="H1187">
        <f t="shared" si="74"/>
        <v>1</v>
      </c>
      <c r="I1187">
        <f t="shared" si="75"/>
        <v>3.3311044999999999</v>
      </c>
      <c r="J1187">
        <f>IF(I1186=0,0,C1186-I1186)</f>
        <v>0</v>
      </c>
    </row>
    <row r="1188" spans="1:10" x14ac:dyDescent="0.25">
      <c r="A1188" s="1">
        <v>40451</v>
      </c>
      <c r="B1188">
        <v>3.38375</v>
      </c>
      <c r="C1188">
        <v>4.22</v>
      </c>
      <c r="D1188">
        <f>WEEKDAY(A1188,14)</f>
        <v>1</v>
      </c>
      <c r="E1188">
        <f t="shared" si="72"/>
        <v>0</v>
      </c>
      <c r="F1188">
        <f t="shared" si="73"/>
        <v>1</v>
      </c>
      <c r="G1188">
        <f>IF(F1188&gt;F1187,G1187+B1188*E1188,B1188*E1188)</f>
        <v>0</v>
      </c>
      <c r="H1188">
        <f t="shared" si="74"/>
        <v>0</v>
      </c>
      <c r="I1188">
        <f t="shared" si="75"/>
        <v>0</v>
      </c>
      <c r="J1188">
        <f>IF(I1187=0,0,C1187-I1187)</f>
        <v>0.93889549999999966</v>
      </c>
    </row>
    <row r="1189" spans="1:10" x14ac:dyDescent="0.25">
      <c r="A1189" s="1">
        <v>40452</v>
      </c>
      <c r="B1189">
        <v>3.3887100000000001</v>
      </c>
      <c r="C1189">
        <v>4.22</v>
      </c>
      <c r="D1189">
        <f>WEEKDAY(A1189,14)</f>
        <v>2</v>
      </c>
      <c r="E1189">
        <f t="shared" si="72"/>
        <v>0</v>
      </c>
      <c r="F1189">
        <f t="shared" si="73"/>
        <v>2</v>
      </c>
      <c r="G1189">
        <f>IF(F1189&gt;F1188,G1188+B1189*E1189,B1189*E1189)</f>
        <v>0</v>
      </c>
      <c r="H1189">
        <f t="shared" si="74"/>
        <v>0</v>
      </c>
      <c r="I1189">
        <f t="shared" si="75"/>
        <v>0</v>
      </c>
      <c r="J1189">
        <f>IF(I1188=0,0,C1188-I1188)</f>
        <v>0</v>
      </c>
    </row>
    <row r="1190" spans="1:10" x14ac:dyDescent="0.25">
      <c r="A1190" s="1">
        <v>40455</v>
      </c>
      <c r="B1190">
        <v>3.3355700000000001</v>
      </c>
      <c r="C1190">
        <v>4.22</v>
      </c>
      <c r="D1190">
        <f>WEEKDAY(A1190,14)</f>
        <v>5</v>
      </c>
      <c r="E1190">
        <f t="shared" si="72"/>
        <v>0.05</v>
      </c>
      <c r="F1190">
        <f t="shared" si="73"/>
        <v>3</v>
      </c>
      <c r="G1190">
        <f>IF(F1190&gt;F1189,G1189+B1190*E1190,B1190*E1190)</f>
        <v>0.16677850000000002</v>
      </c>
      <c r="H1190">
        <f t="shared" si="74"/>
        <v>0.05</v>
      </c>
      <c r="I1190">
        <f t="shared" si="75"/>
        <v>0</v>
      </c>
      <c r="J1190">
        <f>IF(I1189=0,0,C1189-I1189)</f>
        <v>0</v>
      </c>
    </row>
    <row r="1191" spans="1:10" x14ac:dyDescent="0.25">
      <c r="A1191" s="1">
        <v>40456</v>
      </c>
      <c r="B1191">
        <v>3.3365900000000002</v>
      </c>
      <c r="C1191">
        <v>4.22</v>
      </c>
      <c r="D1191">
        <f>WEEKDAY(A1191,14)</f>
        <v>6</v>
      </c>
      <c r="E1191">
        <f t="shared" si="72"/>
        <v>0.7</v>
      </c>
      <c r="F1191">
        <f t="shared" si="73"/>
        <v>4</v>
      </c>
      <c r="G1191">
        <f>IF(F1191&gt;F1190,G1190+B1191*E1191,B1191*E1191)</f>
        <v>2.5023914999999999</v>
      </c>
      <c r="H1191">
        <f t="shared" si="74"/>
        <v>0.75</v>
      </c>
      <c r="I1191">
        <f t="shared" si="75"/>
        <v>0</v>
      </c>
      <c r="J1191">
        <f>IF(I1190=0,0,C1190-I1190)</f>
        <v>0</v>
      </c>
    </row>
    <row r="1192" spans="1:10" x14ac:dyDescent="0.25">
      <c r="A1192" s="1">
        <v>40457</v>
      </c>
      <c r="B1192">
        <v>3.2627899999999999</v>
      </c>
      <c r="C1192">
        <v>4.22</v>
      </c>
      <c r="D1192">
        <f>WEEKDAY(A1192,14)</f>
        <v>7</v>
      </c>
      <c r="E1192">
        <f t="shared" si="72"/>
        <v>0.25</v>
      </c>
      <c r="F1192">
        <f t="shared" si="73"/>
        <v>5</v>
      </c>
      <c r="G1192">
        <f>IF(F1192&gt;F1191,G1191+B1192*E1192,B1192*E1192)</f>
        <v>3.3180889999999996</v>
      </c>
      <c r="H1192">
        <f t="shared" si="74"/>
        <v>1</v>
      </c>
      <c r="I1192">
        <f t="shared" si="75"/>
        <v>3.3180889999999996</v>
      </c>
      <c r="J1192">
        <f>IF(I1191=0,0,C1191-I1191)</f>
        <v>0</v>
      </c>
    </row>
    <row r="1193" spans="1:10" x14ac:dyDescent="0.25">
      <c r="A1193" s="1">
        <v>40458</v>
      </c>
      <c r="B1193">
        <v>3.2236500000000001</v>
      </c>
      <c r="C1193">
        <v>4.1399999999999997</v>
      </c>
      <c r="D1193">
        <f>WEEKDAY(A1193,14)</f>
        <v>1</v>
      </c>
      <c r="E1193">
        <f t="shared" si="72"/>
        <v>0</v>
      </c>
      <c r="F1193">
        <f t="shared" si="73"/>
        <v>1</v>
      </c>
      <c r="G1193">
        <f>IF(F1193&gt;F1192,G1192+B1193*E1193,B1193*E1193)</f>
        <v>0</v>
      </c>
      <c r="H1193">
        <f t="shared" si="74"/>
        <v>0</v>
      </c>
      <c r="I1193">
        <f t="shared" si="75"/>
        <v>0</v>
      </c>
      <c r="J1193">
        <f>IF(I1192=0,0,C1192-I1192)</f>
        <v>0.90191100000000013</v>
      </c>
    </row>
    <row r="1194" spans="1:10" x14ac:dyDescent="0.25">
      <c r="A1194" s="1">
        <v>40459</v>
      </c>
      <c r="B1194">
        <v>3.2304599999999999</v>
      </c>
      <c r="C1194">
        <v>4.1399999999999997</v>
      </c>
      <c r="D1194">
        <f>WEEKDAY(A1194,14)</f>
        <v>2</v>
      </c>
      <c r="E1194">
        <f t="shared" si="72"/>
        <v>0</v>
      </c>
      <c r="F1194">
        <f t="shared" si="73"/>
        <v>2</v>
      </c>
      <c r="G1194">
        <f>IF(F1194&gt;F1193,G1193+B1194*E1194,B1194*E1194)</f>
        <v>0</v>
      </c>
      <c r="H1194">
        <f t="shared" si="74"/>
        <v>0</v>
      </c>
      <c r="I1194">
        <f t="shared" si="75"/>
        <v>0</v>
      </c>
      <c r="J1194">
        <f>IF(I1193=0,0,C1193-I1193)</f>
        <v>0</v>
      </c>
    </row>
    <row r="1195" spans="1:10" x14ac:dyDescent="0.25">
      <c r="A1195" s="1">
        <v>40463</v>
      </c>
      <c r="B1195">
        <v>3.2856800000000002</v>
      </c>
      <c r="C1195">
        <v>4.1399999999999997</v>
      </c>
      <c r="D1195">
        <f>WEEKDAY(A1195,14)</f>
        <v>6</v>
      </c>
      <c r="E1195">
        <f t="shared" si="72"/>
        <v>0.7</v>
      </c>
      <c r="F1195">
        <f t="shared" si="73"/>
        <v>3</v>
      </c>
      <c r="G1195">
        <f>IF(F1195&gt;F1194,G1194+B1195*E1195,B1195*E1195)</f>
        <v>2.299976</v>
      </c>
      <c r="H1195">
        <f t="shared" si="74"/>
        <v>0.7</v>
      </c>
      <c r="I1195">
        <f t="shared" si="75"/>
        <v>0</v>
      </c>
      <c r="J1195">
        <f>IF(I1194=0,0,C1194-I1194)</f>
        <v>0</v>
      </c>
    </row>
    <row r="1196" spans="1:10" x14ac:dyDescent="0.25">
      <c r="A1196" s="1">
        <v>40464</v>
      </c>
      <c r="B1196">
        <v>3.26187</v>
      </c>
      <c r="C1196">
        <v>4.1399999999999997</v>
      </c>
      <c r="D1196">
        <f>WEEKDAY(A1196,14)</f>
        <v>7</v>
      </c>
      <c r="E1196">
        <f t="shared" si="72"/>
        <v>0.25</v>
      </c>
      <c r="F1196">
        <f t="shared" si="73"/>
        <v>4</v>
      </c>
      <c r="G1196">
        <f>IF(F1196&gt;F1195,G1195+B1196*E1196,B1196*E1196)</f>
        <v>3.1154435</v>
      </c>
      <c r="H1196">
        <f t="shared" si="74"/>
        <v>0.95</v>
      </c>
      <c r="I1196">
        <f t="shared" si="75"/>
        <v>3.279414210526316</v>
      </c>
      <c r="J1196">
        <f>IF(I1195=0,0,C1195-I1195)</f>
        <v>0</v>
      </c>
    </row>
    <row r="1197" spans="1:10" x14ac:dyDescent="0.25">
      <c r="A1197" s="1">
        <v>40465</v>
      </c>
      <c r="B1197">
        <v>3.2849200000000001</v>
      </c>
      <c r="C1197">
        <v>4.16</v>
      </c>
      <c r="D1197">
        <f>WEEKDAY(A1197,14)</f>
        <v>1</v>
      </c>
      <c r="E1197">
        <f t="shared" si="72"/>
        <v>0</v>
      </c>
      <c r="F1197">
        <f t="shared" si="73"/>
        <v>1</v>
      </c>
      <c r="G1197">
        <f>IF(F1197&gt;F1196,G1196+B1197*E1197,B1197*E1197)</f>
        <v>0</v>
      </c>
      <c r="H1197">
        <f t="shared" si="74"/>
        <v>0</v>
      </c>
      <c r="I1197">
        <f t="shared" si="75"/>
        <v>0</v>
      </c>
      <c r="J1197">
        <f>IF(I1196=0,0,C1196-I1196)</f>
        <v>0.86058578947368369</v>
      </c>
    </row>
    <row r="1198" spans="1:10" x14ac:dyDescent="0.25">
      <c r="A1198" s="1">
        <v>40466</v>
      </c>
      <c r="B1198">
        <v>3.3753700000000002</v>
      </c>
      <c r="C1198">
        <v>4.16</v>
      </c>
      <c r="D1198">
        <f>WEEKDAY(A1198,14)</f>
        <v>2</v>
      </c>
      <c r="E1198">
        <f t="shared" si="72"/>
        <v>0</v>
      </c>
      <c r="F1198">
        <f t="shared" si="73"/>
        <v>2</v>
      </c>
      <c r="G1198">
        <f>IF(F1198&gt;F1197,G1197+B1198*E1198,B1198*E1198)</f>
        <v>0</v>
      </c>
      <c r="H1198">
        <f t="shared" si="74"/>
        <v>0</v>
      </c>
      <c r="I1198">
        <f t="shared" si="75"/>
        <v>0</v>
      </c>
      <c r="J1198">
        <f>IF(I1197=0,0,C1197-I1197)</f>
        <v>0</v>
      </c>
    </row>
    <row r="1199" spans="1:10" x14ac:dyDescent="0.25">
      <c r="A1199" s="1">
        <v>40469</v>
      </c>
      <c r="B1199">
        <v>3.2999399999999999</v>
      </c>
      <c r="C1199">
        <v>4.16</v>
      </c>
      <c r="D1199">
        <f>WEEKDAY(A1199,14)</f>
        <v>5</v>
      </c>
      <c r="E1199">
        <f t="shared" si="72"/>
        <v>0.05</v>
      </c>
      <c r="F1199">
        <f t="shared" si="73"/>
        <v>3</v>
      </c>
      <c r="G1199">
        <f>IF(F1199&gt;F1198,G1198+B1199*E1199,B1199*E1199)</f>
        <v>0.164997</v>
      </c>
      <c r="H1199">
        <f t="shared" si="74"/>
        <v>0.05</v>
      </c>
      <c r="I1199">
        <f t="shared" si="75"/>
        <v>0</v>
      </c>
      <c r="J1199">
        <f>IF(I1198=0,0,C1198-I1198)</f>
        <v>0</v>
      </c>
    </row>
    <row r="1200" spans="1:10" x14ac:dyDescent="0.25">
      <c r="A1200" s="1">
        <v>40470</v>
      </c>
      <c r="B1200">
        <v>3.26986</v>
      </c>
      <c r="C1200">
        <v>4.16</v>
      </c>
      <c r="D1200">
        <f>WEEKDAY(A1200,14)</f>
        <v>6</v>
      </c>
      <c r="E1200">
        <f t="shared" si="72"/>
        <v>0.7</v>
      </c>
      <c r="F1200">
        <f t="shared" si="73"/>
        <v>4</v>
      </c>
      <c r="G1200">
        <f>IF(F1200&gt;F1199,G1199+B1200*E1200,B1200*E1200)</f>
        <v>2.4538989999999998</v>
      </c>
      <c r="H1200">
        <f t="shared" si="74"/>
        <v>0.75</v>
      </c>
      <c r="I1200">
        <f t="shared" si="75"/>
        <v>0</v>
      </c>
      <c r="J1200">
        <f>IF(I1199=0,0,C1199-I1199)</f>
        <v>0</v>
      </c>
    </row>
    <row r="1201" spans="1:10" x14ac:dyDescent="0.25">
      <c r="A1201" s="1">
        <v>40471</v>
      </c>
      <c r="B1201">
        <v>3.25515</v>
      </c>
      <c r="C1201">
        <v>4.16</v>
      </c>
      <c r="D1201">
        <f>WEEKDAY(A1201,14)</f>
        <v>7</v>
      </c>
      <c r="E1201">
        <f t="shared" si="72"/>
        <v>0.25</v>
      </c>
      <c r="F1201">
        <f t="shared" si="73"/>
        <v>5</v>
      </c>
      <c r="G1201">
        <f>IF(F1201&gt;F1200,G1200+B1201*E1201,B1201*E1201)</f>
        <v>3.2676864999999999</v>
      </c>
      <c r="H1201">
        <f t="shared" si="74"/>
        <v>1</v>
      </c>
      <c r="I1201">
        <f t="shared" si="75"/>
        <v>3.2676864999999999</v>
      </c>
      <c r="J1201">
        <f>IF(I1200=0,0,C1200-I1200)</f>
        <v>0</v>
      </c>
    </row>
    <row r="1202" spans="1:10" x14ac:dyDescent="0.25">
      <c r="A1202" s="1">
        <v>40472</v>
      </c>
      <c r="B1202">
        <v>3.29243</v>
      </c>
      <c r="C1202">
        <v>4.18</v>
      </c>
      <c r="D1202">
        <f>WEEKDAY(A1202,14)</f>
        <v>1</v>
      </c>
      <c r="E1202">
        <f t="shared" si="72"/>
        <v>0</v>
      </c>
      <c r="F1202">
        <f t="shared" si="73"/>
        <v>1</v>
      </c>
      <c r="G1202">
        <f>IF(F1202&gt;F1201,G1201+B1202*E1202,B1202*E1202)</f>
        <v>0</v>
      </c>
      <c r="H1202">
        <f t="shared" si="74"/>
        <v>0</v>
      </c>
      <c r="I1202">
        <f t="shared" si="75"/>
        <v>0</v>
      </c>
      <c r="J1202">
        <f>IF(I1201=0,0,C1201-I1201)</f>
        <v>0.8923135000000002</v>
      </c>
    </row>
    <row r="1203" spans="1:10" x14ac:dyDescent="0.25">
      <c r="A1203" s="1">
        <v>40473</v>
      </c>
      <c r="B1203">
        <v>3.3180800000000001</v>
      </c>
      <c r="C1203">
        <v>4.18</v>
      </c>
      <c r="D1203">
        <f>WEEKDAY(A1203,14)</f>
        <v>2</v>
      </c>
      <c r="E1203">
        <f t="shared" si="72"/>
        <v>0</v>
      </c>
      <c r="F1203">
        <f t="shared" si="73"/>
        <v>2</v>
      </c>
      <c r="G1203">
        <f>IF(F1203&gt;F1202,G1202+B1203*E1203,B1203*E1203)</f>
        <v>0</v>
      </c>
      <c r="H1203">
        <f t="shared" si="74"/>
        <v>0</v>
      </c>
      <c r="I1203">
        <f t="shared" si="75"/>
        <v>0</v>
      </c>
      <c r="J1203">
        <f>IF(I1202=0,0,C1202-I1202)</f>
        <v>0</v>
      </c>
    </row>
    <row r="1204" spans="1:10" x14ac:dyDescent="0.25">
      <c r="A1204" s="1">
        <v>40476</v>
      </c>
      <c r="B1204">
        <v>3.37385</v>
      </c>
      <c r="C1204">
        <v>4.18</v>
      </c>
      <c r="D1204">
        <f>WEEKDAY(A1204,14)</f>
        <v>5</v>
      </c>
      <c r="E1204">
        <f t="shared" si="72"/>
        <v>0.05</v>
      </c>
      <c r="F1204">
        <f t="shared" si="73"/>
        <v>3</v>
      </c>
      <c r="G1204">
        <f>IF(F1204&gt;F1203,G1203+B1204*E1204,B1204*E1204)</f>
        <v>0.16869250000000002</v>
      </c>
      <c r="H1204">
        <f t="shared" si="74"/>
        <v>0.05</v>
      </c>
      <c r="I1204">
        <f t="shared" si="75"/>
        <v>0</v>
      </c>
      <c r="J1204">
        <f>IF(I1203=0,0,C1203-I1203)</f>
        <v>0</v>
      </c>
    </row>
    <row r="1205" spans="1:10" x14ac:dyDescent="0.25">
      <c r="A1205" s="1">
        <v>40477</v>
      </c>
      <c r="B1205">
        <v>3.4470200000000002</v>
      </c>
      <c r="C1205">
        <v>4.18</v>
      </c>
      <c r="D1205">
        <f>WEEKDAY(A1205,14)</f>
        <v>6</v>
      </c>
      <c r="E1205">
        <f t="shared" si="72"/>
        <v>0.7</v>
      </c>
      <c r="F1205">
        <f t="shared" si="73"/>
        <v>4</v>
      </c>
      <c r="G1205">
        <f>IF(F1205&gt;F1204,G1204+B1205*E1205,B1205*E1205)</f>
        <v>2.5816064999999999</v>
      </c>
      <c r="H1205">
        <f t="shared" si="74"/>
        <v>0.75</v>
      </c>
      <c r="I1205">
        <f t="shared" si="75"/>
        <v>0</v>
      </c>
      <c r="J1205">
        <f>IF(I1204=0,0,C1204-I1204)</f>
        <v>0</v>
      </c>
    </row>
    <row r="1206" spans="1:10" x14ac:dyDescent="0.25">
      <c r="A1206" s="1">
        <v>40478</v>
      </c>
      <c r="B1206">
        <v>3.4972799999999999</v>
      </c>
      <c r="C1206">
        <v>4.18</v>
      </c>
      <c r="D1206">
        <f>WEEKDAY(A1206,14)</f>
        <v>7</v>
      </c>
      <c r="E1206">
        <f t="shared" si="72"/>
        <v>0.25</v>
      </c>
      <c r="F1206">
        <f t="shared" si="73"/>
        <v>5</v>
      </c>
      <c r="G1206">
        <f>IF(F1206&gt;F1205,G1205+B1206*E1206,B1206*E1206)</f>
        <v>3.4559264999999999</v>
      </c>
      <c r="H1206">
        <f t="shared" si="74"/>
        <v>1</v>
      </c>
      <c r="I1206">
        <f t="shared" si="75"/>
        <v>3.4559264999999999</v>
      </c>
      <c r="J1206">
        <f>IF(I1205=0,0,C1205-I1205)</f>
        <v>0</v>
      </c>
    </row>
    <row r="1207" spans="1:10" x14ac:dyDescent="0.25">
      <c r="A1207" s="1">
        <v>40479</v>
      </c>
      <c r="B1207">
        <v>3.4349599999999998</v>
      </c>
      <c r="C1207">
        <v>4.1900000000000004</v>
      </c>
      <c r="D1207">
        <f>WEEKDAY(A1207,14)</f>
        <v>1</v>
      </c>
      <c r="E1207">
        <f t="shared" si="72"/>
        <v>0</v>
      </c>
      <c r="F1207">
        <f t="shared" si="73"/>
        <v>1</v>
      </c>
      <c r="G1207">
        <f>IF(F1207&gt;F1206,G1206+B1207*E1207,B1207*E1207)</f>
        <v>0</v>
      </c>
      <c r="H1207">
        <f t="shared" si="74"/>
        <v>0</v>
      </c>
      <c r="I1207">
        <f t="shared" si="75"/>
        <v>0</v>
      </c>
      <c r="J1207">
        <f>IF(I1206=0,0,C1206-I1206)</f>
        <v>0.72407349999999981</v>
      </c>
    </row>
    <row r="1208" spans="1:10" x14ac:dyDescent="0.25">
      <c r="A1208" s="1">
        <v>40480</v>
      </c>
      <c r="B1208">
        <v>3.39784</v>
      </c>
      <c r="C1208">
        <v>4.1900000000000004</v>
      </c>
      <c r="D1208">
        <f>WEEKDAY(A1208,14)</f>
        <v>2</v>
      </c>
      <c r="E1208">
        <f t="shared" si="72"/>
        <v>0</v>
      </c>
      <c r="F1208">
        <f t="shared" si="73"/>
        <v>2</v>
      </c>
      <c r="G1208">
        <f>IF(F1208&gt;F1207,G1207+B1208*E1208,B1208*E1208)</f>
        <v>0</v>
      </c>
      <c r="H1208">
        <f t="shared" si="74"/>
        <v>0</v>
      </c>
      <c r="I1208">
        <f t="shared" si="75"/>
        <v>0</v>
      </c>
      <c r="J1208">
        <f>IF(I1207=0,0,C1207-I1207)</f>
        <v>0</v>
      </c>
    </row>
    <row r="1209" spans="1:10" x14ac:dyDescent="0.25">
      <c r="A1209" s="1">
        <v>40483</v>
      </c>
      <c r="B1209">
        <v>3.4437799999999998</v>
      </c>
      <c r="C1209">
        <v>4.1900000000000004</v>
      </c>
      <c r="D1209">
        <f>WEEKDAY(A1209,14)</f>
        <v>5</v>
      </c>
      <c r="E1209">
        <f t="shared" si="72"/>
        <v>0.05</v>
      </c>
      <c r="F1209">
        <f t="shared" si="73"/>
        <v>3</v>
      </c>
      <c r="G1209">
        <f>IF(F1209&gt;F1208,G1208+B1209*E1209,B1209*E1209)</f>
        <v>0.17218900000000001</v>
      </c>
      <c r="H1209">
        <f t="shared" si="74"/>
        <v>0.05</v>
      </c>
      <c r="I1209">
        <f t="shared" si="75"/>
        <v>0</v>
      </c>
      <c r="J1209">
        <f>IF(I1208=0,0,C1208-I1208)</f>
        <v>0</v>
      </c>
    </row>
    <row r="1210" spans="1:10" x14ac:dyDescent="0.25">
      <c r="A1210" s="1">
        <v>40484</v>
      </c>
      <c r="B1210">
        <v>3.3942299999999999</v>
      </c>
      <c r="C1210">
        <v>4.1900000000000004</v>
      </c>
      <c r="D1210">
        <f>WEEKDAY(A1210,14)</f>
        <v>6</v>
      </c>
      <c r="E1210">
        <f t="shared" si="72"/>
        <v>0.7</v>
      </c>
      <c r="F1210">
        <f t="shared" si="73"/>
        <v>4</v>
      </c>
      <c r="G1210">
        <f>IF(F1210&gt;F1209,G1209+B1210*E1210,B1210*E1210)</f>
        <v>2.5481499999999997</v>
      </c>
      <c r="H1210">
        <f t="shared" si="74"/>
        <v>0.75</v>
      </c>
      <c r="I1210">
        <f t="shared" si="75"/>
        <v>0</v>
      </c>
      <c r="J1210">
        <f>IF(I1209=0,0,C1209-I1209)</f>
        <v>0</v>
      </c>
    </row>
    <row r="1211" spans="1:10" x14ac:dyDescent="0.25">
      <c r="A1211" s="1">
        <v>40485</v>
      </c>
      <c r="B1211">
        <v>3.3788800000000001</v>
      </c>
      <c r="C1211">
        <v>4.1900000000000004</v>
      </c>
      <c r="D1211">
        <f>WEEKDAY(A1211,14)</f>
        <v>7</v>
      </c>
      <c r="E1211">
        <f t="shared" si="72"/>
        <v>0.25</v>
      </c>
      <c r="F1211">
        <f t="shared" si="73"/>
        <v>5</v>
      </c>
      <c r="G1211">
        <f>IF(F1211&gt;F1210,G1210+B1211*E1211,B1211*E1211)</f>
        <v>3.3928699999999998</v>
      </c>
      <c r="H1211">
        <f t="shared" si="74"/>
        <v>1</v>
      </c>
      <c r="I1211">
        <f t="shared" si="75"/>
        <v>3.3928699999999998</v>
      </c>
      <c r="J1211">
        <f>IF(I1210=0,0,C1210-I1210)</f>
        <v>0</v>
      </c>
    </row>
    <row r="1212" spans="1:10" x14ac:dyDescent="0.25">
      <c r="A1212" s="1">
        <v>40486</v>
      </c>
      <c r="B1212">
        <v>3.2932800000000002</v>
      </c>
      <c r="C1212">
        <v>4.12</v>
      </c>
      <c r="D1212">
        <f>WEEKDAY(A1212,14)</f>
        <v>1</v>
      </c>
      <c r="E1212">
        <f t="shared" si="72"/>
        <v>0</v>
      </c>
      <c r="F1212">
        <f t="shared" si="73"/>
        <v>1</v>
      </c>
      <c r="G1212">
        <f>IF(F1212&gt;F1211,G1211+B1212*E1212,B1212*E1212)</f>
        <v>0</v>
      </c>
      <c r="H1212">
        <f t="shared" si="74"/>
        <v>0</v>
      </c>
      <c r="I1212">
        <f t="shared" si="75"/>
        <v>0</v>
      </c>
      <c r="J1212">
        <f>IF(I1211=0,0,C1211-I1211)</f>
        <v>0.79713000000000056</v>
      </c>
    </row>
    <row r="1213" spans="1:10" x14ac:dyDescent="0.25">
      <c r="A1213" s="1">
        <v>40487</v>
      </c>
      <c r="B1213">
        <v>3.3644799999999999</v>
      </c>
      <c r="C1213">
        <v>4.12</v>
      </c>
      <c r="D1213">
        <f>WEEKDAY(A1213,14)</f>
        <v>2</v>
      </c>
      <c r="E1213">
        <f t="shared" si="72"/>
        <v>0</v>
      </c>
      <c r="F1213">
        <f t="shared" si="73"/>
        <v>2</v>
      </c>
      <c r="G1213">
        <f>IF(F1213&gt;F1212,G1212+B1213*E1213,B1213*E1213)</f>
        <v>0</v>
      </c>
      <c r="H1213">
        <f t="shared" si="74"/>
        <v>0</v>
      </c>
      <c r="I1213">
        <f t="shared" si="75"/>
        <v>0</v>
      </c>
      <c r="J1213">
        <f>IF(I1212=0,0,C1212-I1212)</f>
        <v>0</v>
      </c>
    </row>
    <row r="1214" spans="1:10" x14ac:dyDescent="0.25">
      <c r="A1214" s="1">
        <v>40490</v>
      </c>
      <c r="B1214">
        <v>3.4019300000000001</v>
      </c>
      <c r="C1214">
        <v>4.12</v>
      </c>
      <c r="D1214">
        <f>WEEKDAY(A1214,14)</f>
        <v>5</v>
      </c>
      <c r="E1214">
        <f t="shared" si="72"/>
        <v>0.05</v>
      </c>
      <c r="F1214">
        <f t="shared" si="73"/>
        <v>3</v>
      </c>
      <c r="G1214">
        <f>IF(F1214&gt;F1213,G1213+B1214*E1214,B1214*E1214)</f>
        <v>0.17009650000000001</v>
      </c>
      <c r="H1214">
        <f t="shared" si="74"/>
        <v>0.05</v>
      </c>
      <c r="I1214">
        <f t="shared" si="75"/>
        <v>0</v>
      </c>
      <c r="J1214">
        <f>IF(I1213=0,0,C1213-I1213)</f>
        <v>0</v>
      </c>
    </row>
    <row r="1215" spans="1:10" x14ac:dyDescent="0.25">
      <c r="A1215" s="1">
        <v>40491</v>
      </c>
      <c r="B1215">
        <v>3.5005099999999998</v>
      </c>
      <c r="C1215">
        <v>4.12</v>
      </c>
      <c r="D1215">
        <f>WEEKDAY(A1215,14)</f>
        <v>6</v>
      </c>
      <c r="E1215">
        <f t="shared" si="72"/>
        <v>0.7</v>
      </c>
      <c r="F1215">
        <f t="shared" si="73"/>
        <v>4</v>
      </c>
      <c r="G1215">
        <f>IF(F1215&gt;F1214,G1214+B1215*E1215,B1215*E1215)</f>
        <v>2.6204535</v>
      </c>
      <c r="H1215">
        <f t="shared" si="74"/>
        <v>0.75</v>
      </c>
      <c r="I1215">
        <f t="shared" si="75"/>
        <v>0</v>
      </c>
      <c r="J1215">
        <f>IF(I1214=0,0,C1214-I1214)</f>
        <v>0</v>
      </c>
    </row>
    <row r="1216" spans="1:10" x14ac:dyDescent="0.25">
      <c r="A1216" s="1">
        <v>40492</v>
      </c>
      <c r="B1216">
        <v>3.48752</v>
      </c>
      <c r="C1216">
        <v>4.12</v>
      </c>
      <c r="D1216">
        <f>WEEKDAY(A1216,14)</f>
        <v>7</v>
      </c>
      <c r="E1216">
        <f t="shared" si="72"/>
        <v>0.25</v>
      </c>
      <c r="F1216">
        <f t="shared" si="73"/>
        <v>5</v>
      </c>
      <c r="G1216">
        <f>IF(F1216&gt;F1215,G1215+B1216*E1216,B1216*E1216)</f>
        <v>3.4923335</v>
      </c>
      <c r="H1216">
        <f t="shared" si="74"/>
        <v>1</v>
      </c>
      <c r="I1216">
        <f t="shared" si="75"/>
        <v>3.4923335</v>
      </c>
      <c r="J1216">
        <f>IF(I1215=0,0,C1215-I1215)</f>
        <v>0</v>
      </c>
    </row>
    <row r="1217" spans="1:10" x14ac:dyDescent="0.25">
      <c r="A1217" s="1">
        <v>40494</v>
      </c>
      <c r="B1217">
        <v>3.6084700000000001</v>
      </c>
      <c r="C1217">
        <v>4.3650000000000002</v>
      </c>
      <c r="D1217">
        <f>WEEKDAY(A1217,14)</f>
        <v>2</v>
      </c>
      <c r="E1217">
        <f t="shared" si="72"/>
        <v>0</v>
      </c>
      <c r="F1217">
        <f t="shared" si="73"/>
        <v>1</v>
      </c>
      <c r="G1217">
        <f>IF(F1217&gt;F1216,G1216+B1217*E1217,B1217*E1217)</f>
        <v>0</v>
      </c>
      <c r="H1217">
        <f t="shared" si="74"/>
        <v>0</v>
      </c>
      <c r="I1217">
        <f t="shared" si="75"/>
        <v>0</v>
      </c>
      <c r="J1217">
        <f>IF(I1216=0,0,C1216-I1216)</f>
        <v>0.62766650000000013</v>
      </c>
    </row>
    <row r="1218" spans="1:10" x14ac:dyDescent="0.25">
      <c r="A1218" s="1">
        <v>40497</v>
      </c>
      <c r="B1218">
        <v>3.73584</v>
      </c>
      <c r="C1218">
        <v>4.3650000000000002</v>
      </c>
      <c r="D1218">
        <f>WEEKDAY(A1218,14)</f>
        <v>5</v>
      </c>
      <c r="E1218">
        <f t="shared" si="72"/>
        <v>0.05</v>
      </c>
      <c r="F1218">
        <f t="shared" si="73"/>
        <v>2</v>
      </c>
      <c r="G1218">
        <f>IF(F1218&gt;F1217,G1217+B1218*E1218,B1218*E1218)</f>
        <v>0.18679200000000001</v>
      </c>
      <c r="H1218">
        <f t="shared" si="74"/>
        <v>0.05</v>
      </c>
      <c r="I1218">
        <f t="shared" si="75"/>
        <v>0</v>
      </c>
      <c r="J1218">
        <f>IF(I1217=0,0,C1217-I1217)</f>
        <v>0</v>
      </c>
    </row>
    <row r="1219" spans="1:10" x14ac:dyDescent="0.25">
      <c r="A1219" s="1">
        <v>40498</v>
      </c>
      <c r="B1219">
        <v>3.7216800000000001</v>
      </c>
      <c r="C1219">
        <v>4.3650000000000002</v>
      </c>
      <c r="D1219">
        <f>WEEKDAY(A1219,14)</f>
        <v>6</v>
      </c>
      <c r="E1219">
        <f t="shared" ref="E1219:E1282" si="76">VLOOKUP(D1219,M$2:N$8,2,FALSE)</f>
        <v>0.7</v>
      </c>
      <c r="F1219">
        <f t="shared" ref="F1219:F1282" si="77">IF(AND(D1219&gt;D1218,F1218&lt;6),F1218+1,1)</f>
        <v>3</v>
      </c>
      <c r="G1219">
        <f>IF(F1219&gt;F1218,G1218+B1219*E1219,B1219*E1219)</f>
        <v>2.7919679999999998</v>
      </c>
      <c r="H1219">
        <f t="shared" si="74"/>
        <v>0.75</v>
      </c>
      <c r="I1219">
        <f t="shared" si="75"/>
        <v>0</v>
      </c>
      <c r="J1219">
        <f>IF(I1218=0,0,C1218-I1218)</f>
        <v>0</v>
      </c>
    </row>
    <row r="1220" spans="1:10" x14ac:dyDescent="0.25">
      <c r="A1220" s="1">
        <v>40499</v>
      </c>
      <c r="B1220">
        <v>3.71929</v>
      </c>
      <c r="C1220">
        <v>4.3499999999999996</v>
      </c>
      <c r="D1220">
        <f>WEEKDAY(A1220,14)</f>
        <v>7</v>
      </c>
      <c r="E1220">
        <f t="shared" si="76"/>
        <v>0.25</v>
      </c>
      <c r="F1220">
        <f t="shared" si="77"/>
        <v>4</v>
      </c>
      <c r="G1220">
        <f>IF(F1220&gt;F1219,G1219+B1220*E1220,B1220*E1220)</f>
        <v>3.7217905</v>
      </c>
      <c r="H1220">
        <f t="shared" ref="H1220:H1283" si="78">IF(AND(F1220&lt;6,F1220&gt;F1219),E1220+H1219,E1220)</f>
        <v>1</v>
      </c>
      <c r="I1220">
        <f t="shared" ref="I1220:I1283" si="79">IF(F1220&gt;F1221,G1220/H1220,0)</f>
        <v>3.7217905</v>
      </c>
      <c r="J1220">
        <f>IF(I1219=0,0,C1219-I1219)</f>
        <v>0</v>
      </c>
    </row>
    <row r="1221" spans="1:10" x14ac:dyDescent="0.25">
      <c r="A1221" s="1">
        <v>40500</v>
      </c>
      <c r="B1221">
        <v>3.75041</v>
      </c>
      <c r="C1221">
        <v>4.3650000000000002</v>
      </c>
      <c r="D1221">
        <f>WEEKDAY(A1221,14)</f>
        <v>1</v>
      </c>
      <c r="E1221">
        <f t="shared" si="76"/>
        <v>0</v>
      </c>
      <c r="F1221">
        <f t="shared" si="77"/>
        <v>1</v>
      </c>
      <c r="G1221">
        <f>IF(F1221&gt;F1220,G1220+B1221*E1221,B1221*E1221)</f>
        <v>0</v>
      </c>
      <c r="H1221">
        <f t="shared" si="78"/>
        <v>0</v>
      </c>
      <c r="I1221">
        <f t="shared" si="79"/>
        <v>0</v>
      </c>
      <c r="J1221">
        <f>IF(I1220=0,0,C1220-I1220)</f>
        <v>0.62820949999999964</v>
      </c>
    </row>
    <row r="1222" spans="1:10" x14ac:dyDescent="0.25">
      <c r="A1222" s="1">
        <v>40501</v>
      </c>
      <c r="B1222">
        <v>3.7656999999999998</v>
      </c>
      <c r="C1222">
        <v>4.3499999999999996</v>
      </c>
      <c r="D1222">
        <f>WEEKDAY(A1222,14)</f>
        <v>2</v>
      </c>
      <c r="E1222">
        <f t="shared" si="76"/>
        <v>0</v>
      </c>
      <c r="F1222">
        <f t="shared" si="77"/>
        <v>2</v>
      </c>
      <c r="G1222">
        <f>IF(F1222&gt;F1221,G1221+B1222*E1222,B1222*E1222)</f>
        <v>0</v>
      </c>
      <c r="H1222">
        <f t="shared" si="78"/>
        <v>0</v>
      </c>
      <c r="I1222">
        <f t="shared" si="79"/>
        <v>0</v>
      </c>
      <c r="J1222">
        <f>IF(I1221=0,0,C1221-I1221)</f>
        <v>0</v>
      </c>
    </row>
    <row r="1223" spans="1:10" x14ac:dyDescent="0.25">
      <c r="A1223" s="1">
        <v>40504</v>
      </c>
      <c r="B1223">
        <v>3.7276099999999999</v>
      </c>
      <c r="C1223">
        <v>4.3499999999999996</v>
      </c>
      <c r="D1223">
        <f>WEEKDAY(A1223,14)</f>
        <v>5</v>
      </c>
      <c r="E1223">
        <f t="shared" si="76"/>
        <v>0.05</v>
      </c>
      <c r="F1223">
        <f t="shared" si="77"/>
        <v>3</v>
      </c>
      <c r="G1223">
        <f>IF(F1223&gt;F1222,G1222+B1223*E1223,B1223*E1223)</f>
        <v>0.1863805</v>
      </c>
      <c r="H1223">
        <f t="shared" si="78"/>
        <v>0.05</v>
      </c>
      <c r="I1223">
        <f t="shared" si="79"/>
        <v>0</v>
      </c>
      <c r="J1223">
        <f>IF(I1222=0,0,C1222-I1222)</f>
        <v>0</v>
      </c>
    </row>
    <row r="1224" spans="1:10" x14ac:dyDescent="0.25">
      <c r="A1224" s="1">
        <v>40505</v>
      </c>
      <c r="B1224">
        <v>3.7018499999999999</v>
      </c>
      <c r="C1224">
        <v>4.3499999999999996</v>
      </c>
      <c r="D1224">
        <f>WEEKDAY(A1224,14)</f>
        <v>6</v>
      </c>
      <c r="E1224">
        <f t="shared" si="76"/>
        <v>0.7</v>
      </c>
      <c r="F1224">
        <f t="shared" si="77"/>
        <v>4</v>
      </c>
      <c r="G1224">
        <f>IF(F1224&gt;F1223,G1223+B1224*E1224,B1224*E1224)</f>
        <v>2.7776754999999995</v>
      </c>
      <c r="H1224">
        <f t="shared" si="78"/>
        <v>0.75</v>
      </c>
      <c r="I1224">
        <f t="shared" si="79"/>
        <v>0</v>
      </c>
      <c r="J1224">
        <f>IF(I1223=0,0,C1223-I1223)</f>
        <v>0</v>
      </c>
    </row>
    <row r="1225" spans="1:10" x14ac:dyDescent="0.25">
      <c r="A1225" s="1">
        <v>40506</v>
      </c>
      <c r="B1225">
        <v>3.85371</v>
      </c>
      <c r="C1225">
        <v>4.3499999999999996</v>
      </c>
      <c r="D1225">
        <f>WEEKDAY(A1225,14)</f>
        <v>7</v>
      </c>
      <c r="E1225">
        <f t="shared" si="76"/>
        <v>0.25</v>
      </c>
      <c r="F1225">
        <f t="shared" si="77"/>
        <v>5</v>
      </c>
      <c r="G1225">
        <f>IF(F1225&gt;F1224,G1224+B1225*E1225,B1225*E1225)</f>
        <v>3.7411029999999994</v>
      </c>
      <c r="H1225">
        <f t="shared" si="78"/>
        <v>1</v>
      </c>
      <c r="I1225">
        <f t="shared" si="79"/>
        <v>3.7411029999999994</v>
      </c>
      <c r="J1225">
        <f>IF(I1224=0,0,C1224-I1224)</f>
        <v>0</v>
      </c>
    </row>
    <row r="1226" spans="1:10" x14ac:dyDescent="0.25">
      <c r="A1226" s="1">
        <v>40508</v>
      </c>
      <c r="B1226">
        <v>3.82273</v>
      </c>
      <c r="C1226">
        <v>4.41</v>
      </c>
      <c r="D1226">
        <f>WEEKDAY(A1226,14)</f>
        <v>2</v>
      </c>
      <c r="E1226">
        <f t="shared" si="76"/>
        <v>0</v>
      </c>
      <c r="F1226">
        <f t="shared" si="77"/>
        <v>1</v>
      </c>
      <c r="G1226">
        <f>IF(F1226&gt;F1225,G1225+B1226*E1226,B1226*E1226)</f>
        <v>0</v>
      </c>
      <c r="H1226">
        <f t="shared" si="78"/>
        <v>0</v>
      </c>
      <c r="I1226">
        <f t="shared" si="79"/>
        <v>0</v>
      </c>
      <c r="J1226">
        <f>IF(I1225=0,0,C1225-I1225)</f>
        <v>0.60889700000000024</v>
      </c>
    </row>
    <row r="1227" spans="1:10" x14ac:dyDescent="0.25">
      <c r="A1227" s="1">
        <v>40511</v>
      </c>
      <c r="B1227">
        <v>3.7704499999999999</v>
      </c>
      <c r="C1227">
        <v>4.41</v>
      </c>
      <c r="D1227">
        <f>WEEKDAY(A1227,14)</f>
        <v>5</v>
      </c>
      <c r="E1227">
        <f t="shared" si="76"/>
        <v>0.05</v>
      </c>
      <c r="F1227">
        <f t="shared" si="77"/>
        <v>2</v>
      </c>
      <c r="G1227">
        <f>IF(F1227&gt;F1226,G1226+B1227*E1227,B1227*E1227)</f>
        <v>0.18852250000000001</v>
      </c>
      <c r="H1227">
        <f t="shared" si="78"/>
        <v>0.05</v>
      </c>
      <c r="I1227">
        <f t="shared" si="79"/>
        <v>0</v>
      </c>
      <c r="J1227">
        <f>IF(I1226=0,0,C1226-I1226)</f>
        <v>0</v>
      </c>
    </row>
    <row r="1228" spans="1:10" x14ac:dyDescent="0.25">
      <c r="A1228" s="1">
        <v>40512</v>
      </c>
      <c r="B1228">
        <v>3.7797200000000002</v>
      </c>
      <c r="C1228">
        <v>4.41</v>
      </c>
      <c r="D1228">
        <f>WEEKDAY(A1228,14)</f>
        <v>6</v>
      </c>
      <c r="E1228">
        <f t="shared" si="76"/>
        <v>0.7</v>
      </c>
      <c r="F1228">
        <f t="shared" si="77"/>
        <v>3</v>
      </c>
      <c r="G1228">
        <f>IF(F1228&gt;F1227,G1227+B1228*E1228,B1228*E1228)</f>
        <v>2.8343265</v>
      </c>
      <c r="H1228">
        <f t="shared" si="78"/>
        <v>0.75</v>
      </c>
      <c r="I1228">
        <f t="shared" si="79"/>
        <v>0</v>
      </c>
      <c r="J1228">
        <f>IF(I1227=0,0,C1227-I1227)</f>
        <v>0</v>
      </c>
    </row>
    <row r="1229" spans="1:10" x14ac:dyDescent="0.25">
      <c r="A1229" s="1">
        <v>40513</v>
      </c>
      <c r="B1229">
        <v>3.9343699999999999</v>
      </c>
      <c r="C1229">
        <v>4.41</v>
      </c>
      <c r="D1229">
        <f>WEEKDAY(A1229,14)</f>
        <v>7</v>
      </c>
      <c r="E1229">
        <f t="shared" si="76"/>
        <v>0.25</v>
      </c>
      <c r="F1229">
        <f t="shared" si="77"/>
        <v>4</v>
      </c>
      <c r="G1229">
        <f>IF(F1229&gt;F1228,G1228+B1229*E1229,B1229*E1229)</f>
        <v>3.8179189999999998</v>
      </c>
      <c r="H1229">
        <f t="shared" si="78"/>
        <v>1</v>
      </c>
      <c r="I1229">
        <f t="shared" si="79"/>
        <v>3.8179189999999998</v>
      </c>
      <c r="J1229">
        <f>IF(I1228=0,0,C1228-I1228)</f>
        <v>0</v>
      </c>
    </row>
    <row r="1230" spans="1:10" x14ac:dyDescent="0.25">
      <c r="A1230" s="1">
        <v>40514</v>
      </c>
      <c r="B1230">
        <v>3.9594</v>
      </c>
      <c r="C1230">
        <v>4.5350000000000001</v>
      </c>
      <c r="D1230">
        <f>WEEKDAY(A1230,14)</f>
        <v>1</v>
      </c>
      <c r="E1230">
        <f t="shared" si="76"/>
        <v>0</v>
      </c>
      <c r="F1230">
        <f t="shared" si="77"/>
        <v>1</v>
      </c>
      <c r="G1230">
        <f>IF(F1230&gt;F1229,G1229+B1230*E1230,B1230*E1230)</f>
        <v>0</v>
      </c>
      <c r="H1230">
        <f t="shared" si="78"/>
        <v>0</v>
      </c>
      <c r="I1230">
        <f t="shared" si="79"/>
        <v>0</v>
      </c>
      <c r="J1230">
        <f>IF(I1229=0,0,C1229-I1229)</f>
        <v>0.5920810000000003</v>
      </c>
    </row>
    <row r="1231" spans="1:10" x14ac:dyDescent="0.25">
      <c r="A1231" s="1">
        <v>40515</v>
      </c>
      <c r="B1231">
        <v>3.9445700000000001</v>
      </c>
      <c r="C1231">
        <v>4.5350000000000001</v>
      </c>
      <c r="D1231">
        <f>WEEKDAY(A1231,14)</f>
        <v>2</v>
      </c>
      <c r="E1231">
        <f t="shared" si="76"/>
        <v>0</v>
      </c>
      <c r="F1231">
        <f t="shared" si="77"/>
        <v>2</v>
      </c>
      <c r="G1231">
        <f>IF(F1231&gt;F1230,G1230+B1231*E1231,B1231*E1231)</f>
        <v>0</v>
      </c>
      <c r="H1231">
        <f t="shared" si="78"/>
        <v>0</v>
      </c>
      <c r="I1231">
        <f t="shared" si="79"/>
        <v>0</v>
      </c>
      <c r="J1231">
        <f>IF(I1230=0,0,C1230-I1230)</f>
        <v>0</v>
      </c>
    </row>
    <row r="1232" spans="1:10" x14ac:dyDescent="0.25">
      <c r="A1232" s="1">
        <v>40518</v>
      </c>
      <c r="B1232">
        <v>3.8510300000000002</v>
      </c>
      <c r="C1232">
        <v>4.5350000000000001</v>
      </c>
      <c r="D1232">
        <f>WEEKDAY(A1232,14)</f>
        <v>5</v>
      </c>
      <c r="E1232">
        <f t="shared" si="76"/>
        <v>0.05</v>
      </c>
      <c r="F1232">
        <f t="shared" si="77"/>
        <v>3</v>
      </c>
      <c r="G1232">
        <f>IF(F1232&gt;F1231,G1231+B1232*E1232,B1232*E1232)</f>
        <v>0.19255150000000001</v>
      </c>
      <c r="H1232">
        <f t="shared" si="78"/>
        <v>0.05</v>
      </c>
      <c r="I1232">
        <f t="shared" si="79"/>
        <v>0</v>
      </c>
      <c r="J1232">
        <f>IF(I1231=0,0,C1231-I1231)</f>
        <v>0</v>
      </c>
    </row>
    <row r="1233" spans="1:10" x14ac:dyDescent="0.25">
      <c r="A1233" s="1">
        <v>40519</v>
      </c>
      <c r="B1233">
        <v>4.0550699999999997</v>
      </c>
      <c r="C1233">
        <v>4.5350000000000001</v>
      </c>
      <c r="D1233">
        <f>WEEKDAY(A1233,14)</f>
        <v>6</v>
      </c>
      <c r="E1233">
        <f t="shared" si="76"/>
        <v>0.7</v>
      </c>
      <c r="F1233">
        <f t="shared" si="77"/>
        <v>4</v>
      </c>
      <c r="G1233">
        <f>IF(F1233&gt;F1232,G1232+B1233*E1233,B1233*E1233)</f>
        <v>3.0311004999999995</v>
      </c>
      <c r="H1233">
        <f t="shared" si="78"/>
        <v>0.75</v>
      </c>
      <c r="I1233">
        <f t="shared" si="79"/>
        <v>0</v>
      </c>
      <c r="J1233">
        <f>IF(I1232=0,0,C1232-I1232)</f>
        <v>0</v>
      </c>
    </row>
    <row r="1234" spans="1:10" x14ac:dyDescent="0.25">
      <c r="A1234" s="1">
        <v>40520</v>
      </c>
      <c r="B1234">
        <v>4.1053899999999999</v>
      </c>
      <c r="C1234">
        <v>4.5350000000000001</v>
      </c>
      <c r="D1234">
        <f>WEEKDAY(A1234,14)</f>
        <v>7</v>
      </c>
      <c r="E1234">
        <f t="shared" si="76"/>
        <v>0.25</v>
      </c>
      <c r="F1234">
        <f t="shared" si="77"/>
        <v>5</v>
      </c>
      <c r="G1234">
        <f>IF(F1234&gt;F1233,G1233+B1234*E1234,B1234*E1234)</f>
        <v>4.0574479999999991</v>
      </c>
      <c r="H1234">
        <f t="shared" si="78"/>
        <v>1</v>
      </c>
      <c r="I1234">
        <f t="shared" si="79"/>
        <v>4.0574479999999991</v>
      </c>
      <c r="J1234">
        <f>IF(I1233=0,0,C1233-I1233)</f>
        <v>0</v>
      </c>
    </row>
    <row r="1235" spans="1:10" x14ac:dyDescent="0.25">
      <c r="A1235" s="1">
        <v>40521</v>
      </c>
      <c r="B1235">
        <v>4.0560700000000001</v>
      </c>
      <c r="C1235">
        <v>4.7549999999999999</v>
      </c>
      <c r="D1235">
        <f>WEEKDAY(A1235,14)</f>
        <v>1</v>
      </c>
      <c r="E1235">
        <f t="shared" si="76"/>
        <v>0</v>
      </c>
      <c r="F1235">
        <f t="shared" si="77"/>
        <v>1</v>
      </c>
      <c r="G1235">
        <f>IF(F1235&gt;F1234,G1234+B1235*E1235,B1235*E1235)</f>
        <v>0</v>
      </c>
      <c r="H1235">
        <f t="shared" si="78"/>
        <v>0</v>
      </c>
      <c r="I1235">
        <f t="shared" si="79"/>
        <v>0</v>
      </c>
      <c r="J1235">
        <f>IF(I1234=0,0,C1234-I1234)</f>
        <v>0.47755200000000109</v>
      </c>
    </row>
    <row r="1236" spans="1:10" x14ac:dyDescent="0.25">
      <c r="A1236" s="1">
        <v>40522</v>
      </c>
      <c r="B1236">
        <v>4.1283599999999998</v>
      </c>
      <c r="C1236">
        <v>4.7549999999999999</v>
      </c>
      <c r="D1236">
        <f>WEEKDAY(A1236,14)</f>
        <v>2</v>
      </c>
      <c r="E1236">
        <f t="shared" si="76"/>
        <v>0</v>
      </c>
      <c r="F1236">
        <f t="shared" si="77"/>
        <v>2</v>
      </c>
      <c r="G1236">
        <f>IF(F1236&gt;F1235,G1235+B1236*E1236,B1236*E1236)</f>
        <v>0</v>
      </c>
      <c r="H1236">
        <f t="shared" si="78"/>
        <v>0</v>
      </c>
      <c r="I1236">
        <f t="shared" si="79"/>
        <v>0</v>
      </c>
      <c r="J1236">
        <f>IF(I1235=0,0,C1235-I1235)</f>
        <v>0</v>
      </c>
    </row>
    <row r="1237" spans="1:10" x14ac:dyDescent="0.25">
      <c r="A1237" s="1">
        <v>40525</v>
      </c>
      <c r="B1237">
        <v>4.1089700000000002</v>
      </c>
      <c r="C1237">
        <v>4.7549999999999999</v>
      </c>
      <c r="D1237">
        <f>WEEKDAY(A1237,14)</f>
        <v>5</v>
      </c>
      <c r="E1237">
        <f t="shared" si="76"/>
        <v>0.05</v>
      </c>
      <c r="F1237">
        <f t="shared" si="77"/>
        <v>3</v>
      </c>
      <c r="G1237">
        <f>IF(F1237&gt;F1236,G1236+B1237*E1237,B1237*E1237)</f>
        <v>0.20544850000000003</v>
      </c>
      <c r="H1237">
        <f t="shared" si="78"/>
        <v>0.05</v>
      </c>
      <c r="I1237">
        <f t="shared" si="79"/>
        <v>0</v>
      </c>
      <c r="J1237">
        <f>IF(I1236=0,0,C1236-I1236)</f>
        <v>0</v>
      </c>
    </row>
    <row r="1238" spans="1:10" x14ac:dyDescent="0.25">
      <c r="A1238" s="1">
        <v>40526</v>
      </c>
      <c r="B1238">
        <v>4.2874800000000004</v>
      </c>
      <c r="C1238">
        <v>4.7549999999999999</v>
      </c>
      <c r="D1238">
        <f>WEEKDAY(A1238,14)</f>
        <v>6</v>
      </c>
      <c r="E1238">
        <f t="shared" si="76"/>
        <v>0.7</v>
      </c>
      <c r="F1238">
        <f t="shared" si="77"/>
        <v>4</v>
      </c>
      <c r="G1238">
        <f>IF(F1238&gt;F1237,G1237+B1238*E1238,B1238*E1238)</f>
        <v>3.2066845000000002</v>
      </c>
      <c r="H1238">
        <f t="shared" si="78"/>
        <v>0.75</v>
      </c>
      <c r="I1238">
        <f t="shared" si="79"/>
        <v>0</v>
      </c>
      <c r="J1238">
        <f>IF(I1237=0,0,C1237-I1237)</f>
        <v>0</v>
      </c>
    </row>
    <row r="1239" spans="1:10" x14ac:dyDescent="0.25">
      <c r="A1239" s="1">
        <v>40527</v>
      </c>
      <c r="B1239">
        <v>4.3841200000000002</v>
      </c>
      <c r="C1239">
        <v>4.7549999999999999</v>
      </c>
      <c r="D1239">
        <f>WEEKDAY(A1239,14)</f>
        <v>7</v>
      </c>
      <c r="E1239">
        <f t="shared" si="76"/>
        <v>0.25</v>
      </c>
      <c r="F1239">
        <f t="shared" si="77"/>
        <v>5</v>
      </c>
      <c r="G1239">
        <f>IF(F1239&gt;F1238,G1238+B1239*E1239,B1239*E1239)</f>
        <v>4.3027145000000004</v>
      </c>
      <c r="H1239">
        <f t="shared" si="78"/>
        <v>1</v>
      </c>
      <c r="I1239">
        <f t="shared" si="79"/>
        <v>4.3027145000000004</v>
      </c>
      <c r="J1239">
        <f>IF(I1238=0,0,C1238-I1238)</f>
        <v>0</v>
      </c>
    </row>
    <row r="1240" spans="1:10" x14ac:dyDescent="0.25">
      <c r="A1240" s="1">
        <v>40528</v>
      </c>
      <c r="B1240">
        <v>4.3563900000000002</v>
      </c>
      <c r="C1240">
        <v>4.7350000000000003</v>
      </c>
      <c r="D1240">
        <f>WEEKDAY(A1240,14)</f>
        <v>1</v>
      </c>
      <c r="E1240">
        <f t="shared" si="76"/>
        <v>0</v>
      </c>
      <c r="F1240">
        <f t="shared" si="77"/>
        <v>1</v>
      </c>
      <c r="G1240">
        <f>IF(F1240&gt;F1239,G1239+B1240*E1240,B1240*E1240)</f>
        <v>0</v>
      </c>
      <c r="H1240">
        <f t="shared" si="78"/>
        <v>0</v>
      </c>
      <c r="I1240">
        <f t="shared" si="79"/>
        <v>0</v>
      </c>
      <c r="J1240">
        <f>IF(I1239=0,0,C1239-I1239)</f>
        <v>0.45228549999999945</v>
      </c>
    </row>
    <row r="1241" spans="1:10" x14ac:dyDescent="0.25">
      <c r="A1241" s="1">
        <v>40529</v>
      </c>
      <c r="B1241">
        <v>4.1670199999999999</v>
      </c>
      <c r="C1241">
        <v>4.7350000000000003</v>
      </c>
      <c r="D1241">
        <f>WEEKDAY(A1241,14)</f>
        <v>2</v>
      </c>
      <c r="E1241">
        <f t="shared" si="76"/>
        <v>0</v>
      </c>
      <c r="F1241">
        <f t="shared" si="77"/>
        <v>2</v>
      </c>
      <c r="G1241">
        <f>IF(F1241&gt;F1240,G1240+B1241*E1241,B1241*E1241)</f>
        <v>0</v>
      </c>
      <c r="H1241">
        <f t="shared" si="78"/>
        <v>0</v>
      </c>
      <c r="I1241">
        <f t="shared" si="79"/>
        <v>0</v>
      </c>
      <c r="J1241">
        <f>IF(I1240=0,0,C1240-I1240)</f>
        <v>0</v>
      </c>
    </row>
    <row r="1242" spans="1:10" x14ac:dyDescent="0.25">
      <c r="A1242" s="1">
        <v>40532</v>
      </c>
      <c r="B1242">
        <v>4.2106199999999996</v>
      </c>
      <c r="C1242">
        <v>4.7350000000000003</v>
      </c>
      <c r="D1242">
        <f>WEEKDAY(A1242,14)</f>
        <v>5</v>
      </c>
      <c r="E1242">
        <f t="shared" si="76"/>
        <v>0.05</v>
      </c>
      <c r="F1242">
        <f t="shared" si="77"/>
        <v>3</v>
      </c>
      <c r="G1242">
        <f>IF(F1242&gt;F1241,G1241+B1242*E1242,B1242*E1242)</f>
        <v>0.210531</v>
      </c>
      <c r="H1242">
        <f t="shared" si="78"/>
        <v>0.05</v>
      </c>
      <c r="I1242">
        <f t="shared" si="79"/>
        <v>0</v>
      </c>
      <c r="J1242">
        <f>IF(I1241=0,0,C1241-I1241)</f>
        <v>0</v>
      </c>
    </row>
    <row r="1243" spans="1:10" x14ac:dyDescent="0.25">
      <c r="A1243" s="1">
        <v>40533</v>
      </c>
      <c r="B1243">
        <v>4.1747800000000002</v>
      </c>
      <c r="C1243">
        <v>4.7350000000000003</v>
      </c>
      <c r="D1243">
        <f>WEEKDAY(A1243,14)</f>
        <v>6</v>
      </c>
      <c r="E1243">
        <f t="shared" si="76"/>
        <v>0.7</v>
      </c>
      <c r="F1243">
        <f t="shared" si="77"/>
        <v>4</v>
      </c>
      <c r="G1243">
        <f>IF(F1243&gt;F1242,G1242+B1243*E1243,B1243*E1243)</f>
        <v>3.1328770000000001</v>
      </c>
      <c r="H1243">
        <f t="shared" si="78"/>
        <v>0.75</v>
      </c>
      <c r="I1243">
        <f t="shared" si="79"/>
        <v>0</v>
      </c>
      <c r="J1243">
        <f>IF(I1242=0,0,C1242-I1242)</f>
        <v>0</v>
      </c>
    </row>
    <row r="1244" spans="1:10" x14ac:dyDescent="0.25">
      <c r="A1244" s="1">
        <v>40534</v>
      </c>
      <c r="B1244">
        <v>4.1784999999999997</v>
      </c>
      <c r="C1244">
        <v>4.7350000000000003</v>
      </c>
      <c r="D1244">
        <f>WEEKDAY(A1244,14)</f>
        <v>7</v>
      </c>
      <c r="E1244">
        <f t="shared" si="76"/>
        <v>0.25</v>
      </c>
      <c r="F1244">
        <f t="shared" si="77"/>
        <v>5</v>
      </c>
      <c r="G1244">
        <f>IF(F1244&gt;F1243,G1243+B1244*E1244,B1244*E1244)</f>
        <v>4.1775020000000005</v>
      </c>
      <c r="H1244">
        <f t="shared" si="78"/>
        <v>1</v>
      </c>
      <c r="I1244">
        <f t="shared" si="79"/>
        <v>4.1775020000000005</v>
      </c>
      <c r="J1244">
        <f>IF(I1243=0,0,C1243-I1243)</f>
        <v>0</v>
      </c>
    </row>
    <row r="1245" spans="1:10" x14ac:dyDescent="0.25">
      <c r="A1245" s="1">
        <v>40535</v>
      </c>
      <c r="B1245">
        <v>4.2265100000000002</v>
      </c>
      <c r="C1245">
        <v>4.8099999999999996</v>
      </c>
      <c r="D1245">
        <f>WEEKDAY(A1245,14)</f>
        <v>1</v>
      </c>
      <c r="E1245">
        <f t="shared" si="76"/>
        <v>0</v>
      </c>
      <c r="F1245">
        <f t="shared" si="77"/>
        <v>1</v>
      </c>
      <c r="G1245">
        <f>IF(F1245&gt;F1244,G1244+B1245*E1245,B1245*E1245)</f>
        <v>0</v>
      </c>
      <c r="H1245">
        <f t="shared" si="78"/>
        <v>0</v>
      </c>
      <c r="I1245">
        <f t="shared" si="79"/>
        <v>0</v>
      </c>
      <c r="J1245">
        <f>IF(I1244=0,0,C1244-I1244)</f>
        <v>0.55749799999999983</v>
      </c>
    </row>
    <row r="1246" spans="1:10" x14ac:dyDescent="0.25">
      <c r="A1246" s="1">
        <v>40539</v>
      </c>
      <c r="B1246">
        <v>4.2128399999999999</v>
      </c>
      <c r="C1246">
        <v>4.8099999999999996</v>
      </c>
      <c r="D1246">
        <f>WEEKDAY(A1246,14)</f>
        <v>5</v>
      </c>
      <c r="E1246">
        <f t="shared" si="76"/>
        <v>0.05</v>
      </c>
      <c r="F1246">
        <f t="shared" si="77"/>
        <v>2</v>
      </c>
      <c r="G1246">
        <f>IF(F1246&gt;F1245,G1245+B1246*E1246,B1246*E1246)</f>
        <v>0.210642</v>
      </c>
      <c r="H1246">
        <f t="shared" si="78"/>
        <v>0.05</v>
      </c>
      <c r="I1246">
        <f t="shared" si="79"/>
        <v>0</v>
      </c>
      <c r="J1246">
        <f>IF(I1245=0,0,C1245-I1245)</f>
        <v>0</v>
      </c>
    </row>
    <row r="1247" spans="1:10" x14ac:dyDescent="0.25">
      <c r="A1247" s="1">
        <v>40540</v>
      </c>
      <c r="B1247">
        <v>4.3267800000000003</v>
      </c>
      <c r="C1247">
        <v>4.8099999999999996</v>
      </c>
      <c r="D1247">
        <f>WEEKDAY(A1247,14)</f>
        <v>6</v>
      </c>
      <c r="E1247">
        <f t="shared" si="76"/>
        <v>0.7</v>
      </c>
      <c r="F1247">
        <f t="shared" si="77"/>
        <v>3</v>
      </c>
      <c r="G1247">
        <f>IF(F1247&gt;F1246,G1246+B1247*E1247,B1247*E1247)</f>
        <v>3.2393879999999999</v>
      </c>
      <c r="H1247">
        <f t="shared" si="78"/>
        <v>0.75</v>
      </c>
      <c r="I1247">
        <f t="shared" si="79"/>
        <v>0</v>
      </c>
      <c r="J1247">
        <f>IF(I1246=0,0,C1246-I1246)</f>
        <v>0</v>
      </c>
    </row>
    <row r="1248" spans="1:10" x14ac:dyDescent="0.25">
      <c r="A1248" s="1">
        <v>40541</v>
      </c>
      <c r="B1248">
        <v>4.1711999999999998</v>
      </c>
      <c r="C1248">
        <v>4.8099999999999996</v>
      </c>
      <c r="D1248">
        <f>WEEKDAY(A1248,14)</f>
        <v>7</v>
      </c>
      <c r="E1248">
        <f t="shared" si="76"/>
        <v>0.25</v>
      </c>
      <c r="F1248">
        <f t="shared" si="77"/>
        <v>4</v>
      </c>
      <c r="G1248">
        <f>IF(F1248&gt;F1247,G1247+B1248*E1248,B1248*E1248)</f>
        <v>4.2821879999999997</v>
      </c>
      <c r="H1248">
        <f t="shared" si="78"/>
        <v>1</v>
      </c>
      <c r="I1248">
        <f t="shared" si="79"/>
        <v>4.2821879999999997</v>
      </c>
      <c r="J1248">
        <f>IF(I1247=0,0,C1247-I1247)</f>
        <v>0</v>
      </c>
    </row>
    <row r="1249" spans="1:10" x14ac:dyDescent="0.25">
      <c r="A1249" s="1">
        <v>40542</v>
      </c>
      <c r="B1249">
        <v>4.1887800000000004</v>
      </c>
      <c r="C1249">
        <v>4.72</v>
      </c>
      <c r="D1249">
        <f>WEEKDAY(A1249,14)</f>
        <v>1</v>
      </c>
      <c r="E1249">
        <f t="shared" si="76"/>
        <v>0</v>
      </c>
      <c r="F1249">
        <f t="shared" si="77"/>
        <v>1</v>
      </c>
      <c r="G1249">
        <f>IF(F1249&gt;F1248,G1248+B1249*E1249,B1249*E1249)</f>
        <v>0</v>
      </c>
      <c r="H1249">
        <f t="shared" si="78"/>
        <v>0</v>
      </c>
      <c r="I1249">
        <f t="shared" si="79"/>
        <v>0</v>
      </c>
      <c r="J1249">
        <f>IF(I1248=0,0,C1248-I1248)</f>
        <v>0.52781199999999995</v>
      </c>
    </row>
    <row r="1250" spans="1:10" x14ac:dyDescent="0.25">
      <c r="A1250" s="1">
        <v>40543</v>
      </c>
      <c r="B1250">
        <v>4.1057699999999997</v>
      </c>
      <c r="C1250">
        <v>4.72</v>
      </c>
      <c r="D1250">
        <f>WEEKDAY(A1250,14)</f>
        <v>2</v>
      </c>
      <c r="E1250">
        <f t="shared" si="76"/>
        <v>0</v>
      </c>
      <c r="F1250">
        <f t="shared" si="77"/>
        <v>2</v>
      </c>
      <c r="G1250">
        <f>IF(F1250&gt;F1249,G1249+B1250*E1250,B1250*E1250)</f>
        <v>0</v>
      </c>
      <c r="H1250">
        <f t="shared" si="78"/>
        <v>0</v>
      </c>
      <c r="I1250">
        <f t="shared" si="79"/>
        <v>0</v>
      </c>
      <c r="J1250">
        <f>IF(I1249=0,0,C1249-I1249)</f>
        <v>0</v>
      </c>
    </row>
    <row r="1251" spans="1:10" x14ac:dyDescent="0.25">
      <c r="A1251" s="1">
        <v>40546</v>
      </c>
      <c r="B1251">
        <v>4.11937</v>
      </c>
      <c r="C1251">
        <v>4.72</v>
      </c>
      <c r="D1251">
        <f>WEEKDAY(A1251,14)</f>
        <v>5</v>
      </c>
      <c r="E1251">
        <f t="shared" si="76"/>
        <v>0.05</v>
      </c>
      <c r="F1251">
        <f t="shared" si="77"/>
        <v>3</v>
      </c>
      <c r="G1251">
        <f>IF(F1251&gt;F1250,G1250+B1251*E1251,B1251*E1251)</f>
        <v>0.2059685</v>
      </c>
      <c r="H1251">
        <f t="shared" si="78"/>
        <v>0.05</v>
      </c>
      <c r="I1251">
        <f t="shared" si="79"/>
        <v>0</v>
      </c>
      <c r="J1251">
        <f>IF(I1250=0,0,C1250-I1250)</f>
        <v>0</v>
      </c>
    </row>
    <row r="1252" spans="1:10" x14ac:dyDescent="0.25">
      <c r="A1252" s="1">
        <v>40547</v>
      </c>
      <c r="B1252">
        <v>4.1123000000000003</v>
      </c>
      <c r="C1252">
        <v>4.72</v>
      </c>
      <c r="D1252">
        <f>WEEKDAY(A1252,14)</f>
        <v>6</v>
      </c>
      <c r="E1252">
        <f t="shared" si="76"/>
        <v>0.7</v>
      </c>
      <c r="F1252">
        <f t="shared" si="77"/>
        <v>4</v>
      </c>
      <c r="G1252">
        <f>IF(F1252&gt;F1251,G1251+B1252*E1252,B1252*E1252)</f>
        <v>3.0845785000000001</v>
      </c>
      <c r="H1252">
        <f t="shared" si="78"/>
        <v>0.75</v>
      </c>
      <c r="I1252">
        <f t="shared" si="79"/>
        <v>0</v>
      </c>
      <c r="J1252">
        <f>IF(I1251=0,0,C1251-I1251)</f>
        <v>0</v>
      </c>
    </row>
    <row r="1253" spans="1:10" x14ac:dyDescent="0.25">
      <c r="A1253" s="1">
        <v>40548</v>
      </c>
      <c r="B1253">
        <v>4.2469400000000004</v>
      </c>
      <c r="C1253">
        <v>4.72</v>
      </c>
      <c r="D1253">
        <f>WEEKDAY(A1253,14)</f>
        <v>7</v>
      </c>
      <c r="E1253">
        <f t="shared" si="76"/>
        <v>0.25</v>
      </c>
      <c r="F1253">
        <f t="shared" si="77"/>
        <v>5</v>
      </c>
      <c r="G1253">
        <f>IF(F1253&gt;F1252,G1252+B1253*E1253,B1253*E1253)</f>
        <v>4.1463134999999998</v>
      </c>
      <c r="H1253">
        <f t="shared" si="78"/>
        <v>1</v>
      </c>
      <c r="I1253">
        <f t="shared" si="79"/>
        <v>4.1463134999999998</v>
      </c>
      <c r="J1253">
        <f>IF(I1252=0,0,C1252-I1252)</f>
        <v>0</v>
      </c>
    </row>
    <row r="1254" spans="1:10" x14ac:dyDescent="0.25">
      <c r="A1254" s="1">
        <v>40549</v>
      </c>
      <c r="B1254">
        <v>4.2000799999999998</v>
      </c>
      <c r="C1254">
        <v>4.66</v>
      </c>
      <c r="D1254">
        <f>WEEKDAY(A1254,14)</f>
        <v>1</v>
      </c>
      <c r="E1254">
        <f t="shared" si="76"/>
        <v>0</v>
      </c>
      <c r="F1254">
        <f t="shared" si="77"/>
        <v>1</v>
      </c>
      <c r="G1254">
        <f>IF(F1254&gt;F1253,G1253+B1254*E1254,B1254*E1254)</f>
        <v>0</v>
      </c>
      <c r="H1254">
        <f t="shared" si="78"/>
        <v>0</v>
      </c>
      <c r="I1254">
        <f t="shared" si="79"/>
        <v>0</v>
      </c>
      <c r="J1254">
        <f>IF(I1253=0,0,C1253-I1253)</f>
        <v>0.57368649999999999</v>
      </c>
    </row>
    <row r="1255" spans="1:10" x14ac:dyDescent="0.25">
      <c r="A1255" s="1">
        <v>40550</v>
      </c>
      <c r="B1255">
        <v>4.1021099999999997</v>
      </c>
      <c r="C1255">
        <v>4.66</v>
      </c>
      <c r="D1255">
        <f>WEEKDAY(A1255,14)</f>
        <v>2</v>
      </c>
      <c r="E1255">
        <f t="shared" si="76"/>
        <v>0</v>
      </c>
      <c r="F1255">
        <f t="shared" si="77"/>
        <v>2</v>
      </c>
      <c r="G1255">
        <f>IF(F1255&gt;F1254,G1254+B1255*E1255,B1255*E1255)</f>
        <v>0</v>
      </c>
      <c r="H1255">
        <f t="shared" si="78"/>
        <v>0</v>
      </c>
      <c r="I1255">
        <f t="shared" si="79"/>
        <v>0</v>
      </c>
      <c r="J1255">
        <f>IF(I1254=0,0,C1254-I1254)</f>
        <v>0</v>
      </c>
    </row>
    <row r="1256" spans="1:10" x14ac:dyDescent="0.25">
      <c r="A1256" s="1">
        <v>40553</v>
      </c>
      <c r="B1256">
        <v>4.0762999999999998</v>
      </c>
      <c r="C1256">
        <v>4.66</v>
      </c>
      <c r="D1256">
        <f>WEEKDAY(A1256,14)</f>
        <v>5</v>
      </c>
      <c r="E1256">
        <f t="shared" si="76"/>
        <v>0.05</v>
      </c>
      <c r="F1256">
        <f t="shared" si="77"/>
        <v>3</v>
      </c>
      <c r="G1256">
        <f>IF(F1256&gt;F1255,G1255+B1256*E1256,B1256*E1256)</f>
        <v>0.203815</v>
      </c>
      <c r="H1256">
        <f t="shared" si="78"/>
        <v>0.05</v>
      </c>
      <c r="I1256">
        <f t="shared" si="79"/>
        <v>0</v>
      </c>
      <c r="J1256">
        <f>IF(I1255=0,0,C1255-I1255)</f>
        <v>0</v>
      </c>
    </row>
    <row r="1257" spans="1:10" x14ac:dyDescent="0.25">
      <c r="A1257" s="1">
        <v>40554</v>
      </c>
      <c r="B1257">
        <v>4.1304600000000002</v>
      </c>
      <c r="C1257">
        <v>4.66</v>
      </c>
      <c r="D1257">
        <f>WEEKDAY(A1257,14)</f>
        <v>6</v>
      </c>
      <c r="E1257">
        <f t="shared" si="76"/>
        <v>0.7</v>
      </c>
      <c r="F1257">
        <f t="shared" si="77"/>
        <v>4</v>
      </c>
      <c r="G1257">
        <f>IF(F1257&gt;F1256,G1256+B1257*E1257,B1257*E1257)</f>
        <v>3.0951370000000002</v>
      </c>
      <c r="H1257">
        <f t="shared" si="78"/>
        <v>0.75</v>
      </c>
      <c r="I1257">
        <f t="shared" si="79"/>
        <v>0</v>
      </c>
      <c r="J1257">
        <f>IF(I1256=0,0,C1256-I1256)</f>
        <v>0</v>
      </c>
    </row>
    <row r="1258" spans="1:10" x14ac:dyDescent="0.25">
      <c r="A1258" s="1">
        <v>40555</v>
      </c>
      <c r="B1258">
        <v>4.1275500000000003</v>
      </c>
      <c r="C1258">
        <v>4.66</v>
      </c>
      <c r="D1258">
        <f>WEEKDAY(A1258,14)</f>
        <v>7</v>
      </c>
      <c r="E1258">
        <f t="shared" si="76"/>
        <v>0.25</v>
      </c>
      <c r="F1258">
        <f t="shared" si="77"/>
        <v>5</v>
      </c>
      <c r="G1258">
        <f>IF(F1258&gt;F1257,G1257+B1258*E1258,B1258*E1258)</f>
        <v>4.1270245000000001</v>
      </c>
      <c r="H1258">
        <f t="shared" si="78"/>
        <v>1</v>
      </c>
      <c r="I1258">
        <f t="shared" si="79"/>
        <v>4.1270245000000001</v>
      </c>
      <c r="J1258">
        <f>IF(I1257=0,0,C1257-I1257)</f>
        <v>0</v>
      </c>
    </row>
    <row r="1259" spans="1:10" x14ac:dyDescent="0.25">
      <c r="A1259" s="1">
        <v>40556</v>
      </c>
      <c r="B1259">
        <v>4.0727700000000002</v>
      </c>
      <c r="C1259">
        <v>4.6900000000000004</v>
      </c>
      <c r="D1259">
        <f>WEEKDAY(A1259,14)</f>
        <v>1</v>
      </c>
      <c r="E1259">
        <f t="shared" si="76"/>
        <v>0</v>
      </c>
      <c r="F1259">
        <f t="shared" si="77"/>
        <v>1</v>
      </c>
      <c r="G1259">
        <f>IF(F1259&gt;F1258,G1258+B1259*E1259,B1259*E1259)</f>
        <v>0</v>
      </c>
      <c r="H1259">
        <f t="shared" si="78"/>
        <v>0</v>
      </c>
      <c r="I1259">
        <f t="shared" si="79"/>
        <v>0</v>
      </c>
      <c r="J1259">
        <f>IF(I1258=0,0,C1258-I1258)</f>
        <v>0.53297550000000005</v>
      </c>
    </row>
    <row r="1260" spans="1:10" x14ac:dyDescent="0.25">
      <c r="A1260" s="1">
        <v>40557</v>
      </c>
      <c r="B1260">
        <v>4.0858499999999998</v>
      </c>
      <c r="C1260">
        <v>4.6900000000000004</v>
      </c>
      <c r="D1260">
        <f>WEEKDAY(A1260,14)</f>
        <v>2</v>
      </c>
      <c r="E1260">
        <f t="shared" si="76"/>
        <v>0</v>
      </c>
      <c r="F1260">
        <f t="shared" si="77"/>
        <v>2</v>
      </c>
      <c r="G1260">
        <f>IF(F1260&gt;F1259,G1259+B1260*E1260,B1260*E1260)</f>
        <v>0</v>
      </c>
      <c r="H1260">
        <f t="shared" si="78"/>
        <v>0</v>
      </c>
      <c r="I1260">
        <f t="shared" si="79"/>
        <v>0</v>
      </c>
      <c r="J1260">
        <f>IF(I1259=0,0,C1259-I1259)</f>
        <v>0</v>
      </c>
    </row>
    <row r="1261" spans="1:10" x14ac:dyDescent="0.25">
      <c r="A1261" s="1">
        <v>40561</v>
      </c>
      <c r="B1261">
        <v>4.1412399999999998</v>
      </c>
      <c r="C1261">
        <v>4.6900000000000004</v>
      </c>
      <c r="D1261">
        <f>WEEKDAY(A1261,14)</f>
        <v>6</v>
      </c>
      <c r="E1261">
        <f t="shared" si="76"/>
        <v>0.7</v>
      </c>
      <c r="F1261">
        <f t="shared" si="77"/>
        <v>3</v>
      </c>
      <c r="G1261">
        <f>IF(F1261&gt;F1260,G1260+B1261*E1261,B1261*E1261)</f>
        <v>2.8988679999999998</v>
      </c>
      <c r="H1261">
        <f t="shared" si="78"/>
        <v>0.7</v>
      </c>
      <c r="I1261">
        <f t="shared" si="79"/>
        <v>0</v>
      </c>
      <c r="J1261">
        <f>IF(I1260=0,0,C1260-I1260)</f>
        <v>0</v>
      </c>
    </row>
    <row r="1262" spans="1:10" x14ac:dyDescent="0.25">
      <c r="A1262" s="1">
        <v>40562</v>
      </c>
      <c r="B1262">
        <v>4.1151200000000001</v>
      </c>
      <c r="C1262">
        <v>4.6900000000000004</v>
      </c>
      <c r="D1262">
        <f>WEEKDAY(A1262,14)</f>
        <v>7</v>
      </c>
      <c r="E1262">
        <f t="shared" si="76"/>
        <v>0.25</v>
      </c>
      <c r="F1262">
        <f t="shared" si="77"/>
        <v>4</v>
      </c>
      <c r="G1262">
        <f>IF(F1262&gt;F1261,G1261+B1262*E1262,B1262*E1262)</f>
        <v>3.9276479999999996</v>
      </c>
      <c r="H1262">
        <f t="shared" si="78"/>
        <v>0.95</v>
      </c>
      <c r="I1262">
        <f t="shared" si="79"/>
        <v>4.1343663157894737</v>
      </c>
      <c r="J1262">
        <f>IF(I1261=0,0,C1261-I1261)</f>
        <v>0</v>
      </c>
    </row>
    <row r="1263" spans="1:10" x14ac:dyDescent="0.25">
      <c r="A1263" s="1">
        <v>40563</v>
      </c>
      <c r="B1263">
        <v>4.2162300000000004</v>
      </c>
      <c r="C1263">
        <v>4.7249999999999996</v>
      </c>
      <c r="D1263">
        <f>WEEKDAY(A1263,14)</f>
        <v>1</v>
      </c>
      <c r="E1263">
        <f t="shared" si="76"/>
        <v>0</v>
      </c>
      <c r="F1263">
        <f t="shared" si="77"/>
        <v>1</v>
      </c>
      <c r="G1263">
        <f>IF(F1263&gt;F1262,G1262+B1263*E1263,B1263*E1263)</f>
        <v>0</v>
      </c>
      <c r="H1263">
        <f t="shared" si="78"/>
        <v>0</v>
      </c>
      <c r="I1263">
        <f t="shared" si="79"/>
        <v>0</v>
      </c>
      <c r="J1263">
        <f>IF(I1262=0,0,C1262-I1262)</f>
        <v>0.55563368421052672</v>
      </c>
    </row>
    <row r="1264" spans="1:10" x14ac:dyDescent="0.25">
      <c r="A1264" s="1">
        <v>40564</v>
      </c>
      <c r="B1264">
        <v>4.1821099999999998</v>
      </c>
      <c r="C1264">
        <v>4.7249999999999996</v>
      </c>
      <c r="D1264">
        <f>WEEKDAY(A1264,14)</f>
        <v>2</v>
      </c>
      <c r="E1264">
        <f t="shared" si="76"/>
        <v>0</v>
      </c>
      <c r="F1264">
        <f t="shared" si="77"/>
        <v>2</v>
      </c>
      <c r="G1264">
        <f>IF(F1264&gt;F1263,G1263+B1264*E1264,B1264*E1264)</f>
        <v>0</v>
      </c>
      <c r="H1264">
        <f t="shared" si="78"/>
        <v>0</v>
      </c>
      <c r="I1264">
        <f t="shared" si="79"/>
        <v>0</v>
      </c>
      <c r="J1264">
        <f>IF(I1263=0,0,C1263-I1263)</f>
        <v>0</v>
      </c>
    </row>
    <row r="1265" spans="1:10" x14ac:dyDescent="0.25">
      <c r="A1265" s="1">
        <v>40567</v>
      </c>
      <c r="B1265">
        <v>4.19564</v>
      </c>
      <c r="C1265">
        <v>4.7249999999999996</v>
      </c>
      <c r="D1265">
        <f>WEEKDAY(A1265,14)</f>
        <v>5</v>
      </c>
      <c r="E1265">
        <f t="shared" si="76"/>
        <v>0.05</v>
      </c>
      <c r="F1265">
        <f t="shared" si="77"/>
        <v>3</v>
      </c>
      <c r="G1265">
        <f>IF(F1265&gt;F1264,G1264+B1265*E1265,B1265*E1265)</f>
        <v>0.20978200000000002</v>
      </c>
      <c r="H1265">
        <f t="shared" si="78"/>
        <v>0.05</v>
      </c>
      <c r="I1265">
        <f t="shared" si="79"/>
        <v>0</v>
      </c>
      <c r="J1265">
        <f>IF(I1264=0,0,C1264-I1264)</f>
        <v>0</v>
      </c>
    </row>
    <row r="1266" spans="1:10" x14ac:dyDescent="0.25">
      <c r="A1266" s="1">
        <v>40568</v>
      </c>
      <c r="B1266">
        <v>4.1485000000000003</v>
      </c>
      <c r="C1266">
        <v>4.7249999999999996</v>
      </c>
      <c r="D1266">
        <f>WEEKDAY(A1266,14)</f>
        <v>6</v>
      </c>
      <c r="E1266">
        <f t="shared" si="76"/>
        <v>0.7</v>
      </c>
      <c r="F1266">
        <f t="shared" si="77"/>
        <v>4</v>
      </c>
      <c r="G1266">
        <f>IF(F1266&gt;F1265,G1265+B1266*E1266,B1266*E1266)</f>
        <v>3.1137320000000002</v>
      </c>
      <c r="H1266">
        <f t="shared" si="78"/>
        <v>0.75</v>
      </c>
      <c r="I1266">
        <f t="shared" si="79"/>
        <v>0</v>
      </c>
      <c r="J1266">
        <f>IF(I1265=0,0,C1265-I1265)</f>
        <v>0</v>
      </c>
    </row>
    <row r="1267" spans="1:10" x14ac:dyDescent="0.25">
      <c r="A1267" s="1">
        <v>40569</v>
      </c>
      <c r="B1267">
        <v>4.2301799999999998</v>
      </c>
      <c r="C1267">
        <v>4.7249999999999996</v>
      </c>
      <c r="D1267">
        <f>WEEKDAY(A1267,14)</f>
        <v>7</v>
      </c>
      <c r="E1267">
        <f t="shared" si="76"/>
        <v>0.25</v>
      </c>
      <c r="F1267">
        <f t="shared" si="77"/>
        <v>5</v>
      </c>
      <c r="G1267">
        <f>IF(F1267&gt;F1266,G1266+B1267*E1267,B1267*E1267)</f>
        <v>4.1712769999999999</v>
      </c>
      <c r="H1267">
        <f t="shared" si="78"/>
        <v>1</v>
      </c>
      <c r="I1267">
        <f t="shared" si="79"/>
        <v>4.1712769999999999</v>
      </c>
      <c r="J1267">
        <f>IF(I1266=0,0,C1266-I1266)</f>
        <v>0</v>
      </c>
    </row>
    <row r="1268" spans="1:10" x14ac:dyDescent="0.25">
      <c r="A1268" s="1">
        <v>40570</v>
      </c>
      <c r="B1268">
        <v>4.1787700000000001</v>
      </c>
      <c r="C1268">
        <v>4.76</v>
      </c>
      <c r="D1268">
        <f>WEEKDAY(A1268,14)</f>
        <v>1</v>
      </c>
      <c r="E1268">
        <f t="shared" si="76"/>
        <v>0</v>
      </c>
      <c r="F1268">
        <f t="shared" si="77"/>
        <v>1</v>
      </c>
      <c r="G1268">
        <f>IF(F1268&gt;F1267,G1267+B1268*E1268,B1268*E1268)</f>
        <v>0</v>
      </c>
      <c r="H1268">
        <f t="shared" si="78"/>
        <v>0</v>
      </c>
      <c r="I1268">
        <f t="shared" si="79"/>
        <v>0</v>
      </c>
      <c r="J1268">
        <f>IF(I1267=0,0,C1267-I1267)</f>
        <v>0.55372299999999974</v>
      </c>
    </row>
    <row r="1269" spans="1:10" x14ac:dyDescent="0.25">
      <c r="A1269" s="1">
        <v>40571</v>
      </c>
      <c r="B1269">
        <v>4.1486400000000003</v>
      </c>
      <c r="C1269">
        <v>4.76</v>
      </c>
      <c r="D1269">
        <f>WEEKDAY(A1269,14)</f>
        <v>2</v>
      </c>
      <c r="E1269">
        <f t="shared" si="76"/>
        <v>0</v>
      </c>
      <c r="F1269">
        <f t="shared" si="77"/>
        <v>2</v>
      </c>
      <c r="G1269">
        <f>IF(F1269&gt;F1268,G1268+B1269*E1269,B1269*E1269)</f>
        <v>0</v>
      </c>
      <c r="H1269">
        <f t="shared" si="78"/>
        <v>0</v>
      </c>
      <c r="I1269">
        <f t="shared" si="79"/>
        <v>0</v>
      </c>
      <c r="J1269">
        <f>IF(I1268=0,0,C1268-I1268)</f>
        <v>0</v>
      </c>
    </row>
    <row r="1270" spans="1:10" x14ac:dyDescent="0.25">
      <c r="A1270" s="1">
        <v>40574</v>
      </c>
      <c r="B1270">
        <v>4.17347</v>
      </c>
      <c r="C1270">
        <v>4.76</v>
      </c>
      <c r="D1270">
        <f>WEEKDAY(A1270,14)</f>
        <v>5</v>
      </c>
      <c r="E1270">
        <f t="shared" si="76"/>
        <v>0.05</v>
      </c>
      <c r="F1270">
        <f t="shared" si="77"/>
        <v>3</v>
      </c>
      <c r="G1270">
        <f>IF(F1270&gt;F1269,G1269+B1270*E1270,B1270*E1270)</f>
        <v>0.20867350000000001</v>
      </c>
      <c r="H1270">
        <f t="shared" si="78"/>
        <v>0.05</v>
      </c>
      <c r="I1270">
        <f t="shared" si="79"/>
        <v>0</v>
      </c>
      <c r="J1270">
        <f>IF(I1269=0,0,C1269-I1269)</f>
        <v>0</v>
      </c>
    </row>
    <row r="1271" spans="1:10" x14ac:dyDescent="0.25">
      <c r="A1271" s="1">
        <v>40575</v>
      </c>
      <c r="B1271">
        <v>4.2330199999999998</v>
      </c>
      <c r="C1271">
        <v>4.76</v>
      </c>
      <c r="D1271">
        <f>WEEKDAY(A1271,14)</f>
        <v>6</v>
      </c>
      <c r="E1271">
        <f t="shared" si="76"/>
        <v>0.7</v>
      </c>
      <c r="F1271">
        <f t="shared" si="77"/>
        <v>4</v>
      </c>
      <c r="G1271">
        <f>IF(F1271&gt;F1270,G1270+B1271*E1271,B1271*E1271)</f>
        <v>3.1717874999999998</v>
      </c>
      <c r="H1271">
        <f t="shared" si="78"/>
        <v>0.75</v>
      </c>
      <c r="I1271">
        <f t="shared" si="79"/>
        <v>0</v>
      </c>
      <c r="J1271">
        <f>IF(I1270=0,0,C1270-I1270)</f>
        <v>0</v>
      </c>
    </row>
    <row r="1272" spans="1:10" x14ac:dyDescent="0.25">
      <c r="A1272" s="1">
        <v>40576</v>
      </c>
      <c r="B1272">
        <v>4.2836999999999996</v>
      </c>
      <c r="C1272">
        <v>4.76</v>
      </c>
      <c r="D1272">
        <f>WEEKDAY(A1272,14)</f>
        <v>7</v>
      </c>
      <c r="E1272">
        <f t="shared" si="76"/>
        <v>0.25</v>
      </c>
      <c r="F1272">
        <f t="shared" si="77"/>
        <v>5</v>
      </c>
      <c r="G1272">
        <f>IF(F1272&gt;F1271,G1271+B1272*E1272,B1272*E1272)</f>
        <v>4.2427124999999997</v>
      </c>
      <c r="H1272">
        <f t="shared" si="78"/>
        <v>1</v>
      </c>
      <c r="I1272">
        <f t="shared" si="79"/>
        <v>4.2427124999999997</v>
      </c>
      <c r="J1272">
        <f>IF(I1271=0,0,C1271-I1271)</f>
        <v>0</v>
      </c>
    </row>
    <row r="1273" spans="1:10" x14ac:dyDescent="0.25">
      <c r="A1273" s="1">
        <v>40577</v>
      </c>
      <c r="B1273">
        <v>4.3267499999999997</v>
      </c>
      <c r="C1273">
        <v>4.9749999999999996</v>
      </c>
      <c r="D1273">
        <f>WEEKDAY(A1273,14)</f>
        <v>1</v>
      </c>
      <c r="E1273">
        <f t="shared" si="76"/>
        <v>0</v>
      </c>
      <c r="F1273">
        <f t="shared" si="77"/>
        <v>1</v>
      </c>
      <c r="G1273">
        <f>IF(F1273&gt;F1272,G1272+B1273*E1273,B1273*E1273)</f>
        <v>0</v>
      </c>
      <c r="H1273">
        <f t="shared" si="78"/>
        <v>0</v>
      </c>
      <c r="I1273">
        <f t="shared" si="79"/>
        <v>0</v>
      </c>
      <c r="J1273">
        <f>IF(I1272=0,0,C1272-I1272)</f>
        <v>0.51728750000000012</v>
      </c>
    </row>
    <row r="1274" spans="1:10" x14ac:dyDescent="0.25">
      <c r="A1274" s="1">
        <v>40578</v>
      </c>
      <c r="B1274">
        <v>4.3946899999999998</v>
      </c>
      <c r="C1274">
        <v>4.9749999999999996</v>
      </c>
      <c r="D1274">
        <f>WEEKDAY(A1274,14)</f>
        <v>2</v>
      </c>
      <c r="E1274">
        <f t="shared" si="76"/>
        <v>0</v>
      </c>
      <c r="F1274">
        <f t="shared" si="77"/>
        <v>2</v>
      </c>
      <c r="G1274">
        <f>IF(F1274&gt;F1273,G1273+B1274*E1274,B1274*E1274)</f>
        <v>0</v>
      </c>
      <c r="H1274">
        <f t="shared" si="78"/>
        <v>0</v>
      </c>
      <c r="I1274">
        <f t="shared" si="79"/>
        <v>0</v>
      </c>
      <c r="J1274">
        <f>IF(I1273=0,0,C1273-I1273)</f>
        <v>0</v>
      </c>
    </row>
    <row r="1275" spans="1:10" x14ac:dyDescent="0.25">
      <c r="A1275" s="1">
        <v>40581</v>
      </c>
      <c r="B1275">
        <v>4.4120200000000001</v>
      </c>
      <c r="C1275">
        <v>4.9749999999999996</v>
      </c>
      <c r="D1275">
        <f>WEEKDAY(A1275,14)</f>
        <v>5</v>
      </c>
      <c r="E1275">
        <f t="shared" si="76"/>
        <v>0.05</v>
      </c>
      <c r="F1275">
        <f t="shared" si="77"/>
        <v>3</v>
      </c>
      <c r="G1275">
        <f>IF(F1275&gt;F1274,G1274+B1275*E1275,B1275*E1275)</f>
        <v>0.22060100000000002</v>
      </c>
      <c r="H1275">
        <f t="shared" si="78"/>
        <v>0.05</v>
      </c>
      <c r="I1275">
        <f t="shared" si="79"/>
        <v>0</v>
      </c>
      <c r="J1275">
        <f>IF(I1274=0,0,C1274-I1274)</f>
        <v>0</v>
      </c>
    </row>
    <row r="1276" spans="1:10" x14ac:dyDescent="0.25">
      <c r="A1276" s="1">
        <v>40582</v>
      </c>
      <c r="B1276">
        <v>4.4871299999999996</v>
      </c>
      <c r="C1276">
        <v>4.9749999999999996</v>
      </c>
      <c r="D1276">
        <f>WEEKDAY(A1276,14)</f>
        <v>6</v>
      </c>
      <c r="E1276">
        <f t="shared" si="76"/>
        <v>0.7</v>
      </c>
      <c r="F1276">
        <f t="shared" si="77"/>
        <v>4</v>
      </c>
      <c r="G1276">
        <f>IF(F1276&gt;F1275,G1275+B1276*E1276,B1276*E1276)</f>
        <v>3.3615919999999995</v>
      </c>
      <c r="H1276">
        <f t="shared" si="78"/>
        <v>0.75</v>
      </c>
      <c r="I1276">
        <f t="shared" si="79"/>
        <v>0</v>
      </c>
      <c r="J1276">
        <f>IF(I1275=0,0,C1275-I1275)</f>
        <v>0</v>
      </c>
    </row>
    <row r="1277" spans="1:10" x14ac:dyDescent="0.25">
      <c r="A1277" s="1">
        <v>40583</v>
      </c>
      <c r="B1277">
        <v>4.4529399999999999</v>
      </c>
      <c r="C1277">
        <v>4.9749999999999996</v>
      </c>
      <c r="D1277">
        <f>WEEKDAY(A1277,14)</f>
        <v>7</v>
      </c>
      <c r="E1277">
        <f t="shared" si="76"/>
        <v>0.25</v>
      </c>
      <c r="F1277">
        <f t="shared" si="77"/>
        <v>5</v>
      </c>
      <c r="G1277">
        <f>IF(F1277&gt;F1276,G1276+B1277*E1277,B1277*E1277)</f>
        <v>4.4748269999999994</v>
      </c>
      <c r="H1277">
        <f t="shared" si="78"/>
        <v>1</v>
      </c>
      <c r="I1277">
        <f t="shared" si="79"/>
        <v>4.4748269999999994</v>
      </c>
      <c r="J1277">
        <f>IF(I1276=0,0,C1276-I1276)</f>
        <v>0</v>
      </c>
    </row>
    <row r="1278" spans="1:10" x14ac:dyDescent="0.25">
      <c r="A1278" s="1">
        <v>40584</v>
      </c>
      <c r="B1278">
        <v>4.5012499999999998</v>
      </c>
      <c r="C1278">
        <v>4.9249999999999998</v>
      </c>
      <c r="D1278">
        <f>WEEKDAY(A1278,14)</f>
        <v>1</v>
      </c>
      <c r="E1278">
        <f t="shared" si="76"/>
        <v>0</v>
      </c>
      <c r="F1278">
        <f t="shared" si="77"/>
        <v>1</v>
      </c>
      <c r="G1278">
        <f>IF(F1278&gt;F1277,G1277+B1278*E1278,B1278*E1278)</f>
        <v>0</v>
      </c>
      <c r="H1278">
        <f t="shared" si="78"/>
        <v>0</v>
      </c>
      <c r="I1278">
        <f t="shared" si="79"/>
        <v>0</v>
      </c>
      <c r="J1278">
        <f>IF(I1277=0,0,C1277-I1277)</f>
        <v>0.5001730000000002</v>
      </c>
    </row>
    <row r="1279" spans="1:10" x14ac:dyDescent="0.25">
      <c r="A1279" s="1">
        <v>40585</v>
      </c>
      <c r="B1279">
        <v>4.43431</v>
      </c>
      <c r="C1279">
        <v>4.9249999999999998</v>
      </c>
      <c r="D1279">
        <f>WEEKDAY(A1279,14)</f>
        <v>2</v>
      </c>
      <c r="E1279">
        <f t="shared" si="76"/>
        <v>0</v>
      </c>
      <c r="F1279">
        <f t="shared" si="77"/>
        <v>2</v>
      </c>
      <c r="G1279">
        <f>IF(F1279&gt;F1278,G1278+B1279*E1279,B1279*E1279)</f>
        <v>0</v>
      </c>
      <c r="H1279">
        <f t="shared" si="78"/>
        <v>0</v>
      </c>
      <c r="I1279">
        <f t="shared" si="79"/>
        <v>0</v>
      </c>
      <c r="J1279">
        <f>IF(I1278=0,0,C1278-I1278)</f>
        <v>0</v>
      </c>
    </row>
    <row r="1280" spans="1:10" x14ac:dyDescent="0.25">
      <c r="A1280" s="1">
        <v>40588</v>
      </c>
      <c r="B1280">
        <v>4.3931500000000003</v>
      </c>
      <c r="C1280">
        <v>4.9249999999999998</v>
      </c>
      <c r="D1280">
        <f>WEEKDAY(A1280,14)</f>
        <v>5</v>
      </c>
      <c r="E1280">
        <f t="shared" si="76"/>
        <v>0.05</v>
      </c>
      <c r="F1280">
        <f t="shared" si="77"/>
        <v>3</v>
      </c>
      <c r="G1280">
        <f>IF(F1280&gt;F1279,G1279+B1280*E1280,B1280*E1280)</f>
        <v>0.21965750000000003</v>
      </c>
      <c r="H1280">
        <f t="shared" si="78"/>
        <v>0.05</v>
      </c>
      <c r="I1280">
        <f t="shared" si="79"/>
        <v>0</v>
      </c>
      <c r="J1280">
        <f>IF(I1279=0,0,C1279-I1279)</f>
        <v>0</v>
      </c>
    </row>
    <row r="1281" spans="1:10" x14ac:dyDescent="0.25">
      <c r="A1281" s="1">
        <v>40589</v>
      </c>
      <c r="B1281">
        <v>4.3851100000000001</v>
      </c>
      <c r="C1281">
        <v>4.9249999999999998</v>
      </c>
      <c r="D1281">
        <f>WEEKDAY(A1281,14)</f>
        <v>6</v>
      </c>
      <c r="E1281">
        <f t="shared" si="76"/>
        <v>0.7</v>
      </c>
      <c r="F1281">
        <f t="shared" si="77"/>
        <v>4</v>
      </c>
      <c r="G1281">
        <f>IF(F1281&gt;F1280,G1280+B1281*E1281,B1281*E1281)</f>
        <v>3.2892344999999996</v>
      </c>
      <c r="H1281">
        <f t="shared" si="78"/>
        <v>0.75</v>
      </c>
      <c r="I1281">
        <f t="shared" si="79"/>
        <v>0</v>
      </c>
      <c r="J1281">
        <f>IF(I1280=0,0,C1280-I1280)</f>
        <v>0</v>
      </c>
    </row>
    <row r="1282" spans="1:10" x14ac:dyDescent="0.25">
      <c r="A1282" s="1">
        <v>40590</v>
      </c>
      <c r="B1282">
        <v>4.3989599999999998</v>
      </c>
      <c r="C1282">
        <v>4.9249999999999998</v>
      </c>
      <c r="D1282">
        <f>WEEKDAY(A1282,14)</f>
        <v>7</v>
      </c>
      <c r="E1282">
        <f t="shared" si="76"/>
        <v>0.25</v>
      </c>
      <c r="F1282">
        <f t="shared" si="77"/>
        <v>5</v>
      </c>
      <c r="G1282">
        <f>IF(F1282&gt;F1281,G1281+B1282*E1282,B1282*E1282)</f>
        <v>4.3889744999999998</v>
      </c>
      <c r="H1282">
        <f t="shared" si="78"/>
        <v>1</v>
      </c>
      <c r="I1282">
        <f t="shared" si="79"/>
        <v>4.3889744999999998</v>
      </c>
      <c r="J1282">
        <f>IF(I1281=0,0,C1281-I1281)</f>
        <v>0</v>
      </c>
    </row>
    <row r="1283" spans="1:10" x14ac:dyDescent="0.25">
      <c r="A1283" s="1">
        <v>40591</v>
      </c>
      <c r="B1283">
        <v>4.3504399999999999</v>
      </c>
      <c r="C1283">
        <v>4.8499999999999996</v>
      </c>
      <c r="D1283">
        <f>WEEKDAY(A1283,14)</f>
        <v>1</v>
      </c>
      <c r="E1283">
        <f t="shared" ref="E1283:E1346" si="80">VLOOKUP(D1283,M$2:N$8,2,FALSE)</f>
        <v>0</v>
      </c>
      <c r="F1283">
        <f t="shared" ref="F1283:F1346" si="81">IF(AND(D1283&gt;D1282,F1282&lt;6),F1282+1,1)</f>
        <v>1</v>
      </c>
      <c r="G1283">
        <f>IF(F1283&gt;F1282,G1282+B1283*E1283,B1283*E1283)</f>
        <v>0</v>
      </c>
      <c r="H1283">
        <f t="shared" si="78"/>
        <v>0</v>
      </c>
      <c r="I1283">
        <f t="shared" si="79"/>
        <v>0</v>
      </c>
      <c r="J1283">
        <f>IF(I1282=0,0,C1282-I1282)</f>
        <v>0.53602550000000004</v>
      </c>
    </row>
    <row r="1284" spans="1:10" x14ac:dyDescent="0.25">
      <c r="A1284" s="1">
        <v>40592</v>
      </c>
      <c r="B1284">
        <v>4.36639</v>
      </c>
      <c r="C1284">
        <v>4.8499999999999996</v>
      </c>
      <c r="D1284">
        <f>WEEKDAY(A1284,14)</f>
        <v>2</v>
      </c>
      <c r="E1284">
        <f t="shared" si="80"/>
        <v>0</v>
      </c>
      <c r="F1284">
        <f t="shared" si="81"/>
        <v>2</v>
      </c>
      <c r="G1284">
        <f>IF(F1284&gt;F1283,G1283+B1284*E1284,B1284*E1284)</f>
        <v>0</v>
      </c>
      <c r="H1284">
        <f t="shared" ref="H1284:H1347" si="82">IF(AND(F1284&lt;6,F1284&gt;F1283),E1284+H1283,E1284)</f>
        <v>0</v>
      </c>
      <c r="I1284">
        <f t="shared" ref="I1284:I1347" si="83">IF(F1284&gt;F1285,G1284/H1284,0)</f>
        <v>0</v>
      </c>
      <c r="J1284">
        <f>IF(I1283=0,0,C1283-I1283)</f>
        <v>0</v>
      </c>
    </row>
    <row r="1285" spans="1:10" x14ac:dyDescent="0.25">
      <c r="A1285" s="1">
        <v>40596</v>
      </c>
      <c r="B1285">
        <v>4.2999799999999997</v>
      </c>
      <c r="C1285">
        <v>4.8499999999999996</v>
      </c>
      <c r="D1285">
        <f>WEEKDAY(A1285,14)</f>
        <v>6</v>
      </c>
      <c r="E1285">
        <f t="shared" si="80"/>
        <v>0.7</v>
      </c>
      <c r="F1285">
        <f t="shared" si="81"/>
        <v>3</v>
      </c>
      <c r="G1285">
        <f>IF(F1285&gt;F1284,G1284+B1285*E1285,B1285*E1285)</f>
        <v>3.0099859999999996</v>
      </c>
      <c r="H1285">
        <f t="shared" si="82"/>
        <v>0.7</v>
      </c>
      <c r="I1285">
        <f t="shared" si="83"/>
        <v>0</v>
      </c>
      <c r="J1285">
        <f>IF(I1284=0,0,C1284-I1284)</f>
        <v>0</v>
      </c>
    </row>
    <row r="1286" spans="1:10" x14ac:dyDescent="0.25">
      <c r="A1286" s="1">
        <v>40597</v>
      </c>
      <c r="B1286">
        <v>4.3068600000000004</v>
      </c>
      <c r="C1286">
        <v>4.8499999999999996</v>
      </c>
      <c r="D1286">
        <f>WEEKDAY(A1286,14)</f>
        <v>7</v>
      </c>
      <c r="E1286">
        <f t="shared" si="80"/>
        <v>0.25</v>
      </c>
      <c r="F1286">
        <f t="shared" si="81"/>
        <v>4</v>
      </c>
      <c r="G1286">
        <f>IF(F1286&gt;F1285,G1285+B1286*E1286,B1286*E1286)</f>
        <v>4.0867009999999997</v>
      </c>
      <c r="H1286">
        <f t="shared" si="82"/>
        <v>0.95</v>
      </c>
      <c r="I1286">
        <f t="shared" si="83"/>
        <v>4.3017905263157896</v>
      </c>
      <c r="J1286">
        <f>IF(I1285=0,0,C1285-I1285)</f>
        <v>0</v>
      </c>
    </row>
    <row r="1287" spans="1:10" x14ac:dyDescent="0.25">
      <c r="A1287" s="1">
        <v>40598</v>
      </c>
      <c r="B1287">
        <v>4.2636200000000004</v>
      </c>
      <c r="C1287">
        <v>4.7949999999999999</v>
      </c>
      <c r="D1287">
        <f>WEEKDAY(A1287,14)</f>
        <v>1</v>
      </c>
      <c r="E1287">
        <f t="shared" si="80"/>
        <v>0</v>
      </c>
      <c r="F1287">
        <f t="shared" si="81"/>
        <v>1</v>
      </c>
      <c r="G1287">
        <f>IF(F1287&gt;F1286,G1286+B1287*E1287,B1287*E1287)</f>
        <v>0</v>
      </c>
      <c r="H1287">
        <f t="shared" si="82"/>
        <v>0</v>
      </c>
      <c r="I1287">
        <f t="shared" si="83"/>
        <v>0</v>
      </c>
      <c r="J1287">
        <f>IF(I1286=0,0,C1286-I1286)</f>
        <v>0.54820947368421002</v>
      </c>
    </row>
    <row r="1288" spans="1:10" x14ac:dyDescent="0.25">
      <c r="A1288" s="1">
        <v>40599</v>
      </c>
      <c r="B1288">
        <v>4.2496700000000001</v>
      </c>
      <c r="C1288">
        <v>4.7949999999999999</v>
      </c>
      <c r="D1288">
        <f>WEEKDAY(A1288,14)</f>
        <v>2</v>
      </c>
      <c r="E1288">
        <f t="shared" si="80"/>
        <v>0</v>
      </c>
      <c r="F1288">
        <f t="shared" si="81"/>
        <v>2</v>
      </c>
      <c r="G1288">
        <f>IF(F1288&gt;F1287,G1287+B1288*E1288,B1288*E1288)</f>
        <v>0</v>
      </c>
      <c r="H1288">
        <f t="shared" si="82"/>
        <v>0</v>
      </c>
      <c r="I1288">
        <f t="shared" si="83"/>
        <v>0</v>
      </c>
      <c r="J1288">
        <f>IF(I1287=0,0,C1287-I1287)</f>
        <v>0</v>
      </c>
    </row>
    <row r="1289" spans="1:10" x14ac:dyDescent="0.25">
      <c r="A1289" s="1">
        <v>40602</v>
      </c>
      <c r="B1289">
        <v>4.2308300000000001</v>
      </c>
      <c r="C1289">
        <v>4.7949999999999999</v>
      </c>
      <c r="D1289">
        <f>WEEKDAY(A1289,14)</f>
        <v>5</v>
      </c>
      <c r="E1289">
        <f t="shared" si="80"/>
        <v>0.05</v>
      </c>
      <c r="F1289">
        <f t="shared" si="81"/>
        <v>3</v>
      </c>
      <c r="G1289">
        <f>IF(F1289&gt;F1288,G1288+B1289*E1289,B1289*E1289)</f>
        <v>0.21154150000000002</v>
      </c>
      <c r="H1289">
        <f t="shared" si="82"/>
        <v>0.05</v>
      </c>
      <c r="I1289">
        <f t="shared" si="83"/>
        <v>0</v>
      </c>
      <c r="J1289">
        <f>IF(I1288=0,0,C1288-I1288)</f>
        <v>0</v>
      </c>
    </row>
    <row r="1290" spans="1:10" x14ac:dyDescent="0.25">
      <c r="A1290" s="1">
        <v>40603</v>
      </c>
      <c r="B1290">
        <v>4.2366900000000003</v>
      </c>
      <c r="C1290">
        <v>4.7949999999999999</v>
      </c>
      <c r="D1290">
        <f>WEEKDAY(A1290,14)</f>
        <v>6</v>
      </c>
      <c r="E1290">
        <f t="shared" si="80"/>
        <v>0.7</v>
      </c>
      <c r="F1290">
        <f t="shared" si="81"/>
        <v>4</v>
      </c>
      <c r="G1290">
        <f>IF(F1290&gt;F1289,G1289+B1290*E1290,B1290*E1290)</f>
        <v>3.1772244999999999</v>
      </c>
      <c r="H1290">
        <f t="shared" si="82"/>
        <v>0.75</v>
      </c>
      <c r="I1290">
        <f t="shared" si="83"/>
        <v>0</v>
      </c>
      <c r="J1290">
        <f>IF(I1289=0,0,C1289-I1289)</f>
        <v>0</v>
      </c>
    </row>
    <row r="1291" spans="1:10" x14ac:dyDescent="0.25">
      <c r="A1291" s="1">
        <v>40604</v>
      </c>
      <c r="B1291">
        <v>4.2791499999999996</v>
      </c>
      <c r="C1291">
        <v>4.7949999999999999</v>
      </c>
      <c r="D1291">
        <f>WEEKDAY(A1291,14)</f>
        <v>7</v>
      </c>
      <c r="E1291">
        <f t="shared" si="80"/>
        <v>0.25</v>
      </c>
      <c r="F1291">
        <f t="shared" si="81"/>
        <v>5</v>
      </c>
      <c r="G1291">
        <f>IF(F1291&gt;F1290,G1290+B1291*E1291,B1291*E1291)</f>
        <v>4.2470119999999998</v>
      </c>
      <c r="H1291">
        <f t="shared" si="82"/>
        <v>1</v>
      </c>
      <c r="I1291">
        <f t="shared" si="83"/>
        <v>4.2470119999999998</v>
      </c>
      <c r="J1291">
        <f>IF(I1290=0,0,C1290-I1290)</f>
        <v>0</v>
      </c>
    </row>
    <row r="1292" spans="1:10" x14ac:dyDescent="0.25">
      <c r="A1292" s="1">
        <v>40605</v>
      </c>
      <c r="B1292">
        <v>4.3559000000000001</v>
      </c>
      <c r="C1292">
        <v>4.8049999999999997</v>
      </c>
      <c r="D1292">
        <f>WEEKDAY(A1292,14)</f>
        <v>1</v>
      </c>
      <c r="E1292">
        <f t="shared" si="80"/>
        <v>0</v>
      </c>
      <c r="F1292">
        <f t="shared" si="81"/>
        <v>1</v>
      </c>
      <c r="G1292">
        <f>IF(F1292&gt;F1291,G1291+B1292*E1292,B1292*E1292)</f>
        <v>0</v>
      </c>
      <c r="H1292">
        <f t="shared" si="82"/>
        <v>0</v>
      </c>
      <c r="I1292">
        <f t="shared" si="83"/>
        <v>0</v>
      </c>
      <c r="J1292">
        <f>IF(I1291=0,0,C1291-I1291)</f>
        <v>0.54798800000000014</v>
      </c>
    </row>
    <row r="1293" spans="1:10" x14ac:dyDescent="0.25">
      <c r="A1293" s="1">
        <v>40606</v>
      </c>
      <c r="B1293">
        <v>4.2658199999999997</v>
      </c>
      <c r="C1293">
        <v>4.8049999999999997</v>
      </c>
      <c r="D1293">
        <f>WEEKDAY(A1293,14)</f>
        <v>2</v>
      </c>
      <c r="E1293">
        <f t="shared" si="80"/>
        <v>0</v>
      </c>
      <c r="F1293">
        <f t="shared" si="81"/>
        <v>2</v>
      </c>
      <c r="G1293">
        <f>IF(F1293&gt;F1292,G1292+B1293*E1293,B1293*E1293)</f>
        <v>0</v>
      </c>
      <c r="H1293">
        <f t="shared" si="82"/>
        <v>0</v>
      </c>
      <c r="I1293">
        <f t="shared" si="83"/>
        <v>0</v>
      </c>
      <c r="J1293">
        <f>IF(I1292=0,0,C1292-I1292)</f>
        <v>0</v>
      </c>
    </row>
    <row r="1294" spans="1:10" x14ac:dyDescent="0.25">
      <c r="A1294" s="1">
        <v>40609</v>
      </c>
      <c r="B1294">
        <v>4.2757300000000003</v>
      </c>
      <c r="C1294">
        <v>4.8049999999999997</v>
      </c>
      <c r="D1294">
        <f>WEEKDAY(A1294,14)</f>
        <v>5</v>
      </c>
      <c r="E1294">
        <f t="shared" si="80"/>
        <v>0.05</v>
      </c>
      <c r="F1294">
        <f t="shared" si="81"/>
        <v>3</v>
      </c>
      <c r="G1294">
        <f>IF(F1294&gt;F1293,G1293+B1294*E1294,B1294*E1294)</f>
        <v>0.21378650000000002</v>
      </c>
      <c r="H1294">
        <f t="shared" si="82"/>
        <v>0.05</v>
      </c>
      <c r="I1294">
        <f t="shared" si="83"/>
        <v>0</v>
      </c>
      <c r="J1294">
        <f>IF(I1293=0,0,C1293-I1293)</f>
        <v>0</v>
      </c>
    </row>
    <row r="1295" spans="1:10" x14ac:dyDescent="0.25">
      <c r="A1295" s="1">
        <v>40610</v>
      </c>
      <c r="B1295">
        <v>4.3121099999999997</v>
      </c>
      <c r="C1295">
        <v>4.8049999999999997</v>
      </c>
      <c r="D1295">
        <f>WEEKDAY(A1295,14)</f>
        <v>6</v>
      </c>
      <c r="E1295">
        <f t="shared" si="80"/>
        <v>0.7</v>
      </c>
      <c r="F1295">
        <f t="shared" si="81"/>
        <v>4</v>
      </c>
      <c r="G1295">
        <f>IF(F1295&gt;F1294,G1294+B1295*E1295,B1295*E1295)</f>
        <v>3.2322634999999993</v>
      </c>
      <c r="H1295">
        <f t="shared" si="82"/>
        <v>0.75</v>
      </c>
      <c r="I1295">
        <f t="shared" si="83"/>
        <v>0</v>
      </c>
      <c r="J1295">
        <f>IF(I1294=0,0,C1294-I1294)</f>
        <v>0</v>
      </c>
    </row>
    <row r="1296" spans="1:10" x14ac:dyDescent="0.25">
      <c r="A1296" s="1">
        <v>40611</v>
      </c>
      <c r="B1296">
        <v>4.2484400000000004</v>
      </c>
      <c r="C1296">
        <v>4.8049999999999997</v>
      </c>
      <c r="D1296">
        <f>WEEKDAY(A1296,14)</f>
        <v>7</v>
      </c>
      <c r="E1296">
        <f t="shared" si="80"/>
        <v>0.25</v>
      </c>
      <c r="F1296">
        <f t="shared" si="81"/>
        <v>5</v>
      </c>
      <c r="G1296">
        <f>IF(F1296&gt;F1295,G1295+B1296*E1296,B1296*E1296)</f>
        <v>4.294373499999999</v>
      </c>
      <c r="H1296">
        <f t="shared" si="82"/>
        <v>1</v>
      </c>
      <c r="I1296">
        <f t="shared" si="83"/>
        <v>4.294373499999999</v>
      </c>
      <c r="J1296">
        <f>IF(I1295=0,0,C1295-I1295)</f>
        <v>0</v>
      </c>
    </row>
    <row r="1297" spans="1:10" x14ac:dyDescent="0.25">
      <c r="A1297" s="1">
        <v>40612</v>
      </c>
      <c r="B1297">
        <v>4.19841</v>
      </c>
      <c r="C1297">
        <v>4.6849999999999996</v>
      </c>
      <c r="D1297">
        <f>WEEKDAY(A1297,14)</f>
        <v>1</v>
      </c>
      <c r="E1297">
        <f t="shared" si="80"/>
        <v>0</v>
      </c>
      <c r="F1297">
        <f t="shared" si="81"/>
        <v>1</v>
      </c>
      <c r="G1297">
        <f>IF(F1297&gt;F1296,G1296+B1297*E1297,B1297*E1297)</f>
        <v>0</v>
      </c>
      <c r="H1297">
        <f t="shared" si="82"/>
        <v>0</v>
      </c>
      <c r="I1297">
        <f t="shared" si="83"/>
        <v>0</v>
      </c>
      <c r="J1297">
        <f>IF(I1296=0,0,C1296-I1296)</f>
        <v>0.51062650000000076</v>
      </c>
    </row>
    <row r="1298" spans="1:10" x14ac:dyDescent="0.25">
      <c r="A1298" s="1">
        <v>40613</v>
      </c>
      <c r="B1298">
        <v>4.2139899999999999</v>
      </c>
      <c r="C1298">
        <v>4.6849999999999996</v>
      </c>
      <c r="D1298">
        <f>WEEKDAY(A1298,14)</f>
        <v>2</v>
      </c>
      <c r="E1298">
        <f t="shared" si="80"/>
        <v>0</v>
      </c>
      <c r="F1298">
        <f t="shared" si="81"/>
        <v>2</v>
      </c>
      <c r="G1298">
        <f>IF(F1298&gt;F1297,G1297+B1298*E1298,B1298*E1298)</f>
        <v>0</v>
      </c>
      <c r="H1298">
        <f t="shared" si="82"/>
        <v>0</v>
      </c>
      <c r="I1298">
        <f t="shared" si="83"/>
        <v>0</v>
      </c>
      <c r="J1298">
        <f>IF(I1297=0,0,C1297-I1297)</f>
        <v>0</v>
      </c>
    </row>
    <row r="1299" spans="1:10" x14ac:dyDescent="0.25">
      <c r="A1299" s="1">
        <v>40616</v>
      </c>
      <c r="B1299">
        <v>4.1795299999999997</v>
      </c>
      <c r="C1299">
        <v>4.6849999999999996</v>
      </c>
      <c r="D1299">
        <f>WEEKDAY(A1299,14)</f>
        <v>5</v>
      </c>
      <c r="E1299">
        <f t="shared" si="80"/>
        <v>0.05</v>
      </c>
      <c r="F1299">
        <f t="shared" si="81"/>
        <v>3</v>
      </c>
      <c r="G1299">
        <f>IF(F1299&gt;F1298,G1298+B1299*E1299,B1299*E1299)</f>
        <v>0.20897650000000001</v>
      </c>
      <c r="H1299">
        <f t="shared" si="82"/>
        <v>0.05</v>
      </c>
      <c r="I1299">
        <f t="shared" si="83"/>
        <v>0</v>
      </c>
      <c r="J1299">
        <f>IF(I1298=0,0,C1298-I1298)</f>
        <v>0</v>
      </c>
    </row>
    <row r="1300" spans="1:10" x14ac:dyDescent="0.25">
      <c r="A1300" s="1">
        <v>40617</v>
      </c>
      <c r="B1300">
        <v>4.1729700000000003</v>
      </c>
      <c r="C1300">
        <v>4.6849999999999996</v>
      </c>
      <c r="D1300">
        <f>WEEKDAY(A1300,14)</f>
        <v>6</v>
      </c>
      <c r="E1300">
        <f t="shared" si="80"/>
        <v>0.7</v>
      </c>
      <c r="F1300">
        <f t="shared" si="81"/>
        <v>4</v>
      </c>
      <c r="G1300">
        <f>IF(F1300&gt;F1299,G1299+B1300*E1300,B1300*E1300)</f>
        <v>3.1300555000000001</v>
      </c>
      <c r="H1300">
        <f t="shared" si="82"/>
        <v>0.75</v>
      </c>
      <c r="I1300">
        <f t="shared" si="83"/>
        <v>0</v>
      </c>
      <c r="J1300">
        <f>IF(I1299=0,0,C1299-I1299)</f>
        <v>0</v>
      </c>
    </row>
    <row r="1301" spans="1:10" x14ac:dyDescent="0.25">
      <c r="A1301" s="1">
        <v>40618</v>
      </c>
      <c r="B1301">
        <v>4.08162</v>
      </c>
      <c r="C1301">
        <v>4.6849999999999996</v>
      </c>
      <c r="D1301">
        <f>WEEKDAY(A1301,14)</f>
        <v>7</v>
      </c>
      <c r="E1301">
        <f t="shared" si="80"/>
        <v>0.25</v>
      </c>
      <c r="F1301">
        <f t="shared" si="81"/>
        <v>5</v>
      </c>
      <c r="G1301">
        <f>IF(F1301&gt;F1300,G1300+B1301*E1301,B1301*E1301)</f>
        <v>4.1504605000000003</v>
      </c>
      <c r="H1301">
        <f t="shared" si="82"/>
        <v>1</v>
      </c>
      <c r="I1301">
        <f t="shared" si="83"/>
        <v>4.1504605000000003</v>
      </c>
      <c r="J1301">
        <f>IF(I1300=0,0,C1300-I1300)</f>
        <v>0</v>
      </c>
    </row>
    <row r="1302" spans="1:10" x14ac:dyDescent="0.25">
      <c r="A1302" s="1">
        <v>40619</v>
      </c>
      <c r="B1302">
        <v>4.10724</v>
      </c>
      <c r="C1302">
        <v>4.7350000000000003</v>
      </c>
      <c r="D1302">
        <f>WEEKDAY(A1302,14)</f>
        <v>1</v>
      </c>
      <c r="E1302">
        <f t="shared" si="80"/>
        <v>0</v>
      </c>
      <c r="F1302">
        <f t="shared" si="81"/>
        <v>1</v>
      </c>
      <c r="G1302">
        <f>IF(F1302&gt;F1301,G1301+B1302*E1302,B1302*E1302)</f>
        <v>0</v>
      </c>
      <c r="H1302">
        <f t="shared" si="82"/>
        <v>0</v>
      </c>
      <c r="I1302">
        <f t="shared" si="83"/>
        <v>0</v>
      </c>
      <c r="J1302">
        <f>IF(I1301=0,0,C1301-I1301)</f>
        <v>0.53453949999999928</v>
      </c>
    </row>
    <row r="1303" spans="1:10" x14ac:dyDescent="0.25">
      <c r="A1303" s="1">
        <v>40620</v>
      </c>
      <c r="B1303">
        <v>4.1111800000000001</v>
      </c>
      <c r="C1303">
        <v>4.7350000000000003</v>
      </c>
      <c r="D1303">
        <f>WEEKDAY(A1303,14)</f>
        <v>2</v>
      </c>
      <c r="E1303">
        <f t="shared" si="80"/>
        <v>0</v>
      </c>
      <c r="F1303">
        <f t="shared" si="81"/>
        <v>2</v>
      </c>
      <c r="G1303">
        <f>IF(F1303&gt;F1302,G1302+B1303*E1303,B1303*E1303)</f>
        <v>0</v>
      </c>
      <c r="H1303">
        <f t="shared" si="82"/>
        <v>0</v>
      </c>
      <c r="I1303">
        <f t="shared" si="83"/>
        <v>0</v>
      </c>
      <c r="J1303">
        <f>IF(I1302=0,0,C1302-I1302)</f>
        <v>0</v>
      </c>
    </row>
    <row r="1304" spans="1:10" x14ac:dyDescent="0.25">
      <c r="A1304" s="1">
        <v>40623</v>
      </c>
      <c r="B1304">
        <v>4.1633800000000001</v>
      </c>
      <c r="C1304">
        <v>4.7350000000000003</v>
      </c>
      <c r="D1304">
        <f>WEEKDAY(A1304,14)</f>
        <v>5</v>
      </c>
      <c r="E1304">
        <f t="shared" si="80"/>
        <v>0.05</v>
      </c>
      <c r="F1304">
        <f t="shared" si="81"/>
        <v>3</v>
      </c>
      <c r="G1304">
        <f>IF(F1304&gt;F1303,G1303+B1304*E1304,B1304*E1304)</f>
        <v>0.20816900000000002</v>
      </c>
      <c r="H1304">
        <f t="shared" si="82"/>
        <v>0.05</v>
      </c>
      <c r="I1304">
        <f t="shared" si="83"/>
        <v>0</v>
      </c>
      <c r="J1304">
        <f>IF(I1303=0,0,C1303-I1303)</f>
        <v>0</v>
      </c>
    </row>
    <row r="1305" spans="1:10" x14ac:dyDescent="0.25">
      <c r="A1305" s="1">
        <v>40624</v>
      </c>
      <c r="B1305">
        <v>4.1893599999999998</v>
      </c>
      <c r="C1305">
        <v>4.7350000000000003</v>
      </c>
      <c r="D1305">
        <f>WEEKDAY(A1305,14)</f>
        <v>6</v>
      </c>
      <c r="E1305">
        <f t="shared" si="80"/>
        <v>0.7</v>
      </c>
      <c r="F1305">
        <f t="shared" si="81"/>
        <v>4</v>
      </c>
      <c r="G1305">
        <f>IF(F1305&gt;F1304,G1304+B1305*E1305,B1305*E1305)</f>
        <v>3.1407209999999997</v>
      </c>
      <c r="H1305">
        <f t="shared" si="82"/>
        <v>0.75</v>
      </c>
      <c r="I1305">
        <f t="shared" si="83"/>
        <v>0</v>
      </c>
      <c r="J1305">
        <f>IF(I1304=0,0,C1304-I1304)</f>
        <v>0</v>
      </c>
    </row>
    <row r="1306" spans="1:10" x14ac:dyDescent="0.25">
      <c r="A1306" s="1">
        <v>40625</v>
      </c>
      <c r="B1306">
        <v>4.2092700000000001</v>
      </c>
      <c r="C1306">
        <v>4.7350000000000003</v>
      </c>
      <c r="D1306">
        <f>WEEKDAY(A1306,14)</f>
        <v>7</v>
      </c>
      <c r="E1306">
        <f t="shared" si="80"/>
        <v>0.25</v>
      </c>
      <c r="F1306">
        <f t="shared" si="81"/>
        <v>5</v>
      </c>
      <c r="G1306">
        <f>IF(F1306&gt;F1305,G1305+B1306*E1306,B1306*E1306)</f>
        <v>4.1930385000000001</v>
      </c>
      <c r="H1306">
        <f t="shared" si="82"/>
        <v>1</v>
      </c>
      <c r="I1306">
        <f t="shared" si="83"/>
        <v>4.1930385000000001</v>
      </c>
      <c r="J1306">
        <f>IF(I1305=0,0,C1305-I1305)</f>
        <v>0</v>
      </c>
    </row>
    <row r="1307" spans="1:10" x14ac:dyDescent="0.25">
      <c r="A1307" s="1">
        <v>40626</v>
      </c>
      <c r="B1307">
        <v>4.2285399999999997</v>
      </c>
      <c r="C1307">
        <v>4.7850000000000001</v>
      </c>
      <c r="D1307">
        <f>WEEKDAY(A1307,14)</f>
        <v>1</v>
      </c>
      <c r="E1307">
        <f t="shared" si="80"/>
        <v>0</v>
      </c>
      <c r="F1307">
        <f t="shared" si="81"/>
        <v>1</v>
      </c>
      <c r="G1307">
        <f>IF(F1307&gt;F1306,G1306+B1307*E1307,B1307*E1307)</f>
        <v>0</v>
      </c>
      <c r="H1307">
        <f t="shared" si="82"/>
        <v>0</v>
      </c>
      <c r="I1307">
        <f t="shared" si="83"/>
        <v>0</v>
      </c>
      <c r="J1307">
        <f>IF(I1306=0,0,C1306-I1306)</f>
        <v>0.54196150000000021</v>
      </c>
    </row>
    <row r="1308" spans="1:10" x14ac:dyDescent="0.25">
      <c r="A1308" s="1">
        <v>40627</v>
      </c>
      <c r="B1308">
        <v>4.2607900000000001</v>
      </c>
      <c r="C1308">
        <v>4.7850000000000001</v>
      </c>
      <c r="D1308">
        <f>WEEKDAY(A1308,14)</f>
        <v>2</v>
      </c>
      <c r="E1308">
        <f t="shared" si="80"/>
        <v>0</v>
      </c>
      <c r="F1308">
        <f t="shared" si="81"/>
        <v>2</v>
      </c>
      <c r="G1308">
        <f>IF(F1308&gt;F1307,G1307+B1308*E1308,B1308*E1308)</f>
        <v>0</v>
      </c>
      <c r="H1308">
        <f t="shared" si="82"/>
        <v>0</v>
      </c>
      <c r="I1308">
        <f t="shared" si="83"/>
        <v>0</v>
      </c>
      <c r="J1308">
        <f>IF(I1307=0,0,C1307-I1307)</f>
        <v>0</v>
      </c>
    </row>
    <row r="1309" spans="1:10" x14ac:dyDescent="0.25">
      <c r="A1309" s="1">
        <v>40630</v>
      </c>
      <c r="B1309">
        <v>4.2630999999999997</v>
      </c>
      <c r="C1309">
        <v>4.7850000000000001</v>
      </c>
      <c r="D1309">
        <f>WEEKDAY(A1309,14)</f>
        <v>5</v>
      </c>
      <c r="E1309">
        <f t="shared" si="80"/>
        <v>0.05</v>
      </c>
      <c r="F1309">
        <f t="shared" si="81"/>
        <v>3</v>
      </c>
      <c r="G1309">
        <f>IF(F1309&gt;F1308,G1308+B1309*E1309,B1309*E1309)</f>
        <v>0.21315499999999998</v>
      </c>
      <c r="H1309">
        <f t="shared" si="82"/>
        <v>0.05</v>
      </c>
      <c r="I1309">
        <f t="shared" si="83"/>
        <v>0</v>
      </c>
      <c r="J1309">
        <f>IF(I1308=0,0,C1308-I1308)</f>
        <v>0</v>
      </c>
    </row>
    <row r="1310" spans="1:10" x14ac:dyDescent="0.25">
      <c r="A1310" s="1">
        <v>40631</v>
      </c>
      <c r="B1310">
        <v>4.3031600000000001</v>
      </c>
      <c r="C1310">
        <v>4.7850000000000001</v>
      </c>
      <c r="D1310">
        <f>WEEKDAY(A1310,14)</f>
        <v>6</v>
      </c>
      <c r="E1310">
        <f t="shared" si="80"/>
        <v>0.7</v>
      </c>
      <c r="F1310">
        <f t="shared" si="81"/>
        <v>4</v>
      </c>
      <c r="G1310">
        <f>IF(F1310&gt;F1309,G1309+B1310*E1310,B1310*E1310)</f>
        <v>3.2253669999999999</v>
      </c>
      <c r="H1310">
        <f t="shared" si="82"/>
        <v>0.75</v>
      </c>
      <c r="I1310">
        <f t="shared" si="83"/>
        <v>0</v>
      </c>
      <c r="J1310">
        <f>IF(I1309=0,0,C1309-I1309)</f>
        <v>0</v>
      </c>
    </row>
    <row r="1311" spans="1:10" x14ac:dyDescent="0.25">
      <c r="A1311" s="1">
        <v>40632</v>
      </c>
      <c r="B1311">
        <v>4.2688300000000003</v>
      </c>
      <c r="C1311">
        <v>4.7850000000000001</v>
      </c>
      <c r="D1311">
        <f>WEEKDAY(A1311,14)</f>
        <v>7</v>
      </c>
      <c r="E1311">
        <f t="shared" si="80"/>
        <v>0.25</v>
      </c>
      <c r="F1311">
        <f t="shared" si="81"/>
        <v>5</v>
      </c>
      <c r="G1311">
        <f>IF(F1311&gt;F1310,G1310+B1311*E1311,B1311*E1311)</f>
        <v>4.2925744999999997</v>
      </c>
      <c r="H1311">
        <f t="shared" si="82"/>
        <v>1</v>
      </c>
      <c r="I1311">
        <f t="shared" si="83"/>
        <v>4.2925744999999997</v>
      </c>
      <c r="J1311">
        <f>IF(I1310=0,0,C1310-I1310)</f>
        <v>0</v>
      </c>
    </row>
    <row r="1312" spans="1:10" x14ac:dyDescent="0.25">
      <c r="A1312" s="1">
        <v>40633</v>
      </c>
      <c r="B1312">
        <v>4.2632099999999999</v>
      </c>
      <c r="C1312">
        <v>4.7949999999999999</v>
      </c>
      <c r="D1312">
        <f>WEEKDAY(A1312,14)</f>
        <v>1</v>
      </c>
      <c r="E1312">
        <f t="shared" si="80"/>
        <v>0</v>
      </c>
      <c r="F1312">
        <f t="shared" si="81"/>
        <v>1</v>
      </c>
      <c r="G1312">
        <f>IF(F1312&gt;F1311,G1311+B1312*E1312,B1312*E1312)</f>
        <v>0</v>
      </c>
      <c r="H1312">
        <f t="shared" si="82"/>
        <v>0</v>
      </c>
      <c r="I1312">
        <f t="shared" si="83"/>
        <v>0</v>
      </c>
      <c r="J1312">
        <f>IF(I1311=0,0,C1311-I1311)</f>
        <v>0.4924255000000004</v>
      </c>
    </row>
    <row r="1313" spans="1:10" x14ac:dyDescent="0.25">
      <c r="A1313" s="1">
        <v>40634</v>
      </c>
      <c r="B1313">
        <v>4.2725200000000001</v>
      </c>
      <c r="C1313">
        <v>4.7949999999999999</v>
      </c>
      <c r="D1313">
        <f>WEEKDAY(A1313,14)</f>
        <v>2</v>
      </c>
      <c r="E1313">
        <f t="shared" si="80"/>
        <v>0</v>
      </c>
      <c r="F1313">
        <f t="shared" si="81"/>
        <v>2</v>
      </c>
      <c r="G1313">
        <f>IF(F1313&gt;F1312,G1312+B1313*E1313,B1313*E1313)</f>
        <v>0</v>
      </c>
      <c r="H1313">
        <f t="shared" si="82"/>
        <v>0</v>
      </c>
      <c r="I1313">
        <f t="shared" si="83"/>
        <v>0</v>
      </c>
      <c r="J1313">
        <f>IF(I1312=0,0,C1312-I1312)</f>
        <v>0</v>
      </c>
    </row>
    <row r="1314" spans="1:10" x14ac:dyDescent="0.25">
      <c r="A1314" s="1">
        <v>40637</v>
      </c>
      <c r="B1314">
        <v>4.2707100000000002</v>
      </c>
      <c r="C1314">
        <v>4.7949999999999999</v>
      </c>
      <c r="D1314">
        <f>WEEKDAY(A1314,14)</f>
        <v>5</v>
      </c>
      <c r="E1314">
        <f t="shared" si="80"/>
        <v>0.05</v>
      </c>
      <c r="F1314">
        <f t="shared" si="81"/>
        <v>3</v>
      </c>
      <c r="G1314">
        <f>IF(F1314&gt;F1313,G1313+B1314*E1314,B1314*E1314)</f>
        <v>0.21353550000000002</v>
      </c>
      <c r="H1314">
        <f t="shared" si="82"/>
        <v>0.05</v>
      </c>
      <c r="I1314">
        <f t="shared" si="83"/>
        <v>0</v>
      </c>
      <c r="J1314">
        <f>IF(I1313=0,0,C1313-I1313)</f>
        <v>0</v>
      </c>
    </row>
    <row r="1315" spans="1:10" x14ac:dyDescent="0.25">
      <c r="A1315" s="1">
        <v>40638</v>
      </c>
      <c r="B1315">
        <v>4.3268300000000002</v>
      </c>
      <c r="C1315">
        <v>4.7949999999999999</v>
      </c>
      <c r="D1315">
        <f>WEEKDAY(A1315,14)</f>
        <v>6</v>
      </c>
      <c r="E1315">
        <f t="shared" si="80"/>
        <v>0.7</v>
      </c>
      <c r="F1315">
        <f t="shared" si="81"/>
        <v>4</v>
      </c>
      <c r="G1315">
        <f>IF(F1315&gt;F1314,G1314+B1315*E1315,B1315*E1315)</f>
        <v>3.2423164999999998</v>
      </c>
      <c r="H1315">
        <f t="shared" si="82"/>
        <v>0.75</v>
      </c>
      <c r="I1315">
        <f t="shared" si="83"/>
        <v>0</v>
      </c>
      <c r="J1315">
        <f>IF(I1314=0,0,C1314-I1314)</f>
        <v>0</v>
      </c>
    </row>
    <row r="1316" spans="1:10" x14ac:dyDescent="0.25">
      <c r="A1316" s="1">
        <v>40639</v>
      </c>
      <c r="B1316">
        <v>4.3581799999999999</v>
      </c>
      <c r="C1316">
        <v>4.7949999999999999</v>
      </c>
      <c r="D1316">
        <f>WEEKDAY(A1316,14)</f>
        <v>7</v>
      </c>
      <c r="E1316">
        <f t="shared" si="80"/>
        <v>0.25</v>
      </c>
      <c r="F1316">
        <f t="shared" si="81"/>
        <v>5</v>
      </c>
      <c r="G1316">
        <f>IF(F1316&gt;F1315,G1315+B1316*E1316,B1316*E1316)</f>
        <v>4.3318614999999996</v>
      </c>
      <c r="H1316">
        <f t="shared" si="82"/>
        <v>1</v>
      </c>
      <c r="I1316">
        <f t="shared" si="83"/>
        <v>4.3318614999999996</v>
      </c>
      <c r="J1316">
        <f>IF(I1315=0,0,C1315-I1315)</f>
        <v>0</v>
      </c>
    </row>
    <row r="1317" spans="1:10" x14ac:dyDescent="0.25">
      <c r="A1317" s="1">
        <v>40640</v>
      </c>
      <c r="B1317">
        <v>4.3534199999999998</v>
      </c>
      <c r="C1317">
        <v>4.8099999999999996</v>
      </c>
      <c r="D1317">
        <f>WEEKDAY(A1317,14)</f>
        <v>1</v>
      </c>
      <c r="E1317">
        <f t="shared" si="80"/>
        <v>0</v>
      </c>
      <c r="F1317">
        <f t="shared" si="81"/>
        <v>1</v>
      </c>
      <c r="G1317">
        <f>IF(F1317&gt;F1316,G1316+B1317*E1317,B1317*E1317)</f>
        <v>0</v>
      </c>
      <c r="H1317">
        <f t="shared" si="82"/>
        <v>0</v>
      </c>
      <c r="I1317">
        <f t="shared" si="83"/>
        <v>0</v>
      </c>
      <c r="J1317">
        <f>IF(I1316=0,0,C1316-I1316)</f>
        <v>0.46313850000000034</v>
      </c>
    </row>
    <row r="1318" spans="1:10" x14ac:dyDescent="0.25">
      <c r="A1318" s="1">
        <v>40641</v>
      </c>
      <c r="B1318">
        <v>4.3622100000000001</v>
      </c>
      <c r="C1318">
        <v>4.8099999999999996</v>
      </c>
      <c r="D1318">
        <f>WEEKDAY(A1318,14)</f>
        <v>2</v>
      </c>
      <c r="E1318">
        <f t="shared" si="80"/>
        <v>0</v>
      </c>
      <c r="F1318">
        <f t="shared" si="81"/>
        <v>2</v>
      </c>
      <c r="G1318">
        <f>IF(F1318&gt;F1317,G1317+B1318*E1318,B1318*E1318)</f>
        <v>0</v>
      </c>
      <c r="H1318">
        <f t="shared" si="82"/>
        <v>0</v>
      </c>
      <c r="I1318">
        <f t="shared" si="83"/>
        <v>0</v>
      </c>
      <c r="J1318">
        <f>IF(I1317=0,0,C1317-I1317)</f>
        <v>0</v>
      </c>
    </row>
    <row r="1319" spans="1:10" x14ac:dyDescent="0.25">
      <c r="A1319" s="1">
        <v>40644</v>
      </c>
      <c r="B1319">
        <v>4.3573300000000001</v>
      </c>
      <c r="C1319">
        <v>4.8099999999999996</v>
      </c>
      <c r="D1319">
        <f>WEEKDAY(A1319,14)</f>
        <v>5</v>
      </c>
      <c r="E1319">
        <f t="shared" si="80"/>
        <v>0.05</v>
      </c>
      <c r="F1319">
        <f t="shared" si="81"/>
        <v>3</v>
      </c>
      <c r="G1319">
        <f>IF(F1319&gt;F1318,G1318+B1319*E1319,B1319*E1319)</f>
        <v>0.21786650000000002</v>
      </c>
      <c r="H1319">
        <f t="shared" si="82"/>
        <v>0.05</v>
      </c>
      <c r="I1319">
        <f t="shared" si="83"/>
        <v>0</v>
      </c>
      <c r="J1319">
        <f>IF(I1318=0,0,C1318-I1318)</f>
        <v>0</v>
      </c>
    </row>
    <row r="1320" spans="1:10" x14ac:dyDescent="0.25">
      <c r="A1320" s="1">
        <v>40645</v>
      </c>
      <c r="B1320">
        <v>4.3061199999999999</v>
      </c>
      <c r="C1320">
        <v>4.8099999999999996</v>
      </c>
      <c r="D1320">
        <f>WEEKDAY(A1320,14)</f>
        <v>6</v>
      </c>
      <c r="E1320">
        <f t="shared" si="80"/>
        <v>0.7</v>
      </c>
      <c r="F1320">
        <f t="shared" si="81"/>
        <v>4</v>
      </c>
      <c r="G1320">
        <f>IF(F1320&gt;F1319,G1319+B1320*E1320,B1320*E1320)</f>
        <v>3.2321504999999999</v>
      </c>
      <c r="H1320">
        <f t="shared" si="82"/>
        <v>0.75</v>
      </c>
      <c r="I1320">
        <f t="shared" si="83"/>
        <v>0</v>
      </c>
      <c r="J1320">
        <f>IF(I1319=0,0,C1319-I1319)</f>
        <v>0</v>
      </c>
    </row>
    <row r="1321" spans="1:10" x14ac:dyDescent="0.25">
      <c r="A1321" s="1">
        <v>40646</v>
      </c>
      <c r="B1321">
        <v>4.2868700000000004</v>
      </c>
      <c r="C1321">
        <v>4.8099999999999996</v>
      </c>
      <c r="D1321">
        <f>WEEKDAY(A1321,14)</f>
        <v>7</v>
      </c>
      <c r="E1321">
        <f t="shared" si="80"/>
        <v>0.25</v>
      </c>
      <c r="F1321">
        <f t="shared" si="81"/>
        <v>5</v>
      </c>
      <c r="G1321">
        <f>IF(F1321&gt;F1320,G1320+B1321*E1321,B1321*E1321)</f>
        <v>4.3038679999999996</v>
      </c>
      <c r="H1321">
        <f t="shared" si="82"/>
        <v>1</v>
      </c>
      <c r="I1321">
        <f t="shared" si="83"/>
        <v>4.3038679999999996</v>
      </c>
      <c r="J1321">
        <f>IF(I1320=0,0,C1320-I1320)</f>
        <v>0</v>
      </c>
    </row>
    <row r="1322" spans="1:10" x14ac:dyDescent="0.25">
      <c r="A1322" s="1">
        <v>40647</v>
      </c>
      <c r="B1322">
        <v>4.2935100000000004</v>
      </c>
      <c r="C1322">
        <v>4.7249999999999996</v>
      </c>
      <c r="D1322">
        <f>WEEKDAY(A1322,14)</f>
        <v>1</v>
      </c>
      <c r="E1322">
        <f t="shared" si="80"/>
        <v>0</v>
      </c>
      <c r="F1322">
        <f t="shared" si="81"/>
        <v>1</v>
      </c>
      <c r="G1322">
        <f>IF(F1322&gt;F1321,G1321+B1322*E1322,B1322*E1322)</f>
        <v>0</v>
      </c>
      <c r="H1322">
        <f t="shared" si="82"/>
        <v>0</v>
      </c>
      <c r="I1322">
        <f t="shared" si="83"/>
        <v>0</v>
      </c>
      <c r="J1322">
        <f>IF(I1321=0,0,C1321-I1321)</f>
        <v>0.50613200000000003</v>
      </c>
    </row>
    <row r="1323" spans="1:10" x14ac:dyDescent="0.25">
      <c r="A1323" s="1">
        <v>40648</v>
      </c>
      <c r="B1323">
        <v>4.2253499999999997</v>
      </c>
      <c r="C1323">
        <v>4.7249999999999996</v>
      </c>
      <c r="D1323">
        <f>WEEKDAY(A1323,14)</f>
        <v>2</v>
      </c>
      <c r="E1323">
        <f t="shared" si="80"/>
        <v>0</v>
      </c>
      <c r="F1323">
        <f t="shared" si="81"/>
        <v>2</v>
      </c>
      <c r="G1323">
        <f>IF(F1323&gt;F1322,G1322+B1323*E1323,B1323*E1323)</f>
        <v>0</v>
      </c>
      <c r="H1323">
        <f t="shared" si="82"/>
        <v>0</v>
      </c>
      <c r="I1323">
        <f t="shared" si="83"/>
        <v>0</v>
      </c>
      <c r="J1323">
        <f>IF(I1322=0,0,C1322-I1322)</f>
        <v>0</v>
      </c>
    </row>
    <row r="1324" spans="1:10" x14ac:dyDescent="0.25">
      <c r="A1324" s="1">
        <v>40651</v>
      </c>
      <c r="B1324">
        <v>4.1920999999999999</v>
      </c>
      <c r="C1324">
        <v>4.7249999999999996</v>
      </c>
      <c r="D1324">
        <f>WEEKDAY(A1324,14)</f>
        <v>5</v>
      </c>
      <c r="E1324">
        <f t="shared" si="80"/>
        <v>0.05</v>
      </c>
      <c r="F1324">
        <f t="shared" si="81"/>
        <v>3</v>
      </c>
      <c r="G1324">
        <f>IF(F1324&gt;F1323,G1323+B1324*E1324,B1324*E1324)</f>
        <v>0.20960500000000001</v>
      </c>
      <c r="H1324">
        <f t="shared" si="82"/>
        <v>0.05</v>
      </c>
      <c r="I1324">
        <f t="shared" si="83"/>
        <v>0</v>
      </c>
      <c r="J1324">
        <f>IF(I1323=0,0,C1323-I1323)</f>
        <v>0</v>
      </c>
    </row>
    <row r="1325" spans="1:10" x14ac:dyDescent="0.25">
      <c r="A1325" s="1">
        <v>40652</v>
      </c>
      <c r="B1325">
        <v>4.1805599999999998</v>
      </c>
      <c r="C1325">
        <v>4.7249999999999996</v>
      </c>
      <c r="D1325">
        <f>WEEKDAY(A1325,14)</f>
        <v>6</v>
      </c>
      <c r="E1325">
        <f t="shared" si="80"/>
        <v>0.7</v>
      </c>
      <c r="F1325">
        <f t="shared" si="81"/>
        <v>4</v>
      </c>
      <c r="G1325">
        <f>IF(F1325&gt;F1324,G1324+B1325*E1325,B1325*E1325)</f>
        <v>3.1359969999999997</v>
      </c>
      <c r="H1325">
        <f t="shared" si="82"/>
        <v>0.75</v>
      </c>
      <c r="I1325">
        <f t="shared" si="83"/>
        <v>0</v>
      </c>
      <c r="J1325">
        <f>IF(I1324=0,0,C1324-I1324)</f>
        <v>0</v>
      </c>
    </row>
    <row r="1326" spans="1:10" x14ac:dyDescent="0.25">
      <c r="A1326" s="1">
        <v>40653</v>
      </c>
      <c r="B1326">
        <v>4.2102300000000001</v>
      </c>
      <c r="C1326">
        <v>4.7249999999999996</v>
      </c>
      <c r="D1326">
        <f>WEEKDAY(A1326,14)</f>
        <v>7</v>
      </c>
      <c r="E1326">
        <f t="shared" si="80"/>
        <v>0.25</v>
      </c>
      <c r="F1326">
        <f t="shared" si="81"/>
        <v>5</v>
      </c>
      <c r="G1326">
        <f>IF(F1326&gt;F1325,G1325+B1326*E1326,B1326*E1326)</f>
        <v>4.1885544999999995</v>
      </c>
      <c r="H1326">
        <f t="shared" si="82"/>
        <v>1</v>
      </c>
      <c r="I1326">
        <f t="shared" si="83"/>
        <v>4.1885544999999995</v>
      </c>
      <c r="J1326">
        <f>IF(I1325=0,0,C1325-I1325)</f>
        <v>0</v>
      </c>
    </row>
    <row r="1327" spans="1:10" x14ac:dyDescent="0.25">
      <c r="A1327" s="1">
        <v>40654</v>
      </c>
      <c r="B1327">
        <v>4.2118799999999998</v>
      </c>
      <c r="C1327">
        <v>4.7050000000000001</v>
      </c>
      <c r="D1327">
        <f>WEEKDAY(A1327,14)</f>
        <v>1</v>
      </c>
      <c r="E1327">
        <f t="shared" si="80"/>
        <v>0</v>
      </c>
      <c r="F1327">
        <f t="shared" si="81"/>
        <v>1</v>
      </c>
      <c r="G1327">
        <f>IF(F1327&gt;F1326,G1326+B1327*E1327,B1327*E1327)</f>
        <v>0</v>
      </c>
      <c r="H1327">
        <f t="shared" si="82"/>
        <v>0</v>
      </c>
      <c r="I1327">
        <f t="shared" si="83"/>
        <v>0</v>
      </c>
      <c r="J1327">
        <f>IF(I1326=0,0,C1326-I1326)</f>
        <v>0.53644550000000013</v>
      </c>
    </row>
    <row r="1328" spans="1:10" x14ac:dyDescent="0.25">
      <c r="A1328" s="1">
        <v>40658</v>
      </c>
      <c r="B1328">
        <v>4.1798099999999998</v>
      </c>
      <c r="C1328">
        <v>4.7050000000000001</v>
      </c>
      <c r="D1328">
        <f>WEEKDAY(A1328,14)</f>
        <v>5</v>
      </c>
      <c r="E1328">
        <f t="shared" si="80"/>
        <v>0.05</v>
      </c>
      <c r="F1328">
        <f t="shared" si="81"/>
        <v>2</v>
      </c>
      <c r="G1328">
        <f>IF(F1328&gt;F1327,G1327+B1328*E1328,B1328*E1328)</f>
        <v>0.2089905</v>
      </c>
      <c r="H1328">
        <f t="shared" si="82"/>
        <v>0.05</v>
      </c>
      <c r="I1328">
        <f t="shared" si="83"/>
        <v>0</v>
      </c>
      <c r="J1328">
        <f>IF(I1327=0,0,C1327-I1327)</f>
        <v>0</v>
      </c>
    </row>
    <row r="1329" spans="1:10" x14ac:dyDescent="0.25">
      <c r="A1329" s="1">
        <v>40659</v>
      </c>
      <c r="B1329">
        <v>4.1488100000000001</v>
      </c>
      <c r="C1329">
        <v>4.7050000000000001</v>
      </c>
      <c r="D1329">
        <f>WEEKDAY(A1329,14)</f>
        <v>6</v>
      </c>
      <c r="E1329">
        <f t="shared" si="80"/>
        <v>0.7</v>
      </c>
      <c r="F1329">
        <f t="shared" si="81"/>
        <v>3</v>
      </c>
      <c r="G1329">
        <f>IF(F1329&gt;F1328,G1328+B1329*E1329,B1329*E1329)</f>
        <v>3.1131574999999998</v>
      </c>
      <c r="H1329">
        <f t="shared" si="82"/>
        <v>0.75</v>
      </c>
      <c r="I1329">
        <f t="shared" si="83"/>
        <v>0</v>
      </c>
      <c r="J1329">
        <f>IF(I1328=0,0,C1328-I1328)</f>
        <v>0</v>
      </c>
    </row>
    <row r="1330" spans="1:10" x14ac:dyDescent="0.25">
      <c r="A1330" s="1">
        <v>40660</v>
      </c>
      <c r="B1330">
        <v>4.1737799999999998</v>
      </c>
      <c r="C1330">
        <v>4.7050000000000001</v>
      </c>
      <c r="D1330">
        <f>WEEKDAY(A1330,14)</f>
        <v>7</v>
      </c>
      <c r="E1330">
        <f t="shared" si="80"/>
        <v>0.25</v>
      </c>
      <c r="F1330">
        <f t="shared" si="81"/>
        <v>4</v>
      </c>
      <c r="G1330">
        <f>IF(F1330&gt;F1329,G1329+B1330*E1330,B1330*E1330)</f>
        <v>4.1566025</v>
      </c>
      <c r="H1330">
        <f t="shared" si="82"/>
        <v>1</v>
      </c>
      <c r="I1330">
        <f t="shared" si="83"/>
        <v>4.1566025</v>
      </c>
      <c r="J1330">
        <f>IF(I1329=0,0,C1329-I1329)</f>
        <v>0</v>
      </c>
    </row>
    <row r="1331" spans="1:10" x14ac:dyDescent="0.25">
      <c r="A1331" s="1">
        <v>40661</v>
      </c>
      <c r="B1331">
        <v>4.10853</v>
      </c>
      <c r="C1331">
        <v>4.6349999999999998</v>
      </c>
      <c r="D1331">
        <f>WEEKDAY(A1331,14)</f>
        <v>1</v>
      </c>
      <c r="E1331">
        <f t="shared" si="80"/>
        <v>0</v>
      </c>
      <c r="F1331">
        <f t="shared" si="81"/>
        <v>1</v>
      </c>
      <c r="G1331">
        <f>IF(F1331&gt;F1330,G1330+B1331*E1331,B1331*E1331)</f>
        <v>0</v>
      </c>
      <c r="H1331">
        <f t="shared" si="82"/>
        <v>0</v>
      </c>
      <c r="I1331">
        <f t="shared" si="83"/>
        <v>0</v>
      </c>
      <c r="J1331">
        <f>IF(I1330=0,0,C1330-I1330)</f>
        <v>0.54839750000000009</v>
      </c>
    </row>
    <row r="1332" spans="1:10" x14ac:dyDescent="0.25">
      <c r="A1332" s="1">
        <v>40662</v>
      </c>
      <c r="B1332">
        <v>4.0911400000000002</v>
      </c>
      <c r="C1332">
        <v>4.6349999999999998</v>
      </c>
      <c r="D1332">
        <f>WEEKDAY(A1332,14)</f>
        <v>2</v>
      </c>
      <c r="E1332">
        <f t="shared" si="80"/>
        <v>0</v>
      </c>
      <c r="F1332">
        <f t="shared" si="81"/>
        <v>2</v>
      </c>
      <c r="G1332">
        <f>IF(F1332&gt;F1331,G1331+B1332*E1332,B1332*E1332)</f>
        <v>0</v>
      </c>
      <c r="H1332">
        <f t="shared" si="82"/>
        <v>0</v>
      </c>
      <c r="I1332">
        <f t="shared" si="83"/>
        <v>0</v>
      </c>
      <c r="J1332">
        <f>IF(I1331=0,0,C1331-I1331)</f>
        <v>0</v>
      </c>
    </row>
    <row r="1333" spans="1:10" x14ac:dyDescent="0.25">
      <c r="A1333" s="1">
        <v>40665</v>
      </c>
      <c r="B1333">
        <v>4.1017400000000004</v>
      </c>
      <c r="C1333">
        <v>4.6349999999999998</v>
      </c>
      <c r="D1333">
        <f>WEEKDAY(A1333,14)</f>
        <v>5</v>
      </c>
      <c r="E1333">
        <f t="shared" si="80"/>
        <v>0.05</v>
      </c>
      <c r="F1333">
        <f t="shared" si="81"/>
        <v>3</v>
      </c>
      <c r="G1333">
        <f>IF(F1333&gt;F1332,G1332+B1333*E1333,B1333*E1333)</f>
        <v>0.20508700000000002</v>
      </c>
      <c r="H1333">
        <f t="shared" si="82"/>
        <v>0.05</v>
      </c>
      <c r="I1333">
        <f t="shared" si="83"/>
        <v>0</v>
      </c>
      <c r="J1333">
        <f>IF(I1332=0,0,C1332-I1332)</f>
        <v>0</v>
      </c>
    </row>
    <row r="1334" spans="1:10" x14ac:dyDescent="0.25">
      <c r="A1334" s="1">
        <v>40666</v>
      </c>
      <c r="B1334">
        <v>4.0711700000000004</v>
      </c>
      <c r="C1334">
        <v>4.6349999999999998</v>
      </c>
      <c r="D1334">
        <f>WEEKDAY(A1334,14)</f>
        <v>6</v>
      </c>
      <c r="E1334">
        <f t="shared" si="80"/>
        <v>0.7</v>
      </c>
      <c r="F1334">
        <f t="shared" si="81"/>
        <v>4</v>
      </c>
      <c r="G1334">
        <f>IF(F1334&gt;F1333,G1333+B1334*E1334,B1334*E1334)</f>
        <v>3.0549059999999999</v>
      </c>
      <c r="H1334">
        <f t="shared" si="82"/>
        <v>0.75</v>
      </c>
      <c r="I1334">
        <f t="shared" si="83"/>
        <v>0</v>
      </c>
      <c r="J1334">
        <f>IF(I1333=0,0,C1333-I1333)</f>
        <v>0</v>
      </c>
    </row>
    <row r="1335" spans="1:10" x14ac:dyDescent="0.25">
      <c r="A1335" s="1">
        <v>40667</v>
      </c>
      <c r="B1335">
        <v>4.0402899999999997</v>
      </c>
      <c r="C1335">
        <v>4.6349999999999998</v>
      </c>
      <c r="D1335">
        <f>WEEKDAY(A1335,14)</f>
        <v>7</v>
      </c>
      <c r="E1335">
        <f t="shared" si="80"/>
        <v>0.25</v>
      </c>
      <c r="F1335">
        <f t="shared" si="81"/>
        <v>5</v>
      </c>
      <c r="G1335">
        <f>IF(F1335&gt;F1334,G1334+B1335*E1335,B1335*E1335)</f>
        <v>4.0649784999999996</v>
      </c>
      <c r="H1335">
        <f t="shared" si="82"/>
        <v>1</v>
      </c>
      <c r="I1335">
        <f t="shared" si="83"/>
        <v>4.0649784999999996</v>
      </c>
      <c r="J1335">
        <f>IF(I1334=0,0,C1334-I1334)</f>
        <v>0</v>
      </c>
    </row>
    <row r="1336" spans="1:10" x14ac:dyDescent="0.25">
      <c r="A1336" s="1">
        <v>40668</v>
      </c>
      <c r="B1336">
        <v>3.9897399999999998</v>
      </c>
      <c r="C1336">
        <v>4.5549999999999997</v>
      </c>
      <c r="D1336">
        <f>WEEKDAY(A1336,14)</f>
        <v>1</v>
      </c>
      <c r="E1336">
        <f t="shared" si="80"/>
        <v>0</v>
      </c>
      <c r="F1336">
        <f t="shared" si="81"/>
        <v>1</v>
      </c>
      <c r="G1336">
        <f>IF(F1336&gt;F1335,G1335+B1336*E1336,B1336*E1336)</f>
        <v>0</v>
      </c>
      <c r="H1336">
        <f t="shared" si="82"/>
        <v>0</v>
      </c>
      <c r="I1336">
        <f t="shared" si="83"/>
        <v>0</v>
      </c>
      <c r="J1336">
        <f>IF(I1335=0,0,C1335-I1335)</f>
        <v>0.57002150000000018</v>
      </c>
    </row>
    <row r="1337" spans="1:10" x14ac:dyDescent="0.25">
      <c r="A1337" s="1">
        <v>40669</v>
      </c>
      <c r="B1337">
        <v>3.9810400000000001</v>
      </c>
      <c r="C1337">
        <v>4.5549999999999997</v>
      </c>
      <c r="D1337">
        <f>WEEKDAY(A1337,14)</f>
        <v>2</v>
      </c>
      <c r="E1337">
        <f t="shared" si="80"/>
        <v>0</v>
      </c>
      <c r="F1337">
        <f t="shared" si="81"/>
        <v>2</v>
      </c>
      <c r="G1337">
        <f>IF(F1337&gt;F1336,G1336+B1337*E1337,B1337*E1337)</f>
        <v>0</v>
      </c>
      <c r="H1337">
        <f t="shared" si="82"/>
        <v>0</v>
      </c>
      <c r="I1337">
        <f t="shared" si="83"/>
        <v>0</v>
      </c>
      <c r="J1337">
        <f>IF(I1336=0,0,C1336-I1336)</f>
        <v>0</v>
      </c>
    </row>
    <row r="1338" spans="1:10" x14ac:dyDescent="0.25">
      <c r="A1338" s="1">
        <v>40672</v>
      </c>
      <c r="B1338">
        <v>3.9671799999999999</v>
      </c>
      <c r="C1338">
        <v>4.5549999999999997</v>
      </c>
      <c r="D1338">
        <f>WEEKDAY(A1338,14)</f>
        <v>5</v>
      </c>
      <c r="E1338">
        <f t="shared" si="80"/>
        <v>0.05</v>
      </c>
      <c r="F1338">
        <f t="shared" si="81"/>
        <v>3</v>
      </c>
      <c r="G1338">
        <f>IF(F1338&gt;F1337,G1337+B1338*E1338,B1338*E1338)</f>
        <v>0.19835900000000001</v>
      </c>
      <c r="H1338">
        <f t="shared" si="82"/>
        <v>0.05</v>
      </c>
      <c r="I1338">
        <f t="shared" si="83"/>
        <v>0</v>
      </c>
      <c r="J1338">
        <f>IF(I1337=0,0,C1337-I1337)</f>
        <v>0</v>
      </c>
    </row>
    <row r="1339" spans="1:10" x14ac:dyDescent="0.25">
      <c r="A1339" s="1">
        <v>40673</v>
      </c>
      <c r="B1339">
        <v>4.0101699999999996</v>
      </c>
      <c r="C1339">
        <v>4.5549999999999997</v>
      </c>
      <c r="D1339">
        <f>WEEKDAY(A1339,14)</f>
        <v>6</v>
      </c>
      <c r="E1339">
        <f t="shared" si="80"/>
        <v>0.7</v>
      </c>
      <c r="F1339">
        <f t="shared" si="81"/>
        <v>4</v>
      </c>
      <c r="G1339">
        <f>IF(F1339&gt;F1338,G1338+B1339*E1339,B1339*E1339)</f>
        <v>3.0054779999999996</v>
      </c>
      <c r="H1339">
        <f t="shared" si="82"/>
        <v>0.75</v>
      </c>
      <c r="I1339">
        <f t="shared" si="83"/>
        <v>0</v>
      </c>
      <c r="J1339">
        <f>IF(I1338=0,0,C1338-I1338)</f>
        <v>0</v>
      </c>
    </row>
    <row r="1340" spans="1:10" x14ac:dyDescent="0.25">
      <c r="A1340" s="1">
        <v>40674</v>
      </c>
      <c r="B1340">
        <v>3.98265</v>
      </c>
      <c r="C1340">
        <v>4.5549999999999997</v>
      </c>
      <c r="D1340">
        <f>WEEKDAY(A1340,14)</f>
        <v>7</v>
      </c>
      <c r="E1340">
        <f t="shared" si="80"/>
        <v>0.25</v>
      </c>
      <c r="F1340">
        <f t="shared" si="81"/>
        <v>5</v>
      </c>
      <c r="G1340">
        <f>IF(F1340&gt;F1339,G1339+B1340*E1340,B1340*E1340)</f>
        <v>4.0011405</v>
      </c>
      <c r="H1340">
        <f t="shared" si="82"/>
        <v>1</v>
      </c>
      <c r="I1340">
        <f t="shared" si="83"/>
        <v>4.0011405</v>
      </c>
      <c r="J1340">
        <f>IF(I1339=0,0,C1339-I1339)</f>
        <v>0</v>
      </c>
    </row>
    <row r="1341" spans="1:10" x14ac:dyDescent="0.25">
      <c r="A1341" s="1">
        <v>40675</v>
      </c>
      <c r="B1341">
        <v>4.0052099999999999</v>
      </c>
      <c r="C1341">
        <v>4.5350000000000001</v>
      </c>
      <c r="D1341">
        <f>WEEKDAY(A1341,14)</f>
        <v>1</v>
      </c>
      <c r="E1341">
        <f t="shared" si="80"/>
        <v>0</v>
      </c>
      <c r="F1341">
        <f t="shared" si="81"/>
        <v>1</v>
      </c>
      <c r="G1341">
        <f>IF(F1341&gt;F1340,G1340+B1341*E1341,B1341*E1341)</f>
        <v>0</v>
      </c>
      <c r="H1341">
        <f t="shared" si="82"/>
        <v>0</v>
      </c>
      <c r="I1341">
        <f t="shared" si="83"/>
        <v>0</v>
      </c>
      <c r="J1341">
        <f>IF(I1340=0,0,C1340-I1340)</f>
        <v>0.55385949999999973</v>
      </c>
    </row>
    <row r="1342" spans="1:10" x14ac:dyDescent="0.25">
      <c r="A1342" s="1">
        <v>40676</v>
      </c>
      <c r="B1342">
        <v>3.9886200000000001</v>
      </c>
      <c r="C1342">
        <v>4.5350000000000001</v>
      </c>
      <c r="D1342">
        <f>WEEKDAY(A1342,14)</f>
        <v>2</v>
      </c>
      <c r="E1342">
        <f t="shared" si="80"/>
        <v>0</v>
      </c>
      <c r="F1342">
        <f t="shared" si="81"/>
        <v>2</v>
      </c>
      <c r="G1342">
        <f>IF(F1342&gt;F1341,G1341+B1342*E1342,B1342*E1342)</f>
        <v>0</v>
      </c>
      <c r="H1342">
        <f t="shared" si="82"/>
        <v>0</v>
      </c>
      <c r="I1342">
        <f t="shared" si="83"/>
        <v>0</v>
      </c>
      <c r="J1342">
        <f>IF(I1341=0,0,C1341-I1341)</f>
        <v>0</v>
      </c>
    </row>
    <row r="1343" spans="1:10" x14ac:dyDescent="0.25">
      <c r="A1343" s="1">
        <v>40679</v>
      </c>
      <c r="B1343">
        <v>3.9714499999999999</v>
      </c>
      <c r="C1343">
        <v>4.5350000000000001</v>
      </c>
      <c r="D1343">
        <f>WEEKDAY(A1343,14)</f>
        <v>5</v>
      </c>
      <c r="E1343">
        <f t="shared" si="80"/>
        <v>0.05</v>
      </c>
      <c r="F1343">
        <f t="shared" si="81"/>
        <v>3</v>
      </c>
      <c r="G1343">
        <f>IF(F1343&gt;F1342,G1342+B1343*E1343,B1343*E1343)</f>
        <v>0.19857250000000001</v>
      </c>
      <c r="H1343">
        <f t="shared" si="82"/>
        <v>0.05</v>
      </c>
      <c r="I1343">
        <f t="shared" si="83"/>
        <v>0</v>
      </c>
      <c r="J1343">
        <f>IF(I1342=0,0,C1342-I1342)</f>
        <v>0</v>
      </c>
    </row>
    <row r="1344" spans="1:10" x14ac:dyDescent="0.25">
      <c r="A1344" s="1">
        <v>40680</v>
      </c>
      <c r="B1344">
        <v>3.9561999999999999</v>
      </c>
      <c r="C1344">
        <v>4.5350000000000001</v>
      </c>
      <c r="D1344">
        <f>WEEKDAY(A1344,14)</f>
        <v>6</v>
      </c>
      <c r="E1344">
        <f t="shared" si="80"/>
        <v>0.7</v>
      </c>
      <c r="F1344">
        <f t="shared" si="81"/>
        <v>4</v>
      </c>
      <c r="G1344">
        <f>IF(F1344&gt;F1343,G1343+B1344*E1344,B1344*E1344)</f>
        <v>2.9679124999999997</v>
      </c>
      <c r="H1344">
        <f t="shared" si="82"/>
        <v>0.75</v>
      </c>
      <c r="I1344">
        <f t="shared" si="83"/>
        <v>0</v>
      </c>
      <c r="J1344">
        <f>IF(I1343=0,0,C1343-I1343)</f>
        <v>0</v>
      </c>
    </row>
    <row r="1345" spans="1:10" x14ac:dyDescent="0.25">
      <c r="A1345" s="1">
        <v>40681</v>
      </c>
      <c r="B1345">
        <v>3.99817</v>
      </c>
      <c r="C1345">
        <v>4.5350000000000001</v>
      </c>
      <c r="D1345">
        <f>WEEKDAY(A1345,14)</f>
        <v>7</v>
      </c>
      <c r="E1345">
        <f t="shared" si="80"/>
        <v>0.25</v>
      </c>
      <c r="F1345">
        <f t="shared" si="81"/>
        <v>5</v>
      </c>
      <c r="G1345">
        <f>IF(F1345&gt;F1344,G1344+B1345*E1345,B1345*E1345)</f>
        <v>3.9674549999999997</v>
      </c>
      <c r="H1345">
        <f t="shared" si="82"/>
        <v>1</v>
      </c>
      <c r="I1345">
        <f t="shared" si="83"/>
        <v>3.9674549999999997</v>
      </c>
      <c r="J1345">
        <f>IF(I1344=0,0,C1344-I1344)</f>
        <v>0</v>
      </c>
    </row>
    <row r="1346" spans="1:10" x14ac:dyDescent="0.25">
      <c r="A1346" s="1">
        <v>40682</v>
      </c>
      <c r="B1346">
        <v>4.0056599999999998</v>
      </c>
      <c r="C1346">
        <v>4.5250000000000004</v>
      </c>
      <c r="D1346">
        <f>WEEKDAY(A1346,14)</f>
        <v>1</v>
      </c>
      <c r="E1346">
        <f t="shared" si="80"/>
        <v>0</v>
      </c>
      <c r="F1346">
        <f t="shared" si="81"/>
        <v>1</v>
      </c>
      <c r="G1346">
        <f>IF(F1346&gt;F1345,G1345+B1346*E1346,B1346*E1346)</f>
        <v>0</v>
      </c>
      <c r="H1346">
        <f t="shared" si="82"/>
        <v>0</v>
      </c>
      <c r="I1346">
        <f t="shared" si="83"/>
        <v>0</v>
      </c>
      <c r="J1346">
        <f>IF(I1345=0,0,C1345-I1345)</f>
        <v>0.56754500000000041</v>
      </c>
    </row>
    <row r="1347" spans="1:10" x14ac:dyDescent="0.25">
      <c r="A1347" s="1">
        <v>40683</v>
      </c>
      <c r="B1347">
        <v>3.9928400000000002</v>
      </c>
      <c r="C1347">
        <v>4.5250000000000004</v>
      </c>
      <c r="D1347">
        <f>WEEKDAY(A1347,14)</f>
        <v>2</v>
      </c>
      <c r="E1347">
        <f t="shared" ref="E1347:E1410" si="84">VLOOKUP(D1347,M$2:N$8,2,FALSE)</f>
        <v>0</v>
      </c>
      <c r="F1347">
        <f t="shared" ref="F1347:F1410" si="85">IF(AND(D1347&gt;D1346,F1346&lt;6),F1346+1,1)</f>
        <v>2</v>
      </c>
      <c r="G1347">
        <f>IF(F1347&gt;F1346,G1346+B1347*E1347,B1347*E1347)</f>
        <v>0</v>
      </c>
      <c r="H1347">
        <f t="shared" si="82"/>
        <v>0</v>
      </c>
      <c r="I1347">
        <f t="shared" si="83"/>
        <v>0</v>
      </c>
      <c r="J1347">
        <f>IF(I1346=0,0,C1346-I1346)</f>
        <v>0</v>
      </c>
    </row>
    <row r="1348" spans="1:10" x14ac:dyDescent="0.25">
      <c r="A1348" s="1">
        <v>40686</v>
      </c>
      <c r="B1348">
        <v>3.9961500000000001</v>
      </c>
      <c r="C1348">
        <v>4.5250000000000004</v>
      </c>
      <c r="D1348">
        <f>WEEKDAY(A1348,14)</f>
        <v>5</v>
      </c>
      <c r="E1348">
        <f t="shared" si="84"/>
        <v>0.05</v>
      </c>
      <c r="F1348">
        <f t="shared" si="85"/>
        <v>3</v>
      </c>
      <c r="G1348">
        <f>IF(F1348&gt;F1347,G1347+B1348*E1348,B1348*E1348)</f>
        <v>0.19980750000000003</v>
      </c>
      <c r="H1348">
        <f t="shared" ref="H1348:H1411" si="86">IF(AND(F1348&lt;6,F1348&gt;F1347),E1348+H1347,E1348)</f>
        <v>0.05</v>
      </c>
      <c r="I1348">
        <f t="shared" ref="I1348:I1411" si="87">IF(F1348&gt;F1349,G1348/H1348,0)</f>
        <v>0</v>
      </c>
      <c r="J1348">
        <f>IF(I1347=0,0,C1347-I1347)</f>
        <v>0</v>
      </c>
    </row>
    <row r="1349" spans="1:10" x14ac:dyDescent="0.25">
      <c r="A1349" s="1">
        <v>40687</v>
      </c>
      <c r="B1349">
        <v>3.9840100000000001</v>
      </c>
      <c r="C1349">
        <v>4.5250000000000004</v>
      </c>
      <c r="D1349">
        <f>WEEKDAY(A1349,14)</f>
        <v>6</v>
      </c>
      <c r="E1349">
        <f t="shared" si="84"/>
        <v>0.7</v>
      </c>
      <c r="F1349">
        <f t="shared" si="85"/>
        <v>4</v>
      </c>
      <c r="G1349">
        <f>IF(F1349&gt;F1348,G1348+B1349*E1349,B1349*E1349)</f>
        <v>2.9886144999999997</v>
      </c>
      <c r="H1349">
        <f t="shared" si="86"/>
        <v>0.75</v>
      </c>
      <c r="I1349">
        <f t="shared" si="87"/>
        <v>0</v>
      </c>
      <c r="J1349">
        <f>IF(I1348=0,0,C1348-I1348)</f>
        <v>0</v>
      </c>
    </row>
    <row r="1350" spans="1:10" x14ac:dyDescent="0.25">
      <c r="A1350" s="1">
        <v>40688</v>
      </c>
      <c r="B1350">
        <v>3.98264</v>
      </c>
      <c r="C1350">
        <v>4.5250000000000004</v>
      </c>
      <c r="D1350">
        <f>WEEKDAY(A1350,14)</f>
        <v>7</v>
      </c>
      <c r="E1350">
        <f t="shared" si="84"/>
        <v>0.25</v>
      </c>
      <c r="F1350">
        <f t="shared" si="85"/>
        <v>5</v>
      </c>
      <c r="G1350">
        <f>IF(F1350&gt;F1349,G1349+B1350*E1350,B1350*E1350)</f>
        <v>3.9842744999999997</v>
      </c>
      <c r="H1350">
        <f t="shared" si="86"/>
        <v>1</v>
      </c>
      <c r="I1350">
        <f t="shared" si="87"/>
        <v>3.9842744999999997</v>
      </c>
      <c r="J1350">
        <f>IF(I1349=0,0,C1349-I1349)</f>
        <v>0</v>
      </c>
    </row>
    <row r="1351" spans="1:10" x14ac:dyDescent="0.25">
      <c r="A1351" s="1">
        <v>40689</v>
      </c>
      <c r="B1351">
        <v>3.9110900000000002</v>
      </c>
      <c r="C1351">
        <v>4.45</v>
      </c>
      <c r="D1351">
        <f>WEEKDAY(A1351,14)</f>
        <v>1</v>
      </c>
      <c r="E1351">
        <f t="shared" si="84"/>
        <v>0</v>
      </c>
      <c r="F1351">
        <f t="shared" si="85"/>
        <v>1</v>
      </c>
      <c r="G1351">
        <f>IF(F1351&gt;F1350,G1350+B1351*E1351,B1351*E1351)</f>
        <v>0</v>
      </c>
      <c r="H1351">
        <f t="shared" si="86"/>
        <v>0</v>
      </c>
      <c r="I1351">
        <f t="shared" si="87"/>
        <v>0</v>
      </c>
      <c r="J1351">
        <f>IF(I1350=0,0,C1350-I1350)</f>
        <v>0.54072550000000064</v>
      </c>
    </row>
    <row r="1352" spans="1:10" x14ac:dyDescent="0.25">
      <c r="A1352" s="1">
        <v>40690</v>
      </c>
      <c r="B1352">
        <v>3.9340099999999998</v>
      </c>
      <c r="C1352">
        <v>4.45</v>
      </c>
      <c r="D1352">
        <f>WEEKDAY(A1352,14)</f>
        <v>2</v>
      </c>
      <c r="E1352">
        <f t="shared" si="84"/>
        <v>0</v>
      </c>
      <c r="F1352">
        <f t="shared" si="85"/>
        <v>2</v>
      </c>
      <c r="G1352">
        <f>IF(F1352&gt;F1351,G1351+B1352*E1352,B1352*E1352)</f>
        <v>0</v>
      </c>
      <c r="H1352">
        <f t="shared" si="86"/>
        <v>0</v>
      </c>
      <c r="I1352">
        <f t="shared" si="87"/>
        <v>0</v>
      </c>
      <c r="J1352">
        <f>IF(I1351=0,0,C1351-I1351)</f>
        <v>0</v>
      </c>
    </row>
    <row r="1353" spans="1:10" x14ac:dyDescent="0.25">
      <c r="A1353" s="1">
        <v>40694</v>
      </c>
      <c r="B1353">
        <v>3.93235</v>
      </c>
      <c r="C1353">
        <v>4.45</v>
      </c>
      <c r="D1353">
        <f>WEEKDAY(A1353,14)</f>
        <v>6</v>
      </c>
      <c r="E1353">
        <f t="shared" si="84"/>
        <v>0.7</v>
      </c>
      <c r="F1353">
        <f t="shared" si="85"/>
        <v>3</v>
      </c>
      <c r="G1353">
        <f>IF(F1353&gt;F1352,G1352+B1353*E1353,B1353*E1353)</f>
        <v>2.7526449999999998</v>
      </c>
      <c r="H1353">
        <f t="shared" si="86"/>
        <v>0.7</v>
      </c>
      <c r="I1353">
        <f t="shared" si="87"/>
        <v>0</v>
      </c>
      <c r="J1353">
        <f>IF(I1352=0,0,C1352-I1352)</f>
        <v>0</v>
      </c>
    </row>
    <row r="1354" spans="1:10" x14ac:dyDescent="0.25">
      <c r="A1354" s="1">
        <v>40695</v>
      </c>
      <c r="B1354">
        <v>3.8634900000000001</v>
      </c>
      <c r="C1354">
        <v>4.45</v>
      </c>
      <c r="D1354">
        <f>WEEKDAY(A1354,14)</f>
        <v>7</v>
      </c>
      <c r="E1354">
        <f t="shared" si="84"/>
        <v>0.25</v>
      </c>
      <c r="F1354">
        <f t="shared" si="85"/>
        <v>4</v>
      </c>
      <c r="G1354">
        <f>IF(F1354&gt;F1353,G1353+B1354*E1354,B1354*E1354)</f>
        <v>3.7185174999999999</v>
      </c>
      <c r="H1354">
        <f t="shared" si="86"/>
        <v>0.95</v>
      </c>
      <c r="I1354">
        <f t="shared" si="87"/>
        <v>3.9142289473684211</v>
      </c>
      <c r="J1354">
        <f>IF(I1353=0,0,C1353-I1353)</f>
        <v>0</v>
      </c>
    </row>
    <row r="1355" spans="1:10" x14ac:dyDescent="0.25">
      <c r="A1355" s="1">
        <v>40696</v>
      </c>
      <c r="B1355">
        <v>3.9138700000000002</v>
      </c>
      <c r="C1355">
        <v>4.415</v>
      </c>
      <c r="D1355">
        <f>WEEKDAY(A1355,14)</f>
        <v>1</v>
      </c>
      <c r="E1355">
        <f t="shared" si="84"/>
        <v>0</v>
      </c>
      <c r="F1355">
        <f t="shared" si="85"/>
        <v>1</v>
      </c>
      <c r="G1355">
        <f>IF(F1355&gt;F1354,G1354+B1355*E1355,B1355*E1355)</f>
        <v>0</v>
      </c>
      <c r="H1355">
        <f t="shared" si="86"/>
        <v>0</v>
      </c>
      <c r="I1355">
        <f t="shared" si="87"/>
        <v>0</v>
      </c>
      <c r="J1355">
        <f>IF(I1354=0,0,C1354-I1354)</f>
        <v>0.53577105263157909</v>
      </c>
    </row>
    <row r="1356" spans="1:10" x14ac:dyDescent="0.25">
      <c r="A1356" s="1">
        <v>40697</v>
      </c>
      <c r="B1356">
        <v>3.8932799999999999</v>
      </c>
      <c r="C1356">
        <v>4.415</v>
      </c>
      <c r="D1356">
        <f>WEEKDAY(A1356,14)</f>
        <v>2</v>
      </c>
      <c r="E1356">
        <f t="shared" si="84"/>
        <v>0</v>
      </c>
      <c r="F1356">
        <f t="shared" si="85"/>
        <v>2</v>
      </c>
      <c r="G1356">
        <f>IF(F1356&gt;F1355,G1355+B1356*E1356,B1356*E1356)</f>
        <v>0</v>
      </c>
      <c r="H1356">
        <f t="shared" si="86"/>
        <v>0</v>
      </c>
      <c r="I1356">
        <f t="shared" si="87"/>
        <v>0</v>
      </c>
      <c r="J1356">
        <f>IF(I1355=0,0,C1355-I1355)</f>
        <v>0</v>
      </c>
    </row>
    <row r="1357" spans="1:10" x14ac:dyDescent="0.25">
      <c r="A1357" s="1">
        <v>40700</v>
      </c>
      <c r="B1357">
        <v>3.9007100000000001</v>
      </c>
      <c r="C1357">
        <v>4.415</v>
      </c>
      <c r="D1357">
        <f>WEEKDAY(A1357,14)</f>
        <v>5</v>
      </c>
      <c r="E1357">
        <f t="shared" si="84"/>
        <v>0.05</v>
      </c>
      <c r="F1357">
        <f t="shared" si="85"/>
        <v>3</v>
      </c>
      <c r="G1357">
        <f>IF(F1357&gt;F1356,G1356+B1357*E1357,B1357*E1357)</f>
        <v>0.19503550000000003</v>
      </c>
      <c r="H1357">
        <f t="shared" si="86"/>
        <v>0.05</v>
      </c>
      <c r="I1357">
        <f t="shared" si="87"/>
        <v>0</v>
      </c>
      <c r="J1357">
        <f>IF(I1356=0,0,C1356-I1356)</f>
        <v>0</v>
      </c>
    </row>
    <row r="1358" spans="1:10" x14ac:dyDescent="0.25">
      <c r="A1358" s="1">
        <v>40701</v>
      </c>
      <c r="B1358">
        <v>3.89581</v>
      </c>
      <c r="C1358">
        <v>4.415</v>
      </c>
      <c r="D1358">
        <f>WEEKDAY(A1358,14)</f>
        <v>6</v>
      </c>
      <c r="E1358">
        <f t="shared" si="84"/>
        <v>0.7</v>
      </c>
      <c r="F1358">
        <f t="shared" si="85"/>
        <v>4</v>
      </c>
      <c r="G1358">
        <f>IF(F1358&gt;F1357,G1357+B1358*E1358,B1358*E1358)</f>
        <v>2.9221024999999998</v>
      </c>
      <c r="H1358">
        <f t="shared" si="86"/>
        <v>0.75</v>
      </c>
      <c r="I1358">
        <f t="shared" si="87"/>
        <v>0</v>
      </c>
      <c r="J1358">
        <f>IF(I1357=0,0,C1357-I1357)</f>
        <v>0</v>
      </c>
    </row>
    <row r="1359" spans="1:10" x14ac:dyDescent="0.25">
      <c r="A1359" s="1">
        <v>40702</v>
      </c>
      <c r="B1359">
        <v>3.8566799999999999</v>
      </c>
      <c r="C1359">
        <v>4.415</v>
      </c>
      <c r="D1359">
        <f>WEEKDAY(A1359,14)</f>
        <v>7</v>
      </c>
      <c r="E1359">
        <f t="shared" si="84"/>
        <v>0.25</v>
      </c>
      <c r="F1359">
        <f t="shared" si="85"/>
        <v>5</v>
      </c>
      <c r="G1359">
        <f>IF(F1359&gt;F1358,G1358+B1359*E1359,B1359*E1359)</f>
        <v>3.8862724999999996</v>
      </c>
      <c r="H1359">
        <f t="shared" si="86"/>
        <v>1</v>
      </c>
      <c r="I1359">
        <f t="shared" si="87"/>
        <v>3.8862724999999996</v>
      </c>
      <c r="J1359">
        <f>IF(I1358=0,0,C1358-I1358)</f>
        <v>0</v>
      </c>
    </row>
    <row r="1360" spans="1:10" x14ac:dyDescent="0.25">
      <c r="A1360" s="1">
        <v>40703</v>
      </c>
      <c r="B1360">
        <v>3.8960499999999998</v>
      </c>
      <c r="C1360">
        <v>4.4249999999999998</v>
      </c>
      <c r="D1360">
        <f>WEEKDAY(A1360,14)</f>
        <v>1</v>
      </c>
      <c r="E1360">
        <f t="shared" si="84"/>
        <v>0</v>
      </c>
      <c r="F1360">
        <f t="shared" si="85"/>
        <v>1</v>
      </c>
      <c r="G1360">
        <f>IF(F1360&gt;F1359,G1359+B1360*E1360,B1360*E1360)</f>
        <v>0</v>
      </c>
      <c r="H1360">
        <f t="shared" si="86"/>
        <v>0</v>
      </c>
      <c r="I1360">
        <f t="shared" si="87"/>
        <v>0</v>
      </c>
      <c r="J1360">
        <f>IF(I1359=0,0,C1359-I1359)</f>
        <v>0.52872750000000046</v>
      </c>
    </row>
    <row r="1361" spans="1:10" x14ac:dyDescent="0.25">
      <c r="A1361" s="1">
        <v>40704</v>
      </c>
      <c r="B1361">
        <v>3.89696</v>
      </c>
      <c r="C1361">
        <v>4.4249999999999998</v>
      </c>
      <c r="D1361">
        <f>WEEKDAY(A1361,14)</f>
        <v>2</v>
      </c>
      <c r="E1361">
        <f t="shared" si="84"/>
        <v>0</v>
      </c>
      <c r="F1361">
        <f t="shared" si="85"/>
        <v>2</v>
      </c>
      <c r="G1361">
        <f>IF(F1361&gt;F1360,G1360+B1361*E1361,B1361*E1361)</f>
        <v>0</v>
      </c>
      <c r="H1361">
        <f t="shared" si="86"/>
        <v>0</v>
      </c>
      <c r="I1361">
        <f t="shared" si="87"/>
        <v>0</v>
      </c>
      <c r="J1361">
        <f>IF(I1360=0,0,C1360-I1360)</f>
        <v>0</v>
      </c>
    </row>
    <row r="1362" spans="1:10" x14ac:dyDescent="0.25">
      <c r="A1362" s="1">
        <v>40707</v>
      </c>
      <c r="B1362">
        <v>3.90679</v>
      </c>
      <c r="C1362">
        <v>4.4249999999999998</v>
      </c>
      <c r="D1362">
        <f>WEEKDAY(A1362,14)</f>
        <v>5</v>
      </c>
      <c r="E1362">
        <f t="shared" si="84"/>
        <v>0.05</v>
      </c>
      <c r="F1362">
        <f t="shared" si="85"/>
        <v>3</v>
      </c>
      <c r="G1362">
        <f>IF(F1362&gt;F1361,G1361+B1362*E1362,B1362*E1362)</f>
        <v>0.1953395</v>
      </c>
      <c r="H1362">
        <f t="shared" si="86"/>
        <v>0.05</v>
      </c>
      <c r="I1362">
        <f t="shared" si="87"/>
        <v>0</v>
      </c>
      <c r="J1362">
        <f>IF(I1361=0,0,C1361-I1361)</f>
        <v>0</v>
      </c>
    </row>
    <row r="1363" spans="1:10" x14ac:dyDescent="0.25">
      <c r="A1363" s="1">
        <v>40708</v>
      </c>
      <c r="B1363">
        <v>3.9753400000000001</v>
      </c>
      <c r="C1363">
        <v>4.4249999999999998</v>
      </c>
      <c r="D1363">
        <f>WEEKDAY(A1363,14)</f>
        <v>6</v>
      </c>
      <c r="E1363">
        <f t="shared" si="84"/>
        <v>0.7</v>
      </c>
      <c r="F1363">
        <f t="shared" si="85"/>
        <v>4</v>
      </c>
      <c r="G1363">
        <f>IF(F1363&gt;F1362,G1362+B1363*E1363,B1363*E1363)</f>
        <v>2.9780774999999995</v>
      </c>
      <c r="H1363">
        <f t="shared" si="86"/>
        <v>0.75</v>
      </c>
      <c r="I1363">
        <f t="shared" si="87"/>
        <v>0</v>
      </c>
      <c r="J1363">
        <f>IF(I1362=0,0,C1362-I1362)</f>
        <v>0</v>
      </c>
    </row>
    <row r="1364" spans="1:10" x14ac:dyDescent="0.25">
      <c r="A1364" s="1">
        <v>40709</v>
      </c>
      <c r="B1364">
        <v>3.9058999999999999</v>
      </c>
      <c r="C1364">
        <v>4.4249999999999998</v>
      </c>
      <c r="D1364">
        <f>WEEKDAY(A1364,14)</f>
        <v>7</v>
      </c>
      <c r="E1364">
        <f t="shared" si="84"/>
        <v>0.25</v>
      </c>
      <c r="F1364">
        <f t="shared" si="85"/>
        <v>5</v>
      </c>
      <c r="G1364">
        <f>IF(F1364&gt;F1363,G1363+B1364*E1364,B1364*E1364)</f>
        <v>3.9545524999999992</v>
      </c>
      <c r="H1364">
        <f t="shared" si="86"/>
        <v>1</v>
      </c>
      <c r="I1364">
        <f t="shared" si="87"/>
        <v>3.9545524999999992</v>
      </c>
      <c r="J1364">
        <f>IF(I1363=0,0,C1363-I1363)</f>
        <v>0</v>
      </c>
    </row>
    <row r="1365" spans="1:10" x14ac:dyDescent="0.25">
      <c r="A1365" s="1">
        <v>40710</v>
      </c>
      <c r="B1365">
        <v>3.8841600000000001</v>
      </c>
      <c r="C1365">
        <v>4.45</v>
      </c>
      <c r="D1365">
        <f>WEEKDAY(A1365,14)</f>
        <v>1</v>
      </c>
      <c r="E1365">
        <f t="shared" si="84"/>
        <v>0</v>
      </c>
      <c r="F1365">
        <f t="shared" si="85"/>
        <v>1</v>
      </c>
      <c r="G1365">
        <f>IF(F1365&gt;F1364,G1364+B1365*E1365,B1365*E1365)</f>
        <v>0</v>
      </c>
      <c r="H1365">
        <f t="shared" si="86"/>
        <v>0</v>
      </c>
      <c r="I1365">
        <f t="shared" si="87"/>
        <v>0</v>
      </c>
      <c r="J1365">
        <f>IF(I1364=0,0,C1364-I1364)</f>
        <v>0.47044750000000057</v>
      </c>
    </row>
    <row r="1366" spans="1:10" x14ac:dyDescent="0.25">
      <c r="A1366" s="1">
        <v>40711</v>
      </c>
      <c r="B1366">
        <v>3.9054700000000002</v>
      </c>
      <c r="C1366">
        <v>4.45</v>
      </c>
      <c r="D1366">
        <f>WEEKDAY(A1366,14)</f>
        <v>2</v>
      </c>
      <c r="E1366">
        <f t="shared" si="84"/>
        <v>0</v>
      </c>
      <c r="F1366">
        <f t="shared" si="85"/>
        <v>2</v>
      </c>
      <c r="G1366">
        <f>IF(F1366&gt;F1365,G1365+B1366*E1366,B1366*E1366)</f>
        <v>0</v>
      </c>
      <c r="H1366">
        <f t="shared" si="86"/>
        <v>0</v>
      </c>
      <c r="I1366">
        <f t="shared" si="87"/>
        <v>0</v>
      </c>
      <c r="J1366">
        <f>IF(I1365=0,0,C1365-I1365)</f>
        <v>0</v>
      </c>
    </row>
    <row r="1367" spans="1:10" x14ac:dyDescent="0.25">
      <c r="A1367" s="1">
        <v>40714</v>
      </c>
      <c r="B1367">
        <v>3.92605</v>
      </c>
      <c r="C1367">
        <v>4.45</v>
      </c>
      <c r="D1367">
        <f>WEEKDAY(A1367,14)</f>
        <v>5</v>
      </c>
      <c r="E1367">
        <f t="shared" si="84"/>
        <v>0.05</v>
      </c>
      <c r="F1367">
        <f t="shared" si="85"/>
        <v>3</v>
      </c>
      <c r="G1367">
        <f>IF(F1367&gt;F1366,G1366+B1367*E1367,B1367*E1367)</f>
        <v>0.19630250000000002</v>
      </c>
      <c r="H1367">
        <f t="shared" si="86"/>
        <v>0.05</v>
      </c>
      <c r="I1367">
        <f t="shared" si="87"/>
        <v>0</v>
      </c>
      <c r="J1367">
        <f>IF(I1366=0,0,C1366-I1366)</f>
        <v>0</v>
      </c>
    </row>
    <row r="1368" spans="1:10" x14ac:dyDescent="0.25">
      <c r="A1368" s="1">
        <v>40715</v>
      </c>
      <c r="B1368">
        <v>3.9333499999999999</v>
      </c>
      <c r="C1368">
        <v>4.45</v>
      </c>
      <c r="D1368">
        <f>WEEKDAY(A1368,14)</f>
        <v>6</v>
      </c>
      <c r="E1368">
        <f t="shared" si="84"/>
        <v>0.7</v>
      </c>
      <c r="F1368">
        <f t="shared" si="85"/>
        <v>4</v>
      </c>
      <c r="G1368">
        <f>IF(F1368&gt;F1367,G1367+B1368*E1368,B1368*E1368)</f>
        <v>2.9496474999999998</v>
      </c>
      <c r="H1368">
        <f t="shared" si="86"/>
        <v>0.75</v>
      </c>
      <c r="I1368">
        <f t="shared" si="87"/>
        <v>0</v>
      </c>
      <c r="J1368">
        <f>IF(I1367=0,0,C1367-I1367)</f>
        <v>0</v>
      </c>
    </row>
    <row r="1369" spans="1:10" x14ac:dyDescent="0.25">
      <c r="A1369" s="1">
        <v>40716</v>
      </c>
      <c r="B1369">
        <v>3.91031</v>
      </c>
      <c r="C1369">
        <v>4.45</v>
      </c>
      <c r="D1369">
        <f>WEEKDAY(A1369,14)</f>
        <v>7</v>
      </c>
      <c r="E1369">
        <f t="shared" si="84"/>
        <v>0.25</v>
      </c>
      <c r="F1369">
        <f t="shared" si="85"/>
        <v>5</v>
      </c>
      <c r="G1369">
        <f>IF(F1369&gt;F1368,G1368+B1369*E1369,B1369*E1369)</f>
        <v>3.927225</v>
      </c>
      <c r="H1369">
        <f t="shared" si="86"/>
        <v>1</v>
      </c>
      <c r="I1369">
        <f t="shared" si="87"/>
        <v>3.927225</v>
      </c>
      <c r="J1369">
        <f>IF(I1368=0,0,C1368-I1368)</f>
        <v>0</v>
      </c>
    </row>
    <row r="1370" spans="1:10" x14ac:dyDescent="0.25">
      <c r="A1370" s="1">
        <v>40717</v>
      </c>
      <c r="B1370">
        <v>3.84233</v>
      </c>
      <c r="C1370">
        <v>4.4349999999999996</v>
      </c>
      <c r="D1370">
        <f>WEEKDAY(A1370,14)</f>
        <v>1</v>
      </c>
      <c r="E1370">
        <f t="shared" si="84"/>
        <v>0</v>
      </c>
      <c r="F1370">
        <f t="shared" si="85"/>
        <v>1</v>
      </c>
      <c r="G1370">
        <f>IF(F1370&gt;F1369,G1369+B1370*E1370,B1370*E1370)</f>
        <v>0</v>
      </c>
      <c r="H1370">
        <f t="shared" si="86"/>
        <v>0</v>
      </c>
      <c r="I1370">
        <f t="shared" si="87"/>
        <v>0</v>
      </c>
      <c r="J1370">
        <f>IF(I1369=0,0,C1369-I1369)</f>
        <v>0.52277500000000021</v>
      </c>
    </row>
    <row r="1371" spans="1:10" x14ac:dyDescent="0.25">
      <c r="A1371" s="1">
        <v>40718</v>
      </c>
      <c r="B1371">
        <v>3.84131</v>
      </c>
      <c r="C1371">
        <v>4.4349999999999996</v>
      </c>
      <c r="D1371">
        <f>WEEKDAY(A1371,14)</f>
        <v>2</v>
      </c>
      <c r="E1371">
        <f t="shared" si="84"/>
        <v>0</v>
      </c>
      <c r="F1371">
        <f t="shared" si="85"/>
        <v>2</v>
      </c>
      <c r="G1371">
        <f>IF(F1371&gt;F1370,G1370+B1371*E1371,B1371*E1371)</f>
        <v>0</v>
      </c>
      <c r="H1371">
        <f t="shared" si="86"/>
        <v>0</v>
      </c>
      <c r="I1371">
        <f t="shared" si="87"/>
        <v>0</v>
      </c>
      <c r="J1371">
        <f>IF(I1370=0,0,C1370-I1370)</f>
        <v>0</v>
      </c>
    </row>
    <row r="1372" spans="1:10" x14ac:dyDescent="0.25">
      <c r="A1372" s="1">
        <v>40721</v>
      </c>
      <c r="B1372">
        <v>3.8851499999999999</v>
      </c>
      <c r="C1372">
        <v>4.4349999999999996</v>
      </c>
      <c r="D1372">
        <f>WEEKDAY(A1372,14)</f>
        <v>5</v>
      </c>
      <c r="E1372">
        <f t="shared" si="84"/>
        <v>0.05</v>
      </c>
      <c r="F1372">
        <f t="shared" si="85"/>
        <v>3</v>
      </c>
      <c r="G1372">
        <f>IF(F1372&gt;F1371,G1371+B1372*E1372,B1372*E1372)</f>
        <v>0.1942575</v>
      </c>
      <c r="H1372">
        <f t="shared" si="86"/>
        <v>0.05</v>
      </c>
      <c r="I1372">
        <f t="shared" si="87"/>
        <v>0</v>
      </c>
      <c r="J1372">
        <f>IF(I1371=0,0,C1371-I1371)</f>
        <v>0</v>
      </c>
    </row>
    <row r="1373" spans="1:10" x14ac:dyDescent="0.25">
      <c r="A1373" s="1">
        <v>40722</v>
      </c>
      <c r="B1373">
        <v>3.9645899999999998</v>
      </c>
      <c r="C1373">
        <v>4.4349999999999996</v>
      </c>
      <c r="D1373">
        <f>WEEKDAY(A1373,14)</f>
        <v>6</v>
      </c>
      <c r="E1373">
        <f t="shared" si="84"/>
        <v>0.7</v>
      </c>
      <c r="F1373">
        <f t="shared" si="85"/>
        <v>4</v>
      </c>
      <c r="G1373">
        <f>IF(F1373&gt;F1372,G1372+B1373*E1373,B1373*E1373)</f>
        <v>2.9694704999999999</v>
      </c>
      <c r="H1373">
        <f t="shared" si="86"/>
        <v>0.75</v>
      </c>
      <c r="I1373">
        <f t="shared" si="87"/>
        <v>0</v>
      </c>
      <c r="J1373">
        <f>IF(I1372=0,0,C1372-I1372)</f>
        <v>0</v>
      </c>
    </row>
    <row r="1374" spans="1:10" x14ac:dyDescent="0.25">
      <c r="A1374" s="1">
        <v>40723</v>
      </c>
      <c r="B1374">
        <v>3.9900699999999998</v>
      </c>
      <c r="C1374">
        <v>4.4349999999999996</v>
      </c>
      <c r="D1374">
        <f>WEEKDAY(A1374,14)</f>
        <v>7</v>
      </c>
      <c r="E1374">
        <f t="shared" si="84"/>
        <v>0.25</v>
      </c>
      <c r="F1374">
        <f t="shared" si="85"/>
        <v>5</v>
      </c>
      <c r="G1374">
        <f>IF(F1374&gt;F1373,G1373+B1374*E1374,B1374*E1374)</f>
        <v>3.9669879999999997</v>
      </c>
      <c r="H1374">
        <f t="shared" si="86"/>
        <v>1</v>
      </c>
      <c r="I1374">
        <f t="shared" si="87"/>
        <v>3.9669879999999997</v>
      </c>
      <c r="J1374">
        <f>IF(I1373=0,0,C1373-I1373)</f>
        <v>0</v>
      </c>
    </row>
    <row r="1375" spans="1:10" x14ac:dyDescent="0.25">
      <c r="A1375" s="1">
        <v>40724</v>
      </c>
      <c r="B1375">
        <v>4.02102</v>
      </c>
      <c r="C1375">
        <v>4.5250000000000004</v>
      </c>
      <c r="D1375">
        <f>WEEKDAY(A1375,14)</f>
        <v>1</v>
      </c>
      <c r="E1375">
        <f t="shared" si="84"/>
        <v>0</v>
      </c>
      <c r="F1375">
        <f t="shared" si="85"/>
        <v>1</v>
      </c>
      <c r="G1375">
        <f>IF(F1375&gt;F1374,G1374+B1375*E1375,B1375*E1375)</f>
        <v>0</v>
      </c>
      <c r="H1375">
        <f t="shared" si="86"/>
        <v>0</v>
      </c>
      <c r="I1375">
        <f t="shared" si="87"/>
        <v>0</v>
      </c>
      <c r="J1375">
        <f>IF(I1374=0,0,C1374-I1374)</f>
        <v>0.46801199999999987</v>
      </c>
    </row>
    <row r="1376" spans="1:10" x14ac:dyDescent="0.25">
      <c r="A1376" s="1">
        <v>40725</v>
      </c>
      <c r="B1376">
        <v>4.0494899999999996</v>
      </c>
      <c r="C1376">
        <v>4.5250000000000004</v>
      </c>
      <c r="D1376">
        <f>WEEKDAY(A1376,14)</f>
        <v>2</v>
      </c>
      <c r="E1376">
        <f t="shared" si="84"/>
        <v>0</v>
      </c>
      <c r="F1376">
        <f t="shared" si="85"/>
        <v>2</v>
      </c>
      <c r="G1376">
        <f>IF(F1376&gt;F1375,G1375+B1376*E1376,B1376*E1376)</f>
        <v>0</v>
      </c>
      <c r="H1376">
        <f t="shared" si="86"/>
        <v>0</v>
      </c>
      <c r="I1376">
        <f t="shared" si="87"/>
        <v>0</v>
      </c>
      <c r="J1376">
        <f>IF(I1375=0,0,C1375-I1375)</f>
        <v>0</v>
      </c>
    </row>
    <row r="1377" spans="1:10" x14ac:dyDescent="0.25">
      <c r="A1377" s="1">
        <v>40729</v>
      </c>
      <c r="B1377">
        <v>4.0109300000000001</v>
      </c>
      <c r="C1377">
        <v>4.5250000000000004</v>
      </c>
      <c r="D1377">
        <f>WEEKDAY(A1377,14)</f>
        <v>6</v>
      </c>
      <c r="E1377">
        <f t="shared" si="84"/>
        <v>0.7</v>
      </c>
      <c r="F1377">
        <f t="shared" si="85"/>
        <v>3</v>
      </c>
      <c r="G1377">
        <f>IF(F1377&gt;F1376,G1376+B1377*E1377,B1377*E1377)</f>
        <v>2.8076509999999999</v>
      </c>
      <c r="H1377">
        <f t="shared" si="86"/>
        <v>0.7</v>
      </c>
      <c r="I1377">
        <f t="shared" si="87"/>
        <v>0</v>
      </c>
      <c r="J1377">
        <f>IF(I1376=0,0,C1376-I1376)</f>
        <v>0</v>
      </c>
    </row>
    <row r="1378" spans="1:10" x14ac:dyDescent="0.25">
      <c r="A1378" s="1">
        <v>40730</v>
      </c>
      <c r="B1378">
        <v>4.00075</v>
      </c>
      <c r="C1378">
        <v>4.5250000000000004</v>
      </c>
      <c r="D1378">
        <f>WEEKDAY(A1378,14)</f>
        <v>7</v>
      </c>
      <c r="E1378">
        <f t="shared" si="84"/>
        <v>0.25</v>
      </c>
      <c r="F1378">
        <f t="shared" si="85"/>
        <v>4</v>
      </c>
      <c r="G1378">
        <f>IF(F1378&gt;F1377,G1377+B1378*E1378,B1378*E1378)</f>
        <v>3.8078384999999999</v>
      </c>
      <c r="H1378">
        <f t="shared" si="86"/>
        <v>0.95</v>
      </c>
      <c r="I1378">
        <f t="shared" si="87"/>
        <v>4.0082510526315787</v>
      </c>
      <c r="J1378">
        <f>IF(I1377=0,0,C1377-I1377)</f>
        <v>0</v>
      </c>
    </row>
    <row r="1379" spans="1:10" x14ac:dyDescent="0.25">
      <c r="A1379" s="1">
        <v>40731</v>
      </c>
      <c r="B1379">
        <v>4.0552999999999999</v>
      </c>
      <c r="C1379">
        <v>4.4349999999999996</v>
      </c>
      <c r="D1379">
        <f>WEEKDAY(A1379,14)</f>
        <v>1</v>
      </c>
      <c r="E1379">
        <f t="shared" si="84"/>
        <v>0</v>
      </c>
      <c r="F1379">
        <f t="shared" si="85"/>
        <v>1</v>
      </c>
      <c r="G1379">
        <f>IF(F1379&gt;F1378,G1378+B1379*E1379,B1379*E1379)</f>
        <v>0</v>
      </c>
      <c r="H1379">
        <f t="shared" si="86"/>
        <v>0</v>
      </c>
      <c r="I1379">
        <f t="shared" si="87"/>
        <v>0</v>
      </c>
      <c r="J1379">
        <f>IF(I1378=0,0,C1378-I1378)</f>
        <v>0.5167489473684217</v>
      </c>
    </row>
    <row r="1380" spans="1:10" x14ac:dyDescent="0.25">
      <c r="A1380" s="1">
        <v>40732</v>
      </c>
      <c r="B1380">
        <v>3.9560399999999998</v>
      </c>
      <c r="C1380">
        <v>4.4349999999999996</v>
      </c>
      <c r="D1380">
        <f>WEEKDAY(A1380,14)</f>
        <v>2</v>
      </c>
      <c r="E1380">
        <f t="shared" si="84"/>
        <v>0</v>
      </c>
      <c r="F1380">
        <f t="shared" si="85"/>
        <v>2</v>
      </c>
      <c r="G1380">
        <f>IF(F1380&gt;F1379,G1379+B1380*E1380,B1380*E1380)</f>
        <v>0</v>
      </c>
      <c r="H1380">
        <f t="shared" si="86"/>
        <v>0</v>
      </c>
      <c r="I1380">
        <f t="shared" si="87"/>
        <v>0</v>
      </c>
      <c r="J1380">
        <f>IF(I1379=0,0,C1379-I1379)</f>
        <v>0</v>
      </c>
    </row>
    <row r="1381" spans="1:10" x14ac:dyDescent="0.25">
      <c r="A1381" s="1">
        <v>40735</v>
      </c>
      <c r="B1381">
        <v>3.91248</v>
      </c>
      <c r="C1381">
        <v>4.4349999999999996</v>
      </c>
      <c r="D1381">
        <f>WEEKDAY(A1381,14)</f>
        <v>5</v>
      </c>
      <c r="E1381">
        <f t="shared" si="84"/>
        <v>0.05</v>
      </c>
      <c r="F1381">
        <f t="shared" si="85"/>
        <v>3</v>
      </c>
      <c r="G1381">
        <f>IF(F1381&gt;F1380,G1380+B1381*E1381,B1381*E1381)</f>
        <v>0.19562400000000002</v>
      </c>
      <c r="H1381">
        <f t="shared" si="86"/>
        <v>0.05</v>
      </c>
      <c r="I1381">
        <f t="shared" si="87"/>
        <v>0</v>
      </c>
      <c r="J1381">
        <f>IF(I1380=0,0,C1380-I1380)</f>
        <v>0</v>
      </c>
    </row>
    <row r="1382" spans="1:10" x14ac:dyDescent="0.25">
      <c r="A1382" s="1">
        <v>40736</v>
      </c>
      <c r="B1382">
        <v>3.89941</v>
      </c>
      <c r="C1382">
        <v>4.4349999999999996</v>
      </c>
      <c r="D1382">
        <f>WEEKDAY(A1382,14)</f>
        <v>6</v>
      </c>
      <c r="E1382">
        <f t="shared" si="84"/>
        <v>0.7</v>
      </c>
      <c r="F1382">
        <f t="shared" si="85"/>
        <v>4</v>
      </c>
      <c r="G1382">
        <f>IF(F1382&gt;F1381,G1381+B1382*E1382,B1382*E1382)</f>
        <v>2.925211</v>
      </c>
      <c r="H1382">
        <f t="shared" si="86"/>
        <v>0.75</v>
      </c>
      <c r="I1382">
        <f t="shared" si="87"/>
        <v>0</v>
      </c>
      <c r="J1382">
        <f>IF(I1381=0,0,C1381-I1381)</f>
        <v>0</v>
      </c>
    </row>
    <row r="1383" spans="1:10" x14ac:dyDescent="0.25">
      <c r="A1383" s="1">
        <v>40737</v>
      </c>
      <c r="B1383">
        <v>3.8643200000000002</v>
      </c>
      <c r="C1383">
        <v>4.4349999999999996</v>
      </c>
      <c r="D1383">
        <f>WEEKDAY(A1383,14)</f>
        <v>7</v>
      </c>
      <c r="E1383">
        <f t="shared" si="84"/>
        <v>0.25</v>
      </c>
      <c r="F1383">
        <f t="shared" si="85"/>
        <v>5</v>
      </c>
      <c r="G1383">
        <f>IF(F1383&gt;F1382,G1382+B1383*E1383,B1383*E1383)</f>
        <v>3.8912909999999998</v>
      </c>
      <c r="H1383">
        <f t="shared" si="86"/>
        <v>1</v>
      </c>
      <c r="I1383">
        <f t="shared" si="87"/>
        <v>3.8912909999999998</v>
      </c>
      <c r="J1383">
        <f>IF(I1382=0,0,C1382-I1382)</f>
        <v>0</v>
      </c>
    </row>
    <row r="1384" spans="1:10" x14ac:dyDescent="0.25">
      <c r="A1384" s="1">
        <v>40738</v>
      </c>
      <c r="B1384">
        <v>3.8985400000000001</v>
      </c>
      <c r="C1384">
        <v>4.4450000000000003</v>
      </c>
      <c r="D1384">
        <f>WEEKDAY(A1384,14)</f>
        <v>1</v>
      </c>
      <c r="E1384">
        <f t="shared" si="84"/>
        <v>0</v>
      </c>
      <c r="F1384">
        <f t="shared" si="85"/>
        <v>1</v>
      </c>
      <c r="G1384">
        <f>IF(F1384&gt;F1383,G1383+B1384*E1384,B1384*E1384)</f>
        <v>0</v>
      </c>
      <c r="H1384">
        <f t="shared" si="86"/>
        <v>0</v>
      </c>
      <c r="I1384">
        <f t="shared" si="87"/>
        <v>0</v>
      </c>
      <c r="J1384">
        <f>IF(I1383=0,0,C1383-I1383)</f>
        <v>0.54370899999999978</v>
      </c>
    </row>
    <row r="1385" spans="1:10" x14ac:dyDescent="0.25">
      <c r="A1385" s="1">
        <v>40739</v>
      </c>
      <c r="B1385">
        <v>3.88293</v>
      </c>
      <c r="C1385">
        <v>4.4450000000000003</v>
      </c>
      <c r="D1385">
        <f>WEEKDAY(A1385,14)</f>
        <v>2</v>
      </c>
      <c r="E1385">
        <f t="shared" si="84"/>
        <v>0</v>
      </c>
      <c r="F1385">
        <f t="shared" si="85"/>
        <v>2</v>
      </c>
      <c r="G1385">
        <f>IF(F1385&gt;F1384,G1384+B1385*E1385,B1385*E1385)</f>
        <v>0</v>
      </c>
      <c r="H1385">
        <f t="shared" si="86"/>
        <v>0</v>
      </c>
      <c r="I1385">
        <f t="shared" si="87"/>
        <v>0</v>
      </c>
      <c r="J1385">
        <f>IF(I1384=0,0,C1384-I1384)</f>
        <v>0</v>
      </c>
    </row>
    <row r="1386" spans="1:10" x14ac:dyDescent="0.25">
      <c r="A1386" s="1">
        <v>40742</v>
      </c>
      <c r="B1386">
        <v>3.91431</v>
      </c>
      <c r="C1386">
        <v>4.4450000000000003</v>
      </c>
      <c r="D1386">
        <f>WEEKDAY(A1386,14)</f>
        <v>5</v>
      </c>
      <c r="E1386">
        <f t="shared" si="84"/>
        <v>0.05</v>
      </c>
      <c r="F1386">
        <f t="shared" si="85"/>
        <v>3</v>
      </c>
      <c r="G1386">
        <f>IF(F1386&gt;F1385,G1385+B1386*E1386,B1386*E1386)</f>
        <v>0.19571550000000001</v>
      </c>
      <c r="H1386">
        <f t="shared" si="86"/>
        <v>0.05</v>
      </c>
      <c r="I1386">
        <f t="shared" si="87"/>
        <v>0</v>
      </c>
      <c r="J1386">
        <f>IF(I1385=0,0,C1385-I1385)</f>
        <v>0</v>
      </c>
    </row>
    <row r="1387" spans="1:10" x14ac:dyDescent="0.25">
      <c r="A1387" s="1">
        <v>40743</v>
      </c>
      <c r="B1387">
        <v>3.9028999999999998</v>
      </c>
      <c r="C1387">
        <v>4.4450000000000003</v>
      </c>
      <c r="D1387">
        <f>WEEKDAY(A1387,14)</f>
        <v>6</v>
      </c>
      <c r="E1387">
        <f t="shared" si="84"/>
        <v>0.7</v>
      </c>
      <c r="F1387">
        <f t="shared" si="85"/>
        <v>4</v>
      </c>
      <c r="G1387">
        <f>IF(F1387&gt;F1386,G1386+B1387*E1387,B1387*E1387)</f>
        <v>2.9277454999999994</v>
      </c>
      <c r="H1387">
        <f t="shared" si="86"/>
        <v>0.75</v>
      </c>
      <c r="I1387">
        <f t="shared" si="87"/>
        <v>0</v>
      </c>
      <c r="J1387">
        <f>IF(I1386=0,0,C1386-I1386)</f>
        <v>0</v>
      </c>
    </row>
    <row r="1388" spans="1:10" x14ac:dyDescent="0.25">
      <c r="A1388" s="1">
        <v>40744</v>
      </c>
      <c r="B1388">
        <v>3.91472</v>
      </c>
      <c r="C1388">
        <v>4.4450000000000003</v>
      </c>
      <c r="D1388">
        <f>WEEKDAY(A1388,14)</f>
        <v>7</v>
      </c>
      <c r="E1388">
        <f t="shared" si="84"/>
        <v>0.25</v>
      </c>
      <c r="F1388">
        <f t="shared" si="85"/>
        <v>5</v>
      </c>
      <c r="G1388">
        <f>IF(F1388&gt;F1387,G1387+B1388*E1388,B1388*E1388)</f>
        <v>3.9064254999999992</v>
      </c>
      <c r="H1388">
        <f t="shared" si="86"/>
        <v>1</v>
      </c>
      <c r="I1388">
        <f t="shared" si="87"/>
        <v>3.9064254999999992</v>
      </c>
      <c r="J1388">
        <f>IF(I1387=0,0,C1387-I1387)</f>
        <v>0</v>
      </c>
    </row>
    <row r="1389" spans="1:10" x14ac:dyDescent="0.25">
      <c r="A1389" s="1">
        <v>40745</v>
      </c>
      <c r="B1389">
        <v>3.9504299999999999</v>
      </c>
      <c r="C1389">
        <v>4.5</v>
      </c>
      <c r="D1389">
        <f>WEEKDAY(A1389,14)</f>
        <v>1</v>
      </c>
      <c r="E1389">
        <f t="shared" si="84"/>
        <v>0</v>
      </c>
      <c r="F1389">
        <f t="shared" si="85"/>
        <v>1</v>
      </c>
      <c r="G1389">
        <f>IF(F1389&gt;F1388,G1388+B1389*E1389,B1389*E1389)</f>
        <v>0</v>
      </c>
      <c r="H1389">
        <f t="shared" si="86"/>
        <v>0</v>
      </c>
      <c r="I1389">
        <f t="shared" si="87"/>
        <v>0</v>
      </c>
      <c r="J1389">
        <f>IF(I1388=0,0,C1388-I1388)</f>
        <v>0.53857450000000107</v>
      </c>
    </row>
    <row r="1390" spans="1:10" x14ac:dyDescent="0.25">
      <c r="A1390" s="1">
        <v>40746</v>
      </c>
      <c r="B1390">
        <v>3.9256600000000001</v>
      </c>
      <c r="C1390">
        <v>4.5</v>
      </c>
      <c r="D1390">
        <f>WEEKDAY(A1390,14)</f>
        <v>2</v>
      </c>
      <c r="E1390">
        <f t="shared" si="84"/>
        <v>0</v>
      </c>
      <c r="F1390">
        <f t="shared" si="85"/>
        <v>2</v>
      </c>
      <c r="G1390">
        <f>IF(F1390&gt;F1389,G1389+B1390*E1390,B1390*E1390)</f>
        <v>0</v>
      </c>
      <c r="H1390">
        <f t="shared" si="86"/>
        <v>0</v>
      </c>
      <c r="I1390">
        <f t="shared" si="87"/>
        <v>0</v>
      </c>
      <c r="J1390">
        <f>IF(I1389=0,0,C1389-I1389)</f>
        <v>0</v>
      </c>
    </row>
    <row r="1391" spans="1:10" x14ac:dyDescent="0.25">
      <c r="A1391" s="1">
        <v>40749</v>
      </c>
      <c r="B1391">
        <v>3.9604699999999999</v>
      </c>
      <c r="C1391">
        <v>4.5</v>
      </c>
      <c r="D1391">
        <f>WEEKDAY(A1391,14)</f>
        <v>5</v>
      </c>
      <c r="E1391">
        <f t="shared" si="84"/>
        <v>0.05</v>
      </c>
      <c r="F1391">
        <f t="shared" si="85"/>
        <v>3</v>
      </c>
      <c r="G1391">
        <f>IF(F1391&gt;F1390,G1390+B1391*E1391,B1391*E1391)</f>
        <v>0.19802350000000002</v>
      </c>
      <c r="H1391">
        <f t="shared" si="86"/>
        <v>0.05</v>
      </c>
      <c r="I1391">
        <f t="shared" si="87"/>
        <v>0</v>
      </c>
      <c r="J1391">
        <f>IF(I1390=0,0,C1390-I1390)</f>
        <v>0</v>
      </c>
    </row>
    <row r="1392" spans="1:10" x14ac:dyDescent="0.25">
      <c r="A1392" s="1">
        <v>40750</v>
      </c>
      <c r="B1392">
        <v>3.9318</v>
      </c>
      <c r="C1392">
        <v>4.5</v>
      </c>
      <c r="D1392">
        <f>WEEKDAY(A1392,14)</f>
        <v>6</v>
      </c>
      <c r="E1392">
        <f t="shared" si="84"/>
        <v>0.7</v>
      </c>
      <c r="F1392">
        <f t="shared" si="85"/>
        <v>4</v>
      </c>
      <c r="G1392">
        <f>IF(F1392&gt;F1391,G1391+B1392*E1392,B1392*E1392)</f>
        <v>2.9502834999999998</v>
      </c>
      <c r="H1392">
        <f t="shared" si="86"/>
        <v>0.75</v>
      </c>
      <c r="I1392">
        <f t="shared" si="87"/>
        <v>0</v>
      </c>
      <c r="J1392">
        <f>IF(I1391=0,0,C1391-I1391)</f>
        <v>0</v>
      </c>
    </row>
    <row r="1393" spans="1:10" x14ac:dyDescent="0.25">
      <c r="A1393" s="1">
        <v>40751</v>
      </c>
      <c r="B1393">
        <v>3.97403</v>
      </c>
      <c r="C1393">
        <v>4.5</v>
      </c>
      <c r="D1393">
        <f>WEEKDAY(A1393,14)</f>
        <v>7</v>
      </c>
      <c r="E1393">
        <f t="shared" si="84"/>
        <v>0.25</v>
      </c>
      <c r="F1393">
        <f t="shared" si="85"/>
        <v>5</v>
      </c>
      <c r="G1393">
        <f>IF(F1393&gt;F1392,G1392+B1393*E1393,B1393*E1393)</f>
        <v>3.943791</v>
      </c>
      <c r="H1393">
        <f t="shared" si="86"/>
        <v>1</v>
      </c>
      <c r="I1393">
        <f t="shared" si="87"/>
        <v>3.943791</v>
      </c>
      <c r="J1393">
        <f>IF(I1392=0,0,C1392-I1392)</f>
        <v>0</v>
      </c>
    </row>
    <row r="1394" spans="1:10" x14ac:dyDescent="0.25">
      <c r="A1394" s="1">
        <v>40752</v>
      </c>
      <c r="B1394">
        <v>3.9324300000000001</v>
      </c>
      <c r="C1394">
        <v>4.34</v>
      </c>
      <c r="D1394">
        <f>WEEKDAY(A1394,14)</f>
        <v>1</v>
      </c>
      <c r="E1394">
        <f t="shared" si="84"/>
        <v>0</v>
      </c>
      <c r="F1394">
        <f t="shared" si="85"/>
        <v>1</v>
      </c>
      <c r="G1394">
        <f>IF(F1394&gt;F1393,G1393+B1394*E1394,B1394*E1394)</f>
        <v>0</v>
      </c>
      <c r="H1394">
        <f t="shared" si="86"/>
        <v>0</v>
      </c>
      <c r="I1394">
        <f t="shared" si="87"/>
        <v>0</v>
      </c>
      <c r="J1394">
        <f>IF(I1393=0,0,C1393-I1393)</f>
        <v>0.55620899999999995</v>
      </c>
    </row>
    <row r="1395" spans="1:10" x14ac:dyDescent="0.25">
      <c r="A1395" s="1">
        <v>40753</v>
      </c>
      <c r="B1395">
        <v>3.8088199999999999</v>
      </c>
      <c r="C1395">
        <v>4.34</v>
      </c>
      <c r="D1395">
        <f>WEEKDAY(A1395,14)</f>
        <v>2</v>
      </c>
      <c r="E1395">
        <f t="shared" si="84"/>
        <v>0</v>
      </c>
      <c r="F1395">
        <f t="shared" si="85"/>
        <v>2</v>
      </c>
      <c r="G1395">
        <f>IF(F1395&gt;F1394,G1394+B1395*E1395,B1395*E1395)</f>
        <v>0</v>
      </c>
      <c r="H1395">
        <f t="shared" si="86"/>
        <v>0</v>
      </c>
      <c r="I1395">
        <f t="shared" si="87"/>
        <v>0</v>
      </c>
      <c r="J1395">
        <f>IF(I1394=0,0,C1394-I1394)</f>
        <v>0</v>
      </c>
    </row>
    <row r="1396" spans="1:10" x14ac:dyDescent="0.25">
      <c r="A1396" s="1">
        <v>40756</v>
      </c>
      <c r="B1396">
        <v>3.7644700000000002</v>
      </c>
      <c r="C1396">
        <v>4.34</v>
      </c>
      <c r="D1396">
        <f>WEEKDAY(A1396,14)</f>
        <v>5</v>
      </c>
      <c r="E1396">
        <f t="shared" si="84"/>
        <v>0.05</v>
      </c>
      <c r="F1396">
        <f t="shared" si="85"/>
        <v>3</v>
      </c>
      <c r="G1396">
        <f>IF(F1396&gt;F1395,G1395+B1396*E1396,B1396*E1396)</f>
        <v>0.18822350000000002</v>
      </c>
      <c r="H1396">
        <f t="shared" si="86"/>
        <v>0.05</v>
      </c>
      <c r="I1396">
        <f t="shared" si="87"/>
        <v>0</v>
      </c>
      <c r="J1396">
        <f>IF(I1395=0,0,C1395-I1395)</f>
        <v>0</v>
      </c>
    </row>
    <row r="1397" spans="1:10" x14ac:dyDescent="0.25">
      <c r="A1397" s="1">
        <v>40757</v>
      </c>
      <c r="B1397">
        <v>3.6570900000000002</v>
      </c>
      <c r="C1397">
        <v>4.34</v>
      </c>
      <c r="D1397">
        <f>WEEKDAY(A1397,14)</f>
        <v>6</v>
      </c>
      <c r="E1397">
        <f t="shared" si="84"/>
        <v>0.7</v>
      </c>
      <c r="F1397">
        <f t="shared" si="85"/>
        <v>4</v>
      </c>
      <c r="G1397">
        <f>IF(F1397&gt;F1396,G1396+B1397*E1397,B1397*E1397)</f>
        <v>2.7481864999999996</v>
      </c>
      <c r="H1397">
        <f t="shared" si="86"/>
        <v>0.75</v>
      </c>
      <c r="I1397">
        <f t="shared" si="87"/>
        <v>0</v>
      </c>
      <c r="J1397">
        <f>IF(I1396=0,0,C1396-I1396)</f>
        <v>0</v>
      </c>
    </row>
    <row r="1398" spans="1:10" x14ac:dyDescent="0.25">
      <c r="A1398" s="1">
        <v>40758</v>
      </c>
      <c r="B1398">
        <v>3.6149900000000001</v>
      </c>
      <c r="C1398">
        <v>4.34</v>
      </c>
      <c r="D1398">
        <f>WEEKDAY(A1398,14)</f>
        <v>7</v>
      </c>
      <c r="E1398">
        <f t="shared" si="84"/>
        <v>0.25</v>
      </c>
      <c r="F1398">
        <f t="shared" si="85"/>
        <v>5</v>
      </c>
      <c r="G1398">
        <f>IF(F1398&gt;F1397,G1397+B1398*E1398,B1398*E1398)</f>
        <v>3.6519339999999998</v>
      </c>
      <c r="H1398">
        <f t="shared" si="86"/>
        <v>1</v>
      </c>
      <c r="I1398">
        <f t="shared" si="87"/>
        <v>3.6519339999999998</v>
      </c>
      <c r="J1398">
        <f>IF(I1397=0,0,C1397-I1397)</f>
        <v>0</v>
      </c>
    </row>
    <row r="1399" spans="1:10" x14ac:dyDescent="0.25">
      <c r="A1399" s="1">
        <v>40759</v>
      </c>
      <c r="B1399">
        <v>3.4866000000000001</v>
      </c>
      <c r="C1399">
        <v>4.2450000000000001</v>
      </c>
      <c r="D1399">
        <f>WEEKDAY(A1399,14)</f>
        <v>1</v>
      </c>
      <c r="E1399">
        <f t="shared" si="84"/>
        <v>0</v>
      </c>
      <c r="F1399">
        <f t="shared" si="85"/>
        <v>1</v>
      </c>
      <c r="G1399">
        <f>IF(F1399&gt;F1398,G1398+B1399*E1399,B1399*E1399)</f>
        <v>0</v>
      </c>
      <c r="H1399">
        <f t="shared" si="86"/>
        <v>0</v>
      </c>
      <c r="I1399">
        <f t="shared" si="87"/>
        <v>0</v>
      </c>
      <c r="J1399">
        <f>IF(I1398=0,0,C1398-I1398)</f>
        <v>0.68806600000000007</v>
      </c>
    </row>
    <row r="1400" spans="1:10" x14ac:dyDescent="0.25">
      <c r="A1400" s="1">
        <v>40760</v>
      </c>
      <c r="B1400">
        <v>3.6494399999999998</v>
      </c>
      <c r="C1400">
        <v>4.2450000000000001</v>
      </c>
      <c r="D1400">
        <f>WEEKDAY(A1400,14)</f>
        <v>2</v>
      </c>
      <c r="E1400">
        <f t="shared" si="84"/>
        <v>0</v>
      </c>
      <c r="F1400">
        <f t="shared" si="85"/>
        <v>2</v>
      </c>
      <c r="G1400">
        <f>IF(F1400&gt;F1399,G1399+B1400*E1400,B1400*E1400)</f>
        <v>0</v>
      </c>
      <c r="H1400">
        <f t="shared" si="86"/>
        <v>0</v>
      </c>
      <c r="I1400">
        <f t="shared" si="87"/>
        <v>0</v>
      </c>
      <c r="J1400">
        <f>IF(I1399=0,0,C1399-I1399)</f>
        <v>0</v>
      </c>
    </row>
    <row r="1401" spans="1:10" x14ac:dyDescent="0.25">
      <c r="A1401" s="1">
        <v>40763</v>
      </c>
      <c r="B1401">
        <v>3.5272999999999999</v>
      </c>
      <c r="C1401">
        <v>4.2450000000000001</v>
      </c>
      <c r="D1401">
        <f>WEEKDAY(A1401,14)</f>
        <v>5</v>
      </c>
      <c r="E1401">
        <f t="shared" si="84"/>
        <v>0.05</v>
      </c>
      <c r="F1401">
        <f t="shared" si="85"/>
        <v>3</v>
      </c>
      <c r="G1401">
        <f>IF(F1401&gt;F1400,G1400+B1401*E1401,B1401*E1401)</f>
        <v>0.17636499999999999</v>
      </c>
      <c r="H1401">
        <f t="shared" si="86"/>
        <v>0.05</v>
      </c>
      <c r="I1401">
        <f t="shared" si="87"/>
        <v>0</v>
      </c>
      <c r="J1401">
        <f>IF(I1400=0,0,C1400-I1400)</f>
        <v>0</v>
      </c>
    </row>
    <row r="1402" spans="1:10" x14ac:dyDescent="0.25">
      <c r="A1402" s="1">
        <v>40764</v>
      </c>
      <c r="B1402">
        <v>3.3615200000000001</v>
      </c>
      <c r="C1402">
        <v>4.2450000000000001</v>
      </c>
      <c r="D1402">
        <f>WEEKDAY(A1402,14)</f>
        <v>6</v>
      </c>
      <c r="E1402">
        <f t="shared" si="84"/>
        <v>0.7</v>
      </c>
      <c r="F1402">
        <f t="shared" si="85"/>
        <v>4</v>
      </c>
      <c r="G1402">
        <f>IF(F1402&gt;F1401,G1401+B1402*E1402,B1402*E1402)</f>
        <v>2.5294289999999999</v>
      </c>
      <c r="H1402">
        <f t="shared" si="86"/>
        <v>0.75</v>
      </c>
      <c r="I1402">
        <f t="shared" si="87"/>
        <v>0</v>
      </c>
      <c r="J1402">
        <f>IF(I1401=0,0,C1401-I1401)</f>
        <v>0</v>
      </c>
    </row>
    <row r="1403" spans="1:10" x14ac:dyDescent="0.25">
      <c r="A1403" s="1">
        <v>40765</v>
      </c>
      <c r="B1403">
        <v>3.2328100000000002</v>
      </c>
      <c r="C1403">
        <v>4.2450000000000001</v>
      </c>
      <c r="D1403">
        <f>WEEKDAY(A1403,14)</f>
        <v>7</v>
      </c>
      <c r="E1403">
        <f t="shared" si="84"/>
        <v>0.25</v>
      </c>
      <c r="F1403">
        <f t="shared" si="85"/>
        <v>5</v>
      </c>
      <c r="G1403">
        <f>IF(F1403&gt;F1402,G1402+B1403*E1403,B1403*E1403)</f>
        <v>3.3376315000000001</v>
      </c>
      <c r="H1403">
        <f t="shared" si="86"/>
        <v>1</v>
      </c>
      <c r="I1403">
        <f t="shared" si="87"/>
        <v>3.3376315000000001</v>
      </c>
      <c r="J1403">
        <f>IF(I1402=0,0,C1402-I1402)</f>
        <v>0</v>
      </c>
    </row>
    <row r="1404" spans="1:10" x14ac:dyDescent="0.25">
      <c r="A1404" s="1">
        <v>40766</v>
      </c>
      <c r="B1404">
        <v>3.3763399999999999</v>
      </c>
      <c r="C1404">
        <v>4.0750000000000002</v>
      </c>
      <c r="D1404">
        <f>WEEKDAY(A1404,14)</f>
        <v>1</v>
      </c>
      <c r="E1404">
        <f t="shared" si="84"/>
        <v>0</v>
      </c>
      <c r="F1404">
        <f t="shared" si="85"/>
        <v>1</v>
      </c>
      <c r="G1404">
        <f>IF(F1404&gt;F1403,G1403+B1404*E1404,B1404*E1404)</f>
        <v>0</v>
      </c>
      <c r="H1404">
        <f t="shared" si="86"/>
        <v>0</v>
      </c>
      <c r="I1404">
        <f t="shared" si="87"/>
        <v>0</v>
      </c>
      <c r="J1404">
        <f>IF(I1403=0,0,C1403-I1403)</f>
        <v>0.90736850000000002</v>
      </c>
    </row>
    <row r="1405" spans="1:10" x14ac:dyDescent="0.25">
      <c r="A1405" s="1">
        <v>40767</v>
      </c>
      <c r="B1405">
        <v>3.31671</v>
      </c>
      <c r="C1405">
        <v>4.0750000000000002</v>
      </c>
      <c r="D1405">
        <f>WEEKDAY(A1405,14)</f>
        <v>2</v>
      </c>
      <c r="E1405">
        <f t="shared" si="84"/>
        <v>0</v>
      </c>
      <c r="F1405">
        <f t="shared" si="85"/>
        <v>2</v>
      </c>
      <c r="G1405">
        <f>IF(F1405&gt;F1404,G1404+B1405*E1405,B1405*E1405)</f>
        <v>0</v>
      </c>
      <c r="H1405">
        <f t="shared" si="86"/>
        <v>0</v>
      </c>
      <c r="I1405">
        <f t="shared" si="87"/>
        <v>0</v>
      </c>
      <c r="J1405">
        <f>IF(I1404=0,0,C1404-I1404)</f>
        <v>0</v>
      </c>
    </row>
    <row r="1406" spans="1:10" x14ac:dyDescent="0.25">
      <c r="A1406" s="1">
        <v>40770</v>
      </c>
      <c r="B1406">
        <v>3.3816199999999998</v>
      </c>
      <c r="C1406">
        <v>4.0750000000000002</v>
      </c>
      <c r="D1406">
        <f>WEEKDAY(A1406,14)</f>
        <v>5</v>
      </c>
      <c r="E1406">
        <f t="shared" si="84"/>
        <v>0.05</v>
      </c>
      <c r="F1406">
        <f t="shared" si="85"/>
        <v>3</v>
      </c>
      <c r="G1406">
        <f>IF(F1406&gt;F1405,G1405+B1406*E1406,B1406*E1406)</f>
        <v>0.16908100000000001</v>
      </c>
      <c r="H1406">
        <f t="shared" si="86"/>
        <v>0.05</v>
      </c>
      <c r="I1406">
        <f t="shared" si="87"/>
        <v>0</v>
      </c>
      <c r="J1406">
        <f>IF(I1405=0,0,C1405-I1405)</f>
        <v>0</v>
      </c>
    </row>
    <row r="1407" spans="1:10" x14ac:dyDescent="0.25">
      <c r="A1407" s="1">
        <v>40771</v>
      </c>
      <c r="B1407">
        <v>3.31182</v>
      </c>
      <c r="C1407">
        <v>4.0750000000000002</v>
      </c>
      <c r="D1407">
        <f>WEEKDAY(A1407,14)</f>
        <v>6</v>
      </c>
      <c r="E1407">
        <f t="shared" si="84"/>
        <v>0.7</v>
      </c>
      <c r="F1407">
        <f t="shared" si="85"/>
        <v>4</v>
      </c>
      <c r="G1407">
        <f>IF(F1407&gt;F1406,G1406+B1407*E1407,B1407*E1407)</f>
        <v>2.4873549999999995</v>
      </c>
      <c r="H1407">
        <f t="shared" si="86"/>
        <v>0.75</v>
      </c>
      <c r="I1407">
        <f t="shared" si="87"/>
        <v>0</v>
      </c>
      <c r="J1407">
        <f>IF(I1406=0,0,C1406-I1406)</f>
        <v>0</v>
      </c>
    </row>
    <row r="1408" spans="1:10" x14ac:dyDescent="0.25">
      <c r="A1408" s="1">
        <v>40772</v>
      </c>
      <c r="B1408">
        <v>3.2693300000000001</v>
      </c>
      <c r="C1408">
        <v>4.0750000000000002</v>
      </c>
      <c r="D1408">
        <f>WEEKDAY(A1408,14)</f>
        <v>7</v>
      </c>
      <c r="E1408">
        <f t="shared" si="84"/>
        <v>0.25</v>
      </c>
      <c r="F1408">
        <f t="shared" si="85"/>
        <v>5</v>
      </c>
      <c r="G1408">
        <f>IF(F1408&gt;F1407,G1407+B1408*E1408,B1408*E1408)</f>
        <v>3.3046874999999996</v>
      </c>
      <c r="H1408">
        <f t="shared" si="86"/>
        <v>1</v>
      </c>
      <c r="I1408">
        <f t="shared" si="87"/>
        <v>3.3046874999999996</v>
      </c>
      <c r="J1408">
        <f>IF(I1407=0,0,C1407-I1407)</f>
        <v>0</v>
      </c>
    </row>
    <row r="1409" spans="1:10" x14ac:dyDescent="0.25">
      <c r="A1409" s="1">
        <v>40773</v>
      </c>
      <c r="B1409">
        <v>3.2492399999999999</v>
      </c>
      <c r="C1409">
        <v>4.1449999999999996</v>
      </c>
      <c r="D1409">
        <f>WEEKDAY(A1409,14)</f>
        <v>1</v>
      </c>
      <c r="E1409">
        <f t="shared" si="84"/>
        <v>0</v>
      </c>
      <c r="F1409">
        <f t="shared" si="85"/>
        <v>1</v>
      </c>
      <c r="G1409">
        <f>IF(F1409&gt;F1408,G1408+B1409*E1409,B1409*E1409)</f>
        <v>0</v>
      </c>
      <c r="H1409">
        <f t="shared" si="86"/>
        <v>0</v>
      </c>
      <c r="I1409">
        <f t="shared" si="87"/>
        <v>0</v>
      </c>
      <c r="J1409">
        <f>IF(I1408=0,0,C1408-I1408)</f>
        <v>0.77031250000000062</v>
      </c>
    </row>
    <row r="1410" spans="1:10" x14ac:dyDescent="0.25">
      <c r="A1410" s="1">
        <v>40774</v>
      </c>
      <c r="B1410">
        <v>3.2837900000000002</v>
      </c>
      <c r="C1410">
        <v>4.1449999999999996</v>
      </c>
      <c r="D1410">
        <f>WEEKDAY(A1410,14)</f>
        <v>2</v>
      </c>
      <c r="E1410">
        <f t="shared" si="84"/>
        <v>0</v>
      </c>
      <c r="F1410">
        <f t="shared" si="85"/>
        <v>2</v>
      </c>
      <c r="G1410">
        <f>IF(F1410&gt;F1409,G1409+B1410*E1410,B1410*E1410)</f>
        <v>0</v>
      </c>
      <c r="H1410">
        <f t="shared" si="86"/>
        <v>0</v>
      </c>
      <c r="I1410">
        <f t="shared" si="87"/>
        <v>0</v>
      </c>
      <c r="J1410">
        <f>IF(I1409=0,0,C1409-I1409)</f>
        <v>0</v>
      </c>
    </row>
    <row r="1411" spans="1:10" x14ac:dyDescent="0.25">
      <c r="A1411" s="1">
        <v>40777</v>
      </c>
      <c r="B1411">
        <v>3.3037899999999998</v>
      </c>
      <c r="C1411">
        <v>4.1449999999999996</v>
      </c>
      <c r="D1411">
        <f>WEEKDAY(A1411,14)</f>
        <v>5</v>
      </c>
      <c r="E1411">
        <f t="shared" ref="E1411:E1474" si="88">VLOOKUP(D1411,M$2:N$8,2,FALSE)</f>
        <v>0.05</v>
      </c>
      <c r="F1411">
        <f t="shared" ref="F1411:F1474" si="89">IF(AND(D1411&gt;D1410,F1410&lt;6),F1410+1,1)</f>
        <v>3</v>
      </c>
      <c r="G1411">
        <f>IF(F1411&gt;F1410,G1410+B1411*E1411,B1411*E1411)</f>
        <v>0.16518949999999999</v>
      </c>
      <c r="H1411">
        <f t="shared" si="86"/>
        <v>0.05</v>
      </c>
      <c r="I1411">
        <f t="shared" si="87"/>
        <v>0</v>
      </c>
      <c r="J1411">
        <f>IF(I1410=0,0,C1410-I1410)</f>
        <v>0</v>
      </c>
    </row>
    <row r="1412" spans="1:10" x14ac:dyDescent="0.25">
      <c r="A1412" s="1">
        <v>40778</v>
      </c>
      <c r="B1412">
        <v>3.3649399999999998</v>
      </c>
      <c r="C1412">
        <v>4.1449999999999996</v>
      </c>
      <c r="D1412">
        <f>WEEKDAY(A1412,14)</f>
        <v>6</v>
      </c>
      <c r="E1412">
        <f t="shared" si="88"/>
        <v>0.7</v>
      </c>
      <c r="F1412">
        <f t="shared" si="89"/>
        <v>4</v>
      </c>
      <c r="G1412">
        <f>IF(F1412&gt;F1411,G1411+B1412*E1412,B1412*E1412)</f>
        <v>2.5206474999999995</v>
      </c>
      <c r="H1412">
        <f t="shared" ref="H1412:H1475" si="90">IF(AND(F1412&lt;6,F1412&gt;F1411),E1412+H1411,E1412)</f>
        <v>0.75</v>
      </c>
      <c r="I1412">
        <f t="shared" ref="I1412:I1475" si="91">IF(F1412&gt;F1413,G1412/H1412,0)</f>
        <v>0</v>
      </c>
      <c r="J1412">
        <f>IF(I1411=0,0,C1411-I1411)</f>
        <v>0</v>
      </c>
    </row>
    <row r="1413" spans="1:10" x14ac:dyDescent="0.25">
      <c r="A1413" s="1">
        <v>40779</v>
      </c>
      <c r="B1413">
        <v>3.3081700000000001</v>
      </c>
      <c r="C1413">
        <v>4.1449999999999996</v>
      </c>
      <c r="D1413">
        <f>WEEKDAY(A1413,14)</f>
        <v>7</v>
      </c>
      <c r="E1413">
        <f t="shared" si="88"/>
        <v>0.25</v>
      </c>
      <c r="F1413">
        <f t="shared" si="89"/>
        <v>5</v>
      </c>
      <c r="G1413">
        <f>IF(F1413&gt;F1412,G1412+B1413*E1413,B1413*E1413)</f>
        <v>3.3476899999999996</v>
      </c>
      <c r="H1413">
        <f t="shared" si="90"/>
        <v>1</v>
      </c>
      <c r="I1413">
        <f t="shared" si="91"/>
        <v>3.3476899999999996</v>
      </c>
      <c r="J1413">
        <f>IF(I1412=0,0,C1412-I1412)</f>
        <v>0</v>
      </c>
    </row>
    <row r="1414" spans="1:10" x14ac:dyDescent="0.25">
      <c r="A1414" s="1">
        <v>40780</v>
      </c>
      <c r="B1414">
        <v>3.3921999999999999</v>
      </c>
      <c r="C1414">
        <v>4.1449999999999996</v>
      </c>
      <c r="D1414">
        <f>WEEKDAY(A1414,14)</f>
        <v>1</v>
      </c>
      <c r="E1414">
        <f t="shared" si="88"/>
        <v>0</v>
      </c>
      <c r="F1414">
        <f t="shared" si="89"/>
        <v>1</v>
      </c>
      <c r="G1414">
        <f>IF(F1414&gt;F1413,G1413+B1414*E1414,B1414*E1414)</f>
        <v>0</v>
      </c>
      <c r="H1414">
        <f t="shared" si="90"/>
        <v>0</v>
      </c>
      <c r="I1414">
        <f t="shared" si="91"/>
        <v>0</v>
      </c>
      <c r="J1414">
        <f>IF(I1413=0,0,C1413-I1413)</f>
        <v>0.79730999999999996</v>
      </c>
    </row>
    <row r="1415" spans="1:10" x14ac:dyDescent="0.25">
      <c r="A1415" s="1">
        <v>40781</v>
      </c>
      <c r="B1415">
        <v>3.3526899999999999</v>
      </c>
      <c r="C1415">
        <v>4.1449999999999996</v>
      </c>
      <c r="D1415">
        <f>WEEKDAY(A1415,14)</f>
        <v>2</v>
      </c>
      <c r="E1415">
        <f t="shared" si="88"/>
        <v>0</v>
      </c>
      <c r="F1415">
        <f t="shared" si="89"/>
        <v>2</v>
      </c>
      <c r="G1415">
        <f>IF(F1415&gt;F1414,G1414+B1415*E1415,B1415*E1415)</f>
        <v>0</v>
      </c>
      <c r="H1415">
        <f t="shared" si="90"/>
        <v>0</v>
      </c>
      <c r="I1415">
        <f t="shared" si="91"/>
        <v>0</v>
      </c>
      <c r="J1415">
        <f>IF(I1414=0,0,C1414-I1414)</f>
        <v>0</v>
      </c>
    </row>
    <row r="1416" spans="1:10" x14ac:dyDescent="0.25">
      <c r="A1416" s="1">
        <v>40784</v>
      </c>
      <c r="B1416">
        <v>3.44007</v>
      </c>
      <c r="C1416">
        <v>4.1449999999999996</v>
      </c>
      <c r="D1416">
        <f>WEEKDAY(A1416,14)</f>
        <v>5</v>
      </c>
      <c r="E1416">
        <f t="shared" si="88"/>
        <v>0.05</v>
      </c>
      <c r="F1416">
        <f t="shared" si="89"/>
        <v>3</v>
      </c>
      <c r="G1416">
        <f>IF(F1416&gt;F1415,G1415+B1416*E1416,B1416*E1416)</f>
        <v>0.1720035</v>
      </c>
      <c r="H1416">
        <f t="shared" si="90"/>
        <v>0.05</v>
      </c>
      <c r="I1416">
        <f t="shared" si="91"/>
        <v>0</v>
      </c>
      <c r="J1416">
        <f>IF(I1415=0,0,C1415-I1415)</f>
        <v>0</v>
      </c>
    </row>
    <row r="1417" spans="1:10" x14ac:dyDescent="0.25">
      <c r="A1417" s="1">
        <v>40785</v>
      </c>
      <c r="B1417">
        <v>3.3589000000000002</v>
      </c>
      <c r="C1417">
        <v>4.1449999999999996</v>
      </c>
      <c r="D1417">
        <f>WEEKDAY(A1417,14)</f>
        <v>6</v>
      </c>
      <c r="E1417">
        <f t="shared" si="88"/>
        <v>0.7</v>
      </c>
      <c r="F1417">
        <f t="shared" si="89"/>
        <v>4</v>
      </c>
      <c r="G1417">
        <f>IF(F1417&gt;F1416,G1416+B1417*E1417,B1417*E1417)</f>
        <v>2.5232335000000004</v>
      </c>
      <c r="H1417">
        <f t="shared" si="90"/>
        <v>0.75</v>
      </c>
      <c r="I1417">
        <f t="shared" si="91"/>
        <v>0</v>
      </c>
      <c r="J1417">
        <f>IF(I1416=0,0,C1416-I1416)</f>
        <v>0</v>
      </c>
    </row>
    <row r="1418" spans="1:10" x14ac:dyDescent="0.25">
      <c r="A1418" s="1">
        <v>40786</v>
      </c>
      <c r="B1418">
        <v>3.4273899999999999</v>
      </c>
      <c r="C1418">
        <v>4.1449999999999996</v>
      </c>
      <c r="D1418">
        <f>WEEKDAY(A1418,14)</f>
        <v>7</v>
      </c>
      <c r="E1418">
        <f t="shared" si="88"/>
        <v>0.25</v>
      </c>
      <c r="F1418">
        <f t="shared" si="89"/>
        <v>5</v>
      </c>
      <c r="G1418">
        <f>IF(F1418&gt;F1417,G1417+B1418*E1418,B1418*E1418)</f>
        <v>3.3800810000000006</v>
      </c>
      <c r="H1418">
        <f t="shared" si="90"/>
        <v>1</v>
      </c>
      <c r="I1418">
        <f t="shared" si="91"/>
        <v>3.3800810000000006</v>
      </c>
      <c r="J1418">
        <f>IF(I1417=0,0,C1417-I1417)</f>
        <v>0</v>
      </c>
    </row>
    <row r="1419" spans="1:10" x14ac:dyDescent="0.25">
      <c r="A1419" s="1">
        <v>40787</v>
      </c>
      <c r="B1419">
        <v>3.3636200000000001</v>
      </c>
      <c r="C1419">
        <v>4.0449999999999999</v>
      </c>
      <c r="D1419">
        <f>WEEKDAY(A1419,14)</f>
        <v>1</v>
      </c>
      <c r="E1419">
        <f t="shared" si="88"/>
        <v>0</v>
      </c>
      <c r="F1419">
        <f t="shared" si="89"/>
        <v>1</v>
      </c>
      <c r="G1419">
        <f>IF(F1419&gt;F1418,G1418+B1419*E1419,B1419*E1419)</f>
        <v>0</v>
      </c>
      <c r="H1419">
        <f t="shared" si="90"/>
        <v>0</v>
      </c>
      <c r="I1419">
        <f t="shared" si="91"/>
        <v>0</v>
      </c>
      <c r="J1419">
        <f>IF(I1418=0,0,C1418-I1418)</f>
        <v>0.76491899999999902</v>
      </c>
    </row>
    <row r="1420" spans="1:10" x14ac:dyDescent="0.25">
      <c r="A1420" s="1">
        <v>40788</v>
      </c>
      <c r="B1420">
        <v>3.26342</v>
      </c>
      <c r="C1420">
        <v>4.0449999999999999</v>
      </c>
      <c r="D1420">
        <f>WEEKDAY(A1420,14)</f>
        <v>2</v>
      </c>
      <c r="E1420">
        <f t="shared" si="88"/>
        <v>0</v>
      </c>
      <c r="F1420">
        <f t="shared" si="89"/>
        <v>2</v>
      </c>
      <c r="G1420">
        <f>IF(F1420&gt;F1419,G1419+B1420*E1420,B1420*E1420)</f>
        <v>0</v>
      </c>
      <c r="H1420">
        <f t="shared" si="90"/>
        <v>0</v>
      </c>
      <c r="I1420">
        <f t="shared" si="91"/>
        <v>0</v>
      </c>
      <c r="J1420">
        <f>IF(I1419=0,0,C1419-I1419)</f>
        <v>0</v>
      </c>
    </row>
    <row r="1421" spans="1:10" x14ac:dyDescent="0.25">
      <c r="A1421" s="1">
        <v>40792</v>
      </c>
      <c r="B1421">
        <v>3.26302</v>
      </c>
      <c r="C1421">
        <v>4.0449999999999999</v>
      </c>
      <c r="D1421">
        <f>WEEKDAY(A1421,14)</f>
        <v>6</v>
      </c>
      <c r="E1421">
        <f t="shared" si="88"/>
        <v>0.7</v>
      </c>
      <c r="F1421">
        <f t="shared" si="89"/>
        <v>3</v>
      </c>
      <c r="G1421">
        <f>IF(F1421&gt;F1420,G1420+B1421*E1421,B1421*E1421)</f>
        <v>2.2841139999999998</v>
      </c>
      <c r="H1421">
        <f t="shared" si="90"/>
        <v>0.7</v>
      </c>
      <c r="I1421">
        <f t="shared" si="91"/>
        <v>0</v>
      </c>
      <c r="J1421">
        <f>IF(I1420=0,0,C1420-I1420)</f>
        <v>0</v>
      </c>
    </row>
    <row r="1422" spans="1:10" x14ac:dyDescent="0.25">
      <c r="A1422" s="1">
        <v>40793</v>
      </c>
      <c r="B1422">
        <v>3.3161399999999999</v>
      </c>
      <c r="C1422">
        <v>4.0449999999999999</v>
      </c>
      <c r="D1422">
        <f>WEEKDAY(A1422,14)</f>
        <v>7</v>
      </c>
      <c r="E1422">
        <f t="shared" si="88"/>
        <v>0.25</v>
      </c>
      <c r="F1422">
        <f t="shared" si="89"/>
        <v>4</v>
      </c>
      <c r="G1422">
        <f>IF(F1422&gt;F1421,G1421+B1422*E1422,B1422*E1422)</f>
        <v>3.1131489999999999</v>
      </c>
      <c r="H1422">
        <f t="shared" si="90"/>
        <v>0.95</v>
      </c>
      <c r="I1422">
        <f t="shared" si="91"/>
        <v>3.2769989473684213</v>
      </c>
      <c r="J1422">
        <f>IF(I1421=0,0,C1421-I1421)</f>
        <v>0</v>
      </c>
    </row>
    <row r="1423" spans="1:10" x14ac:dyDescent="0.25">
      <c r="A1423" s="1">
        <v>40794</v>
      </c>
      <c r="B1423">
        <v>3.28505</v>
      </c>
      <c r="C1423">
        <v>4.0149999999999997</v>
      </c>
      <c r="D1423">
        <f>WEEKDAY(A1423,14)</f>
        <v>1</v>
      </c>
      <c r="E1423">
        <f t="shared" si="88"/>
        <v>0</v>
      </c>
      <c r="F1423">
        <f t="shared" si="89"/>
        <v>1</v>
      </c>
      <c r="G1423">
        <f>IF(F1423&gt;F1422,G1422+B1423*E1423,B1423*E1423)</f>
        <v>0</v>
      </c>
      <c r="H1423">
        <f t="shared" si="90"/>
        <v>0</v>
      </c>
      <c r="I1423">
        <f t="shared" si="91"/>
        <v>0</v>
      </c>
      <c r="J1423">
        <f>IF(I1422=0,0,C1422-I1422)</f>
        <v>0.76800105263157858</v>
      </c>
    </row>
    <row r="1424" spans="1:10" x14ac:dyDescent="0.25">
      <c r="A1424" s="1">
        <v>40795</v>
      </c>
      <c r="B1424">
        <v>3.2179199999999999</v>
      </c>
      <c r="C1424">
        <v>4.0149999999999997</v>
      </c>
      <c r="D1424">
        <f>WEEKDAY(A1424,14)</f>
        <v>2</v>
      </c>
      <c r="E1424">
        <f t="shared" si="88"/>
        <v>0</v>
      </c>
      <c r="F1424">
        <f t="shared" si="89"/>
        <v>2</v>
      </c>
      <c r="G1424">
        <f>IF(F1424&gt;F1423,G1423+B1424*E1424,B1424*E1424)</f>
        <v>0</v>
      </c>
      <c r="H1424">
        <f t="shared" si="90"/>
        <v>0</v>
      </c>
      <c r="I1424">
        <f t="shared" si="91"/>
        <v>0</v>
      </c>
      <c r="J1424">
        <f>IF(I1423=0,0,C1423-I1423)</f>
        <v>0</v>
      </c>
    </row>
    <row r="1425" spans="1:10" x14ac:dyDescent="0.25">
      <c r="A1425" s="1">
        <v>40798</v>
      </c>
      <c r="B1425">
        <v>3.2660999999999998</v>
      </c>
      <c r="C1425">
        <v>4.0149999999999997</v>
      </c>
      <c r="D1425">
        <f>WEEKDAY(A1425,14)</f>
        <v>5</v>
      </c>
      <c r="E1425">
        <f t="shared" si="88"/>
        <v>0.05</v>
      </c>
      <c r="F1425">
        <f t="shared" si="89"/>
        <v>3</v>
      </c>
      <c r="G1425">
        <f>IF(F1425&gt;F1424,G1424+B1425*E1425,B1425*E1425)</f>
        <v>0.16330500000000001</v>
      </c>
      <c r="H1425">
        <f t="shared" si="90"/>
        <v>0.05</v>
      </c>
      <c r="I1425">
        <f t="shared" si="91"/>
        <v>0</v>
      </c>
      <c r="J1425">
        <f>IF(I1424=0,0,C1424-I1424)</f>
        <v>0</v>
      </c>
    </row>
    <row r="1426" spans="1:10" x14ac:dyDescent="0.25">
      <c r="A1426" s="1">
        <v>40799</v>
      </c>
      <c r="B1426">
        <v>3.3011200000000001</v>
      </c>
      <c r="C1426">
        <v>4.0149999999999997</v>
      </c>
      <c r="D1426">
        <f>WEEKDAY(A1426,14)</f>
        <v>6</v>
      </c>
      <c r="E1426">
        <f t="shared" si="88"/>
        <v>0.7</v>
      </c>
      <c r="F1426">
        <f t="shared" si="89"/>
        <v>4</v>
      </c>
      <c r="G1426">
        <f>IF(F1426&gt;F1425,G1425+B1426*E1426,B1426*E1426)</f>
        <v>2.4740889999999998</v>
      </c>
      <c r="H1426">
        <f t="shared" si="90"/>
        <v>0.75</v>
      </c>
      <c r="I1426">
        <f t="shared" si="91"/>
        <v>0</v>
      </c>
      <c r="J1426">
        <f>IF(I1425=0,0,C1425-I1425)</f>
        <v>0</v>
      </c>
    </row>
    <row r="1427" spans="1:10" x14ac:dyDescent="0.25">
      <c r="A1427" s="1">
        <v>40800</v>
      </c>
      <c r="B1427">
        <v>3.3005</v>
      </c>
      <c r="C1427">
        <v>4.0149999999999997</v>
      </c>
      <c r="D1427">
        <f>WEEKDAY(A1427,14)</f>
        <v>7</v>
      </c>
      <c r="E1427">
        <f t="shared" si="88"/>
        <v>0.25</v>
      </c>
      <c r="F1427">
        <f t="shared" si="89"/>
        <v>5</v>
      </c>
      <c r="G1427">
        <f>IF(F1427&gt;F1426,G1426+B1427*E1427,B1427*E1427)</f>
        <v>3.2992139999999996</v>
      </c>
      <c r="H1427">
        <f t="shared" si="90"/>
        <v>1</v>
      </c>
      <c r="I1427">
        <f t="shared" si="91"/>
        <v>3.2992139999999996</v>
      </c>
      <c r="J1427">
        <f>IF(I1426=0,0,C1426-I1426)</f>
        <v>0</v>
      </c>
    </row>
    <row r="1428" spans="1:10" x14ac:dyDescent="0.25">
      <c r="A1428" s="1">
        <v>40801</v>
      </c>
      <c r="B1428">
        <v>3.3472599999999999</v>
      </c>
      <c r="C1428">
        <v>4.0149999999999997</v>
      </c>
      <c r="D1428">
        <f>WEEKDAY(A1428,14)</f>
        <v>1</v>
      </c>
      <c r="E1428">
        <f t="shared" si="88"/>
        <v>0</v>
      </c>
      <c r="F1428">
        <f t="shared" si="89"/>
        <v>1</v>
      </c>
      <c r="G1428">
        <f>IF(F1428&gt;F1427,G1427+B1428*E1428,B1428*E1428)</f>
        <v>0</v>
      </c>
      <c r="H1428">
        <f t="shared" si="90"/>
        <v>0</v>
      </c>
      <c r="I1428">
        <f t="shared" si="91"/>
        <v>0</v>
      </c>
      <c r="J1428">
        <f>IF(I1427=0,0,C1427-I1427)</f>
        <v>0.71578600000000003</v>
      </c>
    </row>
    <row r="1429" spans="1:10" x14ac:dyDescent="0.25">
      <c r="A1429" s="1">
        <v>40802</v>
      </c>
      <c r="B1429">
        <v>3.3468900000000001</v>
      </c>
      <c r="C1429">
        <v>4.0149999999999997</v>
      </c>
      <c r="D1429">
        <f>WEEKDAY(A1429,14)</f>
        <v>2</v>
      </c>
      <c r="E1429">
        <f t="shared" si="88"/>
        <v>0</v>
      </c>
      <c r="F1429">
        <f t="shared" si="89"/>
        <v>2</v>
      </c>
      <c r="G1429">
        <f>IF(F1429&gt;F1428,G1428+B1429*E1429,B1429*E1429)</f>
        <v>0</v>
      </c>
      <c r="H1429">
        <f t="shared" si="90"/>
        <v>0</v>
      </c>
      <c r="I1429">
        <f t="shared" si="91"/>
        <v>0</v>
      </c>
      <c r="J1429">
        <f>IF(I1428=0,0,C1428-I1428)</f>
        <v>0</v>
      </c>
    </row>
    <row r="1430" spans="1:10" x14ac:dyDescent="0.25">
      <c r="A1430" s="1">
        <v>40805</v>
      </c>
      <c r="B1430">
        <v>3.23814</v>
      </c>
      <c r="C1430">
        <v>4.0149999999999997</v>
      </c>
      <c r="D1430">
        <f>WEEKDAY(A1430,14)</f>
        <v>5</v>
      </c>
      <c r="E1430">
        <f t="shared" si="88"/>
        <v>0.05</v>
      </c>
      <c r="F1430">
        <f t="shared" si="89"/>
        <v>3</v>
      </c>
      <c r="G1430">
        <f>IF(F1430&gt;F1429,G1429+B1430*E1430,B1430*E1430)</f>
        <v>0.16190700000000002</v>
      </c>
      <c r="H1430">
        <f t="shared" si="90"/>
        <v>0.05</v>
      </c>
      <c r="I1430">
        <f t="shared" si="91"/>
        <v>0</v>
      </c>
      <c r="J1430">
        <f>IF(I1429=0,0,C1429-I1429)</f>
        <v>0</v>
      </c>
    </row>
    <row r="1431" spans="1:10" x14ac:dyDescent="0.25">
      <c r="A1431" s="1">
        <v>40806</v>
      </c>
      <c r="B1431">
        <v>3.2592599999999998</v>
      </c>
      <c r="C1431">
        <v>4.0149999999999997</v>
      </c>
      <c r="D1431">
        <f>WEEKDAY(A1431,14)</f>
        <v>6</v>
      </c>
      <c r="E1431">
        <f t="shared" si="88"/>
        <v>0.7</v>
      </c>
      <c r="F1431">
        <f t="shared" si="89"/>
        <v>4</v>
      </c>
      <c r="G1431">
        <f>IF(F1431&gt;F1430,G1430+B1431*E1431,B1431*E1431)</f>
        <v>2.4433889999999998</v>
      </c>
      <c r="H1431">
        <f t="shared" si="90"/>
        <v>0.75</v>
      </c>
      <c r="I1431">
        <f t="shared" si="91"/>
        <v>0</v>
      </c>
      <c r="J1431">
        <f>IF(I1430=0,0,C1430-I1430)</f>
        <v>0</v>
      </c>
    </row>
    <row r="1432" spans="1:10" x14ac:dyDescent="0.25">
      <c r="A1432" s="1">
        <v>40807</v>
      </c>
      <c r="B1432">
        <v>3.0193400000000001</v>
      </c>
      <c r="C1432">
        <v>4.0149999999999997</v>
      </c>
      <c r="D1432">
        <f>WEEKDAY(A1432,14)</f>
        <v>7</v>
      </c>
      <c r="E1432">
        <f t="shared" si="88"/>
        <v>0.25</v>
      </c>
      <c r="F1432">
        <f t="shared" si="89"/>
        <v>5</v>
      </c>
      <c r="G1432">
        <f>IF(F1432&gt;F1431,G1431+B1432*E1432,B1432*E1432)</f>
        <v>3.1982239999999997</v>
      </c>
      <c r="H1432">
        <f t="shared" si="90"/>
        <v>1</v>
      </c>
      <c r="I1432">
        <f t="shared" si="91"/>
        <v>3.1982239999999997</v>
      </c>
      <c r="J1432">
        <f>IF(I1431=0,0,C1431-I1431)</f>
        <v>0</v>
      </c>
    </row>
    <row r="1433" spans="1:10" x14ac:dyDescent="0.25">
      <c r="A1433" s="1">
        <v>40808</v>
      </c>
      <c r="B1433">
        <v>2.8513700000000002</v>
      </c>
      <c r="C1433">
        <v>3.9350000000000001</v>
      </c>
      <c r="D1433">
        <f>WEEKDAY(A1433,14)</f>
        <v>1</v>
      </c>
      <c r="E1433">
        <f t="shared" si="88"/>
        <v>0</v>
      </c>
      <c r="F1433">
        <f t="shared" si="89"/>
        <v>1</v>
      </c>
      <c r="G1433">
        <f>IF(F1433&gt;F1432,G1432+B1433*E1433,B1433*E1433)</f>
        <v>0</v>
      </c>
      <c r="H1433">
        <f t="shared" si="90"/>
        <v>0</v>
      </c>
      <c r="I1433">
        <f t="shared" si="91"/>
        <v>0</v>
      </c>
      <c r="J1433">
        <f>IF(I1432=0,0,C1432-I1432)</f>
        <v>0.81677599999999995</v>
      </c>
    </row>
    <row r="1434" spans="1:10" x14ac:dyDescent="0.25">
      <c r="A1434" s="1">
        <v>40809</v>
      </c>
      <c r="B1434">
        <v>2.9788000000000001</v>
      </c>
      <c r="C1434">
        <v>3.9350000000000001</v>
      </c>
      <c r="D1434">
        <f>WEEKDAY(A1434,14)</f>
        <v>2</v>
      </c>
      <c r="E1434">
        <f t="shared" si="88"/>
        <v>0</v>
      </c>
      <c r="F1434">
        <f t="shared" si="89"/>
        <v>2</v>
      </c>
      <c r="G1434">
        <f>IF(F1434&gt;F1433,G1433+B1434*E1434,B1434*E1434)</f>
        <v>0</v>
      </c>
      <c r="H1434">
        <f t="shared" si="90"/>
        <v>0</v>
      </c>
      <c r="I1434">
        <f t="shared" si="91"/>
        <v>0</v>
      </c>
      <c r="J1434">
        <f>IF(I1433=0,0,C1433-I1433)</f>
        <v>0</v>
      </c>
    </row>
    <row r="1435" spans="1:10" x14ac:dyDescent="0.25">
      <c r="A1435" s="1">
        <v>40812</v>
      </c>
      <c r="B1435">
        <v>3.0707200000000001</v>
      </c>
      <c r="C1435">
        <v>3.9350000000000001</v>
      </c>
      <c r="D1435">
        <f>WEEKDAY(A1435,14)</f>
        <v>5</v>
      </c>
      <c r="E1435">
        <f t="shared" si="88"/>
        <v>0.05</v>
      </c>
      <c r="F1435">
        <f t="shared" si="89"/>
        <v>3</v>
      </c>
      <c r="G1435">
        <f>IF(F1435&gt;F1434,G1434+B1435*E1435,B1435*E1435)</f>
        <v>0.15353600000000001</v>
      </c>
      <c r="H1435">
        <f t="shared" si="90"/>
        <v>0.05</v>
      </c>
      <c r="I1435">
        <f t="shared" si="91"/>
        <v>0</v>
      </c>
      <c r="J1435">
        <f>IF(I1434=0,0,C1434-I1434)</f>
        <v>0</v>
      </c>
    </row>
    <row r="1436" spans="1:10" x14ac:dyDescent="0.25">
      <c r="A1436" s="1">
        <v>40813</v>
      </c>
      <c r="B1436">
        <v>3.19163</v>
      </c>
      <c r="C1436">
        <v>3.9350000000000001</v>
      </c>
      <c r="D1436">
        <f>WEEKDAY(A1436,14)</f>
        <v>6</v>
      </c>
      <c r="E1436">
        <f t="shared" si="88"/>
        <v>0.7</v>
      </c>
      <c r="F1436">
        <f t="shared" si="89"/>
        <v>4</v>
      </c>
      <c r="G1436">
        <f>IF(F1436&gt;F1435,G1435+B1436*E1436,B1436*E1436)</f>
        <v>2.3876769999999996</v>
      </c>
      <c r="H1436">
        <f t="shared" si="90"/>
        <v>0.75</v>
      </c>
      <c r="I1436">
        <f t="shared" si="91"/>
        <v>0</v>
      </c>
      <c r="J1436">
        <f>IF(I1435=0,0,C1435-I1435)</f>
        <v>0</v>
      </c>
    </row>
    <row r="1437" spans="1:10" x14ac:dyDescent="0.25">
      <c r="A1437" s="1">
        <v>40814</v>
      </c>
      <c r="B1437">
        <v>3.1637300000000002</v>
      </c>
      <c r="C1437">
        <v>3.9350000000000001</v>
      </c>
      <c r="D1437">
        <f>WEEKDAY(A1437,14)</f>
        <v>7</v>
      </c>
      <c r="E1437">
        <f t="shared" si="88"/>
        <v>0.25</v>
      </c>
      <c r="F1437">
        <f t="shared" si="89"/>
        <v>5</v>
      </c>
      <c r="G1437">
        <f>IF(F1437&gt;F1436,G1436+B1437*E1437,B1437*E1437)</f>
        <v>3.1786094999999994</v>
      </c>
      <c r="H1437">
        <f t="shared" si="90"/>
        <v>1</v>
      </c>
      <c r="I1437">
        <f t="shared" si="91"/>
        <v>3.1786094999999994</v>
      </c>
      <c r="J1437">
        <f>IF(I1436=0,0,C1436-I1436)</f>
        <v>0</v>
      </c>
    </row>
    <row r="1438" spans="1:10" x14ac:dyDescent="0.25">
      <c r="A1438" s="1">
        <v>40815</v>
      </c>
      <c r="B1438">
        <v>3.0810300000000002</v>
      </c>
      <c r="C1438">
        <v>3.89</v>
      </c>
      <c r="D1438">
        <f>WEEKDAY(A1438,14)</f>
        <v>1</v>
      </c>
      <c r="E1438">
        <f t="shared" si="88"/>
        <v>0</v>
      </c>
      <c r="F1438">
        <f t="shared" si="89"/>
        <v>1</v>
      </c>
      <c r="G1438">
        <f>IF(F1438&gt;F1437,G1437+B1438*E1438,B1438*E1438)</f>
        <v>0</v>
      </c>
      <c r="H1438">
        <f t="shared" si="90"/>
        <v>0</v>
      </c>
      <c r="I1438">
        <f t="shared" si="91"/>
        <v>0</v>
      </c>
      <c r="J1438">
        <f>IF(I1437=0,0,C1437-I1437)</f>
        <v>0.75639050000000063</v>
      </c>
    </row>
    <row r="1439" spans="1:10" x14ac:dyDescent="0.25">
      <c r="A1439" s="1">
        <v>40816</v>
      </c>
      <c r="B1439">
        <v>3.0385300000000002</v>
      </c>
      <c r="C1439">
        <v>3.89</v>
      </c>
      <c r="D1439">
        <f>WEEKDAY(A1439,14)</f>
        <v>2</v>
      </c>
      <c r="E1439">
        <f t="shared" si="88"/>
        <v>0</v>
      </c>
      <c r="F1439">
        <f t="shared" si="89"/>
        <v>2</v>
      </c>
      <c r="G1439">
        <f>IF(F1439&gt;F1438,G1438+B1439*E1439,B1439*E1439)</f>
        <v>0</v>
      </c>
      <c r="H1439">
        <f t="shared" si="90"/>
        <v>0</v>
      </c>
      <c r="I1439">
        <f t="shared" si="91"/>
        <v>0</v>
      </c>
      <c r="J1439">
        <f>IF(I1438=0,0,C1438-I1438)</f>
        <v>0</v>
      </c>
    </row>
    <row r="1440" spans="1:10" x14ac:dyDescent="0.25">
      <c r="A1440" s="1">
        <v>40819</v>
      </c>
      <c r="B1440">
        <v>2.9658199999999999</v>
      </c>
      <c r="C1440">
        <v>3.89</v>
      </c>
      <c r="D1440">
        <f>WEEKDAY(A1440,14)</f>
        <v>5</v>
      </c>
      <c r="E1440">
        <f t="shared" si="88"/>
        <v>0.05</v>
      </c>
      <c r="F1440">
        <f t="shared" si="89"/>
        <v>3</v>
      </c>
      <c r="G1440">
        <f>IF(F1440&gt;F1439,G1439+B1440*E1440,B1440*E1440)</f>
        <v>0.14829100000000001</v>
      </c>
      <c r="H1440">
        <f t="shared" si="90"/>
        <v>0.05</v>
      </c>
      <c r="I1440">
        <f t="shared" si="91"/>
        <v>0</v>
      </c>
      <c r="J1440">
        <f>IF(I1439=0,0,C1439-I1439)</f>
        <v>0</v>
      </c>
    </row>
    <row r="1441" spans="1:10" x14ac:dyDescent="0.25">
      <c r="A1441" s="1">
        <v>40820</v>
      </c>
      <c r="B1441">
        <v>3.0428199999999999</v>
      </c>
      <c r="C1441">
        <v>3.89</v>
      </c>
      <c r="D1441">
        <f>WEEKDAY(A1441,14)</f>
        <v>6</v>
      </c>
      <c r="E1441">
        <f t="shared" si="88"/>
        <v>0.7</v>
      </c>
      <c r="F1441">
        <f t="shared" si="89"/>
        <v>4</v>
      </c>
      <c r="G1441">
        <f>IF(F1441&gt;F1440,G1440+B1441*E1441,B1441*E1441)</f>
        <v>2.2782649999999998</v>
      </c>
      <c r="H1441">
        <f t="shared" si="90"/>
        <v>0.75</v>
      </c>
      <c r="I1441">
        <f t="shared" si="91"/>
        <v>0</v>
      </c>
      <c r="J1441">
        <f>IF(I1440=0,0,C1440-I1440)</f>
        <v>0</v>
      </c>
    </row>
    <row r="1442" spans="1:10" x14ac:dyDescent="0.25">
      <c r="A1442" s="1">
        <v>40821</v>
      </c>
      <c r="B1442">
        <v>3.1183800000000002</v>
      </c>
      <c r="C1442">
        <v>3.89</v>
      </c>
      <c r="D1442">
        <f>WEEKDAY(A1442,14)</f>
        <v>7</v>
      </c>
      <c r="E1442">
        <f t="shared" si="88"/>
        <v>0.25</v>
      </c>
      <c r="F1442">
        <f t="shared" si="89"/>
        <v>5</v>
      </c>
      <c r="G1442">
        <f>IF(F1442&gt;F1441,G1441+B1442*E1442,B1442*E1442)</f>
        <v>3.0578599999999998</v>
      </c>
      <c r="H1442">
        <f t="shared" si="90"/>
        <v>1</v>
      </c>
      <c r="I1442">
        <f t="shared" si="91"/>
        <v>3.0578599999999998</v>
      </c>
      <c r="J1442">
        <f>IF(I1441=0,0,C1441-I1441)</f>
        <v>0</v>
      </c>
    </row>
    <row r="1443" spans="1:10" x14ac:dyDescent="0.25">
      <c r="A1443" s="1">
        <v>40822</v>
      </c>
      <c r="B1443">
        <v>3.1859600000000001</v>
      </c>
      <c r="C1443">
        <v>4.07</v>
      </c>
      <c r="D1443">
        <f>WEEKDAY(A1443,14)</f>
        <v>1</v>
      </c>
      <c r="E1443">
        <f t="shared" si="88"/>
        <v>0</v>
      </c>
      <c r="F1443">
        <f t="shared" si="89"/>
        <v>1</v>
      </c>
      <c r="G1443">
        <f>IF(F1443&gt;F1442,G1442+B1443*E1443,B1443*E1443)</f>
        <v>0</v>
      </c>
      <c r="H1443">
        <f t="shared" si="90"/>
        <v>0</v>
      </c>
      <c r="I1443">
        <f t="shared" si="91"/>
        <v>0</v>
      </c>
      <c r="J1443">
        <f>IF(I1442=0,0,C1442-I1442)</f>
        <v>0.83214000000000032</v>
      </c>
    </row>
    <row r="1444" spans="1:10" x14ac:dyDescent="0.25">
      <c r="A1444" s="1">
        <v>40823</v>
      </c>
      <c r="B1444">
        <v>3.2827600000000001</v>
      </c>
      <c r="C1444">
        <v>4.07</v>
      </c>
      <c r="D1444">
        <f>WEEKDAY(A1444,14)</f>
        <v>2</v>
      </c>
      <c r="E1444">
        <f t="shared" si="88"/>
        <v>0</v>
      </c>
      <c r="F1444">
        <f t="shared" si="89"/>
        <v>2</v>
      </c>
      <c r="G1444">
        <f>IF(F1444&gt;F1443,G1443+B1444*E1444,B1444*E1444)</f>
        <v>0</v>
      </c>
      <c r="H1444">
        <f t="shared" si="90"/>
        <v>0</v>
      </c>
      <c r="I1444">
        <f t="shared" si="91"/>
        <v>0</v>
      </c>
      <c r="J1444">
        <f>IF(I1443=0,0,C1443-I1443)</f>
        <v>0</v>
      </c>
    </row>
    <row r="1445" spans="1:10" x14ac:dyDescent="0.25">
      <c r="A1445" s="1">
        <v>40827</v>
      </c>
      <c r="B1445">
        <v>3.3168000000000002</v>
      </c>
      <c r="C1445">
        <v>4.07</v>
      </c>
      <c r="D1445">
        <f>WEEKDAY(A1445,14)</f>
        <v>6</v>
      </c>
      <c r="E1445">
        <f t="shared" si="88"/>
        <v>0.7</v>
      </c>
      <c r="F1445">
        <f t="shared" si="89"/>
        <v>3</v>
      </c>
      <c r="G1445">
        <f>IF(F1445&gt;F1444,G1444+B1445*E1445,B1445*E1445)</f>
        <v>2.3217599999999998</v>
      </c>
      <c r="H1445">
        <f t="shared" si="90"/>
        <v>0.7</v>
      </c>
      <c r="I1445">
        <f t="shared" si="91"/>
        <v>0</v>
      </c>
      <c r="J1445">
        <f>IF(I1444=0,0,C1444-I1444)</f>
        <v>0</v>
      </c>
    </row>
    <row r="1446" spans="1:10" x14ac:dyDescent="0.25">
      <c r="A1446" s="1">
        <v>40828</v>
      </c>
      <c r="B1446">
        <v>3.3378100000000002</v>
      </c>
      <c r="C1446">
        <v>4.07</v>
      </c>
      <c r="D1446">
        <f>WEEKDAY(A1446,14)</f>
        <v>7</v>
      </c>
      <c r="E1446">
        <f t="shared" si="88"/>
        <v>0.25</v>
      </c>
      <c r="F1446">
        <f t="shared" si="89"/>
        <v>4</v>
      </c>
      <c r="G1446">
        <f>IF(F1446&gt;F1445,G1445+B1446*E1446,B1446*E1446)</f>
        <v>3.1562124999999996</v>
      </c>
      <c r="H1446">
        <f t="shared" si="90"/>
        <v>0.95</v>
      </c>
      <c r="I1446">
        <f t="shared" si="91"/>
        <v>3.3223289473684208</v>
      </c>
      <c r="J1446">
        <f>IF(I1445=0,0,C1445-I1445)</f>
        <v>0</v>
      </c>
    </row>
    <row r="1447" spans="1:10" x14ac:dyDescent="0.25">
      <c r="A1447" s="1">
        <v>40829</v>
      </c>
      <c r="B1447">
        <v>3.3067199999999999</v>
      </c>
      <c r="C1447">
        <v>4.0599999999999996</v>
      </c>
      <c r="D1447">
        <f>WEEKDAY(A1447,14)</f>
        <v>1</v>
      </c>
      <c r="E1447">
        <f t="shared" si="88"/>
        <v>0</v>
      </c>
      <c r="F1447">
        <f t="shared" si="89"/>
        <v>1</v>
      </c>
      <c r="G1447">
        <f>IF(F1447&gt;F1446,G1446+B1447*E1447,B1447*E1447)</f>
        <v>0</v>
      </c>
      <c r="H1447">
        <f t="shared" si="90"/>
        <v>0</v>
      </c>
      <c r="I1447">
        <f t="shared" si="91"/>
        <v>0</v>
      </c>
      <c r="J1447">
        <f>IF(I1446=0,0,C1446-I1446)</f>
        <v>0.74767105263157951</v>
      </c>
    </row>
    <row r="1448" spans="1:10" x14ac:dyDescent="0.25">
      <c r="A1448" s="1">
        <v>40830</v>
      </c>
      <c r="B1448">
        <v>3.3644599999999998</v>
      </c>
      <c r="C1448">
        <v>4.0599999999999996</v>
      </c>
      <c r="D1448">
        <f>WEEKDAY(A1448,14)</f>
        <v>2</v>
      </c>
      <c r="E1448">
        <f t="shared" si="88"/>
        <v>0</v>
      </c>
      <c r="F1448">
        <f t="shared" si="89"/>
        <v>2</v>
      </c>
      <c r="G1448">
        <f>IF(F1448&gt;F1447,G1447+B1448*E1448,B1448*E1448)</f>
        <v>0</v>
      </c>
      <c r="H1448">
        <f t="shared" si="90"/>
        <v>0</v>
      </c>
      <c r="I1448">
        <f t="shared" si="91"/>
        <v>0</v>
      </c>
      <c r="J1448">
        <f>IF(I1447=0,0,C1447-I1447)</f>
        <v>0</v>
      </c>
    </row>
    <row r="1449" spans="1:10" x14ac:dyDescent="0.25">
      <c r="A1449" s="1">
        <v>40833</v>
      </c>
      <c r="B1449">
        <v>3.2981400000000001</v>
      </c>
      <c r="C1449">
        <v>4.0599999999999996</v>
      </c>
      <c r="D1449">
        <f>WEEKDAY(A1449,14)</f>
        <v>5</v>
      </c>
      <c r="E1449">
        <f t="shared" si="88"/>
        <v>0.05</v>
      </c>
      <c r="F1449">
        <f t="shared" si="89"/>
        <v>3</v>
      </c>
      <c r="G1449">
        <f>IF(F1449&gt;F1448,G1448+B1449*E1449,B1449*E1449)</f>
        <v>0.16490700000000003</v>
      </c>
      <c r="H1449">
        <f t="shared" si="90"/>
        <v>0.05</v>
      </c>
      <c r="I1449">
        <f t="shared" si="91"/>
        <v>0</v>
      </c>
      <c r="J1449">
        <f>IF(I1448=0,0,C1448-I1448)</f>
        <v>0</v>
      </c>
    </row>
    <row r="1450" spans="1:10" x14ac:dyDescent="0.25">
      <c r="A1450" s="1">
        <v>40834</v>
      </c>
      <c r="B1450">
        <v>3.2937400000000001</v>
      </c>
      <c r="C1450">
        <v>4.0599999999999996</v>
      </c>
      <c r="D1450">
        <f>WEEKDAY(A1450,14)</f>
        <v>6</v>
      </c>
      <c r="E1450">
        <f t="shared" si="88"/>
        <v>0.7</v>
      </c>
      <c r="F1450">
        <f t="shared" si="89"/>
        <v>4</v>
      </c>
      <c r="G1450">
        <f>IF(F1450&gt;F1449,G1449+B1450*E1450,B1450*E1450)</f>
        <v>2.4705249999999999</v>
      </c>
      <c r="H1450">
        <f t="shared" si="90"/>
        <v>0.75</v>
      </c>
      <c r="I1450">
        <f t="shared" si="91"/>
        <v>0</v>
      </c>
      <c r="J1450">
        <f>IF(I1449=0,0,C1449-I1449)</f>
        <v>0</v>
      </c>
    </row>
    <row r="1451" spans="1:10" x14ac:dyDescent="0.25">
      <c r="A1451" s="1">
        <v>40835</v>
      </c>
      <c r="B1451">
        <v>3.3017099999999999</v>
      </c>
      <c r="C1451">
        <v>4.0599999999999996</v>
      </c>
      <c r="D1451">
        <f>WEEKDAY(A1451,14)</f>
        <v>7</v>
      </c>
      <c r="E1451">
        <f t="shared" si="88"/>
        <v>0.25</v>
      </c>
      <c r="F1451">
        <f t="shared" si="89"/>
        <v>5</v>
      </c>
      <c r="G1451">
        <f>IF(F1451&gt;F1450,G1450+B1451*E1451,B1451*E1451)</f>
        <v>3.2959524999999998</v>
      </c>
      <c r="H1451">
        <f t="shared" si="90"/>
        <v>1</v>
      </c>
      <c r="I1451">
        <f t="shared" si="91"/>
        <v>3.2959524999999998</v>
      </c>
      <c r="J1451">
        <f>IF(I1450=0,0,C1450-I1450)</f>
        <v>0</v>
      </c>
    </row>
    <row r="1452" spans="1:10" x14ac:dyDescent="0.25">
      <c r="A1452" s="1">
        <v>40836</v>
      </c>
      <c r="B1452">
        <v>3.3269899999999999</v>
      </c>
      <c r="C1452">
        <v>4.05</v>
      </c>
      <c r="D1452">
        <f>WEEKDAY(A1452,14)</f>
        <v>1</v>
      </c>
      <c r="E1452">
        <f t="shared" si="88"/>
        <v>0</v>
      </c>
      <c r="F1452">
        <f t="shared" si="89"/>
        <v>1</v>
      </c>
      <c r="G1452">
        <f>IF(F1452&gt;F1451,G1451+B1452*E1452,B1452*E1452)</f>
        <v>0</v>
      </c>
      <c r="H1452">
        <f t="shared" si="90"/>
        <v>0</v>
      </c>
      <c r="I1452">
        <f t="shared" si="91"/>
        <v>0</v>
      </c>
      <c r="J1452">
        <f>IF(I1451=0,0,C1451-I1451)</f>
        <v>0.76404749999999977</v>
      </c>
    </row>
    <row r="1453" spans="1:10" x14ac:dyDescent="0.25">
      <c r="A1453" s="1">
        <v>40837</v>
      </c>
      <c r="B1453">
        <v>3.33066</v>
      </c>
      <c r="C1453">
        <v>4.05</v>
      </c>
      <c r="D1453">
        <f>WEEKDAY(A1453,14)</f>
        <v>2</v>
      </c>
      <c r="E1453">
        <f t="shared" si="88"/>
        <v>0</v>
      </c>
      <c r="F1453">
        <f t="shared" si="89"/>
        <v>2</v>
      </c>
      <c r="G1453">
        <f>IF(F1453&gt;F1452,G1452+B1453*E1453,B1453*E1453)</f>
        <v>0</v>
      </c>
      <c r="H1453">
        <f t="shared" si="90"/>
        <v>0</v>
      </c>
      <c r="I1453">
        <f t="shared" si="91"/>
        <v>0</v>
      </c>
      <c r="J1453">
        <f>IF(I1452=0,0,C1452-I1452)</f>
        <v>0</v>
      </c>
    </row>
    <row r="1454" spans="1:10" x14ac:dyDescent="0.25">
      <c r="A1454" s="1">
        <v>40840</v>
      </c>
      <c r="B1454">
        <v>3.3635000000000002</v>
      </c>
      <c r="C1454">
        <v>4.05</v>
      </c>
      <c r="D1454">
        <f>WEEKDAY(A1454,14)</f>
        <v>5</v>
      </c>
      <c r="E1454">
        <f t="shared" si="88"/>
        <v>0.05</v>
      </c>
      <c r="F1454">
        <f t="shared" si="89"/>
        <v>3</v>
      </c>
      <c r="G1454">
        <f>IF(F1454&gt;F1453,G1453+B1454*E1454,B1454*E1454)</f>
        <v>0.16817500000000002</v>
      </c>
      <c r="H1454">
        <f t="shared" si="90"/>
        <v>0.05</v>
      </c>
      <c r="I1454">
        <f t="shared" si="91"/>
        <v>0</v>
      </c>
      <c r="J1454">
        <f>IF(I1453=0,0,C1453-I1453)</f>
        <v>0</v>
      </c>
    </row>
    <row r="1455" spans="1:10" x14ac:dyDescent="0.25">
      <c r="A1455" s="1">
        <v>40841</v>
      </c>
      <c r="B1455">
        <v>3.2646700000000002</v>
      </c>
      <c r="C1455">
        <v>4.05</v>
      </c>
      <c r="D1455">
        <f>WEEKDAY(A1455,14)</f>
        <v>6</v>
      </c>
      <c r="E1455">
        <f t="shared" si="88"/>
        <v>0.7</v>
      </c>
      <c r="F1455">
        <f t="shared" si="89"/>
        <v>4</v>
      </c>
      <c r="G1455">
        <f>IF(F1455&gt;F1454,G1454+B1455*E1455,B1455*E1455)</f>
        <v>2.4534440000000002</v>
      </c>
      <c r="H1455">
        <f t="shared" si="90"/>
        <v>0.75</v>
      </c>
      <c r="I1455">
        <f t="shared" si="91"/>
        <v>0</v>
      </c>
      <c r="J1455">
        <f>IF(I1454=0,0,C1454-I1454)</f>
        <v>0</v>
      </c>
    </row>
    <row r="1456" spans="1:10" x14ac:dyDescent="0.25">
      <c r="A1456" s="1">
        <v>40842</v>
      </c>
      <c r="B1456">
        <v>3.3218000000000001</v>
      </c>
      <c r="C1456">
        <v>4.05</v>
      </c>
      <c r="D1456">
        <f>WEEKDAY(A1456,14)</f>
        <v>7</v>
      </c>
      <c r="E1456">
        <f t="shared" si="88"/>
        <v>0.25</v>
      </c>
      <c r="F1456">
        <f t="shared" si="89"/>
        <v>5</v>
      </c>
      <c r="G1456">
        <f>IF(F1456&gt;F1455,G1455+B1456*E1456,B1456*E1456)</f>
        <v>3.2838940000000001</v>
      </c>
      <c r="H1456">
        <f t="shared" si="90"/>
        <v>1</v>
      </c>
      <c r="I1456">
        <f t="shared" si="91"/>
        <v>3.2838940000000001</v>
      </c>
      <c r="J1456">
        <f>IF(I1455=0,0,C1455-I1455)</f>
        <v>0</v>
      </c>
    </row>
    <row r="1457" spans="1:10" x14ac:dyDescent="0.25">
      <c r="A1457" s="1">
        <v>40843</v>
      </c>
      <c r="B1457">
        <v>3.4409200000000002</v>
      </c>
      <c r="C1457">
        <v>3.9249999999999998</v>
      </c>
      <c r="D1457">
        <f>WEEKDAY(A1457,14)</f>
        <v>1</v>
      </c>
      <c r="E1457">
        <f t="shared" si="88"/>
        <v>0</v>
      </c>
      <c r="F1457">
        <f t="shared" si="89"/>
        <v>1</v>
      </c>
      <c r="G1457">
        <f>IF(F1457&gt;F1456,G1456+B1457*E1457,B1457*E1457)</f>
        <v>0</v>
      </c>
      <c r="H1457">
        <f t="shared" si="90"/>
        <v>0</v>
      </c>
      <c r="I1457">
        <f t="shared" si="91"/>
        <v>0</v>
      </c>
      <c r="J1457">
        <f>IF(I1456=0,0,C1456-I1456)</f>
        <v>0.76610599999999973</v>
      </c>
    </row>
    <row r="1458" spans="1:10" x14ac:dyDescent="0.25">
      <c r="A1458" s="1">
        <v>40844</v>
      </c>
      <c r="B1458">
        <v>3.3602099999999999</v>
      </c>
      <c r="C1458">
        <v>3.9249999999999998</v>
      </c>
      <c r="D1458">
        <f>WEEKDAY(A1458,14)</f>
        <v>2</v>
      </c>
      <c r="E1458">
        <f t="shared" si="88"/>
        <v>0</v>
      </c>
      <c r="F1458">
        <f t="shared" si="89"/>
        <v>2</v>
      </c>
      <c r="G1458">
        <f>IF(F1458&gt;F1457,G1457+B1458*E1458,B1458*E1458)</f>
        <v>0</v>
      </c>
      <c r="H1458">
        <f t="shared" si="90"/>
        <v>0</v>
      </c>
      <c r="I1458">
        <f t="shared" si="91"/>
        <v>0</v>
      </c>
      <c r="J1458">
        <f>IF(I1457=0,0,C1457-I1457)</f>
        <v>0</v>
      </c>
    </row>
    <row r="1459" spans="1:10" x14ac:dyDescent="0.25">
      <c r="A1459" s="1">
        <v>40847</v>
      </c>
      <c r="B1459">
        <v>3.2515800000000001</v>
      </c>
      <c r="C1459">
        <v>3.9249999999999998</v>
      </c>
      <c r="D1459">
        <f>WEEKDAY(A1459,14)</f>
        <v>5</v>
      </c>
      <c r="E1459">
        <f t="shared" si="88"/>
        <v>0.05</v>
      </c>
      <c r="F1459">
        <f t="shared" si="89"/>
        <v>3</v>
      </c>
      <c r="G1459">
        <f>IF(F1459&gt;F1458,G1458+B1459*E1459,B1459*E1459)</f>
        <v>0.16257900000000003</v>
      </c>
      <c r="H1459">
        <f t="shared" si="90"/>
        <v>0.05</v>
      </c>
      <c r="I1459">
        <f t="shared" si="91"/>
        <v>0</v>
      </c>
      <c r="J1459">
        <f>IF(I1458=0,0,C1458-I1458)</f>
        <v>0</v>
      </c>
    </row>
    <row r="1460" spans="1:10" x14ac:dyDescent="0.25">
      <c r="A1460" s="1">
        <v>40848</v>
      </c>
      <c r="B1460">
        <v>3.1280000000000001</v>
      </c>
      <c r="C1460">
        <v>3.9249999999999998</v>
      </c>
      <c r="D1460">
        <f>WEEKDAY(A1460,14)</f>
        <v>6</v>
      </c>
      <c r="E1460">
        <f t="shared" si="88"/>
        <v>0.7</v>
      </c>
      <c r="F1460">
        <f t="shared" si="89"/>
        <v>4</v>
      </c>
      <c r="G1460">
        <f>IF(F1460&gt;F1459,G1459+B1460*E1460,B1460*E1460)</f>
        <v>2.352179</v>
      </c>
      <c r="H1460">
        <f t="shared" si="90"/>
        <v>0.75</v>
      </c>
      <c r="I1460">
        <f t="shared" si="91"/>
        <v>0</v>
      </c>
      <c r="J1460">
        <f>IF(I1459=0,0,C1459-I1459)</f>
        <v>0</v>
      </c>
    </row>
    <row r="1461" spans="1:10" x14ac:dyDescent="0.25">
      <c r="A1461" s="1">
        <v>40849</v>
      </c>
      <c r="B1461">
        <v>3.1403599999999998</v>
      </c>
      <c r="C1461">
        <v>3.9249999999999998</v>
      </c>
      <c r="D1461">
        <f>WEEKDAY(A1461,14)</f>
        <v>7</v>
      </c>
      <c r="E1461">
        <f t="shared" si="88"/>
        <v>0.25</v>
      </c>
      <c r="F1461">
        <f t="shared" si="89"/>
        <v>5</v>
      </c>
      <c r="G1461">
        <f>IF(F1461&gt;F1460,G1460+B1461*E1461,B1461*E1461)</f>
        <v>3.1372689999999999</v>
      </c>
      <c r="H1461">
        <f t="shared" si="90"/>
        <v>1</v>
      </c>
      <c r="I1461">
        <f t="shared" si="91"/>
        <v>3.1372689999999999</v>
      </c>
      <c r="J1461">
        <f>IF(I1460=0,0,C1460-I1460)</f>
        <v>0</v>
      </c>
    </row>
    <row r="1462" spans="1:10" x14ac:dyDescent="0.25">
      <c r="A1462" s="1">
        <v>40850</v>
      </c>
      <c r="B1462">
        <v>3.1865899999999998</v>
      </c>
      <c r="C1462">
        <v>3.915</v>
      </c>
      <c r="D1462">
        <f>WEEKDAY(A1462,14)</f>
        <v>1</v>
      </c>
      <c r="E1462">
        <f t="shared" si="88"/>
        <v>0</v>
      </c>
      <c r="F1462">
        <f t="shared" si="89"/>
        <v>1</v>
      </c>
      <c r="G1462">
        <f>IF(F1462&gt;F1461,G1461+B1462*E1462,B1462*E1462)</f>
        <v>0</v>
      </c>
      <c r="H1462">
        <f t="shared" si="90"/>
        <v>0</v>
      </c>
      <c r="I1462">
        <f t="shared" si="91"/>
        <v>0</v>
      </c>
      <c r="J1462">
        <f>IF(I1461=0,0,C1461-I1461)</f>
        <v>0.78773099999999996</v>
      </c>
    </row>
    <row r="1463" spans="1:10" x14ac:dyDescent="0.25">
      <c r="A1463" s="1">
        <v>40851</v>
      </c>
      <c r="B1463">
        <v>3.1459199999999998</v>
      </c>
      <c r="C1463">
        <v>3.915</v>
      </c>
      <c r="D1463">
        <f>WEEKDAY(A1463,14)</f>
        <v>2</v>
      </c>
      <c r="E1463">
        <f t="shared" si="88"/>
        <v>0</v>
      </c>
      <c r="F1463">
        <f t="shared" si="89"/>
        <v>2</v>
      </c>
      <c r="G1463">
        <f>IF(F1463&gt;F1462,G1462+B1463*E1463,B1463*E1463)</f>
        <v>0</v>
      </c>
      <c r="H1463">
        <f t="shared" si="90"/>
        <v>0</v>
      </c>
      <c r="I1463">
        <f t="shared" si="91"/>
        <v>0</v>
      </c>
      <c r="J1463">
        <f>IF(I1462=0,0,C1462-I1462)</f>
        <v>0</v>
      </c>
    </row>
    <row r="1464" spans="1:10" x14ac:dyDescent="0.25">
      <c r="A1464" s="1">
        <v>40854</v>
      </c>
      <c r="B1464">
        <v>3.1153599999999999</v>
      </c>
      <c r="C1464">
        <v>3.915</v>
      </c>
      <c r="D1464">
        <f>WEEKDAY(A1464,14)</f>
        <v>5</v>
      </c>
      <c r="E1464">
        <f t="shared" si="88"/>
        <v>0.05</v>
      </c>
      <c r="F1464">
        <f t="shared" si="89"/>
        <v>3</v>
      </c>
      <c r="G1464">
        <f>IF(F1464&gt;F1463,G1463+B1464*E1464,B1464*E1464)</f>
        <v>0.15576800000000002</v>
      </c>
      <c r="H1464">
        <f t="shared" si="90"/>
        <v>0.05</v>
      </c>
      <c r="I1464">
        <f t="shared" si="91"/>
        <v>0</v>
      </c>
      <c r="J1464">
        <f>IF(I1463=0,0,C1463-I1463)</f>
        <v>0</v>
      </c>
    </row>
    <row r="1465" spans="1:10" x14ac:dyDescent="0.25">
      <c r="A1465" s="1">
        <v>40855</v>
      </c>
      <c r="B1465">
        <v>3.1915300000000002</v>
      </c>
      <c r="C1465">
        <v>3.915</v>
      </c>
      <c r="D1465">
        <f>WEEKDAY(A1465,14)</f>
        <v>6</v>
      </c>
      <c r="E1465">
        <f t="shared" si="88"/>
        <v>0.7</v>
      </c>
      <c r="F1465">
        <f t="shared" si="89"/>
        <v>4</v>
      </c>
      <c r="G1465">
        <f>IF(F1465&gt;F1464,G1464+B1465*E1465,B1465*E1465)</f>
        <v>2.3898390000000003</v>
      </c>
      <c r="H1465">
        <f t="shared" si="90"/>
        <v>0.75</v>
      </c>
      <c r="I1465">
        <f t="shared" si="91"/>
        <v>0</v>
      </c>
      <c r="J1465">
        <f>IF(I1464=0,0,C1464-I1464)</f>
        <v>0</v>
      </c>
    </row>
    <row r="1466" spans="1:10" x14ac:dyDescent="0.25">
      <c r="A1466" s="1">
        <v>40856</v>
      </c>
      <c r="B1466">
        <v>3.1408299999999998</v>
      </c>
      <c r="C1466">
        <v>3.915</v>
      </c>
      <c r="D1466">
        <f>WEEKDAY(A1466,14)</f>
        <v>7</v>
      </c>
      <c r="E1466">
        <f t="shared" si="88"/>
        <v>0.25</v>
      </c>
      <c r="F1466">
        <f t="shared" si="89"/>
        <v>5</v>
      </c>
      <c r="G1466">
        <f>IF(F1466&gt;F1465,G1465+B1466*E1466,B1466*E1466)</f>
        <v>3.1750465000000001</v>
      </c>
      <c r="H1466">
        <f t="shared" si="90"/>
        <v>1</v>
      </c>
      <c r="I1466">
        <f t="shared" si="91"/>
        <v>3.1750465000000001</v>
      </c>
      <c r="J1466">
        <f>IF(I1465=0,0,C1465-I1465)</f>
        <v>0</v>
      </c>
    </row>
    <row r="1467" spans="1:10" x14ac:dyDescent="0.25">
      <c r="A1467" s="1">
        <v>40857</v>
      </c>
      <c r="B1467">
        <v>3.1968299999999998</v>
      </c>
      <c r="C1467">
        <v>3.9249999999999998</v>
      </c>
      <c r="D1467">
        <f>WEEKDAY(A1467,14)</f>
        <v>1</v>
      </c>
      <c r="E1467">
        <f t="shared" si="88"/>
        <v>0</v>
      </c>
      <c r="F1467">
        <f t="shared" si="89"/>
        <v>1</v>
      </c>
      <c r="G1467">
        <f>IF(F1467&gt;F1466,G1466+B1467*E1467,B1467*E1467)</f>
        <v>0</v>
      </c>
      <c r="H1467">
        <f t="shared" si="90"/>
        <v>0</v>
      </c>
      <c r="I1467">
        <f t="shared" si="91"/>
        <v>0</v>
      </c>
      <c r="J1467">
        <f>IF(I1466=0,0,C1466-I1466)</f>
        <v>0.73995349999999993</v>
      </c>
    </row>
    <row r="1468" spans="1:10" x14ac:dyDescent="0.25">
      <c r="A1468" s="1">
        <v>40861</v>
      </c>
      <c r="B1468">
        <v>3.1932800000000001</v>
      </c>
      <c r="C1468">
        <v>3.9249999999999998</v>
      </c>
      <c r="D1468">
        <f>WEEKDAY(A1468,14)</f>
        <v>5</v>
      </c>
      <c r="E1468">
        <f t="shared" si="88"/>
        <v>0.05</v>
      </c>
      <c r="F1468">
        <f t="shared" si="89"/>
        <v>2</v>
      </c>
      <c r="G1468">
        <f>IF(F1468&gt;F1467,G1467+B1468*E1468,B1468*E1468)</f>
        <v>0.15966400000000003</v>
      </c>
      <c r="H1468">
        <f t="shared" si="90"/>
        <v>0.05</v>
      </c>
      <c r="I1468">
        <f t="shared" si="91"/>
        <v>0</v>
      </c>
      <c r="J1468">
        <f>IF(I1467=0,0,C1467-I1467)</f>
        <v>0</v>
      </c>
    </row>
    <row r="1469" spans="1:10" x14ac:dyDescent="0.25">
      <c r="A1469" s="1">
        <v>40862</v>
      </c>
      <c r="B1469">
        <v>3.2192400000000001</v>
      </c>
      <c r="C1469">
        <v>3.9249999999999998</v>
      </c>
      <c r="D1469">
        <f>WEEKDAY(A1469,14)</f>
        <v>6</v>
      </c>
      <c r="E1469">
        <f t="shared" si="88"/>
        <v>0.7</v>
      </c>
      <c r="F1469">
        <f t="shared" si="89"/>
        <v>3</v>
      </c>
      <c r="G1469">
        <f>IF(F1469&gt;F1468,G1468+B1469*E1469,B1469*E1469)</f>
        <v>2.4131320000000001</v>
      </c>
      <c r="H1469">
        <f t="shared" si="90"/>
        <v>0.75</v>
      </c>
      <c r="I1469">
        <f t="shared" si="91"/>
        <v>0</v>
      </c>
      <c r="J1469">
        <f>IF(I1468=0,0,C1468-I1468)</f>
        <v>0</v>
      </c>
    </row>
    <row r="1470" spans="1:10" x14ac:dyDescent="0.25">
      <c r="A1470" s="1">
        <v>40863</v>
      </c>
      <c r="B1470">
        <v>3.2014399999999998</v>
      </c>
      <c r="C1470">
        <v>3.9049999999999998</v>
      </c>
      <c r="D1470">
        <f>WEEKDAY(A1470,14)</f>
        <v>7</v>
      </c>
      <c r="E1470">
        <f t="shared" si="88"/>
        <v>0.25</v>
      </c>
      <c r="F1470">
        <f t="shared" si="89"/>
        <v>4</v>
      </c>
      <c r="G1470">
        <f>IF(F1470&gt;F1469,G1469+B1470*E1470,B1470*E1470)</f>
        <v>3.213492</v>
      </c>
      <c r="H1470">
        <f t="shared" si="90"/>
        <v>1</v>
      </c>
      <c r="I1470">
        <f t="shared" si="91"/>
        <v>3.213492</v>
      </c>
      <c r="J1470">
        <f>IF(I1469=0,0,C1469-I1469)</f>
        <v>0</v>
      </c>
    </row>
    <row r="1471" spans="1:10" x14ac:dyDescent="0.25">
      <c r="A1471" s="1">
        <v>40864</v>
      </c>
      <c r="B1471">
        <v>3.1637</v>
      </c>
      <c r="C1471">
        <v>3.9049999999999998</v>
      </c>
      <c r="D1471">
        <f>WEEKDAY(A1471,14)</f>
        <v>1</v>
      </c>
      <c r="E1471">
        <f t="shared" si="88"/>
        <v>0</v>
      </c>
      <c r="F1471">
        <f t="shared" si="89"/>
        <v>1</v>
      </c>
      <c r="G1471">
        <f>IF(F1471&gt;F1470,G1470+B1471*E1471,B1471*E1471)</f>
        <v>0</v>
      </c>
      <c r="H1471">
        <f t="shared" si="90"/>
        <v>0</v>
      </c>
      <c r="I1471">
        <f t="shared" si="91"/>
        <v>0</v>
      </c>
      <c r="J1471">
        <f>IF(I1470=0,0,C1470-I1470)</f>
        <v>0.69150799999999979</v>
      </c>
    </row>
    <row r="1472" spans="1:10" x14ac:dyDescent="0.25">
      <c r="A1472" s="1">
        <v>40865</v>
      </c>
      <c r="B1472">
        <v>3.2133400000000001</v>
      </c>
      <c r="C1472">
        <v>3.9049999999999998</v>
      </c>
      <c r="D1472">
        <f>WEEKDAY(A1472,14)</f>
        <v>2</v>
      </c>
      <c r="E1472">
        <f t="shared" si="88"/>
        <v>0</v>
      </c>
      <c r="F1472">
        <f t="shared" si="89"/>
        <v>2</v>
      </c>
      <c r="G1472">
        <f>IF(F1472&gt;F1471,G1471+B1472*E1472,B1472*E1472)</f>
        <v>0</v>
      </c>
      <c r="H1472">
        <f t="shared" si="90"/>
        <v>0</v>
      </c>
      <c r="I1472">
        <f t="shared" si="91"/>
        <v>0</v>
      </c>
      <c r="J1472">
        <f>IF(I1471=0,0,C1471-I1471)</f>
        <v>0</v>
      </c>
    </row>
    <row r="1473" spans="1:10" x14ac:dyDescent="0.25">
      <c r="A1473" s="1">
        <v>40868</v>
      </c>
      <c r="B1473">
        <v>3.1766800000000002</v>
      </c>
      <c r="C1473">
        <v>3.9049999999999998</v>
      </c>
      <c r="D1473">
        <f>WEEKDAY(A1473,14)</f>
        <v>5</v>
      </c>
      <c r="E1473">
        <f t="shared" si="88"/>
        <v>0.05</v>
      </c>
      <c r="F1473">
        <f t="shared" si="89"/>
        <v>3</v>
      </c>
      <c r="G1473">
        <f>IF(F1473&gt;F1472,G1472+B1473*E1473,B1473*E1473)</f>
        <v>0.15883400000000003</v>
      </c>
      <c r="H1473">
        <f t="shared" si="90"/>
        <v>0.05</v>
      </c>
      <c r="I1473">
        <f t="shared" si="91"/>
        <v>0</v>
      </c>
      <c r="J1473">
        <f>IF(I1472=0,0,C1472-I1472)</f>
        <v>0</v>
      </c>
    </row>
    <row r="1474" spans="1:10" x14ac:dyDescent="0.25">
      <c r="A1474" s="1">
        <v>40869</v>
      </c>
      <c r="B1474">
        <v>3.1441699999999999</v>
      </c>
      <c r="C1474">
        <v>3.9049999999999998</v>
      </c>
      <c r="D1474">
        <f>WEEKDAY(A1474,14)</f>
        <v>6</v>
      </c>
      <c r="E1474">
        <f t="shared" si="88"/>
        <v>0.7</v>
      </c>
      <c r="F1474">
        <f t="shared" si="89"/>
        <v>4</v>
      </c>
      <c r="G1474">
        <f>IF(F1474&gt;F1473,G1473+B1474*E1474,B1474*E1474)</f>
        <v>2.359753</v>
      </c>
      <c r="H1474">
        <f t="shared" si="90"/>
        <v>0.75</v>
      </c>
      <c r="I1474">
        <f t="shared" si="91"/>
        <v>0</v>
      </c>
      <c r="J1474">
        <f>IF(I1473=0,0,C1473-I1473)</f>
        <v>0</v>
      </c>
    </row>
    <row r="1475" spans="1:10" x14ac:dyDescent="0.25">
      <c r="A1475" s="1">
        <v>40870</v>
      </c>
      <c r="B1475">
        <v>3.1451699999999998</v>
      </c>
      <c r="C1475">
        <v>3.9049999999999998</v>
      </c>
      <c r="D1475">
        <f>WEEKDAY(A1475,14)</f>
        <v>7</v>
      </c>
      <c r="E1475">
        <f t="shared" ref="E1475:E1538" si="92">VLOOKUP(D1475,M$2:N$8,2,FALSE)</f>
        <v>0.25</v>
      </c>
      <c r="F1475">
        <f t="shared" ref="F1475:F1538" si="93">IF(AND(D1475&gt;D1474,F1474&lt;6),F1474+1,1)</f>
        <v>5</v>
      </c>
      <c r="G1475">
        <f>IF(F1475&gt;F1474,G1474+B1475*E1475,B1475*E1475)</f>
        <v>3.1460455000000001</v>
      </c>
      <c r="H1475">
        <f t="shared" si="90"/>
        <v>1</v>
      </c>
      <c r="I1475">
        <f t="shared" si="91"/>
        <v>3.1460455000000001</v>
      </c>
      <c r="J1475">
        <f>IF(I1474=0,0,C1474-I1474)</f>
        <v>0</v>
      </c>
    </row>
    <row r="1476" spans="1:10" x14ac:dyDescent="0.25">
      <c r="A1476" s="1">
        <v>40872</v>
      </c>
      <c r="B1476">
        <v>3.2226300000000001</v>
      </c>
      <c r="C1476">
        <v>3.9249999999999998</v>
      </c>
      <c r="D1476">
        <f>WEEKDAY(A1476,14)</f>
        <v>2</v>
      </c>
      <c r="E1476">
        <f t="shared" si="92"/>
        <v>0</v>
      </c>
      <c r="F1476">
        <f t="shared" si="93"/>
        <v>1</v>
      </c>
      <c r="G1476">
        <f>IF(F1476&gt;F1475,G1475+B1476*E1476,B1476*E1476)</f>
        <v>0</v>
      </c>
      <c r="H1476">
        <f t="shared" ref="H1476:H1539" si="94">IF(AND(F1476&lt;6,F1476&gt;F1475),E1476+H1475,E1476)</f>
        <v>0</v>
      </c>
      <c r="I1476">
        <f t="shared" ref="I1476:I1539" si="95">IF(F1476&gt;F1477,G1476/H1476,0)</f>
        <v>0</v>
      </c>
      <c r="J1476">
        <f>IF(I1475=0,0,C1475-I1475)</f>
        <v>0.75895449999999975</v>
      </c>
    </row>
    <row r="1477" spans="1:10" x14ac:dyDescent="0.25">
      <c r="A1477" s="1">
        <v>40875</v>
      </c>
      <c r="B1477">
        <v>3.1879</v>
      </c>
      <c r="C1477">
        <v>3.9249999999999998</v>
      </c>
      <c r="D1477">
        <f>WEEKDAY(A1477,14)</f>
        <v>5</v>
      </c>
      <c r="E1477">
        <f t="shared" si="92"/>
        <v>0.05</v>
      </c>
      <c r="F1477">
        <f t="shared" si="93"/>
        <v>2</v>
      </c>
      <c r="G1477">
        <f>IF(F1477&gt;F1476,G1476+B1477*E1477,B1477*E1477)</f>
        <v>0.15939500000000001</v>
      </c>
      <c r="H1477">
        <f t="shared" si="94"/>
        <v>0.05</v>
      </c>
      <c r="I1477">
        <f t="shared" si="95"/>
        <v>0</v>
      </c>
      <c r="J1477">
        <f>IF(I1476=0,0,C1476-I1476)</f>
        <v>0</v>
      </c>
    </row>
    <row r="1478" spans="1:10" x14ac:dyDescent="0.25">
      <c r="A1478" s="1">
        <v>40876</v>
      </c>
      <c r="B1478">
        <v>3.18161</v>
      </c>
      <c r="C1478">
        <v>3.9249999999999998</v>
      </c>
      <c r="D1478">
        <f>WEEKDAY(A1478,14)</f>
        <v>6</v>
      </c>
      <c r="E1478">
        <f t="shared" si="92"/>
        <v>0.7</v>
      </c>
      <c r="F1478">
        <f t="shared" si="93"/>
        <v>3</v>
      </c>
      <c r="G1478">
        <f>IF(F1478&gt;F1477,G1477+B1478*E1478,B1478*E1478)</f>
        <v>2.3865219999999998</v>
      </c>
      <c r="H1478">
        <f t="shared" si="94"/>
        <v>0.75</v>
      </c>
      <c r="I1478">
        <f t="shared" si="95"/>
        <v>0</v>
      </c>
      <c r="J1478">
        <f>IF(I1477=0,0,C1477-I1477)</f>
        <v>0</v>
      </c>
    </row>
    <row r="1479" spans="1:10" x14ac:dyDescent="0.25">
      <c r="A1479" s="1">
        <v>40877</v>
      </c>
      <c r="B1479">
        <v>3.1770200000000002</v>
      </c>
      <c r="C1479">
        <v>3.9249999999999998</v>
      </c>
      <c r="D1479">
        <f>WEEKDAY(A1479,14)</f>
        <v>7</v>
      </c>
      <c r="E1479">
        <f t="shared" si="92"/>
        <v>0.25</v>
      </c>
      <c r="F1479">
        <f t="shared" si="93"/>
        <v>4</v>
      </c>
      <c r="G1479">
        <f>IF(F1479&gt;F1478,G1478+B1479*E1479,B1479*E1479)</f>
        <v>3.180777</v>
      </c>
      <c r="H1479">
        <f t="shared" si="94"/>
        <v>1</v>
      </c>
      <c r="I1479">
        <f t="shared" si="95"/>
        <v>3.180777</v>
      </c>
      <c r="J1479">
        <f>IF(I1478=0,0,C1478-I1478)</f>
        <v>0</v>
      </c>
    </row>
    <row r="1480" spans="1:10" x14ac:dyDescent="0.25">
      <c r="A1480" s="1">
        <v>40878</v>
      </c>
      <c r="B1480">
        <v>3.2092100000000001</v>
      </c>
      <c r="C1480">
        <v>3.915</v>
      </c>
      <c r="D1480">
        <f>WEEKDAY(A1480,14)</f>
        <v>1</v>
      </c>
      <c r="E1480">
        <f t="shared" si="92"/>
        <v>0</v>
      </c>
      <c r="F1480">
        <f t="shared" si="93"/>
        <v>1</v>
      </c>
      <c r="G1480">
        <f>IF(F1480&gt;F1479,G1479+B1480*E1480,B1480*E1480)</f>
        <v>0</v>
      </c>
      <c r="H1480">
        <f t="shared" si="94"/>
        <v>0</v>
      </c>
      <c r="I1480">
        <f t="shared" si="95"/>
        <v>0</v>
      </c>
      <c r="J1480">
        <f>IF(I1479=0,0,C1479-I1479)</f>
        <v>0.74422299999999986</v>
      </c>
    </row>
    <row r="1481" spans="1:10" x14ac:dyDescent="0.25">
      <c r="A1481" s="1">
        <v>40879</v>
      </c>
      <c r="B1481">
        <v>3.1429299999999998</v>
      </c>
      <c r="C1481">
        <v>3.915</v>
      </c>
      <c r="D1481">
        <f>WEEKDAY(A1481,14)</f>
        <v>2</v>
      </c>
      <c r="E1481">
        <f t="shared" si="92"/>
        <v>0</v>
      </c>
      <c r="F1481">
        <f t="shared" si="93"/>
        <v>2</v>
      </c>
      <c r="G1481">
        <f>IF(F1481&gt;F1480,G1480+B1481*E1481,B1481*E1481)</f>
        <v>0</v>
      </c>
      <c r="H1481">
        <f t="shared" si="94"/>
        <v>0</v>
      </c>
      <c r="I1481">
        <f t="shared" si="95"/>
        <v>0</v>
      </c>
      <c r="J1481">
        <f>IF(I1480=0,0,C1480-I1480)</f>
        <v>0</v>
      </c>
    </row>
    <row r="1482" spans="1:10" x14ac:dyDescent="0.25">
      <c r="A1482" s="1">
        <v>40882</v>
      </c>
      <c r="B1482">
        <v>3.1564899999999998</v>
      </c>
      <c r="C1482">
        <v>3.915</v>
      </c>
      <c r="D1482">
        <f>WEEKDAY(A1482,14)</f>
        <v>5</v>
      </c>
      <c r="E1482">
        <f t="shared" si="92"/>
        <v>0.05</v>
      </c>
      <c r="F1482">
        <f t="shared" si="93"/>
        <v>3</v>
      </c>
      <c r="G1482">
        <f>IF(F1482&gt;F1481,G1481+B1482*E1482,B1482*E1482)</f>
        <v>0.15782450000000001</v>
      </c>
      <c r="H1482">
        <f t="shared" si="94"/>
        <v>0.05</v>
      </c>
      <c r="I1482">
        <f t="shared" si="95"/>
        <v>0</v>
      </c>
      <c r="J1482">
        <f>IF(I1481=0,0,C1481-I1481)</f>
        <v>0</v>
      </c>
    </row>
    <row r="1483" spans="1:10" x14ac:dyDescent="0.25">
      <c r="A1483" s="1">
        <v>40883</v>
      </c>
      <c r="B1483">
        <v>3.1701899999999998</v>
      </c>
      <c r="C1483">
        <v>3.915</v>
      </c>
      <c r="D1483">
        <f>WEEKDAY(A1483,14)</f>
        <v>6</v>
      </c>
      <c r="E1483">
        <f t="shared" si="92"/>
        <v>0.7</v>
      </c>
      <c r="F1483">
        <f t="shared" si="93"/>
        <v>4</v>
      </c>
      <c r="G1483">
        <f>IF(F1483&gt;F1482,G1482+B1483*E1483,B1483*E1483)</f>
        <v>2.3769574999999996</v>
      </c>
      <c r="H1483">
        <f t="shared" si="94"/>
        <v>0.75</v>
      </c>
      <c r="I1483">
        <f t="shared" si="95"/>
        <v>0</v>
      </c>
      <c r="J1483">
        <f>IF(I1482=0,0,C1482-I1482)</f>
        <v>0</v>
      </c>
    </row>
    <row r="1484" spans="1:10" x14ac:dyDescent="0.25">
      <c r="A1484" s="1">
        <v>40884</v>
      </c>
      <c r="B1484">
        <v>3.0901200000000002</v>
      </c>
      <c r="C1484">
        <v>3.915</v>
      </c>
      <c r="D1484">
        <f>WEEKDAY(A1484,14)</f>
        <v>7</v>
      </c>
      <c r="E1484">
        <f t="shared" si="92"/>
        <v>0.25</v>
      </c>
      <c r="F1484">
        <f t="shared" si="93"/>
        <v>5</v>
      </c>
      <c r="G1484">
        <f>IF(F1484&gt;F1483,G1483+B1484*E1484,B1484*E1484)</f>
        <v>3.1494874999999998</v>
      </c>
      <c r="H1484">
        <f t="shared" si="94"/>
        <v>1</v>
      </c>
      <c r="I1484">
        <f t="shared" si="95"/>
        <v>3.1494874999999998</v>
      </c>
      <c r="J1484">
        <f>IF(I1483=0,0,C1483-I1483)</f>
        <v>0</v>
      </c>
    </row>
    <row r="1485" spans="1:10" x14ac:dyDescent="0.25">
      <c r="A1485" s="1">
        <v>40885</v>
      </c>
      <c r="B1485">
        <v>3.0582099999999999</v>
      </c>
      <c r="C1485">
        <v>3.89</v>
      </c>
      <c r="D1485">
        <f>WEEKDAY(A1485,14)</f>
        <v>1</v>
      </c>
      <c r="E1485">
        <f t="shared" si="92"/>
        <v>0</v>
      </c>
      <c r="F1485">
        <f t="shared" si="93"/>
        <v>1</v>
      </c>
      <c r="G1485">
        <f>IF(F1485&gt;F1484,G1484+B1485*E1485,B1485*E1485)</f>
        <v>0</v>
      </c>
      <c r="H1485">
        <f t="shared" si="94"/>
        <v>0</v>
      </c>
      <c r="I1485">
        <f t="shared" si="95"/>
        <v>0</v>
      </c>
      <c r="J1485">
        <f>IF(I1484=0,0,C1484-I1484)</f>
        <v>0.76551250000000026</v>
      </c>
    </row>
    <row r="1486" spans="1:10" x14ac:dyDescent="0.25">
      <c r="A1486" s="1">
        <v>40886</v>
      </c>
      <c r="B1486">
        <v>3.1366900000000002</v>
      </c>
      <c r="C1486">
        <v>3.89</v>
      </c>
      <c r="D1486">
        <f>WEEKDAY(A1486,14)</f>
        <v>2</v>
      </c>
      <c r="E1486">
        <f t="shared" si="92"/>
        <v>0</v>
      </c>
      <c r="F1486">
        <f t="shared" si="93"/>
        <v>2</v>
      </c>
      <c r="G1486">
        <f>IF(F1486&gt;F1485,G1485+B1486*E1486,B1486*E1486)</f>
        <v>0</v>
      </c>
      <c r="H1486">
        <f t="shared" si="94"/>
        <v>0</v>
      </c>
      <c r="I1486">
        <f t="shared" si="95"/>
        <v>0</v>
      </c>
      <c r="J1486">
        <f>IF(I1485=0,0,C1485-I1485)</f>
        <v>0</v>
      </c>
    </row>
    <row r="1487" spans="1:10" x14ac:dyDescent="0.25">
      <c r="A1487" s="1">
        <v>40889</v>
      </c>
      <c r="B1487">
        <v>3.12819</v>
      </c>
      <c r="C1487">
        <v>3.89</v>
      </c>
      <c r="D1487">
        <f>WEEKDAY(A1487,14)</f>
        <v>5</v>
      </c>
      <c r="E1487">
        <f t="shared" si="92"/>
        <v>0.05</v>
      </c>
      <c r="F1487">
        <f t="shared" si="93"/>
        <v>3</v>
      </c>
      <c r="G1487">
        <f>IF(F1487&gt;F1486,G1486+B1487*E1487,B1487*E1487)</f>
        <v>0.15640950000000001</v>
      </c>
      <c r="H1487">
        <f t="shared" si="94"/>
        <v>0.05</v>
      </c>
      <c r="I1487">
        <f t="shared" si="95"/>
        <v>0</v>
      </c>
      <c r="J1487">
        <f>IF(I1486=0,0,C1486-I1486)</f>
        <v>0</v>
      </c>
    </row>
    <row r="1488" spans="1:10" x14ac:dyDescent="0.25">
      <c r="A1488" s="1">
        <v>40890</v>
      </c>
      <c r="B1488">
        <v>3.0836000000000001</v>
      </c>
      <c r="C1488">
        <v>3.89</v>
      </c>
      <c r="D1488">
        <f>WEEKDAY(A1488,14)</f>
        <v>6</v>
      </c>
      <c r="E1488">
        <f t="shared" si="92"/>
        <v>0.7</v>
      </c>
      <c r="F1488">
        <f t="shared" si="93"/>
        <v>4</v>
      </c>
      <c r="G1488">
        <f>IF(F1488&gt;F1487,G1487+B1488*E1488,B1488*E1488)</f>
        <v>2.3149294999999999</v>
      </c>
      <c r="H1488">
        <f t="shared" si="94"/>
        <v>0.75</v>
      </c>
      <c r="I1488">
        <f t="shared" si="95"/>
        <v>0</v>
      </c>
      <c r="J1488">
        <f>IF(I1487=0,0,C1487-I1487)</f>
        <v>0</v>
      </c>
    </row>
    <row r="1489" spans="1:10" x14ac:dyDescent="0.25">
      <c r="A1489" s="1">
        <v>40891</v>
      </c>
      <c r="B1489">
        <v>3.0099</v>
      </c>
      <c r="C1489">
        <v>3.89</v>
      </c>
      <c r="D1489">
        <f>WEEKDAY(A1489,14)</f>
        <v>7</v>
      </c>
      <c r="E1489">
        <f t="shared" si="92"/>
        <v>0.25</v>
      </c>
      <c r="F1489">
        <f t="shared" si="93"/>
        <v>5</v>
      </c>
      <c r="G1489">
        <f>IF(F1489&gt;F1488,G1488+B1489*E1489,B1489*E1489)</f>
        <v>3.0674044999999999</v>
      </c>
      <c r="H1489">
        <f t="shared" si="94"/>
        <v>1</v>
      </c>
      <c r="I1489">
        <f t="shared" si="95"/>
        <v>3.0674044999999999</v>
      </c>
      <c r="J1489">
        <f>IF(I1488=0,0,C1488-I1488)</f>
        <v>0</v>
      </c>
    </row>
    <row r="1490" spans="1:10" x14ac:dyDescent="0.25">
      <c r="A1490" s="1">
        <v>40892</v>
      </c>
      <c r="B1490">
        <v>3.05125</v>
      </c>
      <c r="C1490">
        <v>3.835</v>
      </c>
      <c r="D1490">
        <f>WEEKDAY(A1490,14)</f>
        <v>1</v>
      </c>
      <c r="E1490">
        <f t="shared" si="92"/>
        <v>0</v>
      </c>
      <c r="F1490">
        <f t="shared" si="93"/>
        <v>1</v>
      </c>
      <c r="G1490">
        <f>IF(F1490&gt;F1489,G1489+B1490*E1490,B1490*E1490)</f>
        <v>0</v>
      </c>
      <c r="H1490">
        <f t="shared" si="94"/>
        <v>0</v>
      </c>
      <c r="I1490">
        <f t="shared" si="95"/>
        <v>0</v>
      </c>
      <c r="J1490">
        <f>IF(I1489=0,0,C1489-I1489)</f>
        <v>0.82259550000000026</v>
      </c>
    </row>
    <row r="1491" spans="1:10" x14ac:dyDescent="0.25">
      <c r="A1491" s="1">
        <v>40893</v>
      </c>
      <c r="B1491">
        <v>3.0010400000000002</v>
      </c>
      <c r="C1491">
        <v>3.835</v>
      </c>
      <c r="D1491">
        <f>WEEKDAY(A1491,14)</f>
        <v>2</v>
      </c>
      <c r="E1491">
        <f t="shared" si="92"/>
        <v>0</v>
      </c>
      <c r="F1491">
        <f t="shared" si="93"/>
        <v>2</v>
      </c>
      <c r="G1491">
        <f>IF(F1491&gt;F1490,G1490+B1491*E1491,B1491*E1491)</f>
        <v>0</v>
      </c>
      <c r="H1491">
        <f t="shared" si="94"/>
        <v>0</v>
      </c>
      <c r="I1491">
        <f t="shared" si="95"/>
        <v>0</v>
      </c>
      <c r="J1491">
        <f>IF(I1490=0,0,C1490-I1490)</f>
        <v>0</v>
      </c>
    </row>
    <row r="1492" spans="1:10" x14ac:dyDescent="0.25">
      <c r="A1492" s="1">
        <v>40896</v>
      </c>
      <c r="B1492">
        <v>2.9894500000000002</v>
      </c>
      <c r="C1492">
        <v>3.835</v>
      </c>
      <c r="D1492">
        <f>WEEKDAY(A1492,14)</f>
        <v>5</v>
      </c>
      <c r="E1492">
        <f t="shared" si="92"/>
        <v>0.05</v>
      </c>
      <c r="F1492">
        <f t="shared" si="93"/>
        <v>3</v>
      </c>
      <c r="G1492">
        <f>IF(F1492&gt;F1491,G1491+B1492*E1492,B1492*E1492)</f>
        <v>0.14947250000000001</v>
      </c>
      <c r="H1492">
        <f t="shared" si="94"/>
        <v>0.05</v>
      </c>
      <c r="I1492">
        <f t="shared" si="95"/>
        <v>0</v>
      </c>
      <c r="J1492">
        <f>IF(I1491=0,0,C1491-I1491)</f>
        <v>0</v>
      </c>
    </row>
    <row r="1493" spans="1:10" x14ac:dyDescent="0.25">
      <c r="A1493" s="1">
        <v>40897</v>
      </c>
      <c r="B1493">
        <v>3.0682700000000001</v>
      </c>
      <c r="C1493">
        <v>3.835</v>
      </c>
      <c r="D1493">
        <f>WEEKDAY(A1493,14)</f>
        <v>6</v>
      </c>
      <c r="E1493">
        <f t="shared" si="92"/>
        <v>0.7</v>
      </c>
      <c r="F1493">
        <f t="shared" si="93"/>
        <v>4</v>
      </c>
      <c r="G1493">
        <f>IF(F1493&gt;F1492,G1492+B1493*E1493,B1493*E1493)</f>
        <v>2.2972614999999998</v>
      </c>
      <c r="H1493">
        <f t="shared" si="94"/>
        <v>0.75</v>
      </c>
      <c r="I1493">
        <f t="shared" si="95"/>
        <v>0</v>
      </c>
      <c r="J1493">
        <f>IF(I1492=0,0,C1492-I1492)</f>
        <v>0</v>
      </c>
    </row>
    <row r="1494" spans="1:10" x14ac:dyDescent="0.25">
      <c r="A1494" s="1">
        <v>40898</v>
      </c>
      <c r="B1494">
        <v>3.1062099999999999</v>
      </c>
      <c r="C1494">
        <v>3.835</v>
      </c>
      <c r="D1494">
        <f>WEEKDAY(A1494,14)</f>
        <v>7</v>
      </c>
      <c r="E1494">
        <f t="shared" si="92"/>
        <v>0.25</v>
      </c>
      <c r="F1494">
        <f t="shared" si="93"/>
        <v>5</v>
      </c>
      <c r="G1494">
        <f>IF(F1494&gt;F1493,G1493+B1494*E1494,B1494*E1494)</f>
        <v>3.0738139999999996</v>
      </c>
      <c r="H1494">
        <f t="shared" si="94"/>
        <v>1</v>
      </c>
      <c r="I1494">
        <f t="shared" si="95"/>
        <v>3.0738139999999996</v>
      </c>
      <c r="J1494">
        <f>IF(I1493=0,0,C1493-I1493)</f>
        <v>0</v>
      </c>
    </row>
    <row r="1495" spans="1:10" x14ac:dyDescent="0.25">
      <c r="A1495" s="1">
        <v>40899</v>
      </c>
      <c r="B1495">
        <v>3.0957300000000001</v>
      </c>
      <c r="C1495">
        <v>3.875</v>
      </c>
      <c r="D1495">
        <f>WEEKDAY(A1495,14)</f>
        <v>1</v>
      </c>
      <c r="E1495">
        <f t="shared" si="92"/>
        <v>0</v>
      </c>
      <c r="F1495">
        <f t="shared" si="93"/>
        <v>1</v>
      </c>
      <c r="G1495">
        <f>IF(F1495&gt;F1494,G1494+B1495*E1495,B1495*E1495)</f>
        <v>0</v>
      </c>
      <c r="H1495">
        <f t="shared" si="94"/>
        <v>0</v>
      </c>
      <c r="I1495">
        <f t="shared" si="95"/>
        <v>0</v>
      </c>
      <c r="J1495">
        <f>IF(I1494=0,0,C1494-I1494)</f>
        <v>0.76118600000000036</v>
      </c>
    </row>
    <row r="1496" spans="1:10" x14ac:dyDescent="0.25">
      <c r="A1496" s="1">
        <v>40900</v>
      </c>
      <c r="B1496">
        <v>3.1705000000000001</v>
      </c>
      <c r="C1496">
        <v>3.875</v>
      </c>
      <c r="D1496">
        <f>WEEKDAY(A1496,14)</f>
        <v>2</v>
      </c>
      <c r="E1496">
        <f t="shared" si="92"/>
        <v>0</v>
      </c>
      <c r="F1496">
        <f t="shared" si="93"/>
        <v>2</v>
      </c>
      <c r="G1496">
        <f>IF(F1496&gt;F1495,G1495+B1496*E1496,B1496*E1496)</f>
        <v>0</v>
      </c>
      <c r="H1496">
        <f t="shared" si="94"/>
        <v>0</v>
      </c>
      <c r="I1496">
        <f t="shared" si="95"/>
        <v>0</v>
      </c>
      <c r="J1496">
        <f>IF(I1495=0,0,C1495-I1495)</f>
        <v>0</v>
      </c>
    </row>
    <row r="1497" spans="1:10" x14ac:dyDescent="0.25">
      <c r="A1497" s="1">
        <v>40904</v>
      </c>
      <c r="B1497">
        <v>3.1525400000000001</v>
      </c>
      <c r="C1497">
        <v>3.875</v>
      </c>
      <c r="D1497">
        <f>WEEKDAY(A1497,14)</f>
        <v>6</v>
      </c>
      <c r="E1497">
        <f t="shared" si="92"/>
        <v>0.7</v>
      </c>
      <c r="F1497">
        <f t="shared" si="93"/>
        <v>3</v>
      </c>
      <c r="G1497">
        <f>IF(F1497&gt;F1496,G1496+B1497*E1497,B1497*E1497)</f>
        <v>2.2067779999999999</v>
      </c>
      <c r="H1497">
        <f t="shared" si="94"/>
        <v>0.7</v>
      </c>
      <c r="I1497">
        <f t="shared" si="95"/>
        <v>0</v>
      </c>
      <c r="J1497">
        <f>IF(I1496=0,0,C1496-I1496)</f>
        <v>0</v>
      </c>
    </row>
    <row r="1498" spans="1:10" x14ac:dyDescent="0.25">
      <c r="A1498" s="1">
        <v>40905</v>
      </c>
      <c r="B1498">
        <v>3.0482399999999998</v>
      </c>
      <c r="C1498">
        <v>3.875</v>
      </c>
      <c r="D1498">
        <f>WEEKDAY(A1498,14)</f>
        <v>7</v>
      </c>
      <c r="E1498">
        <f t="shared" si="92"/>
        <v>0.25</v>
      </c>
      <c r="F1498">
        <f t="shared" si="93"/>
        <v>4</v>
      </c>
      <c r="G1498">
        <f>IF(F1498&gt;F1497,G1497+B1498*E1498,B1498*E1498)</f>
        <v>2.9688379999999999</v>
      </c>
      <c r="H1498">
        <f t="shared" si="94"/>
        <v>0.95</v>
      </c>
      <c r="I1498">
        <f t="shared" si="95"/>
        <v>3.1250926315789473</v>
      </c>
      <c r="J1498">
        <f>IF(I1497=0,0,C1497-I1497)</f>
        <v>0</v>
      </c>
    </row>
    <row r="1499" spans="1:10" x14ac:dyDescent="0.25">
      <c r="A1499" s="1">
        <v>40906</v>
      </c>
      <c r="B1499">
        <v>3.02888</v>
      </c>
      <c r="C1499">
        <v>3.86</v>
      </c>
      <c r="D1499">
        <f>WEEKDAY(A1499,14)</f>
        <v>1</v>
      </c>
      <c r="E1499">
        <f t="shared" si="92"/>
        <v>0</v>
      </c>
      <c r="F1499">
        <f t="shared" si="93"/>
        <v>1</v>
      </c>
      <c r="G1499">
        <f>IF(F1499&gt;F1498,G1498+B1499*E1499,B1499*E1499)</f>
        <v>0</v>
      </c>
      <c r="H1499">
        <f t="shared" si="94"/>
        <v>0</v>
      </c>
      <c r="I1499">
        <f t="shared" si="95"/>
        <v>0</v>
      </c>
      <c r="J1499">
        <f>IF(I1498=0,0,C1498-I1498)</f>
        <v>0.74990736842105266</v>
      </c>
    </row>
    <row r="1500" spans="1:10" x14ac:dyDescent="0.25">
      <c r="A1500" s="1">
        <v>40907</v>
      </c>
      <c r="B1500">
        <v>3.0169000000000001</v>
      </c>
      <c r="C1500">
        <v>3.86</v>
      </c>
      <c r="D1500">
        <f>WEEKDAY(A1500,14)</f>
        <v>2</v>
      </c>
      <c r="E1500">
        <f t="shared" si="92"/>
        <v>0</v>
      </c>
      <c r="F1500">
        <f t="shared" si="93"/>
        <v>2</v>
      </c>
      <c r="G1500">
        <f>IF(F1500&gt;F1499,G1499+B1500*E1500,B1500*E1500)</f>
        <v>0</v>
      </c>
      <c r="H1500">
        <f t="shared" si="94"/>
        <v>0</v>
      </c>
      <c r="I1500">
        <f t="shared" si="95"/>
        <v>0</v>
      </c>
      <c r="J1500">
        <f>IF(I1499=0,0,C1499-I1499)</f>
        <v>0</v>
      </c>
    </row>
    <row r="1501" spans="1:10" x14ac:dyDescent="0.25">
      <c r="A1501" s="1">
        <v>40911</v>
      </c>
      <c r="B1501">
        <v>2.99221</v>
      </c>
      <c r="C1501">
        <v>3.86</v>
      </c>
      <c r="D1501">
        <f>WEEKDAY(A1501,14)</f>
        <v>6</v>
      </c>
      <c r="E1501">
        <f t="shared" si="92"/>
        <v>0.7</v>
      </c>
      <c r="F1501">
        <f t="shared" si="93"/>
        <v>3</v>
      </c>
      <c r="G1501">
        <f>IF(F1501&gt;F1500,G1500+B1501*E1501,B1501*E1501)</f>
        <v>2.0945469999999999</v>
      </c>
      <c r="H1501">
        <f t="shared" si="94"/>
        <v>0.7</v>
      </c>
      <c r="I1501">
        <f t="shared" si="95"/>
        <v>0</v>
      </c>
      <c r="J1501">
        <f>IF(I1500=0,0,C1500-I1500)</f>
        <v>0</v>
      </c>
    </row>
    <row r="1502" spans="1:10" x14ac:dyDescent="0.25">
      <c r="A1502" s="1">
        <v>40912</v>
      </c>
      <c r="B1502">
        <v>2.9956999999999998</v>
      </c>
      <c r="C1502">
        <v>3.86</v>
      </c>
      <c r="D1502">
        <f>WEEKDAY(A1502,14)</f>
        <v>7</v>
      </c>
      <c r="E1502">
        <f t="shared" si="92"/>
        <v>0.25</v>
      </c>
      <c r="F1502">
        <f t="shared" si="93"/>
        <v>4</v>
      </c>
      <c r="G1502">
        <f>IF(F1502&gt;F1501,G1501+B1502*E1502,B1502*E1502)</f>
        <v>2.8434719999999998</v>
      </c>
      <c r="H1502">
        <f t="shared" si="94"/>
        <v>0.95</v>
      </c>
      <c r="I1502">
        <f t="shared" si="95"/>
        <v>2.9931284210526314</v>
      </c>
      <c r="J1502">
        <f>IF(I1501=0,0,C1501-I1501)</f>
        <v>0</v>
      </c>
    </row>
    <row r="1503" spans="1:10" x14ac:dyDescent="0.25">
      <c r="A1503" s="1">
        <v>40913</v>
      </c>
      <c r="B1503">
        <v>2.91011</v>
      </c>
      <c r="C1503">
        <v>3.8149999999999999</v>
      </c>
      <c r="D1503">
        <f>WEEKDAY(A1503,14)</f>
        <v>1</v>
      </c>
      <c r="E1503">
        <f t="shared" si="92"/>
        <v>0</v>
      </c>
      <c r="F1503">
        <f t="shared" si="93"/>
        <v>1</v>
      </c>
      <c r="G1503">
        <f>IF(F1503&gt;F1502,G1502+B1503*E1503,B1503*E1503)</f>
        <v>0</v>
      </c>
      <c r="H1503">
        <f t="shared" si="94"/>
        <v>0</v>
      </c>
      <c r="I1503">
        <f t="shared" si="95"/>
        <v>0</v>
      </c>
      <c r="J1503">
        <f>IF(I1502=0,0,C1502-I1502)</f>
        <v>0.86687157894736844</v>
      </c>
    </row>
    <row r="1504" spans="1:10" x14ac:dyDescent="0.25">
      <c r="A1504" s="1">
        <v>40914</v>
      </c>
      <c r="B1504">
        <v>2.85738</v>
      </c>
      <c r="C1504">
        <v>3.8149999999999999</v>
      </c>
      <c r="D1504">
        <f>WEEKDAY(A1504,14)</f>
        <v>2</v>
      </c>
      <c r="E1504">
        <f t="shared" si="92"/>
        <v>0</v>
      </c>
      <c r="F1504">
        <f t="shared" si="93"/>
        <v>2</v>
      </c>
      <c r="G1504">
        <f>IF(F1504&gt;F1503,G1503+B1504*E1504,B1504*E1504)</f>
        <v>0</v>
      </c>
      <c r="H1504">
        <f t="shared" si="94"/>
        <v>0</v>
      </c>
      <c r="I1504">
        <f t="shared" si="95"/>
        <v>0</v>
      </c>
      <c r="J1504">
        <f>IF(I1503=0,0,C1503-I1503)</f>
        <v>0</v>
      </c>
    </row>
    <row r="1505" spans="1:10" x14ac:dyDescent="0.25">
      <c r="A1505" s="1">
        <v>40917</v>
      </c>
      <c r="B1505">
        <v>2.8757199999999998</v>
      </c>
      <c r="C1505">
        <v>3.8149999999999999</v>
      </c>
      <c r="D1505">
        <f>WEEKDAY(A1505,14)</f>
        <v>5</v>
      </c>
      <c r="E1505">
        <f t="shared" si="92"/>
        <v>0.05</v>
      </c>
      <c r="F1505">
        <f t="shared" si="93"/>
        <v>3</v>
      </c>
      <c r="G1505">
        <f>IF(F1505&gt;F1504,G1504+B1505*E1505,B1505*E1505)</f>
        <v>0.143786</v>
      </c>
      <c r="H1505">
        <f t="shared" si="94"/>
        <v>0.05</v>
      </c>
      <c r="I1505">
        <f t="shared" si="95"/>
        <v>0</v>
      </c>
      <c r="J1505">
        <f>IF(I1504=0,0,C1504-I1504)</f>
        <v>0</v>
      </c>
    </row>
    <row r="1506" spans="1:10" x14ac:dyDescent="0.25">
      <c r="A1506" s="1">
        <v>40918</v>
      </c>
      <c r="B1506">
        <v>2.9177900000000001</v>
      </c>
      <c r="C1506">
        <v>3.8149999999999999</v>
      </c>
      <c r="D1506">
        <f>WEEKDAY(A1506,14)</f>
        <v>6</v>
      </c>
      <c r="E1506">
        <f t="shared" si="92"/>
        <v>0.7</v>
      </c>
      <c r="F1506">
        <f t="shared" si="93"/>
        <v>4</v>
      </c>
      <c r="G1506">
        <f>IF(F1506&gt;F1505,G1505+B1506*E1506,B1506*E1506)</f>
        <v>2.186239</v>
      </c>
      <c r="H1506">
        <f t="shared" si="94"/>
        <v>0.75</v>
      </c>
      <c r="I1506">
        <f t="shared" si="95"/>
        <v>0</v>
      </c>
      <c r="J1506">
        <f>IF(I1505=0,0,C1505-I1505)</f>
        <v>0</v>
      </c>
    </row>
    <row r="1507" spans="1:10" x14ac:dyDescent="0.25">
      <c r="A1507" s="1">
        <v>40919</v>
      </c>
      <c r="B1507">
        <v>2.8837700000000002</v>
      </c>
      <c r="C1507">
        <v>3.8149999999999999</v>
      </c>
      <c r="D1507">
        <f>WEEKDAY(A1507,14)</f>
        <v>7</v>
      </c>
      <c r="E1507">
        <f t="shared" si="92"/>
        <v>0.25</v>
      </c>
      <c r="F1507">
        <f t="shared" si="93"/>
        <v>5</v>
      </c>
      <c r="G1507">
        <f>IF(F1507&gt;F1506,G1506+B1507*E1507,B1507*E1507)</f>
        <v>2.9071815000000001</v>
      </c>
      <c r="H1507">
        <f t="shared" si="94"/>
        <v>1</v>
      </c>
      <c r="I1507">
        <f t="shared" si="95"/>
        <v>2.9071815000000001</v>
      </c>
      <c r="J1507">
        <f>IF(I1506=0,0,C1506-I1506)</f>
        <v>0</v>
      </c>
    </row>
    <row r="1508" spans="1:10" x14ac:dyDescent="0.25">
      <c r="A1508" s="1">
        <v>40920</v>
      </c>
      <c r="B1508">
        <v>2.8523399999999999</v>
      </c>
      <c r="C1508">
        <v>3.83</v>
      </c>
      <c r="D1508">
        <f>WEEKDAY(A1508,14)</f>
        <v>1</v>
      </c>
      <c r="E1508">
        <f t="shared" si="92"/>
        <v>0</v>
      </c>
      <c r="F1508">
        <f t="shared" si="93"/>
        <v>1</v>
      </c>
      <c r="G1508">
        <f>IF(F1508&gt;F1507,G1507+B1508*E1508,B1508*E1508)</f>
        <v>0</v>
      </c>
      <c r="H1508">
        <f t="shared" si="94"/>
        <v>0</v>
      </c>
      <c r="I1508">
        <f t="shared" si="95"/>
        <v>0</v>
      </c>
      <c r="J1508">
        <f>IF(I1507=0,0,C1507-I1507)</f>
        <v>0.90781849999999986</v>
      </c>
    </row>
    <row r="1509" spans="1:10" x14ac:dyDescent="0.25">
      <c r="A1509" s="1">
        <v>40921</v>
      </c>
      <c r="B1509">
        <v>2.8163100000000001</v>
      </c>
      <c r="C1509">
        <v>3.83</v>
      </c>
      <c r="D1509">
        <f>WEEKDAY(A1509,14)</f>
        <v>2</v>
      </c>
      <c r="E1509">
        <f t="shared" si="92"/>
        <v>0</v>
      </c>
      <c r="F1509">
        <f t="shared" si="93"/>
        <v>2</v>
      </c>
      <c r="G1509">
        <f>IF(F1509&gt;F1508,G1508+B1509*E1509,B1509*E1509)</f>
        <v>0</v>
      </c>
      <c r="H1509">
        <f t="shared" si="94"/>
        <v>0</v>
      </c>
      <c r="I1509">
        <f t="shared" si="95"/>
        <v>0</v>
      </c>
      <c r="J1509">
        <f>IF(I1508=0,0,C1508-I1508)</f>
        <v>0</v>
      </c>
    </row>
    <row r="1510" spans="1:10" x14ac:dyDescent="0.25">
      <c r="A1510" s="1">
        <v>40925</v>
      </c>
      <c r="B1510">
        <v>2.8626399999999999</v>
      </c>
      <c r="C1510">
        <v>3.83</v>
      </c>
      <c r="D1510">
        <f>WEEKDAY(A1510,14)</f>
        <v>6</v>
      </c>
      <c r="E1510">
        <f t="shared" si="92"/>
        <v>0.7</v>
      </c>
      <c r="F1510">
        <f t="shared" si="93"/>
        <v>3</v>
      </c>
      <c r="G1510">
        <f>IF(F1510&gt;F1509,G1509+B1510*E1510,B1510*E1510)</f>
        <v>2.0038479999999996</v>
      </c>
      <c r="H1510">
        <f t="shared" si="94"/>
        <v>0.7</v>
      </c>
      <c r="I1510">
        <f t="shared" si="95"/>
        <v>0</v>
      </c>
      <c r="J1510">
        <f>IF(I1509=0,0,C1509-I1509)</f>
        <v>0</v>
      </c>
    </row>
    <row r="1511" spans="1:10" x14ac:dyDescent="0.25">
      <c r="A1511" s="1">
        <v>40926</v>
      </c>
      <c r="B1511">
        <v>2.9029500000000001</v>
      </c>
      <c r="C1511">
        <v>3.83</v>
      </c>
      <c r="D1511">
        <f>WEEKDAY(A1511,14)</f>
        <v>7</v>
      </c>
      <c r="E1511">
        <f t="shared" si="92"/>
        <v>0.25</v>
      </c>
      <c r="F1511">
        <f t="shared" si="93"/>
        <v>4</v>
      </c>
      <c r="G1511">
        <f>IF(F1511&gt;F1510,G1510+B1511*E1511,B1511*E1511)</f>
        <v>2.7295854999999998</v>
      </c>
      <c r="H1511">
        <f t="shared" si="94"/>
        <v>0.95</v>
      </c>
      <c r="I1511">
        <f t="shared" si="95"/>
        <v>2.8732478947368421</v>
      </c>
      <c r="J1511">
        <f>IF(I1510=0,0,C1510-I1510)</f>
        <v>0</v>
      </c>
    </row>
    <row r="1512" spans="1:10" x14ac:dyDescent="0.25">
      <c r="A1512" s="1">
        <v>40927</v>
      </c>
      <c r="B1512">
        <v>2.9647700000000001</v>
      </c>
      <c r="C1512">
        <v>3.9049999999999998</v>
      </c>
      <c r="D1512">
        <f>WEEKDAY(A1512,14)</f>
        <v>1</v>
      </c>
      <c r="E1512">
        <f t="shared" si="92"/>
        <v>0</v>
      </c>
      <c r="F1512">
        <f t="shared" si="93"/>
        <v>1</v>
      </c>
      <c r="G1512">
        <f>IF(F1512&gt;F1511,G1511+B1512*E1512,B1512*E1512)</f>
        <v>0</v>
      </c>
      <c r="H1512">
        <f t="shared" si="94"/>
        <v>0</v>
      </c>
      <c r="I1512">
        <f t="shared" si="95"/>
        <v>0</v>
      </c>
      <c r="J1512">
        <f>IF(I1511=0,0,C1511-I1511)</f>
        <v>0.95675210526315801</v>
      </c>
    </row>
    <row r="1513" spans="1:10" x14ac:dyDescent="0.25">
      <c r="A1513" s="1">
        <v>40928</v>
      </c>
      <c r="B1513">
        <v>2.9761099999999998</v>
      </c>
      <c r="C1513">
        <v>3.9049999999999998</v>
      </c>
      <c r="D1513">
        <f>WEEKDAY(A1513,14)</f>
        <v>2</v>
      </c>
      <c r="E1513">
        <f t="shared" si="92"/>
        <v>0</v>
      </c>
      <c r="F1513">
        <f t="shared" si="93"/>
        <v>2</v>
      </c>
      <c r="G1513">
        <f>IF(F1513&gt;F1512,G1512+B1513*E1513,B1513*E1513)</f>
        <v>0</v>
      </c>
      <c r="H1513">
        <f t="shared" si="94"/>
        <v>0</v>
      </c>
      <c r="I1513">
        <f t="shared" si="95"/>
        <v>0</v>
      </c>
      <c r="J1513">
        <f>IF(I1512=0,0,C1512-I1512)</f>
        <v>0</v>
      </c>
    </row>
    <row r="1514" spans="1:10" x14ac:dyDescent="0.25">
      <c r="A1514" s="1">
        <v>40931</v>
      </c>
      <c r="B1514">
        <v>2.9725600000000001</v>
      </c>
      <c r="C1514">
        <v>3.9049999999999998</v>
      </c>
      <c r="D1514">
        <f>WEEKDAY(A1514,14)</f>
        <v>5</v>
      </c>
      <c r="E1514">
        <f t="shared" si="92"/>
        <v>0.05</v>
      </c>
      <c r="F1514">
        <f t="shared" si="93"/>
        <v>3</v>
      </c>
      <c r="G1514">
        <f>IF(F1514&gt;F1513,G1513+B1514*E1514,B1514*E1514)</f>
        <v>0.14862800000000001</v>
      </c>
      <c r="H1514">
        <f t="shared" si="94"/>
        <v>0.05</v>
      </c>
      <c r="I1514">
        <f t="shared" si="95"/>
        <v>0</v>
      </c>
      <c r="J1514">
        <f>IF(I1513=0,0,C1513-I1513)</f>
        <v>0</v>
      </c>
    </row>
    <row r="1515" spans="1:10" x14ac:dyDescent="0.25">
      <c r="A1515" s="1">
        <v>40932</v>
      </c>
      <c r="B1515">
        <v>2.9598800000000001</v>
      </c>
      <c r="C1515">
        <v>3.9049999999999998</v>
      </c>
      <c r="D1515">
        <f>WEEKDAY(A1515,14)</f>
        <v>6</v>
      </c>
      <c r="E1515">
        <f t="shared" si="92"/>
        <v>0.7</v>
      </c>
      <c r="F1515">
        <f t="shared" si="93"/>
        <v>4</v>
      </c>
      <c r="G1515">
        <f>IF(F1515&gt;F1514,G1514+B1515*E1515,B1515*E1515)</f>
        <v>2.2205439999999999</v>
      </c>
      <c r="H1515">
        <f t="shared" si="94"/>
        <v>0.75</v>
      </c>
      <c r="I1515">
        <f t="shared" si="95"/>
        <v>0</v>
      </c>
      <c r="J1515">
        <f>IF(I1514=0,0,C1514-I1514)</f>
        <v>0</v>
      </c>
    </row>
    <row r="1516" spans="1:10" x14ac:dyDescent="0.25">
      <c r="A1516" s="1">
        <v>40933</v>
      </c>
      <c r="B1516">
        <v>2.90516</v>
      </c>
      <c r="C1516">
        <v>3.9049999999999998</v>
      </c>
      <c r="D1516">
        <f>WEEKDAY(A1516,14)</f>
        <v>7</v>
      </c>
      <c r="E1516">
        <f t="shared" si="92"/>
        <v>0.25</v>
      </c>
      <c r="F1516">
        <f t="shared" si="93"/>
        <v>5</v>
      </c>
      <c r="G1516">
        <f>IF(F1516&gt;F1515,G1515+B1516*E1516,B1516*E1516)</f>
        <v>2.946834</v>
      </c>
      <c r="H1516">
        <f t="shared" si="94"/>
        <v>1</v>
      </c>
      <c r="I1516">
        <f t="shared" si="95"/>
        <v>2.946834</v>
      </c>
      <c r="J1516">
        <f>IF(I1515=0,0,C1515-I1515)</f>
        <v>0</v>
      </c>
    </row>
    <row r="1517" spans="1:10" x14ac:dyDescent="0.25">
      <c r="A1517" s="1">
        <v>40934</v>
      </c>
      <c r="B1517">
        <v>2.8435800000000002</v>
      </c>
      <c r="C1517">
        <v>3.82</v>
      </c>
      <c r="D1517">
        <f>WEEKDAY(A1517,14)</f>
        <v>1</v>
      </c>
      <c r="E1517">
        <f t="shared" si="92"/>
        <v>0</v>
      </c>
      <c r="F1517">
        <f t="shared" si="93"/>
        <v>1</v>
      </c>
      <c r="G1517">
        <f>IF(F1517&gt;F1516,G1516+B1517*E1517,B1517*E1517)</f>
        <v>0</v>
      </c>
      <c r="H1517">
        <f t="shared" si="94"/>
        <v>0</v>
      </c>
      <c r="I1517">
        <f t="shared" si="95"/>
        <v>0</v>
      </c>
      <c r="J1517">
        <f>IF(I1516=0,0,C1516-I1516)</f>
        <v>0.95816599999999985</v>
      </c>
    </row>
    <row r="1518" spans="1:10" x14ac:dyDescent="0.25">
      <c r="A1518" s="1">
        <v>40935</v>
      </c>
      <c r="B1518">
        <v>2.8082400000000001</v>
      </c>
      <c r="C1518">
        <v>3.82</v>
      </c>
      <c r="D1518">
        <f>WEEKDAY(A1518,14)</f>
        <v>2</v>
      </c>
      <c r="E1518">
        <f t="shared" si="92"/>
        <v>0</v>
      </c>
      <c r="F1518">
        <f t="shared" si="93"/>
        <v>2</v>
      </c>
      <c r="G1518">
        <f>IF(F1518&gt;F1517,G1517+B1518*E1518,B1518*E1518)</f>
        <v>0</v>
      </c>
      <c r="H1518">
        <f t="shared" si="94"/>
        <v>0</v>
      </c>
      <c r="I1518">
        <f t="shared" si="95"/>
        <v>0</v>
      </c>
      <c r="J1518">
        <f>IF(I1517=0,0,C1517-I1517)</f>
        <v>0</v>
      </c>
    </row>
    <row r="1519" spans="1:10" x14ac:dyDescent="0.25">
      <c r="A1519" s="1">
        <v>40938</v>
      </c>
      <c r="B1519">
        <v>2.8089499999999998</v>
      </c>
      <c r="C1519">
        <v>3.82</v>
      </c>
      <c r="D1519">
        <f>WEEKDAY(A1519,14)</f>
        <v>5</v>
      </c>
      <c r="E1519">
        <f t="shared" si="92"/>
        <v>0.05</v>
      </c>
      <c r="F1519">
        <f t="shared" si="93"/>
        <v>3</v>
      </c>
      <c r="G1519">
        <f>IF(F1519&gt;F1518,G1518+B1519*E1519,B1519*E1519)</f>
        <v>0.1404475</v>
      </c>
      <c r="H1519">
        <f t="shared" si="94"/>
        <v>0.05</v>
      </c>
      <c r="I1519">
        <f t="shared" si="95"/>
        <v>0</v>
      </c>
      <c r="J1519">
        <f>IF(I1518=0,0,C1518-I1518)</f>
        <v>0</v>
      </c>
    </row>
    <row r="1520" spans="1:10" x14ac:dyDescent="0.25">
      <c r="A1520" s="1">
        <v>40939</v>
      </c>
      <c r="B1520">
        <v>2.7763</v>
      </c>
      <c r="C1520">
        <v>3.82</v>
      </c>
      <c r="D1520">
        <f>WEEKDAY(A1520,14)</f>
        <v>6</v>
      </c>
      <c r="E1520">
        <f t="shared" si="92"/>
        <v>0.7</v>
      </c>
      <c r="F1520">
        <f t="shared" si="93"/>
        <v>4</v>
      </c>
      <c r="G1520">
        <f>IF(F1520&gt;F1519,G1519+B1520*E1520,B1520*E1520)</f>
        <v>2.0838574999999997</v>
      </c>
      <c r="H1520">
        <f t="shared" si="94"/>
        <v>0.75</v>
      </c>
      <c r="I1520">
        <f t="shared" si="95"/>
        <v>0</v>
      </c>
      <c r="J1520">
        <f>IF(I1519=0,0,C1519-I1519)</f>
        <v>0</v>
      </c>
    </row>
    <row r="1521" spans="1:10" x14ac:dyDescent="0.25">
      <c r="A1521" s="1">
        <v>40940</v>
      </c>
      <c r="B1521">
        <v>2.7729400000000002</v>
      </c>
      <c r="C1521">
        <v>3.82</v>
      </c>
      <c r="D1521">
        <f>WEEKDAY(A1521,14)</f>
        <v>7</v>
      </c>
      <c r="E1521">
        <f t="shared" si="92"/>
        <v>0.25</v>
      </c>
      <c r="F1521">
        <f t="shared" si="93"/>
        <v>5</v>
      </c>
      <c r="G1521">
        <f>IF(F1521&gt;F1520,G1520+B1521*E1521,B1521*E1521)</f>
        <v>2.7770924999999997</v>
      </c>
      <c r="H1521">
        <f t="shared" si="94"/>
        <v>1</v>
      </c>
      <c r="I1521">
        <f t="shared" si="95"/>
        <v>2.7770924999999997</v>
      </c>
      <c r="J1521">
        <f>IF(I1520=0,0,C1520-I1520)</f>
        <v>0</v>
      </c>
    </row>
    <row r="1522" spans="1:10" x14ac:dyDescent="0.25">
      <c r="A1522" s="1">
        <v>40941</v>
      </c>
      <c r="B1522">
        <v>2.7164000000000001</v>
      </c>
      <c r="C1522">
        <v>3.82</v>
      </c>
      <c r="D1522">
        <f>WEEKDAY(A1522,14)</f>
        <v>1</v>
      </c>
      <c r="E1522">
        <f t="shared" si="92"/>
        <v>0</v>
      </c>
      <c r="F1522">
        <f t="shared" si="93"/>
        <v>1</v>
      </c>
      <c r="G1522">
        <f>IF(F1522&gt;F1521,G1521+B1522*E1522,B1522*E1522)</f>
        <v>0</v>
      </c>
      <c r="H1522">
        <f t="shared" si="94"/>
        <v>0</v>
      </c>
      <c r="I1522">
        <f t="shared" si="95"/>
        <v>0</v>
      </c>
      <c r="J1522">
        <f>IF(I1521=0,0,C1521-I1521)</f>
        <v>1.0429075000000001</v>
      </c>
    </row>
    <row r="1523" spans="1:10" x14ac:dyDescent="0.25">
      <c r="A1523" s="1">
        <v>40942</v>
      </c>
      <c r="B1523">
        <v>2.8101400000000001</v>
      </c>
      <c r="C1523">
        <v>3.82</v>
      </c>
      <c r="D1523">
        <f>WEEKDAY(A1523,14)</f>
        <v>2</v>
      </c>
      <c r="E1523">
        <f t="shared" si="92"/>
        <v>0</v>
      </c>
      <c r="F1523">
        <f t="shared" si="93"/>
        <v>2</v>
      </c>
      <c r="G1523">
        <f>IF(F1523&gt;F1522,G1522+B1523*E1523,B1523*E1523)</f>
        <v>0</v>
      </c>
      <c r="H1523">
        <f t="shared" si="94"/>
        <v>0</v>
      </c>
      <c r="I1523">
        <f t="shared" si="95"/>
        <v>0</v>
      </c>
      <c r="J1523">
        <f>IF(I1522=0,0,C1522-I1522)</f>
        <v>0</v>
      </c>
    </row>
    <row r="1524" spans="1:10" x14ac:dyDescent="0.25">
      <c r="A1524" s="1">
        <v>40945</v>
      </c>
      <c r="B1524">
        <v>2.7613300000000001</v>
      </c>
      <c r="C1524">
        <v>3.82</v>
      </c>
      <c r="D1524">
        <f>WEEKDAY(A1524,14)</f>
        <v>5</v>
      </c>
      <c r="E1524">
        <f t="shared" si="92"/>
        <v>0.05</v>
      </c>
      <c r="F1524">
        <f t="shared" si="93"/>
        <v>3</v>
      </c>
      <c r="G1524">
        <f>IF(F1524&gt;F1523,G1523+B1524*E1524,B1524*E1524)</f>
        <v>0.13806650000000001</v>
      </c>
      <c r="H1524">
        <f t="shared" si="94"/>
        <v>0.05</v>
      </c>
      <c r="I1524">
        <f t="shared" si="95"/>
        <v>0</v>
      </c>
      <c r="J1524">
        <f>IF(I1523=0,0,C1523-I1523)</f>
        <v>0</v>
      </c>
    </row>
    <row r="1525" spans="1:10" x14ac:dyDescent="0.25">
      <c r="A1525" s="1">
        <v>40946</v>
      </c>
      <c r="B1525">
        <v>2.7946</v>
      </c>
      <c r="C1525">
        <v>3.82</v>
      </c>
      <c r="D1525">
        <f>WEEKDAY(A1525,14)</f>
        <v>6</v>
      </c>
      <c r="E1525">
        <f t="shared" si="92"/>
        <v>0.7</v>
      </c>
      <c r="F1525">
        <f t="shared" si="93"/>
        <v>4</v>
      </c>
      <c r="G1525">
        <f>IF(F1525&gt;F1524,G1524+B1525*E1525,B1525*E1525)</f>
        <v>2.0942864999999999</v>
      </c>
      <c r="H1525">
        <f t="shared" si="94"/>
        <v>0.75</v>
      </c>
      <c r="I1525">
        <f t="shared" si="95"/>
        <v>0</v>
      </c>
      <c r="J1525">
        <f>IF(I1524=0,0,C1524-I1524)</f>
        <v>0</v>
      </c>
    </row>
    <row r="1526" spans="1:10" x14ac:dyDescent="0.25">
      <c r="A1526" s="1">
        <v>40947</v>
      </c>
      <c r="B1526">
        <v>2.7670300000000001</v>
      </c>
      <c r="C1526">
        <v>3.82</v>
      </c>
      <c r="D1526">
        <f>WEEKDAY(A1526,14)</f>
        <v>7</v>
      </c>
      <c r="E1526">
        <f t="shared" si="92"/>
        <v>0.25</v>
      </c>
      <c r="F1526">
        <f t="shared" si="93"/>
        <v>5</v>
      </c>
      <c r="G1526">
        <f>IF(F1526&gt;F1525,G1525+B1526*E1526,B1526*E1526)</f>
        <v>2.786044</v>
      </c>
      <c r="H1526">
        <f t="shared" si="94"/>
        <v>1</v>
      </c>
      <c r="I1526">
        <f t="shared" si="95"/>
        <v>2.786044</v>
      </c>
      <c r="J1526">
        <f>IF(I1525=0,0,C1525-I1525)</f>
        <v>0</v>
      </c>
    </row>
    <row r="1527" spans="1:10" x14ac:dyDescent="0.25">
      <c r="A1527" s="1">
        <v>40948</v>
      </c>
      <c r="B1527">
        <v>2.84585</v>
      </c>
      <c r="C1527">
        <v>3.82</v>
      </c>
      <c r="D1527">
        <f>WEEKDAY(A1527,14)</f>
        <v>1</v>
      </c>
      <c r="E1527">
        <f t="shared" si="92"/>
        <v>0</v>
      </c>
      <c r="F1527">
        <f t="shared" si="93"/>
        <v>1</v>
      </c>
      <c r="G1527">
        <f>IF(F1527&gt;F1526,G1526+B1527*E1527,B1527*E1527)</f>
        <v>0</v>
      </c>
      <c r="H1527">
        <f t="shared" si="94"/>
        <v>0</v>
      </c>
      <c r="I1527">
        <f t="shared" si="95"/>
        <v>0</v>
      </c>
      <c r="J1527">
        <f>IF(I1526=0,0,C1526-I1526)</f>
        <v>1.0339559999999999</v>
      </c>
    </row>
    <row r="1528" spans="1:10" x14ac:dyDescent="0.25">
      <c r="A1528" s="1">
        <v>40949</v>
      </c>
      <c r="B1528">
        <v>2.8097500000000002</v>
      </c>
      <c r="C1528">
        <v>3.82</v>
      </c>
      <c r="D1528">
        <f>WEEKDAY(A1528,14)</f>
        <v>2</v>
      </c>
      <c r="E1528">
        <f t="shared" si="92"/>
        <v>0</v>
      </c>
      <c r="F1528">
        <f t="shared" si="93"/>
        <v>2</v>
      </c>
      <c r="G1528">
        <f>IF(F1528&gt;F1527,G1527+B1528*E1528,B1528*E1528)</f>
        <v>0</v>
      </c>
      <c r="H1528">
        <f t="shared" si="94"/>
        <v>0</v>
      </c>
      <c r="I1528">
        <f t="shared" si="95"/>
        <v>0</v>
      </c>
      <c r="J1528">
        <f>IF(I1527=0,0,C1527-I1527)</f>
        <v>0</v>
      </c>
    </row>
    <row r="1529" spans="1:10" x14ac:dyDescent="0.25">
      <c r="A1529" s="1">
        <v>40952</v>
      </c>
      <c r="B1529">
        <v>2.8174899999999998</v>
      </c>
      <c r="C1529">
        <v>3.82</v>
      </c>
      <c r="D1529">
        <f>WEEKDAY(A1529,14)</f>
        <v>5</v>
      </c>
      <c r="E1529">
        <f t="shared" si="92"/>
        <v>0.05</v>
      </c>
      <c r="F1529">
        <f t="shared" si="93"/>
        <v>3</v>
      </c>
      <c r="G1529">
        <f>IF(F1529&gt;F1528,G1528+B1529*E1529,B1529*E1529)</f>
        <v>0.14087449999999999</v>
      </c>
      <c r="H1529">
        <f t="shared" si="94"/>
        <v>0.05</v>
      </c>
      <c r="I1529">
        <f t="shared" si="95"/>
        <v>0</v>
      </c>
      <c r="J1529">
        <f>IF(I1528=0,0,C1528-I1528)</f>
        <v>0</v>
      </c>
    </row>
    <row r="1530" spans="1:10" x14ac:dyDescent="0.25">
      <c r="A1530" s="1">
        <v>40953</v>
      </c>
      <c r="B1530">
        <v>2.76681</v>
      </c>
      <c r="C1530">
        <v>3.82</v>
      </c>
      <c r="D1530">
        <f>WEEKDAY(A1530,14)</f>
        <v>6</v>
      </c>
      <c r="E1530">
        <f t="shared" si="92"/>
        <v>0.7</v>
      </c>
      <c r="F1530">
        <f t="shared" si="93"/>
        <v>4</v>
      </c>
      <c r="G1530">
        <f>IF(F1530&gt;F1529,G1529+B1530*E1530,B1530*E1530)</f>
        <v>2.0776414999999999</v>
      </c>
      <c r="H1530">
        <f t="shared" si="94"/>
        <v>0.75</v>
      </c>
      <c r="I1530">
        <f t="shared" si="95"/>
        <v>0</v>
      </c>
      <c r="J1530">
        <f>IF(I1529=0,0,C1529-I1529)</f>
        <v>0</v>
      </c>
    </row>
    <row r="1531" spans="1:10" x14ac:dyDescent="0.25">
      <c r="A1531" s="1">
        <v>40954</v>
      </c>
      <c r="B1531">
        <v>2.7822100000000001</v>
      </c>
      <c r="C1531">
        <v>3.82</v>
      </c>
      <c r="D1531">
        <f>WEEKDAY(A1531,14)</f>
        <v>7</v>
      </c>
      <c r="E1531">
        <f t="shared" si="92"/>
        <v>0.25</v>
      </c>
      <c r="F1531">
        <f t="shared" si="93"/>
        <v>5</v>
      </c>
      <c r="G1531">
        <f>IF(F1531&gt;F1530,G1530+B1531*E1531,B1531*E1531)</f>
        <v>2.7731940000000002</v>
      </c>
      <c r="H1531">
        <f t="shared" si="94"/>
        <v>1</v>
      </c>
      <c r="I1531">
        <f t="shared" si="95"/>
        <v>2.7731940000000002</v>
      </c>
      <c r="J1531">
        <f>IF(I1530=0,0,C1530-I1530)</f>
        <v>0</v>
      </c>
    </row>
    <row r="1532" spans="1:10" x14ac:dyDescent="0.25">
      <c r="A1532" s="1">
        <v>40955</v>
      </c>
      <c r="B1532">
        <v>2.8316699999999999</v>
      </c>
      <c r="C1532">
        <v>3.9</v>
      </c>
      <c r="D1532">
        <f>WEEKDAY(A1532,14)</f>
        <v>1</v>
      </c>
      <c r="E1532">
        <f t="shared" si="92"/>
        <v>0</v>
      </c>
      <c r="F1532">
        <f t="shared" si="93"/>
        <v>1</v>
      </c>
      <c r="G1532">
        <f>IF(F1532&gt;F1531,G1531+B1532*E1532,B1532*E1532)</f>
        <v>0</v>
      </c>
      <c r="H1532">
        <f t="shared" si="94"/>
        <v>0</v>
      </c>
      <c r="I1532">
        <f t="shared" si="95"/>
        <v>0</v>
      </c>
      <c r="J1532">
        <f>IF(I1531=0,0,C1531-I1531)</f>
        <v>1.0468059999999997</v>
      </c>
    </row>
    <row r="1533" spans="1:10" x14ac:dyDescent="0.25">
      <c r="A1533" s="1">
        <v>40956</v>
      </c>
      <c r="B1533">
        <v>2.86836</v>
      </c>
      <c r="C1533">
        <v>3.9</v>
      </c>
      <c r="D1533">
        <f>WEEKDAY(A1533,14)</f>
        <v>2</v>
      </c>
      <c r="E1533">
        <f t="shared" si="92"/>
        <v>0</v>
      </c>
      <c r="F1533">
        <f t="shared" si="93"/>
        <v>2</v>
      </c>
      <c r="G1533">
        <f>IF(F1533&gt;F1532,G1532+B1533*E1533,B1533*E1533)</f>
        <v>0</v>
      </c>
      <c r="H1533">
        <f t="shared" si="94"/>
        <v>0</v>
      </c>
      <c r="I1533">
        <f t="shared" si="95"/>
        <v>0</v>
      </c>
      <c r="J1533">
        <f>IF(I1532=0,0,C1532-I1532)</f>
        <v>0</v>
      </c>
    </row>
    <row r="1534" spans="1:10" x14ac:dyDescent="0.25">
      <c r="A1534" s="1">
        <v>40960</v>
      </c>
      <c r="B1534">
        <v>2.9231600000000002</v>
      </c>
      <c r="C1534">
        <v>3.9</v>
      </c>
      <c r="D1534">
        <f>WEEKDAY(A1534,14)</f>
        <v>6</v>
      </c>
      <c r="E1534">
        <f t="shared" si="92"/>
        <v>0.7</v>
      </c>
      <c r="F1534">
        <f t="shared" si="93"/>
        <v>3</v>
      </c>
      <c r="G1534">
        <f>IF(F1534&gt;F1533,G1533+B1534*E1534,B1534*E1534)</f>
        <v>2.0462120000000001</v>
      </c>
      <c r="H1534">
        <f t="shared" si="94"/>
        <v>0.7</v>
      </c>
      <c r="I1534">
        <f t="shared" si="95"/>
        <v>0</v>
      </c>
      <c r="J1534">
        <f>IF(I1533=0,0,C1533-I1533)</f>
        <v>0</v>
      </c>
    </row>
    <row r="1535" spans="1:10" x14ac:dyDescent="0.25">
      <c r="A1535" s="1">
        <v>40961</v>
      </c>
      <c r="B1535">
        <v>2.8731300000000002</v>
      </c>
      <c r="C1535">
        <v>3.9</v>
      </c>
      <c r="D1535">
        <f>WEEKDAY(A1535,14)</f>
        <v>7</v>
      </c>
      <c r="E1535">
        <f t="shared" si="92"/>
        <v>0.25</v>
      </c>
      <c r="F1535">
        <f t="shared" si="93"/>
        <v>4</v>
      </c>
      <c r="G1535">
        <f>IF(F1535&gt;F1534,G1534+B1535*E1535,B1535*E1535)</f>
        <v>2.7644945000000001</v>
      </c>
      <c r="H1535">
        <f t="shared" si="94"/>
        <v>0.95</v>
      </c>
      <c r="I1535">
        <f t="shared" si="95"/>
        <v>2.9099942105263161</v>
      </c>
      <c r="J1535">
        <f>IF(I1534=0,0,C1534-I1534)</f>
        <v>0</v>
      </c>
    </row>
    <row r="1536" spans="1:10" x14ac:dyDescent="0.25">
      <c r="A1536" s="1">
        <v>40962</v>
      </c>
      <c r="B1536">
        <v>2.8348300000000002</v>
      </c>
      <c r="C1536">
        <v>3.85</v>
      </c>
      <c r="D1536">
        <f>WEEKDAY(A1536,14)</f>
        <v>1</v>
      </c>
      <c r="E1536">
        <f t="shared" si="92"/>
        <v>0</v>
      </c>
      <c r="F1536">
        <f t="shared" si="93"/>
        <v>1</v>
      </c>
      <c r="G1536">
        <f>IF(F1536&gt;F1535,G1535+B1536*E1536,B1536*E1536)</f>
        <v>0</v>
      </c>
      <c r="H1536">
        <f t="shared" si="94"/>
        <v>0</v>
      </c>
      <c r="I1536">
        <f t="shared" si="95"/>
        <v>0</v>
      </c>
      <c r="J1536">
        <f>IF(I1535=0,0,C1535-I1535)</f>
        <v>0.99000578947368378</v>
      </c>
    </row>
    <row r="1537" spans="1:10" x14ac:dyDescent="0.25">
      <c r="A1537" s="1">
        <v>40963</v>
      </c>
      <c r="B1537">
        <v>2.8468499999999999</v>
      </c>
      <c r="C1537">
        <v>3.85</v>
      </c>
      <c r="D1537">
        <f>WEEKDAY(A1537,14)</f>
        <v>2</v>
      </c>
      <c r="E1537">
        <f t="shared" si="92"/>
        <v>0</v>
      </c>
      <c r="F1537">
        <f t="shared" si="93"/>
        <v>2</v>
      </c>
      <c r="G1537">
        <f>IF(F1537&gt;F1536,G1536+B1537*E1537,B1537*E1537)</f>
        <v>0</v>
      </c>
      <c r="H1537">
        <f t="shared" si="94"/>
        <v>0</v>
      </c>
      <c r="I1537">
        <f t="shared" si="95"/>
        <v>0</v>
      </c>
      <c r="J1537">
        <f>IF(I1536=0,0,C1536-I1536)</f>
        <v>0</v>
      </c>
    </row>
    <row r="1538" spans="1:10" x14ac:dyDescent="0.25">
      <c r="A1538" s="1">
        <v>40966</v>
      </c>
      <c r="B1538">
        <v>2.8205399999999998</v>
      </c>
      <c r="C1538">
        <v>3.85</v>
      </c>
      <c r="D1538">
        <f>WEEKDAY(A1538,14)</f>
        <v>5</v>
      </c>
      <c r="E1538">
        <f t="shared" si="92"/>
        <v>0.05</v>
      </c>
      <c r="F1538">
        <f t="shared" si="93"/>
        <v>3</v>
      </c>
      <c r="G1538">
        <f>IF(F1538&gt;F1537,G1537+B1538*E1538,B1538*E1538)</f>
        <v>0.14102699999999999</v>
      </c>
      <c r="H1538">
        <f t="shared" si="94"/>
        <v>0.05</v>
      </c>
      <c r="I1538">
        <f t="shared" si="95"/>
        <v>0</v>
      </c>
      <c r="J1538">
        <f>IF(I1537=0,0,C1537-I1537)</f>
        <v>0</v>
      </c>
    </row>
    <row r="1539" spans="1:10" x14ac:dyDescent="0.25">
      <c r="A1539" s="1">
        <v>40967</v>
      </c>
      <c r="B1539">
        <v>2.8102</v>
      </c>
      <c r="C1539">
        <v>3.85</v>
      </c>
      <c r="D1539">
        <f>WEEKDAY(A1539,14)</f>
        <v>6</v>
      </c>
      <c r="E1539">
        <f t="shared" ref="E1539:E1602" si="96">VLOOKUP(D1539,M$2:N$8,2,FALSE)</f>
        <v>0.7</v>
      </c>
      <c r="F1539">
        <f t="shared" ref="F1539:F1602" si="97">IF(AND(D1539&gt;D1538,F1538&lt;6),F1538+1,1)</f>
        <v>4</v>
      </c>
      <c r="G1539">
        <f>IF(F1539&gt;F1538,G1538+B1539*E1539,B1539*E1539)</f>
        <v>2.1081669999999999</v>
      </c>
      <c r="H1539">
        <f t="shared" si="94"/>
        <v>0.75</v>
      </c>
      <c r="I1539">
        <f t="shared" si="95"/>
        <v>0</v>
      </c>
      <c r="J1539">
        <f>IF(I1538=0,0,C1538-I1538)</f>
        <v>0</v>
      </c>
    </row>
    <row r="1540" spans="1:10" x14ac:dyDescent="0.25">
      <c r="A1540" s="1">
        <v>40968</v>
      </c>
      <c r="B1540">
        <v>2.8817300000000001</v>
      </c>
      <c r="C1540">
        <v>3.85</v>
      </c>
      <c r="D1540">
        <f>WEEKDAY(A1540,14)</f>
        <v>7</v>
      </c>
      <c r="E1540">
        <f t="shared" si="96"/>
        <v>0.25</v>
      </c>
      <c r="F1540">
        <f t="shared" si="97"/>
        <v>5</v>
      </c>
      <c r="G1540">
        <f>IF(F1540&gt;F1539,G1539+B1540*E1540,B1540*E1540)</f>
        <v>2.8285995000000002</v>
      </c>
      <c r="H1540">
        <f t="shared" ref="H1540:H1603" si="98">IF(AND(F1540&lt;6,F1540&gt;F1539),E1540+H1539,E1540)</f>
        <v>1</v>
      </c>
      <c r="I1540">
        <f t="shared" ref="I1540:I1603" si="99">IF(F1540&gt;F1541,G1540/H1540,0)</f>
        <v>2.8285995000000002</v>
      </c>
      <c r="J1540">
        <f>IF(I1539=0,0,C1539-I1539)</f>
        <v>0</v>
      </c>
    </row>
    <row r="1541" spans="1:10" x14ac:dyDescent="0.25">
      <c r="A1541" s="1">
        <v>40969</v>
      </c>
      <c r="B1541">
        <v>2.9287200000000002</v>
      </c>
      <c r="C1541">
        <v>3.83</v>
      </c>
      <c r="D1541">
        <f>WEEKDAY(A1541,14)</f>
        <v>1</v>
      </c>
      <c r="E1541">
        <f t="shared" si="96"/>
        <v>0</v>
      </c>
      <c r="F1541">
        <f t="shared" si="97"/>
        <v>1</v>
      </c>
      <c r="G1541">
        <f>IF(F1541&gt;F1540,G1540+B1541*E1541,B1541*E1541)</f>
        <v>0</v>
      </c>
      <c r="H1541">
        <f t="shared" si="98"/>
        <v>0</v>
      </c>
      <c r="I1541">
        <f t="shared" si="99"/>
        <v>0</v>
      </c>
      <c r="J1541">
        <f>IF(I1540=0,0,C1540-I1540)</f>
        <v>1.0214004999999999</v>
      </c>
    </row>
    <row r="1542" spans="1:10" x14ac:dyDescent="0.25">
      <c r="A1542" s="1">
        <v>40970</v>
      </c>
      <c r="B1542">
        <v>2.8908</v>
      </c>
      <c r="C1542">
        <v>3.83</v>
      </c>
      <c r="D1542">
        <f>WEEKDAY(A1542,14)</f>
        <v>2</v>
      </c>
      <c r="E1542">
        <f t="shared" si="96"/>
        <v>0</v>
      </c>
      <c r="F1542">
        <f t="shared" si="97"/>
        <v>2</v>
      </c>
      <c r="G1542">
        <f>IF(F1542&gt;F1541,G1541+B1542*E1542,B1542*E1542)</f>
        <v>0</v>
      </c>
      <c r="H1542">
        <f t="shared" si="98"/>
        <v>0</v>
      </c>
      <c r="I1542">
        <f t="shared" si="99"/>
        <v>0</v>
      </c>
      <c r="J1542">
        <f>IF(I1541=0,0,C1541-I1541)</f>
        <v>0</v>
      </c>
    </row>
    <row r="1543" spans="1:10" x14ac:dyDescent="0.25">
      <c r="A1543" s="1">
        <v>40973</v>
      </c>
      <c r="B1543">
        <v>2.9007700000000001</v>
      </c>
      <c r="C1543">
        <v>3.83</v>
      </c>
      <c r="D1543">
        <f>WEEKDAY(A1543,14)</f>
        <v>5</v>
      </c>
      <c r="E1543">
        <f t="shared" si="96"/>
        <v>0.05</v>
      </c>
      <c r="F1543">
        <f t="shared" si="97"/>
        <v>3</v>
      </c>
      <c r="G1543">
        <f>IF(F1543&gt;F1542,G1542+B1543*E1543,B1543*E1543)</f>
        <v>0.14503850000000001</v>
      </c>
      <c r="H1543">
        <f t="shared" si="98"/>
        <v>0.05</v>
      </c>
      <c r="I1543">
        <f t="shared" si="99"/>
        <v>0</v>
      </c>
      <c r="J1543">
        <f>IF(I1542=0,0,C1542-I1542)</f>
        <v>0</v>
      </c>
    </row>
    <row r="1544" spans="1:10" x14ac:dyDescent="0.25">
      <c r="A1544" s="1">
        <v>40974</v>
      </c>
      <c r="B1544">
        <v>2.8650600000000002</v>
      </c>
      <c r="C1544">
        <v>3.83</v>
      </c>
      <c r="D1544">
        <f>WEEKDAY(A1544,14)</f>
        <v>6</v>
      </c>
      <c r="E1544">
        <f t="shared" si="96"/>
        <v>0.7</v>
      </c>
      <c r="F1544">
        <f t="shared" si="97"/>
        <v>4</v>
      </c>
      <c r="G1544">
        <f>IF(F1544&gt;F1543,G1543+B1544*E1544,B1544*E1544)</f>
        <v>2.1505805000000002</v>
      </c>
      <c r="H1544">
        <f t="shared" si="98"/>
        <v>0.75</v>
      </c>
      <c r="I1544">
        <f t="shared" si="99"/>
        <v>0</v>
      </c>
      <c r="J1544">
        <f>IF(I1543=0,0,C1543-I1543)</f>
        <v>0</v>
      </c>
    </row>
    <row r="1545" spans="1:10" x14ac:dyDescent="0.25">
      <c r="A1545" s="1">
        <v>40975</v>
      </c>
      <c r="B1545">
        <v>2.8996200000000001</v>
      </c>
      <c r="C1545">
        <v>3.83</v>
      </c>
      <c r="D1545">
        <f>WEEKDAY(A1545,14)</f>
        <v>7</v>
      </c>
      <c r="E1545">
        <f t="shared" si="96"/>
        <v>0.25</v>
      </c>
      <c r="F1545">
        <f t="shared" si="97"/>
        <v>5</v>
      </c>
      <c r="G1545">
        <f>IF(F1545&gt;F1544,G1544+B1545*E1545,B1545*E1545)</f>
        <v>2.8754855000000004</v>
      </c>
      <c r="H1545">
        <f t="shared" si="98"/>
        <v>1</v>
      </c>
      <c r="I1545">
        <f t="shared" si="99"/>
        <v>2.8754855000000004</v>
      </c>
      <c r="J1545">
        <f>IF(I1544=0,0,C1544-I1544)</f>
        <v>0</v>
      </c>
    </row>
    <row r="1546" spans="1:10" x14ac:dyDescent="0.25">
      <c r="A1546" s="1">
        <v>40976</v>
      </c>
      <c r="B1546">
        <v>2.93364</v>
      </c>
      <c r="C1546">
        <v>3.87</v>
      </c>
      <c r="D1546">
        <f>WEEKDAY(A1546,14)</f>
        <v>1</v>
      </c>
      <c r="E1546">
        <f t="shared" si="96"/>
        <v>0</v>
      </c>
      <c r="F1546">
        <f t="shared" si="97"/>
        <v>1</v>
      </c>
      <c r="G1546">
        <f>IF(F1546&gt;F1545,G1545+B1546*E1546,B1546*E1546)</f>
        <v>0</v>
      </c>
      <c r="H1546">
        <f t="shared" si="98"/>
        <v>0</v>
      </c>
      <c r="I1546">
        <f t="shared" si="99"/>
        <v>0</v>
      </c>
      <c r="J1546">
        <f>IF(I1545=0,0,C1545-I1545)</f>
        <v>0.95451449999999971</v>
      </c>
    </row>
    <row r="1547" spans="1:10" x14ac:dyDescent="0.25">
      <c r="A1547" s="1">
        <v>40977</v>
      </c>
      <c r="B1547">
        <v>2.9219499999999998</v>
      </c>
      <c r="C1547">
        <v>3.87</v>
      </c>
      <c r="D1547">
        <f>WEEKDAY(A1547,14)</f>
        <v>2</v>
      </c>
      <c r="E1547">
        <f t="shared" si="96"/>
        <v>0</v>
      </c>
      <c r="F1547">
        <f t="shared" si="97"/>
        <v>2</v>
      </c>
      <c r="G1547">
        <f>IF(F1547&gt;F1546,G1546+B1547*E1547,B1547*E1547)</f>
        <v>0</v>
      </c>
      <c r="H1547">
        <f t="shared" si="98"/>
        <v>0</v>
      </c>
      <c r="I1547">
        <f t="shared" si="99"/>
        <v>0</v>
      </c>
      <c r="J1547">
        <f>IF(I1546=0,0,C1546-I1546)</f>
        <v>0</v>
      </c>
    </row>
    <row r="1548" spans="1:10" x14ac:dyDescent="0.25">
      <c r="A1548" s="1">
        <v>40980</v>
      </c>
      <c r="B1548">
        <v>2.9162400000000002</v>
      </c>
      <c r="C1548">
        <v>3.87</v>
      </c>
      <c r="D1548">
        <f>WEEKDAY(A1548,14)</f>
        <v>5</v>
      </c>
      <c r="E1548">
        <f t="shared" si="96"/>
        <v>0.05</v>
      </c>
      <c r="F1548">
        <f t="shared" si="97"/>
        <v>3</v>
      </c>
      <c r="G1548">
        <f>IF(F1548&gt;F1547,G1547+B1548*E1548,B1548*E1548)</f>
        <v>0.14581200000000002</v>
      </c>
      <c r="H1548">
        <f t="shared" si="98"/>
        <v>0.05</v>
      </c>
      <c r="I1548">
        <f t="shared" si="99"/>
        <v>0</v>
      </c>
      <c r="J1548">
        <f>IF(I1547=0,0,C1547-I1547)</f>
        <v>0</v>
      </c>
    </row>
    <row r="1549" spans="1:10" x14ac:dyDescent="0.25">
      <c r="A1549" s="1">
        <v>40981</v>
      </c>
      <c r="B1549">
        <v>2.9914000000000001</v>
      </c>
      <c r="C1549">
        <v>3.87</v>
      </c>
      <c r="D1549">
        <f>WEEKDAY(A1549,14)</f>
        <v>6</v>
      </c>
      <c r="E1549">
        <f t="shared" si="96"/>
        <v>0.7</v>
      </c>
      <c r="F1549">
        <f t="shared" si="97"/>
        <v>4</v>
      </c>
      <c r="G1549">
        <f>IF(F1549&gt;F1548,G1548+B1549*E1549,B1549*E1549)</f>
        <v>2.2397919999999996</v>
      </c>
      <c r="H1549">
        <f t="shared" si="98"/>
        <v>0.75</v>
      </c>
      <c r="I1549">
        <f t="shared" si="99"/>
        <v>0</v>
      </c>
      <c r="J1549">
        <f>IF(I1548=0,0,C1548-I1548)</f>
        <v>0</v>
      </c>
    </row>
    <row r="1550" spans="1:10" x14ac:dyDescent="0.25">
      <c r="A1550" s="1">
        <v>40982</v>
      </c>
      <c r="B1550">
        <v>3.1695899999999999</v>
      </c>
      <c r="C1550">
        <v>3.87</v>
      </c>
      <c r="D1550">
        <f>WEEKDAY(A1550,14)</f>
        <v>7</v>
      </c>
      <c r="E1550">
        <f t="shared" si="96"/>
        <v>0.25</v>
      </c>
      <c r="F1550">
        <f t="shared" si="97"/>
        <v>5</v>
      </c>
      <c r="G1550">
        <f>IF(F1550&gt;F1549,G1549+B1550*E1550,B1550*E1550)</f>
        <v>3.0321894999999994</v>
      </c>
      <c r="H1550">
        <f t="shared" si="98"/>
        <v>1</v>
      </c>
      <c r="I1550">
        <f t="shared" si="99"/>
        <v>3.0321894999999994</v>
      </c>
      <c r="J1550">
        <f>IF(I1549=0,0,C1549-I1549)</f>
        <v>0</v>
      </c>
    </row>
    <row r="1551" spans="1:10" x14ac:dyDescent="0.25">
      <c r="A1551" s="1">
        <v>40983</v>
      </c>
      <c r="B1551">
        <v>3.15896</v>
      </c>
      <c r="C1551">
        <v>4.03</v>
      </c>
      <c r="D1551">
        <f>WEEKDAY(A1551,14)</f>
        <v>1</v>
      </c>
      <c r="E1551">
        <f t="shared" si="96"/>
        <v>0</v>
      </c>
      <c r="F1551">
        <f t="shared" si="97"/>
        <v>1</v>
      </c>
      <c r="G1551">
        <f>IF(F1551&gt;F1550,G1550+B1551*E1551,B1551*E1551)</f>
        <v>0</v>
      </c>
      <c r="H1551">
        <f t="shared" si="98"/>
        <v>0</v>
      </c>
      <c r="I1551">
        <f t="shared" si="99"/>
        <v>0</v>
      </c>
      <c r="J1551">
        <f>IF(I1550=0,0,C1550-I1550)</f>
        <v>0.83781050000000068</v>
      </c>
    </row>
    <row r="1552" spans="1:10" x14ac:dyDescent="0.25">
      <c r="A1552" s="1">
        <v>40984</v>
      </c>
      <c r="B1552">
        <v>3.1309499999999999</v>
      </c>
      <c r="C1552">
        <v>4.03</v>
      </c>
      <c r="D1552">
        <f>WEEKDAY(A1552,14)</f>
        <v>2</v>
      </c>
      <c r="E1552">
        <f t="shared" si="96"/>
        <v>0</v>
      </c>
      <c r="F1552">
        <f t="shared" si="97"/>
        <v>2</v>
      </c>
      <c r="G1552">
        <f>IF(F1552&gt;F1551,G1551+B1552*E1552,B1552*E1552)</f>
        <v>0</v>
      </c>
      <c r="H1552">
        <f t="shared" si="98"/>
        <v>0</v>
      </c>
      <c r="I1552">
        <f t="shared" si="99"/>
        <v>0</v>
      </c>
      <c r="J1552">
        <f>IF(I1551=0,0,C1551-I1551)</f>
        <v>0</v>
      </c>
    </row>
    <row r="1553" spans="1:10" x14ac:dyDescent="0.25">
      <c r="A1553" s="1">
        <v>40987</v>
      </c>
      <c r="B1553">
        <v>3.23638</v>
      </c>
      <c r="C1553">
        <v>4.03</v>
      </c>
      <c r="D1553">
        <f>WEEKDAY(A1553,14)</f>
        <v>5</v>
      </c>
      <c r="E1553">
        <f t="shared" si="96"/>
        <v>0.05</v>
      </c>
      <c r="F1553">
        <f t="shared" si="97"/>
        <v>3</v>
      </c>
      <c r="G1553">
        <f>IF(F1553&gt;F1552,G1552+B1553*E1553,B1553*E1553)</f>
        <v>0.16181900000000002</v>
      </c>
      <c r="H1553">
        <f t="shared" si="98"/>
        <v>0.05</v>
      </c>
      <c r="I1553">
        <f t="shared" si="99"/>
        <v>0</v>
      </c>
      <c r="J1553">
        <f>IF(I1552=0,0,C1552-I1552)</f>
        <v>0</v>
      </c>
    </row>
    <row r="1554" spans="1:10" x14ac:dyDescent="0.25">
      <c r="A1554" s="1">
        <v>40988</v>
      </c>
      <c r="B1554">
        <v>3.2414399999999999</v>
      </c>
      <c r="C1554">
        <v>4.03</v>
      </c>
      <c r="D1554">
        <f>WEEKDAY(A1554,14)</f>
        <v>6</v>
      </c>
      <c r="E1554">
        <f t="shared" si="96"/>
        <v>0.7</v>
      </c>
      <c r="F1554">
        <f t="shared" si="97"/>
        <v>4</v>
      </c>
      <c r="G1554">
        <f>IF(F1554&gt;F1553,G1553+B1554*E1554,B1554*E1554)</f>
        <v>2.4308269999999998</v>
      </c>
      <c r="H1554">
        <f t="shared" si="98"/>
        <v>0.75</v>
      </c>
      <c r="I1554">
        <f t="shared" si="99"/>
        <v>0</v>
      </c>
      <c r="J1554">
        <f>IF(I1553=0,0,C1553-I1553)</f>
        <v>0</v>
      </c>
    </row>
    <row r="1555" spans="1:10" x14ac:dyDescent="0.25">
      <c r="A1555" s="1">
        <v>40989</v>
      </c>
      <c r="B1555">
        <v>3.1573199999999999</v>
      </c>
      <c r="C1555">
        <v>4.03</v>
      </c>
      <c r="D1555">
        <f>WEEKDAY(A1555,14)</f>
        <v>7</v>
      </c>
      <c r="E1555">
        <f t="shared" si="96"/>
        <v>0.25</v>
      </c>
      <c r="F1555">
        <f t="shared" si="97"/>
        <v>5</v>
      </c>
      <c r="G1555">
        <f>IF(F1555&gt;F1554,G1554+B1555*E1555,B1555*E1555)</f>
        <v>3.2201569999999999</v>
      </c>
      <c r="H1555">
        <f t="shared" si="98"/>
        <v>1</v>
      </c>
      <c r="I1555">
        <f t="shared" si="99"/>
        <v>3.2201569999999999</v>
      </c>
      <c r="J1555">
        <f>IF(I1554=0,0,C1554-I1554)</f>
        <v>0</v>
      </c>
    </row>
    <row r="1556" spans="1:10" x14ac:dyDescent="0.25">
      <c r="A1556" s="1">
        <v>40990</v>
      </c>
      <c r="B1556">
        <v>3.1570800000000001</v>
      </c>
      <c r="C1556">
        <v>3.915</v>
      </c>
      <c r="D1556">
        <f>WEEKDAY(A1556,14)</f>
        <v>1</v>
      </c>
      <c r="E1556">
        <f t="shared" si="96"/>
        <v>0</v>
      </c>
      <c r="F1556">
        <f t="shared" si="97"/>
        <v>1</v>
      </c>
      <c r="G1556">
        <f>IF(F1556&gt;F1555,G1555+B1556*E1556,B1556*E1556)</f>
        <v>0</v>
      </c>
      <c r="H1556">
        <f t="shared" si="98"/>
        <v>0</v>
      </c>
      <c r="I1556">
        <f t="shared" si="99"/>
        <v>0</v>
      </c>
      <c r="J1556">
        <f>IF(I1555=0,0,C1555-I1555)</f>
        <v>0.80984300000000031</v>
      </c>
    </row>
    <row r="1557" spans="1:10" x14ac:dyDescent="0.25">
      <c r="A1557" s="1">
        <v>40991</v>
      </c>
      <c r="B1557">
        <v>3.13245</v>
      </c>
      <c r="C1557">
        <v>3.915</v>
      </c>
      <c r="D1557">
        <f>WEEKDAY(A1557,14)</f>
        <v>2</v>
      </c>
      <c r="E1557">
        <f t="shared" si="96"/>
        <v>0</v>
      </c>
      <c r="F1557">
        <f t="shared" si="97"/>
        <v>2</v>
      </c>
      <c r="G1557">
        <f>IF(F1557&gt;F1556,G1556+B1557*E1557,B1557*E1557)</f>
        <v>0</v>
      </c>
      <c r="H1557">
        <f t="shared" si="98"/>
        <v>0</v>
      </c>
      <c r="I1557">
        <f t="shared" si="99"/>
        <v>0</v>
      </c>
      <c r="J1557">
        <f>IF(I1556=0,0,C1556-I1556)</f>
        <v>0</v>
      </c>
    </row>
    <row r="1558" spans="1:10" x14ac:dyDescent="0.25">
      <c r="A1558" s="1">
        <v>40994</v>
      </c>
      <c r="B1558">
        <v>3.1182799999999999</v>
      </c>
      <c r="C1558">
        <v>3.915</v>
      </c>
      <c r="D1558">
        <f>WEEKDAY(A1558,14)</f>
        <v>5</v>
      </c>
      <c r="E1558">
        <f t="shared" si="96"/>
        <v>0.05</v>
      </c>
      <c r="F1558">
        <f t="shared" si="97"/>
        <v>3</v>
      </c>
      <c r="G1558">
        <f>IF(F1558&gt;F1557,G1557+B1558*E1558,B1558*E1558)</f>
        <v>0.155914</v>
      </c>
      <c r="H1558">
        <f t="shared" si="98"/>
        <v>0.05</v>
      </c>
      <c r="I1558">
        <f t="shared" si="99"/>
        <v>0</v>
      </c>
      <c r="J1558">
        <f>IF(I1557=0,0,C1557-I1557)</f>
        <v>0</v>
      </c>
    </row>
    <row r="1559" spans="1:10" x14ac:dyDescent="0.25">
      <c r="A1559" s="1">
        <v>40995</v>
      </c>
      <c r="B1559">
        <v>3.0398999999999998</v>
      </c>
      <c r="C1559">
        <v>3.915</v>
      </c>
      <c r="D1559">
        <f>WEEKDAY(A1559,14)</f>
        <v>6</v>
      </c>
      <c r="E1559">
        <f t="shared" si="96"/>
        <v>0.7</v>
      </c>
      <c r="F1559">
        <f t="shared" si="97"/>
        <v>4</v>
      </c>
      <c r="G1559">
        <f>IF(F1559&gt;F1558,G1558+B1559*E1559,B1559*E1559)</f>
        <v>2.2838439999999998</v>
      </c>
      <c r="H1559">
        <f t="shared" si="98"/>
        <v>0.75</v>
      </c>
      <c r="I1559">
        <f t="shared" si="99"/>
        <v>0</v>
      </c>
      <c r="J1559">
        <f>IF(I1558=0,0,C1558-I1558)</f>
        <v>0</v>
      </c>
    </row>
    <row r="1560" spans="1:10" x14ac:dyDescent="0.25">
      <c r="A1560" s="1">
        <v>40996</v>
      </c>
      <c r="B1560">
        <v>3.0568399999999998</v>
      </c>
      <c r="C1560">
        <v>3.915</v>
      </c>
      <c r="D1560">
        <f>WEEKDAY(A1560,14)</f>
        <v>7</v>
      </c>
      <c r="E1560">
        <f t="shared" si="96"/>
        <v>0.25</v>
      </c>
      <c r="F1560">
        <f t="shared" si="97"/>
        <v>5</v>
      </c>
      <c r="G1560">
        <f>IF(F1560&gt;F1559,G1559+B1560*E1560,B1560*E1560)</f>
        <v>3.0480539999999996</v>
      </c>
      <c r="H1560">
        <f t="shared" si="98"/>
        <v>1</v>
      </c>
      <c r="I1560">
        <f t="shared" si="99"/>
        <v>3.0480539999999996</v>
      </c>
      <c r="J1560">
        <f>IF(I1559=0,0,C1559-I1559)</f>
        <v>0</v>
      </c>
    </row>
    <row r="1561" spans="1:10" x14ac:dyDescent="0.25">
      <c r="A1561" s="1">
        <v>40997</v>
      </c>
      <c r="B1561">
        <v>3.02196</v>
      </c>
      <c r="C1561">
        <v>3.9049999999999998</v>
      </c>
      <c r="D1561">
        <f>WEEKDAY(A1561,14)</f>
        <v>1</v>
      </c>
      <c r="E1561">
        <f t="shared" si="96"/>
        <v>0</v>
      </c>
      <c r="F1561">
        <f t="shared" si="97"/>
        <v>1</v>
      </c>
      <c r="G1561">
        <f>IF(F1561&gt;F1560,G1560+B1561*E1561,B1561*E1561)</f>
        <v>0</v>
      </c>
      <c r="H1561">
        <f t="shared" si="98"/>
        <v>0</v>
      </c>
      <c r="I1561">
        <f t="shared" si="99"/>
        <v>0</v>
      </c>
      <c r="J1561">
        <f>IF(I1560=0,0,C1560-I1560)</f>
        <v>0.86694600000000044</v>
      </c>
    </row>
    <row r="1562" spans="1:10" x14ac:dyDescent="0.25">
      <c r="A1562" s="1">
        <v>40998</v>
      </c>
      <c r="B1562">
        <v>3.0669200000000001</v>
      </c>
      <c r="C1562">
        <v>3.9049999999999998</v>
      </c>
      <c r="D1562">
        <f>WEEKDAY(A1562,14)</f>
        <v>2</v>
      </c>
      <c r="E1562">
        <f t="shared" si="96"/>
        <v>0</v>
      </c>
      <c r="F1562">
        <f t="shared" si="97"/>
        <v>2</v>
      </c>
      <c r="G1562">
        <f>IF(F1562&gt;F1561,G1561+B1562*E1562,B1562*E1562)</f>
        <v>0</v>
      </c>
      <c r="H1562">
        <f t="shared" si="98"/>
        <v>0</v>
      </c>
      <c r="I1562">
        <f t="shared" si="99"/>
        <v>0</v>
      </c>
      <c r="J1562">
        <f>IF(I1561=0,0,C1561-I1561)</f>
        <v>0</v>
      </c>
    </row>
    <row r="1563" spans="1:10" x14ac:dyDescent="0.25">
      <c r="A1563" s="1">
        <v>41001</v>
      </c>
      <c r="B1563">
        <v>3.0449600000000001</v>
      </c>
      <c r="C1563">
        <v>3.9049999999999998</v>
      </c>
      <c r="D1563">
        <f>WEEKDAY(A1563,14)</f>
        <v>5</v>
      </c>
      <c r="E1563">
        <f t="shared" si="96"/>
        <v>0.05</v>
      </c>
      <c r="F1563">
        <f t="shared" si="97"/>
        <v>3</v>
      </c>
      <c r="G1563">
        <f>IF(F1563&gt;F1562,G1562+B1563*E1563,B1563*E1563)</f>
        <v>0.15224800000000002</v>
      </c>
      <c r="H1563">
        <f t="shared" si="98"/>
        <v>0.05</v>
      </c>
      <c r="I1563">
        <f t="shared" si="99"/>
        <v>0</v>
      </c>
      <c r="J1563">
        <f>IF(I1562=0,0,C1562-I1562)</f>
        <v>0</v>
      </c>
    </row>
    <row r="1564" spans="1:10" x14ac:dyDescent="0.25">
      <c r="A1564" s="1">
        <v>41002</v>
      </c>
      <c r="B1564">
        <v>3.16492</v>
      </c>
      <c r="C1564">
        <v>3.9049999999999998</v>
      </c>
      <c r="D1564">
        <f>WEEKDAY(A1564,14)</f>
        <v>6</v>
      </c>
      <c r="E1564">
        <f t="shared" si="96"/>
        <v>0.7</v>
      </c>
      <c r="F1564">
        <f t="shared" si="97"/>
        <v>4</v>
      </c>
      <c r="G1564">
        <f>IF(F1564&gt;F1563,G1563+B1564*E1564,B1564*E1564)</f>
        <v>2.3676919999999999</v>
      </c>
      <c r="H1564">
        <f t="shared" si="98"/>
        <v>0.75</v>
      </c>
      <c r="I1564">
        <f t="shared" si="99"/>
        <v>0</v>
      </c>
      <c r="J1564">
        <f>IF(I1563=0,0,C1563-I1563)</f>
        <v>0</v>
      </c>
    </row>
    <row r="1565" spans="1:10" x14ac:dyDescent="0.25">
      <c r="A1565" s="1">
        <v>41003</v>
      </c>
      <c r="B1565">
        <v>3.1088</v>
      </c>
      <c r="C1565">
        <v>3.9049999999999998</v>
      </c>
      <c r="D1565">
        <f>WEEKDAY(A1565,14)</f>
        <v>7</v>
      </c>
      <c r="E1565">
        <f t="shared" si="96"/>
        <v>0.25</v>
      </c>
      <c r="F1565">
        <f t="shared" si="97"/>
        <v>5</v>
      </c>
      <c r="G1565">
        <f>IF(F1565&gt;F1564,G1564+B1565*E1565,B1565*E1565)</f>
        <v>3.144892</v>
      </c>
      <c r="H1565">
        <f t="shared" si="98"/>
        <v>1</v>
      </c>
      <c r="I1565">
        <f t="shared" si="99"/>
        <v>3.144892</v>
      </c>
      <c r="J1565">
        <f>IF(I1564=0,0,C1564-I1564)</f>
        <v>0</v>
      </c>
    </row>
    <row r="1566" spans="1:10" x14ac:dyDescent="0.25">
      <c r="A1566" s="1">
        <v>41004</v>
      </c>
      <c r="B1566">
        <v>3.05396</v>
      </c>
      <c r="C1566">
        <v>3.8050000000000002</v>
      </c>
      <c r="D1566">
        <f>WEEKDAY(A1566,14)</f>
        <v>1</v>
      </c>
      <c r="E1566">
        <f t="shared" si="96"/>
        <v>0</v>
      </c>
      <c r="F1566">
        <f t="shared" si="97"/>
        <v>1</v>
      </c>
      <c r="G1566">
        <f>IF(F1566&gt;F1565,G1565+B1566*E1566,B1566*E1566)</f>
        <v>0</v>
      </c>
      <c r="H1566">
        <f t="shared" si="98"/>
        <v>0</v>
      </c>
      <c r="I1566">
        <f t="shared" si="99"/>
        <v>0</v>
      </c>
      <c r="J1566">
        <f>IF(I1565=0,0,C1565-I1565)</f>
        <v>0.76010799999999978</v>
      </c>
    </row>
    <row r="1567" spans="1:10" x14ac:dyDescent="0.25">
      <c r="A1567" s="1">
        <v>41005</v>
      </c>
      <c r="B1567">
        <v>2.93072</v>
      </c>
      <c r="C1567">
        <v>3.8050000000000002</v>
      </c>
      <c r="D1567">
        <f>WEEKDAY(A1567,14)</f>
        <v>2</v>
      </c>
      <c r="E1567">
        <f t="shared" si="96"/>
        <v>0</v>
      </c>
      <c r="F1567">
        <f t="shared" si="97"/>
        <v>2</v>
      </c>
      <c r="G1567">
        <f>IF(F1567&gt;F1566,G1566+B1567*E1567,B1567*E1567)</f>
        <v>0</v>
      </c>
      <c r="H1567">
        <f t="shared" si="98"/>
        <v>0</v>
      </c>
      <c r="I1567">
        <f t="shared" si="99"/>
        <v>0</v>
      </c>
      <c r="J1567">
        <f>IF(I1566=0,0,C1566-I1566)</f>
        <v>0</v>
      </c>
    </row>
    <row r="1568" spans="1:10" x14ac:dyDescent="0.25">
      <c r="A1568" s="1">
        <v>41008</v>
      </c>
      <c r="B1568">
        <v>2.9115199999999999</v>
      </c>
      <c r="C1568">
        <v>3.8050000000000002</v>
      </c>
      <c r="D1568">
        <f>WEEKDAY(A1568,14)</f>
        <v>5</v>
      </c>
      <c r="E1568">
        <f t="shared" si="96"/>
        <v>0.05</v>
      </c>
      <c r="F1568">
        <f t="shared" si="97"/>
        <v>3</v>
      </c>
      <c r="G1568">
        <f>IF(F1568&gt;F1567,G1567+B1568*E1568,B1568*E1568)</f>
        <v>0.14557600000000001</v>
      </c>
      <c r="H1568">
        <f t="shared" si="98"/>
        <v>0.05</v>
      </c>
      <c r="I1568">
        <f t="shared" si="99"/>
        <v>0</v>
      </c>
      <c r="J1568">
        <f>IF(I1567=0,0,C1567-I1567)</f>
        <v>0</v>
      </c>
    </row>
    <row r="1569" spans="1:10" x14ac:dyDescent="0.25">
      <c r="A1569" s="1">
        <v>41009</v>
      </c>
      <c r="B1569">
        <v>2.91099</v>
      </c>
      <c r="C1569">
        <v>3.8050000000000002</v>
      </c>
      <c r="D1569">
        <f>WEEKDAY(A1569,14)</f>
        <v>6</v>
      </c>
      <c r="E1569">
        <f t="shared" si="96"/>
        <v>0.7</v>
      </c>
      <c r="F1569">
        <f t="shared" si="97"/>
        <v>4</v>
      </c>
      <c r="G1569">
        <f>IF(F1569&gt;F1568,G1568+B1569*E1569,B1569*E1569)</f>
        <v>2.1832690000000001</v>
      </c>
      <c r="H1569">
        <f t="shared" si="98"/>
        <v>0.75</v>
      </c>
      <c r="I1569">
        <f t="shared" si="99"/>
        <v>0</v>
      </c>
      <c r="J1569">
        <f>IF(I1568=0,0,C1568-I1568)</f>
        <v>0</v>
      </c>
    </row>
    <row r="1570" spans="1:10" x14ac:dyDescent="0.25">
      <c r="A1570" s="1">
        <v>41010</v>
      </c>
      <c r="B1570">
        <v>2.9307799999999999</v>
      </c>
      <c r="C1570">
        <v>3.8050000000000002</v>
      </c>
      <c r="D1570">
        <f>WEEKDAY(A1570,14)</f>
        <v>7</v>
      </c>
      <c r="E1570">
        <f t="shared" si="96"/>
        <v>0.25</v>
      </c>
      <c r="F1570">
        <f t="shared" si="97"/>
        <v>5</v>
      </c>
      <c r="G1570">
        <f>IF(F1570&gt;F1569,G1569+B1570*E1570,B1570*E1570)</f>
        <v>2.9159640000000002</v>
      </c>
      <c r="H1570">
        <f t="shared" si="98"/>
        <v>1</v>
      </c>
      <c r="I1570">
        <f t="shared" si="99"/>
        <v>2.9159640000000002</v>
      </c>
      <c r="J1570">
        <f>IF(I1569=0,0,C1569-I1569)</f>
        <v>0</v>
      </c>
    </row>
    <row r="1571" spans="1:10" x14ac:dyDescent="0.25">
      <c r="A1571" s="1">
        <v>41011</v>
      </c>
      <c r="B1571">
        <v>2.9674499999999999</v>
      </c>
      <c r="C1571">
        <v>3.85</v>
      </c>
      <c r="D1571">
        <f>WEEKDAY(A1571,14)</f>
        <v>1</v>
      </c>
      <c r="E1571">
        <f t="shared" si="96"/>
        <v>0</v>
      </c>
      <c r="F1571">
        <f t="shared" si="97"/>
        <v>1</v>
      </c>
      <c r="G1571">
        <f>IF(F1571&gt;F1570,G1570+B1571*E1571,B1571*E1571)</f>
        <v>0</v>
      </c>
      <c r="H1571">
        <f t="shared" si="98"/>
        <v>0</v>
      </c>
      <c r="I1571">
        <f t="shared" si="99"/>
        <v>0</v>
      </c>
      <c r="J1571">
        <f>IF(I1570=0,0,C1570-I1570)</f>
        <v>0.88903599999999994</v>
      </c>
    </row>
    <row r="1572" spans="1:10" x14ac:dyDescent="0.25">
      <c r="A1572" s="1">
        <v>41012</v>
      </c>
      <c r="B1572">
        <v>2.9322699999999999</v>
      </c>
      <c r="C1572">
        <v>3.85</v>
      </c>
      <c r="D1572">
        <f>WEEKDAY(A1572,14)</f>
        <v>2</v>
      </c>
      <c r="E1572">
        <f t="shared" si="96"/>
        <v>0</v>
      </c>
      <c r="F1572">
        <f t="shared" si="97"/>
        <v>2</v>
      </c>
      <c r="G1572">
        <f>IF(F1572&gt;F1571,G1571+B1572*E1572,B1572*E1572)</f>
        <v>0</v>
      </c>
      <c r="H1572">
        <f t="shared" si="98"/>
        <v>0</v>
      </c>
      <c r="I1572">
        <f t="shared" si="99"/>
        <v>0</v>
      </c>
      <c r="J1572">
        <f>IF(I1571=0,0,C1571-I1571)</f>
        <v>0</v>
      </c>
    </row>
    <row r="1573" spans="1:10" x14ac:dyDescent="0.25">
      <c r="A1573" s="1">
        <v>41015</v>
      </c>
      <c r="B1573">
        <v>2.9180799999999998</v>
      </c>
      <c r="C1573">
        <v>3.85</v>
      </c>
      <c r="D1573">
        <f>WEEKDAY(A1573,14)</f>
        <v>5</v>
      </c>
      <c r="E1573">
        <f t="shared" si="96"/>
        <v>0.05</v>
      </c>
      <c r="F1573">
        <f t="shared" si="97"/>
        <v>3</v>
      </c>
      <c r="G1573">
        <f>IF(F1573&gt;F1572,G1572+B1573*E1573,B1573*E1573)</f>
        <v>0.14590400000000001</v>
      </c>
      <c r="H1573">
        <f t="shared" si="98"/>
        <v>0.05</v>
      </c>
      <c r="I1573">
        <f t="shared" si="99"/>
        <v>0</v>
      </c>
      <c r="J1573">
        <f>IF(I1572=0,0,C1572-I1572)</f>
        <v>0</v>
      </c>
    </row>
    <row r="1574" spans="1:10" x14ac:dyDescent="0.25">
      <c r="A1574" s="1">
        <v>41016</v>
      </c>
      <c r="B1574">
        <v>2.9571000000000001</v>
      </c>
      <c r="C1574">
        <v>3.85</v>
      </c>
      <c r="D1574">
        <f>WEEKDAY(A1574,14)</f>
        <v>6</v>
      </c>
      <c r="E1574">
        <f t="shared" si="96"/>
        <v>0.7</v>
      </c>
      <c r="F1574">
        <f t="shared" si="97"/>
        <v>4</v>
      </c>
      <c r="G1574">
        <f>IF(F1574&gt;F1573,G1573+B1574*E1574,B1574*E1574)</f>
        <v>2.2158739999999999</v>
      </c>
      <c r="H1574">
        <f t="shared" si="98"/>
        <v>0.75</v>
      </c>
      <c r="I1574">
        <f t="shared" si="99"/>
        <v>0</v>
      </c>
      <c r="J1574">
        <f>IF(I1573=0,0,C1573-I1573)</f>
        <v>0</v>
      </c>
    </row>
    <row r="1575" spans="1:10" x14ac:dyDescent="0.25">
      <c r="A1575" s="1">
        <v>41017</v>
      </c>
      <c r="B1575">
        <v>2.9304600000000001</v>
      </c>
      <c r="C1575">
        <v>3.85</v>
      </c>
      <c r="D1575">
        <f>WEEKDAY(A1575,14)</f>
        <v>7</v>
      </c>
      <c r="E1575">
        <f t="shared" si="96"/>
        <v>0.25</v>
      </c>
      <c r="F1575">
        <f t="shared" si="97"/>
        <v>5</v>
      </c>
      <c r="G1575">
        <f>IF(F1575&gt;F1574,G1574+B1575*E1575,B1575*E1575)</f>
        <v>2.9484889999999999</v>
      </c>
      <c r="H1575">
        <f t="shared" si="98"/>
        <v>1</v>
      </c>
      <c r="I1575">
        <f t="shared" si="99"/>
        <v>2.9484889999999999</v>
      </c>
      <c r="J1575">
        <f>IF(I1574=0,0,C1574-I1574)</f>
        <v>0</v>
      </c>
    </row>
    <row r="1576" spans="1:10" x14ac:dyDescent="0.25">
      <c r="A1576" s="1">
        <v>41018</v>
      </c>
      <c r="B1576">
        <v>2.8874399999999998</v>
      </c>
      <c r="C1576">
        <v>3.8050000000000002</v>
      </c>
      <c r="D1576">
        <f>WEEKDAY(A1576,14)</f>
        <v>1</v>
      </c>
      <c r="E1576">
        <f t="shared" si="96"/>
        <v>0</v>
      </c>
      <c r="F1576">
        <f t="shared" si="97"/>
        <v>1</v>
      </c>
      <c r="G1576">
        <f>IF(F1576&gt;F1575,G1575+B1576*E1576,B1576*E1576)</f>
        <v>0</v>
      </c>
      <c r="H1576">
        <f t="shared" si="98"/>
        <v>0</v>
      </c>
      <c r="I1576">
        <f t="shared" si="99"/>
        <v>0</v>
      </c>
      <c r="J1576">
        <f>IF(I1575=0,0,C1575-I1575)</f>
        <v>0.90151100000000017</v>
      </c>
    </row>
    <row r="1577" spans="1:10" x14ac:dyDescent="0.25">
      <c r="A1577" s="1">
        <v>41019</v>
      </c>
      <c r="B1577">
        <v>2.9033500000000001</v>
      </c>
      <c r="C1577">
        <v>3.8050000000000002</v>
      </c>
      <c r="D1577">
        <f>WEEKDAY(A1577,14)</f>
        <v>2</v>
      </c>
      <c r="E1577">
        <f t="shared" si="96"/>
        <v>0</v>
      </c>
      <c r="F1577">
        <f t="shared" si="97"/>
        <v>2</v>
      </c>
      <c r="G1577">
        <f>IF(F1577&gt;F1576,G1576+B1577*E1577,B1577*E1577)</f>
        <v>0</v>
      </c>
      <c r="H1577">
        <f t="shared" si="98"/>
        <v>0</v>
      </c>
      <c r="I1577">
        <f t="shared" si="99"/>
        <v>0</v>
      </c>
      <c r="J1577">
        <f>IF(I1576=0,0,C1576-I1576)</f>
        <v>0</v>
      </c>
    </row>
    <row r="1578" spans="1:10" x14ac:dyDescent="0.25">
      <c r="A1578" s="1">
        <v>41022</v>
      </c>
      <c r="B1578">
        <v>2.8708100000000001</v>
      </c>
      <c r="C1578">
        <v>3.8050000000000002</v>
      </c>
      <c r="D1578">
        <f>WEEKDAY(A1578,14)</f>
        <v>5</v>
      </c>
      <c r="E1578">
        <f t="shared" si="96"/>
        <v>0.05</v>
      </c>
      <c r="F1578">
        <f t="shared" si="97"/>
        <v>3</v>
      </c>
      <c r="G1578">
        <f>IF(F1578&gt;F1577,G1577+B1578*E1578,B1578*E1578)</f>
        <v>0.14354050000000002</v>
      </c>
      <c r="H1578">
        <f t="shared" si="98"/>
        <v>0.05</v>
      </c>
      <c r="I1578">
        <f t="shared" si="99"/>
        <v>0</v>
      </c>
      <c r="J1578">
        <f>IF(I1577=0,0,C1577-I1577)</f>
        <v>0</v>
      </c>
    </row>
    <row r="1579" spans="1:10" x14ac:dyDescent="0.25">
      <c r="A1579" s="1">
        <v>41023</v>
      </c>
      <c r="B1579">
        <v>2.90097</v>
      </c>
      <c r="C1579">
        <v>3.8050000000000002</v>
      </c>
      <c r="D1579">
        <f>WEEKDAY(A1579,14)</f>
        <v>6</v>
      </c>
      <c r="E1579">
        <f t="shared" si="96"/>
        <v>0.7</v>
      </c>
      <c r="F1579">
        <f t="shared" si="97"/>
        <v>4</v>
      </c>
      <c r="G1579">
        <f>IF(F1579&gt;F1578,G1578+B1579*E1579,B1579*E1579)</f>
        <v>2.1742195</v>
      </c>
      <c r="H1579">
        <f t="shared" si="98"/>
        <v>0.75</v>
      </c>
      <c r="I1579">
        <f t="shared" si="99"/>
        <v>0</v>
      </c>
      <c r="J1579">
        <f>IF(I1578=0,0,C1578-I1578)</f>
        <v>0</v>
      </c>
    </row>
    <row r="1580" spans="1:10" x14ac:dyDescent="0.25">
      <c r="A1580" s="1">
        <v>41024</v>
      </c>
      <c r="B1580">
        <v>2.9224100000000002</v>
      </c>
      <c r="C1580">
        <v>3.8050000000000002</v>
      </c>
      <c r="D1580">
        <f>WEEKDAY(A1580,14)</f>
        <v>7</v>
      </c>
      <c r="E1580">
        <f t="shared" si="96"/>
        <v>0.25</v>
      </c>
      <c r="F1580">
        <f t="shared" si="97"/>
        <v>5</v>
      </c>
      <c r="G1580">
        <f>IF(F1580&gt;F1579,G1579+B1580*E1580,B1580*E1580)</f>
        <v>2.9048220000000002</v>
      </c>
      <c r="H1580">
        <f t="shared" si="98"/>
        <v>1</v>
      </c>
      <c r="I1580">
        <f t="shared" si="99"/>
        <v>2.9048220000000002</v>
      </c>
      <c r="J1580">
        <f>IF(I1579=0,0,C1579-I1579)</f>
        <v>0</v>
      </c>
    </row>
    <row r="1581" spans="1:10" x14ac:dyDescent="0.25">
      <c r="A1581" s="1">
        <v>41025</v>
      </c>
      <c r="B1581">
        <v>2.8923999999999999</v>
      </c>
      <c r="C1581">
        <v>3.79</v>
      </c>
      <c r="D1581">
        <f>WEEKDAY(A1581,14)</f>
        <v>1</v>
      </c>
      <c r="E1581">
        <f t="shared" si="96"/>
        <v>0</v>
      </c>
      <c r="F1581">
        <f t="shared" si="97"/>
        <v>1</v>
      </c>
      <c r="G1581">
        <f>IF(F1581&gt;F1580,G1580+B1581*E1581,B1581*E1581)</f>
        <v>0</v>
      </c>
      <c r="H1581">
        <f t="shared" si="98"/>
        <v>0</v>
      </c>
      <c r="I1581">
        <f t="shared" si="99"/>
        <v>0</v>
      </c>
      <c r="J1581">
        <f>IF(I1580=0,0,C1580-I1580)</f>
        <v>0.90017799999999992</v>
      </c>
    </row>
    <row r="1582" spans="1:10" x14ac:dyDescent="0.25">
      <c r="A1582" s="1">
        <v>41026</v>
      </c>
      <c r="B1582">
        <v>2.8716699999999999</v>
      </c>
      <c r="C1582">
        <v>3.79</v>
      </c>
      <c r="D1582">
        <f>WEEKDAY(A1582,14)</f>
        <v>2</v>
      </c>
      <c r="E1582">
        <f t="shared" si="96"/>
        <v>0</v>
      </c>
      <c r="F1582">
        <f t="shared" si="97"/>
        <v>2</v>
      </c>
      <c r="G1582">
        <f>IF(F1582&gt;F1581,G1581+B1582*E1582,B1582*E1582)</f>
        <v>0</v>
      </c>
      <c r="H1582">
        <f t="shared" si="98"/>
        <v>0</v>
      </c>
      <c r="I1582">
        <f t="shared" si="99"/>
        <v>0</v>
      </c>
      <c r="J1582">
        <f>IF(I1581=0,0,C1581-I1581)</f>
        <v>0</v>
      </c>
    </row>
    <row r="1583" spans="1:10" x14ac:dyDescent="0.25">
      <c r="A1583" s="1">
        <v>41029</v>
      </c>
      <c r="B1583">
        <v>2.85859</v>
      </c>
      <c r="C1583">
        <v>3.79</v>
      </c>
      <c r="D1583">
        <f>WEEKDAY(A1583,14)</f>
        <v>5</v>
      </c>
      <c r="E1583">
        <f t="shared" si="96"/>
        <v>0.05</v>
      </c>
      <c r="F1583">
        <f t="shared" si="97"/>
        <v>3</v>
      </c>
      <c r="G1583">
        <f>IF(F1583&gt;F1582,G1582+B1583*E1583,B1583*E1583)</f>
        <v>0.14292950000000001</v>
      </c>
      <c r="H1583">
        <f t="shared" si="98"/>
        <v>0.05</v>
      </c>
      <c r="I1583">
        <f t="shared" si="99"/>
        <v>0</v>
      </c>
      <c r="J1583">
        <f>IF(I1582=0,0,C1582-I1582)</f>
        <v>0</v>
      </c>
    </row>
    <row r="1584" spans="1:10" x14ac:dyDescent="0.25">
      <c r="A1584" s="1">
        <v>41030</v>
      </c>
      <c r="B1584">
        <v>2.8908499999999999</v>
      </c>
      <c r="C1584">
        <v>3.79</v>
      </c>
      <c r="D1584">
        <f>WEEKDAY(A1584,14)</f>
        <v>6</v>
      </c>
      <c r="E1584">
        <f t="shared" si="96"/>
        <v>0.7</v>
      </c>
      <c r="F1584">
        <f t="shared" si="97"/>
        <v>4</v>
      </c>
      <c r="G1584">
        <f>IF(F1584&gt;F1583,G1583+B1584*E1584,B1584*E1584)</f>
        <v>2.1665245</v>
      </c>
      <c r="H1584">
        <f t="shared" si="98"/>
        <v>0.75</v>
      </c>
      <c r="I1584">
        <f t="shared" si="99"/>
        <v>0</v>
      </c>
      <c r="J1584">
        <f>IF(I1583=0,0,C1583-I1583)</f>
        <v>0</v>
      </c>
    </row>
    <row r="1585" spans="1:10" x14ac:dyDescent="0.25">
      <c r="A1585" s="1">
        <v>41031</v>
      </c>
      <c r="B1585">
        <v>2.87338</v>
      </c>
      <c r="C1585">
        <v>3.79</v>
      </c>
      <c r="D1585">
        <f>WEEKDAY(A1585,14)</f>
        <v>7</v>
      </c>
      <c r="E1585">
        <f t="shared" si="96"/>
        <v>0.25</v>
      </c>
      <c r="F1585">
        <f t="shared" si="97"/>
        <v>5</v>
      </c>
      <c r="G1585">
        <f>IF(F1585&gt;F1584,G1584+B1585*E1585,B1585*E1585)</f>
        <v>2.8848694999999998</v>
      </c>
      <c r="H1585">
        <f t="shared" si="98"/>
        <v>1</v>
      </c>
      <c r="I1585">
        <f t="shared" si="99"/>
        <v>2.8848694999999998</v>
      </c>
      <c r="J1585">
        <f>IF(I1584=0,0,C1584-I1584)</f>
        <v>0</v>
      </c>
    </row>
    <row r="1586" spans="1:10" x14ac:dyDescent="0.25">
      <c r="A1586" s="1">
        <v>41032</v>
      </c>
      <c r="B1586">
        <v>2.8823300000000001</v>
      </c>
      <c r="C1586">
        <v>3.7549999999999999</v>
      </c>
      <c r="D1586">
        <f>WEEKDAY(A1586,14)</f>
        <v>1</v>
      </c>
      <c r="E1586">
        <f t="shared" si="96"/>
        <v>0</v>
      </c>
      <c r="F1586">
        <f t="shared" si="97"/>
        <v>1</v>
      </c>
      <c r="G1586">
        <f>IF(F1586&gt;F1585,G1585+B1586*E1586,B1586*E1586)</f>
        <v>0</v>
      </c>
      <c r="H1586">
        <f t="shared" si="98"/>
        <v>0</v>
      </c>
      <c r="I1586">
        <f t="shared" si="99"/>
        <v>0</v>
      </c>
      <c r="J1586">
        <f>IF(I1585=0,0,C1585-I1585)</f>
        <v>0.90513050000000028</v>
      </c>
    </row>
    <row r="1587" spans="1:10" x14ac:dyDescent="0.25">
      <c r="A1587" s="1">
        <v>41033</v>
      </c>
      <c r="B1587">
        <v>2.85087</v>
      </c>
      <c r="C1587">
        <v>3.7549999999999999</v>
      </c>
      <c r="D1587">
        <f>WEEKDAY(A1587,14)</f>
        <v>2</v>
      </c>
      <c r="E1587">
        <f t="shared" si="96"/>
        <v>0</v>
      </c>
      <c r="F1587">
        <f t="shared" si="97"/>
        <v>2</v>
      </c>
      <c r="G1587">
        <f>IF(F1587&gt;F1586,G1586+B1587*E1587,B1587*E1587)</f>
        <v>0</v>
      </c>
      <c r="H1587">
        <f t="shared" si="98"/>
        <v>0</v>
      </c>
      <c r="I1587">
        <f t="shared" si="99"/>
        <v>0</v>
      </c>
      <c r="J1587">
        <f>IF(I1586=0,0,C1586-I1586)</f>
        <v>0</v>
      </c>
    </row>
    <row r="1588" spans="1:10" x14ac:dyDescent="0.25">
      <c r="A1588" s="1">
        <v>41036</v>
      </c>
      <c r="B1588">
        <v>2.8584700000000001</v>
      </c>
      <c r="C1588">
        <v>3.7549999999999999</v>
      </c>
      <c r="D1588">
        <f>WEEKDAY(A1588,14)</f>
        <v>5</v>
      </c>
      <c r="E1588">
        <f t="shared" si="96"/>
        <v>0.05</v>
      </c>
      <c r="F1588">
        <f t="shared" si="97"/>
        <v>3</v>
      </c>
      <c r="G1588">
        <f>IF(F1588&gt;F1587,G1587+B1588*E1588,B1588*E1588)</f>
        <v>0.14292350000000001</v>
      </c>
      <c r="H1588">
        <f t="shared" si="98"/>
        <v>0.05</v>
      </c>
      <c r="I1588">
        <f t="shared" si="99"/>
        <v>0</v>
      </c>
      <c r="J1588">
        <f>IF(I1587=0,0,C1587-I1587)</f>
        <v>0</v>
      </c>
    </row>
    <row r="1589" spans="1:10" x14ac:dyDescent="0.25">
      <c r="A1589" s="1">
        <v>41037</v>
      </c>
      <c r="B1589">
        <v>2.8456999999999999</v>
      </c>
      <c r="C1589">
        <v>3.7549999999999999</v>
      </c>
      <c r="D1589">
        <f>WEEKDAY(A1589,14)</f>
        <v>6</v>
      </c>
      <c r="E1589">
        <f t="shared" si="96"/>
        <v>0.7</v>
      </c>
      <c r="F1589">
        <f t="shared" si="97"/>
        <v>4</v>
      </c>
      <c r="G1589">
        <f>IF(F1589&gt;F1588,G1588+B1589*E1589,B1589*E1589)</f>
        <v>2.1349134999999997</v>
      </c>
      <c r="H1589">
        <f t="shared" si="98"/>
        <v>0.75</v>
      </c>
      <c r="I1589">
        <f t="shared" si="99"/>
        <v>0</v>
      </c>
      <c r="J1589">
        <f>IF(I1588=0,0,C1588-I1588)</f>
        <v>0</v>
      </c>
    </row>
    <row r="1590" spans="1:10" x14ac:dyDescent="0.25">
      <c r="A1590" s="1">
        <v>41038</v>
      </c>
      <c r="B1590">
        <v>2.8327599999999999</v>
      </c>
      <c r="C1590">
        <v>3.7549999999999999</v>
      </c>
      <c r="D1590">
        <f>WEEKDAY(A1590,14)</f>
        <v>7</v>
      </c>
      <c r="E1590">
        <f t="shared" si="96"/>
        <v>0.25</v>
      </c>
      <c r="F1590">
        <f t="shared" si="97"/>
        <v>5</v>
      </c>
      <c r="G1590">
        <f>IF(F1590&gt;F1589,G1589+B1590*E1590,B1590*E1590)</f>
        <v>2.8431034999999998</v>
      </c>
      <c r="H1590">
        <f t="shared" si="98"/>
        <v>1</v>
      </c>
      <c r="I1590">
        <f t="shared" si="99"/>
        <v>2.8431034999999998</v>
      </c>
      <c r="J1590">
        <f>IF(I1589=0,0,C1589-I1589)</f>
        <v>0</v>
      </c>
    </row>
    <row r="1591" spans="1:10" x14ac:dyDescent="0.25">
      <c r="A1591" s="1">
        <v>41039</v>
      </c>
      <c r="B1591">
        <v>2.8246099999999998</v>
      </c>
      <c r="C1591">
        <v>3.7149999999999999</v>
      </c>
      <c r="D1591">
        <f>WEEKDAY(A1591,14)</f>
        <v>1</v>
      </c>
      <c r="E1591">
        <f t="shared" si="96"/>
        <v>0</v>
      </c>
      <c r="F1591">
        <f t="shared" si="97"/>
        <v>1</v>
      </c>
      <c r="G1591">
        <f>IF(F1591&gt;F1590,G1590+B1591*E1591,B1591*E1591)</f>
        <v>0</v>
      </c>
      <c r="H1591">
        <f t="shared" si="98"/>
        <v>0</v>
      </c>
      <c r="I1591">
        <f t="shared" si="99"/>
        <v>0</v>
      </c>
      <c r="J1591">
        <f>IF(I1590=0,0,C1590-I1590)</f>
        <v>0.91189650000000011</v>
      </c>
    </row>
    <row r="1592" spans="1:10" x14ac:dyDescent="0.25">
      <c r="A1592" s="1">
        <v>41040</v>
      </c>
      <c r="B1592">
        <v>2.8052800000000002</v>
      </c>
      <c r="C1592">
        <v>3.7149999999999999</v>
      </c>
      <c r="D1592">
        <f>WEEKDAY(A1592,14)</f>
        <v>2</v>
      </c>
      <c r="E1592">
        <f t="shared" si="96"/>
        <v>0</v>
      </c>
      <c r="F1592">
        <f t="shared" si="97"/>
        <v>2</v>
      </c>
      <c r="G1592">
        <f>IF(F1592&gt;F1591,G1591+B1592*E1592,B1592*E1592)</f>
        <v>0</v>
      </c>
      <c r="H1592">
        <f t="shared" si="98"/>
        <v>0</v>
      </c>
      <c r="I1592">
        <f t="shared" si="99"/>
        <v>0</v>
      </c>
      <c r="J1592">
        <f>IF(I1591=0,0,C1591-I1591)</f>
        <v>0</v>
      </c>
    </row>
    <row r="1593" spans="1:10" x14ac:dyDescent="0.25">
      <c r="A1593" s="1">
        <v>41043</v>
      </c>
      <c r="B1593">
        <v>2.7739699999999998</v>
      </c>
      <c r="C1593">
        <v>3.7149999999999999</v>
      </c>
      <c r="D1593">
        <f>WEEKDAY(A1593,14)</f>
        <v>5</v>
      </c>
      <c r="E1593">
        <f t="shared" si="96"/>
        <v>0.05</v>
      </c>
      <c r="F1593">
        <f t="shared" si="97"/>
        <v>3</v>
      </c>
      <c r="G1593">
        <f>IF(F1593&gt;F1592,G1592+B1593*E1593,B1593*E1593)</f>
        <v>0.1386985</v>
      </c>
      <c r="H1593">
        <f t="shared" si="98"/>
        <v>0.05</v>
      </c>
      <c r="I1593">
        <f t="shared" si="99"/>
        <v>0</v>
      </c>
      <c r="J1593">
        <f>IF(I1592=0,0,C1592-I1592)</f>
        <v>0</v>
      </c>
    </row>
    <row r="1594" spans="1:10" x14ac:dyDescent="0.25">
      <c r="A1594" s="1">
        <v>41044</v>
      </c>
      <c r="B1594">
        <v>2.7697099999999999</v>
      </c>
      <c r="C1594">
        <v>3.7149999999999999</v>
      </c>
      <c r="D1594">
        <f>WEEKDAY(A1594,14)</f>
        <v>6</v>
      </c>
      <c r="E1594">
        <f t="shared" si="96"/>
        <v>0.7</v>
      </c>
      <c r="F1594">
        <f t="shared" si="97"/>
        <v>4</v>
      </c>
      <c r="G1594">
        <f>IF(F1594&gt;F1593,G1593+B1594*E1594,B1594*E1594)</f>
        <v>2.0774954999999999</v>
      </c>
      <c r="H1594">
        <f t="shared" si="98"/>
        <v>0.75</v>
      </c>
      <c r="I1594">
        <f t="shared" si="99"/>
        <v>0</v>
      </c>
      <c r="J1594">
        <f>IF(I1593=0,0,C1593-I1593)</f>
        <v>0</v>
      </c>
    </row>
    <row r="1595" spans="1:10" x14ac:dyDescent="0.25">
      <c r="A1595" s="1">
        <v>41045</v>
      </c>
      <c r="B1595">
        <v>2.7401300000000002</v>
      </c>
      <c r="C1595">
        <v>3.7149999999999999</v>
      </c>
      <c r="D1595">
        <f>WEEKDAY(A1595,14)</f>
        <v>7</v>
      </c>
      <c r="E1595">
        <f t="shared" si="96"/>
        <v>0.25</v>
      </c>
      <c r="F1595">
        <f t="shared" si="97"/>
        <v>5</v>
      </c>
      <c r="G1595">
        <f>IF(F1595&gt;F1594,G1594+B1595*E1595,B1595*E1595)</f>
        <v>2.7625280000000001</v>
      </c>
      <c r="H1595">
        <f t="shared" si="98"/>
        <v>1</v>
      </c>
      <c r="I1595">
        <f t="shared" si="99"/>
        <v>2.7625280000000001</v>
      </c>
      <c r="J1595">
        <f>IF(I1594=0,0,C1594-I1594)</f>
        <v>0</v>
      </c>
    </row>
    <row r="1596" spans="1:10" x14ac:dyDescent="0.25">
      <c r="A1596" s="1">
        <v>41046</v>
      </c>
      <c r="B1596">
        <v>2.67184</v>
      </c>
      <c r="C1596">
        <v>3.73</v>
      </c>
      <c r="D1596">
        <f>WEEKDAY(A1596,14)</f>
        <v>1</v>
      </c>
      <c r="E1596">
        <f t="shared" si="96"/>
        <v>0</v>
      </c>
      <c r="F1596">
        <f t="shared" si="97"/>
        <v>1</v>
      </c>
      <c r="G1596">
        <f>IF(F1596&gt;F1595,G1595+B1596*E1596,B1596*E1596)</f>
        <v>0</v>
      </c>
      <c r="H1596">
        <f t="shared" si="98"/>
        <v>0</v>
      </c>
      <c r="I1596">
        <f t="shared" si="99"/>
        <v>0</v>
      </c>
      <c r="J1596">
        <f>IF(I1595=0,0,C1595-I1595)</f>
        <v>0.95247199999999976</v>
      </c>
    </row>
    <row r="1597" spans="1:10" x14ac:dyDescent="0.25">
      <c r="A1597" s="1">
        <v>41047</v>
      </c>
      <c r="B1597">
        <v>2.6779700000000002</v>
      </c>
      <c r="C1597">
        <v>3.73</v>
      </c>
      <c r="D1597">
        <f>WEEKDAY(A1597,14)</f>
        <v>2</v>
      </c>
      <c r="E1597">
        <f t="shared" si="96"/>
        <v>0</v>
      </c>
      <c r="F1597">
        <f t="shared" si="97"/>
        <v>2</v>
      </c>
      <c r="G1597">
        <f>IF(F1597&gt;F1596,G1596+B1597*E1597,B1597*E1597)</f>
        <v>0</v>
      </c>
      <c r="H1597">
        <f t="shared" si="98"/>
        <v>0</v>
      </c>
      <c r="I1597">
        <f t="shared" si="99"/>
        <v>0</v>
      </c>
      <c r="J1597">
        <f>IF(I1596=0,0,C1596-I1596)</f>
        <v>0</v>
      </c>
    </row>
    <row r="1598" spans="1:10" x14ac:dyDescent="0.25">
      <c r="A1598" s="1">
        <v>41050</v>
      </c>
      <c r="B1598">
        <v>2.7335699999999998</v>
      </c>
      <c r="C1598">
        <v>3.73</v>
      </c>
      <c r="D1598">
        <f>WEEKDAY(A1598,14)</f>
        <v>5</v>
      </c>
      <c r="E1598">
        <f t="shared" si="96"/>
        <v>0.05</v>
      </c>
      <c r="F1598">
        <f t="shared" si="97"/>
        <v>3</v>
      </c>
      <c r="G1598">
        <f>IF(F1598&gt;F1597,G1597+B1598*E1598,B1598*E1598)</f>
        <v>0.13667850000000001</v>
      </c>
      <c r="H1598">
        <f t="shared" si="98"/>
        <v>0.05</v>
      </c>
      <c r="I1598">
        <f t="shared" si="99"/>
        <v>0</v>
      </c>
      <c r="J1598">
        <f>IF(I1597=0,0,C1597-I1597)</f>
        <v>0</v>
      </c>
    </row>
    <row r="1599" spans="1:10" x14ac:dyDescent="0.25">
      <c r="A1599" s="1">
        <v>41051</v>
      </c>
      <c r="B1599">
        <v>2.7696900000000002</v>
      </c>
      <c r="C1599">
        <v>3.73</v>
      </c>
      <c r="D1599">
        <f>WEEKDAY(A1599,14)</f>
        <v>6</v>
      </c>
      <c r="E1599">
        <f t="shared" si="96"/>
        <v>0.7</v>
      </c>
      <c r="F1599">
        <f t="shared" si="97"/>
        <v>4</v>
      </c>
      <c r="G1599">
        <f>IF(F1599&gt;F1598,G1598+B1599*E1599,B1599*E1599)</f>
        <v>2.0754614999999998</v>
      </c>
      <c r="H1599">
        <f t="shared" si="98"/>
        <v>0.75</v>
      </c>
      <c r="I1599">
        <f t="shared" si="99"/>
        <v>0</v>
      </c>
      <c r="J1599">
        <f>IF(I1598=0,0,C1598-I1598)</f>
        <v>0</v>
      </c>
    </row>
    <row r="1600" spans="1:10" x14ac:dyDescent="0.25">
      <c r="A1600" s="1">
        <v>41052</v>
      </c>
      <c r="B1600">
        <v>2.73508</v>
      </c>
      <c r="C1600">
        <v>3.73</v>
      </c>
      <c r="D1600">
        <f>WEEKDAY(A1600,14)</f>
        <v>7</v>
      </c>
      <c r="E1600">
        <f t="shared" si="96"/>
        <v>0.25</v>
      </c>
      <c r="F1600">
        <f t="shared" si="97"/>
        <v>5</v>
      </c>
      <c r="G1600">
        <f>IF(F1600&gt;F1599,G1599+B1600*E1600,B1600*E1600)</f>
        <v>2.7592314999999998</v>
      </c>
      <c r="H1600">
        <f t="shared" si="98"/>
        <v>1</v>
      </c>
      <c r="I1600">
        <f t="shared" si="99"/>
        <v>2.7592314999999998</v>
      </c>
      <c r="J1600">
        <f>IF(I1599=0,0,C1599-I1599)</f>
        <v>0</v>
      </c>
    </row>
    <row r="1601" spans="1:10" x14ac:dyDescent="0.25">
      <c r="A1601" s="1">
        <v>41053</v>
      </c>
      <c r="B1601">
        <v>2.7605400000000002</v>
      </c>
      <c r="C1601">
        <v>3.7</v>
      </c>
      <c r="D1601">
        <f>WEEKDAY(A1601,14)</f>
        <v>1</v>
      </c>
      <c r="E1601">
        <f t="shared" si="96"/>
        <v>0</v>
      </c>
      <c r="F1601">
        <f t="shared" si="97"/>
        <v>1</v>
      </c>
      <c r="G1601">
        <f>IF(F1601&gt;F1600,G1600+B1601*E1601,B1601*E1601)</f>
        <v>0</v>
      </c>
      <c r="H1601">
        <f t="shared" si="98"/>
        <v>0</v>
      </c>
      <c r="I1601">
        <f t="shared" si="99"/>
        <v>0</v>
      </c>
      <c r="J1601">
        <f>IF(I1600=0,0,C1600-I1600)</f>
        <v>0.97076850000000015</v>
      </c>
    </row>
    <row r="1602" spans="1:10" x14ac:dyDescent="0.25">
      <c r="A1602" s="1">
        <v>41054</v>
      </c>
      <c r="B1602">
        <v>2.7634500000000002</v>
      </c>
      <c r="C1602">
        <v>3.7</v>
      </c>
      <c r="D1602">
        <f>WEEKDAY(A1602,14)</f>
        <v>2</v>
      </c>
      <c r="E1602">
        <f t="shared" si="96"/>
        <v>0</v>
      </c>
      <c r="F1602">
        <f t="shared" si="97"/>
        <v>2</v>
      </c>
      <c r="G1602">
        <f>IF(F1602&gt;F1601,G1601+B1602*E1602,B1602*E1602)</f>
        <v>0</v>
      </c>
      <c r="H1602">
        <f t="shared" si="98"/>
        <v>0</v>
      </c>
      <c r="I1602">
        <f t="shared" si="99"/>
        <v>0</v>
      </c>
      <c r="J1602">
        <f>IF(I1601=0,0,C1601-I1601)</f>
        <v>0</v>
      </c>
    </row>
    <row r="1603" spans="1:10" x14ac:dyDescent="0.25">
      <c r="A1603" s="1">
        <v>41058</v>
      </c>
      <c r="B1603">
        <v>2.77149</v>
      </c>
      <c r="C1603">
        <v>3.7</v>
      </c>
      <c r="D1603">
        <f>WEEKDAY(A1603,14)</f>
        <v>6</v>
      </c>
      <c r="E1603">
        <f t="shared" ref="E1603:E1666" si="100">VLOOKUP(D1603,M$2:N$8,2,FALSE)</f>
        <v>0.7</v>
      </c>
      <c r="F1603">
        <f t="shared" ref="F1603:F1666" si="101">IF(AND(D1603&gt;D1602,F1602&lt;6),F1602+1,1)</f>
        <v>3</v>
      </c>
      <c r="G1603">
        <f>IF(F1603&gt;F1602,G1602+B1603*E1603,B1603*E1603)</f>
        <v>1.940043</v>
      </c>
      <c r="H1603">
        <f t="shared" si="98"/>
        <v>0.7</v>
      </c>
      <c r="I1603">
        <f t="shared" si="99"/>
        <v>0</v>
      </c>
      <c r="J1603">
        <f>IF(I1602=0,0,C1602-I1602)</f>
        <v>0</v>
      </c>
    </row>
    <row r="1604" spans="1:10" x14ac:dyDescent="0.25">
      <c r="A1604" s="1">
        <v>41059</v>
      </c>
      <c r="B1604">
        <v>2.68486</v>
      </c>
      <c r="C1604">
        <v>3.7</v>
      </c>
      <c r="D1604">
        <f>WEEKDAY(A1604,14)</f>
        <v>7</v>
      </c>
      <c r="E1604">
        <f t="shared" si="100"/>
        <v>0.25</v>
      </c>
      <c r="F1604">
        <f t="shared" si="101"/>
        <v>4</v>
      </c>
      <c r="G1604">
        <f>IF(F1604&gt;F1603,G1603+B1604*E1604,B1604*E1604)</f>
        <v>2.6112579999999999</v>
      </c>
      <c r="H1604">
        <f t="shared" ref="H1604:H1667" si="102">IF(AND(F1604&lt;6,F1604&gt;F1603),E1604+H1603,E1604)</f>
        <v>0.95</v>
      </c>
      <c r="I1604">
        <f t="shared" ref="I1604:I1667" si="103">IF(F1604&gt;F1605,G1604/H1604,0)</f>
        <v>2.7486926315789475</v>
      </c>
      <c r="J1604">
        <f>IF(I1603=0,0,C1603-I1603)</f>
        <v>0</v>
      </c>
    </row>
    <row r="1605" spans="1:10" x14ac:dyDescent="0.25">
      <c r="A1605" s="1">
        <v>41060</v>
      </c>
      <c r="B1605">
        <v>2.6463899999999998</v>
      </c>
      <c r="C1605">
        <v>3.5950000000000002</v>
      </c>
      <c r="D1605">
        <f>WEEKDAY(A1605,14)</f>
        <v>1</v>
      </c>
      <c r="E1605">
        <f t="shared" si="100"/>
        <v>0</v>
      </c>
      <c r="F1605">
        <f t="shared" si="101"/>
        <v>1</v>
      </c>
      <c r="G1605">
        <f>IF(F1605&gt;F1604,G1604+B1605*E1605,B1605*E1605)</f>
        <v>0</v>
      </c>
      <c r="H1605">
        <f t="shared" si="102"/>
        <v>0</v>
      </c>
      <c r="I1605">
        <f t="shared" si="103"/>
        <v>0</v>
      </c>
      <c r="J1605">
        <f>IF(I1604=0,0,C1604-I1604)</f>
        <v>0.95130736842105268</v>
      </c>
    </row>
    <row r="1606" spans="1:10" x14ac:dyDescent="0.25">
      <c r="A1606" s="1">
        <v>41061</v>
      </c>
      <c r="B1606">
        <v>2.53159</v>
      </c>
      <c r="C1606">
        <v>3.5950000000000002</v>
      </c>
      <c r="D1606">
        <f>WEEKDAY(A1606,14)</f>
        <v>2</v>
      </c>
      <c r="E1606">
        <f t="shared" si="100"/>
        <v>0</v>
      </c>
      <c r="F1606">
        <f t="shared" si="101"/>
        <v>2</v>
      </c>
      <c r="G1606">
        <f>IF(F1606&gt;F1605,G1605+B1606*E1606,B1606*E1606)</f>
        <v>0</v>
      </c>
      <c r="H1606">
        <f t="shared" si="102"/>
        <v>0</v>
      </c>
      <c r="I1606">
        <f t="shared" si="103"/>
        <v>0</v>
      </c>
      <c r="J1606">
        <f>IF(I1605=0,0,C1605-I1605)</f>
        <v>0</v>
      </c>
    </row>
    <row r="1607" spans="1:10" x14ac:dyDescent="0.25">
      <c r="A1607" s="1">
        <v>41064</v>
      </c>
      <c r="B1607">
        <v>2.6222599999999998</v>
      </c>
      <c r="C1607">
        <v>3.5950000000000002</v>
      </c>
      <c r="D1607">
        <f>WEEKDAY(A1607,14)</f>
        <v>5</v>
      </c>
      <c r="E1607">
        <f t="shared" si="100"/>
        <v>0.05</v>
      </c>
      <c r="F1607">
        <f t="shared" si="101"/>
        <v>3</v>
      </c>
      <c r="G1607">
        <f>IF(F1607&gt;F1606,G1606+B1607*E1607,B1607*E1607)</f>
        <v>0.13111300000000001</v>
      </c>
      <c r="H1607">
        <f t="shared" si="102"/>
        <v>0.05</v>
      </c>
      <c r="I1607">
        <f t="shared" si="103"/>
        <v>0</v>
      </c>
      <c r="J1607">
        <f>IF(I1606=0,0,C1606-I1606)</f>
        <v>0</v>
      </c>
    </row>
    <row r="1608" spans="1:10" x14ac:dyDescent="0.25">
      <c r="A1608" s="1">
        <v>41065</v>
      </c>
      <c r="B1608">
        <v>2.6721599999999999</v>
      </c>
      <c r="C1608">
        <v>3.5950000000000002</v>
      </c>
      <c r="D1608">
        <f>WEEKDAY(A1608,14)</f>
        <v>6</v>
      </c>
      <c r="E1608">
        <f t="shared" si="100"/>
        <v>0.7</v>
      </c>
      <c r="F1608">
        <f t="shared" si="101"/>
        <v>4</v>
      </c>
      <c r="G1608">
        <f>IF(F1608&gt;F1607,G1607+B1608*E1608,B1608*E1608)</f>
        <v>2.0016249999999998</v>
      </c>
      <c r="H1608">
        <f t="shared" si="102"/>
        <v>0.75</v>
      </c>
      <c r="I1608">
        <f t="shared" si="103"/>
        <v>0</v>
      </c>
      <c r="J1608">
        <f>IF(I1607=0,0,C1607-I1607)</f>
        <v>0</v>
      </c>
    </row>
    <row r="1609" spans="1:10" x14ac:dyDescent="0.25">
      <c r="A1609" s="1">
        <v>41066</v>
      </c>
      <c r="B1609">
        <v>2.7069899999999998</v>
      </c>
      <c r="C1609">
        <v>3.5950000000000002</v>
      </c>
      <c r="D1609">
        <f>WEEKDAY(A1609,14)</f>
        <v>7</v>
      </c>
      <c r="E1609">
        <f t="shared" si="100"/>
        <v>0.25</v>
      </c>
      <c r="F1609">
        <f t="shared" si="101"/>
        <v>5</v>
      </c>
      <c r="G1609">
        <f>IF(F1609&gt;F1608,G1608+B1609*E1609,B1609*E1609)</f>
        <v>2.6783724999999996</v>
      </c>
      <c r="H1609">
        <f t="shared" si="102"/>
        <v>1</v>
      </c>
      <c r="I1609">
        <f t="shared" si="103"/>
        <v>2.6783724999999996</v>
      </c>
      <c r="J1609">
        <f>IF(I1608=0,0,C1608-I1608)</f>
        <v>0</v>
      </c>
    </row>
    <row r="1610" spans="1:10" x14ac:dyDescent="0.25">
      <c r="A1610" s="1">
        <v>41067</v>
      </c>
      <c r="B1610">
        <v>2.6775799999999998</v>
      </c>
      <c r="C1610">
        <v>3.6349999999999998</v>
      </c>
      <c r="D1610">
        <f>WEEKDAY(A1610,14)</f>
        <v>1</v>
      </c>
      <c r="E1610">
        <f t="shared" si="100"/>
        <v>0</v>
      </c>
      <c r="F1610">
        <f t="shared" si="101"/>
        <v>1</v>
      </c>
      <c r="G1610">
        <f>IF(F1610&gt;F1609,G1609+B1610*E1610,B1610*E1610)</f>
        <v>0</v>
      </c>
      <c r="H1610">
        <f t="shared" si="102"/>
        <v>0</v>
      </c>
      <c r="I1610">
        <f t="shared" si="103"/>
        <v>0</v>
      </c>
      <c r="J1610">
        <f>IF(I1609=0,0,C1609-I1609)</f>
        <v>0.91662750000000059</v>
      </c>
    </row>
    <row r="1611" spans="1:10" x14ac:dyDescent="0.25">
      <c r="A1611" s="1">
        <v>41068</v>
      </c>
      <c r="B1611">
        <v>2.6791100000000001</v>
      </c>
      <c r="C1611">
        <v>3.6349999999999998</v>
      </c>
      <c r="D1611">
        <f>WEEKDAY(A1611,14)</f>
        <v>2</v>
      </c>
      <c r="E1611">
        <f t="shared" si="100"/>
        <v>0</v>
      </c>
      <c r="F1611">
        <f t="shared" si="101"/>
        <v>2</v>
      </c>
      <c r="G1611">
        <f>IF(F1611&gt;F1610,G1610+B1611*E1611,B1611*E1611)</f>
        <v>0</v>
      </c>
      <c r="H1611">
        <f t="shared" si="102"/>
        <v>0</v>
      </c>
      <c r="I1611">
        <f t="shared" si="103"/>
        <v>0</v>
      </c>
      <c r="J1611">
        <f>IF(I1610=0,0,C1610-I1610)</f>
        <v>0</v>
      </c>
    </row>
    <row r="1612" spans="1:10" x14ac:dyDescent="0.25">
      <c r="A1612" s="1">
        <v>41071</v>
      </c>
      <c r="B1612">
        <v>2.6398999999999999</v>
      </c>
      <c r="C1612">
        <v>3.6349999999999998</v>
      </c>
      <c r="D1612">
        <f>WEEKDAY(A1612,14)</f>
        <v>5</v>
      </c>
      <c r="E1612">
        <f t="shared" si="100"/>
        <v>0.05</v>
      </c>
      <c r="F1612">
        <f t="shared" si="101"/>
        <v>3</v>
      </c>
      <c r="G1612">
        <f>IF(F1612&gt;F1611,G1611+B1612*E1612,B1612*E1612)</f>
        <v>0.131995</v>
      </c>
      <c r="H1612">
        <f t="shared" si="102"/>
        <v>0.05</v>
      </c>
      <c r="I1612">
        <f t="shared" si="103"/>
        <v>0</v>
      </c>
      <c r="J1612">
        <f>IF(I1611=0,0,C1611-I1611)</f>
        <v>0</v>
      </c>
    </row>
    <row r="1613" spans="1:10" x14ac:dyDescent="0.25">
      <c r="A1613" s="1">
        <v>41072</v>
      </c>
      <c r="B1613">
        <v>2.6959599999999999</v>
      </c>
      <c r="C1613">
        <v>3.6349999999999998</v>
      </c>
      <c r="D1613">
        <f>WEEKDAY(A1613,14)</f>
        <v>6</v>
      </c>
      <c r="E1613">
        <f t="shared" si="100"/>
        <v>0.7</v>
      </c>
      <c r="F1613">
        <f t="shared" si="101"/>
        <v>4</v>
      </c>
      <c r="G1613">
        <f>IF(F1613&gt;F1612,G1612+B1613*E1613,B1613*E1613)</f>
        <v>2.0191669999999999</v>
      </c>
      <c r="H1613">
        <f t="shared" si="102"/>
        <v>0.75</v>
      </c>
      <c r="I1613">
        <f t="shared" si="103"/>
        <v>0</v>
      </c>
      <c r="J1613">
        <f>IF(I1612=0,0,C1612-I1612)</f>
        <v>0</v>
      </c>
    </row>
    <row r="1614" spans="1:10" x14ac:dyDescent="0.25">
      <c r="A1614" s="1">
        <v>41073</v>
      </c>
      <c r="B1614">
        <v>2.6525599999999998</v>
      </c>
      <c r="C1614">
        <v>3.6349999999999998</v>
      </c>
      <c r="D1614">
        <f>WEEKDAY(A1614,14)</f>
        <v>7</v>
      </c>
      <c r="E1614">
        <f t="shared" si="100"/>
        <v>0.25</v>
      </c>
      <c r="F1614">
        <f t="shared" si="101"/>
        <v>5</v>
      </c>
      <c r="G1614">
        <f>IF(F1614&gt;F1613,G1613+B1614*E1614,B1614*E1614)</f>
        <v>2.6823069999999998</v>
      </c>
      <c r="H1614">
        <f t="shared" si="102"/>
        <v>1</v>
      </c>
      <c r="I1614">
        <f t="shared" si="103"/>
        <v>2.6823069999999998</v>
      </c>
      <c r="J1614">
        <f>IF(I1613=0,0,C1613-I1613)</f>
        <v>0</v>
      </c>
    </row>
    <row r="1615" spans="1:10" x14ac:dyDescent="0.25">
      <c r="A1615" s="1">
        <v>41074</v>
      </c>
      <c r="B1615">
        <v>2.6309399999999998</v>
      </c>
      <c r="C1615">
        <v>3.585</v>
      </c>
      <c r="D1615">
        <f>WEEKDAY(A1615,14)</f>
        <v>1</v>
      </c>
      <c r="E1615">
        <f t="shared" si="100"/>
        <v>0</v>
      </c>
      <c r="F1615">
        <f t="shared" si="101"/>
        <v>1</v>
      </c>
      <c r="G1615">
        <f>IF(F1615&gt;F1614,G1614+B1615*E1615,B1615*E1615)</f>
        <v>0</v>
      </c>
      <c r="H1615">
        <f t="shared" si="102"/>
        <v>0</v>
      </c>
      <c r="I1615">
        <f t="shared" si="103"/>
        <v>0</v>
      </c>
      <c r="J1615">
        <f>IF(I1614=0,0,C1614-I1614)</f>
        <v>0.95269300000000001</v>
      </c>
    </row>
    <row r="1616" spans="1:10" x14ac:dyDescent="0.25">
      <c r="A1616" s="1">
        <v>41075</v>
      </c>
      <c r="B1616">
        <v>2.61355</v>
      </c>
      <c r="C1616">
        <v>3.585</v>
      </c>
      <c r="D1616">
        <f>WEEKDAY(A1616,14)</f>
        <v>2</v>
      </c>
      <c r="E1616">
        <f t="shared" si="100"/>
        <v>0</v>
      </c>
      <c r="F1616">
        <f t="shared" si="101"/>
        <v>2</v>
      </c>
      <c r="G1616">
        <f>IF(F1616&gt;F1615,G1615+B1616*E1616,B1616*E1616)</f>
        <v>0</v>
      </c>
      <c r="H1616">
        <f t="shared" si="102"/>
        <v>0</v>
      </c>
      <c r="I1616">
        <f t="shared" si="103"/>
        <v>0</v>
      </c>
      <c r="J1616">
        <f>IF(I1615=0,0,C1615-I1615)</f>
        <v>0</v>
      </c>
    </row>
    <row r="1617" spans="1:10" x14ac:dyDescent="0.25">
      <c r="A1617" s="1">
        <v>41078</v>
      </c>
      <c r="B1617">
        <v>2.5951499999999998</v>
      </c>
      <c r="C1617">
        <v>3.585</v>
      </c>
      <c r="D1617">
        <f>WEEKDAY(A1617,14)</f>
        <v>5</v>
      </c>
      <c r="E1617">
        <f t="shared" si="100"/>
        <v>0.05</v>
      </c>
      <c r="F1617">
        <f t="shared" si="101"/>
        <v>3</v>
      </c>
      <c r="G1617">
        <f>IF(F1617&gt;F1616,G1616+B1617*E1617,B1617*E1617)</f>
        <v>0.1297575</v>
      </c>
      <c r="H1617">
        <f t="shared" si="102"/>
        <v>0.05</v>
      </c>
      <c r="I1617">
        <f t="shared" si="103"/>
        <v>0</v>
      </c>
      <c r="J1617">
        <f>IF(I1616=0,0,C1616-I1616)</f>
        <v>0</v>
      </c>
    </row>
    <row r="1618" spans="1:10" x14ac:dyDescent="0.25">
      <c r="A1618" s="1">
        <v>41079</v>
      </c>
      <c r="B1618">
        <v>2.5989</v>
      </c>
      <c r="C1618">
        <v>3.585</v>
      </c>
      <c r="D1618">
        <f>WEEKDAY(A1618,14)</f>
        <v>6</v>
      </c>
      <c r="E1618">
        <f t="shared" si="100"/>
        <v>0.7</v>
      </c>
      <c r="F1618">
        <f t="shared" si="101"/>
        <v>4</v>
      </c>
      <c r="G1618">
        <f>IF(F1618&gt;F1617,G1617+B1618*E1618,B1618*E1618)</f>
        <v>1.9489874999999999</v>
      </c>
      <c r="H1618">
        <f t="shared" si="102"/>
        <v>0.75</v>
      </c>
      <c r="I1618">
        <f t="shared" si="103"/>
        <v>0</v>
      </c>
      <c r="J1618">
        <f>IF(I1617=0,0,C1617-I1617)</f>
        <v>0</v>
      </c>
    </row>
    <row r="1619" spans="1:10" x14ac:dyDescent="0.25">
      <c r="A1619" s="1">
        <v>41080</v>
      </c>
      <c r="B1619">
        <v>2.6422099999999999</v>
      </c>
      <c r="C1619">
        <v>3.585</v>
      </c>
      <c r="D1619">
        <f>WEEKDAY(A1619,14)</f>
        <v>7</v>
      </c>
      <c r="E1619">
        <f t="shared" si="100"/>
        <v>0.25</v>
      </c>
      <c r="F1619">
        <f t="shared" si="101"/>
        <v>5</v>
      </c>
      <c r="G1619">
        <f>IF(F1619&gt;F1618,G1618+B1619*E1619,B1619*E1619)</f>
        <v>2.60954</v>
      </c>
      <c r="H1619">
        <f t="shared" si="102"/>
        <v>1</v>
      </c>
      <c r="I1619">
        <f t="shared" si="103"/>
        <v>2.60954</v>
      </c>
      <c r="J1619">
        <f>IF(I1618=0,0,C1618-I1618)</f>
        <v>0</v>
      </c>
    </row>
    <row r="1620" spans="1:10" x14ac:dyDescent="0.25">
      <c r="A1620" s="1">
        <v>41081</v>
      </c>
      <c r="B1620">
        <v>2.6140500000000002</v>
      </c>
      <c r="C1620">
        <v>3.585</v>
      </c>
      <c r="D1620">
        <f>WEEKDAY(A1620,14)</f>
        <v>1</v>
      </c>
      <c r="E1620">
        <f t="shared" si="100"/>
        <v>0</v>
      </c>
      <c r="F1620">
        <f t="shared" si="101"/>
        <v>1</v>
      </c>
      <c r="G1620">
        <f>IF(F1620&gt;F1619,G1619+B1620*E1620,B1620*E1620)</f>
        <v>0</v>
      </c>
      <c r="H1620">
        <f t="shared" si="102"/>
        <v>0</v>
      </c>
      <c r="I1620">
        <f t="shared" si="103"/>
        <v>0</v>
      </c>
      <c r="J1620">
        <f>IF(I1619=0,0,C1619-I1619)</f>
        <v>0.97545999999999999</v>
      </c>
    </row>
    <row r="1621" spans="1:10" x14ac:dyDescent="0.25">
      <c r="A1621" s="1">
        <v>41082</v>
      </c>
      <c r="B1621">
        <v>2.6681900000000001</v>
      </c>
      <c r="C1621">
        <v>3.585</v>
      </c>
      <c r="D1621">
        <f>WEEKDAY(A1621,14)</f>
        <v>2</v>
      </c>
      <c r="E1621">
        <f t="shared" si="100"/>
        <v>0</v>
      </c>
      <c r="F1621">
        <f t="shared" si="101"/>
        <v>2</v>
      </c>
      <c r="G1621">
        <f>IF(F1621&gt;F1620,G1620+B1621*E1621,B1621*E1621)</f>
        <v>0</v>
      </c>
      <c r="H1621">
        <f t="shared" si="102"/>
        <v>0</v>
      </c>
      <c r="I1621">
        <f t="shared" si="103"/>
        <v>0</v>
      </c>
      <c r="J1621">
        <f>IF(I1620=0,0,C1620-I1620)</f>
        <v>0</v>
      </c>
    </row>
    <row r="1622" spans="1:10" x14ac:dyDescent="0.25">
      <c r="A1622" s="1">
        <v>41085</v>
      </c>
      <c r="B1622">
        <v>2.5785</v>
      </c>
      <c r="C1622">
        <v>3.585</v>
      </c>
      <c r="D1622">
        <f>WEEKDAY(A1622,14)</f>
        <v>5</v>
      </c>
      <c r="E1622">
        <f t="shared" si="100"/>
        <v>0.05</v>
      </c>
      <c r="F1622">
        <f t="shared" si="101"/>
        <v>3</v>
      </c>
      <c r="G1622">
        <f>IF(F1622&gt;F1621,G1621+B1622*E1622,B1622*E1622)</f>
        <v>0.12892500000000001</v>
      </c>
      <c r="H1622">
        <f t="shared" si="102"/>
        <v>0.05</v>
      </c>
      <c r="I1622">
        <f t="shared" si="103"/>
        <v>0</v>
      </c>
      <c r="J1622">
        <f>IF(I1621=0,0,C1621-I1621)</f>
        <v>0</v>
      </c>
    </row>
    <row r="1623" spans="1:10" x14ac:dyDescent="0.25">
      <c r="A1623" s="1">
        <v>41086</v>
      </c>
      <c r="B1623">
        <v>2.61639</v>
      </c>
      <c r="C1623">
        <v>3.585</v>
      </c>
      <c r="D1623">
        <f>WEEKDAY(A1623,14)</f>
        <v>6</v>
      </c>
      <c r="E1623">
        <f t="shared" si="100"/>
        <v>0.7</v>
      </c>
      <c r="F1623">
        <f t="shared" si="101"/>
        <v>4</v>
      </c>
      <c r="G1623">
        <f>IF(F1623&gt;F1622,G1622+B1623*E1623,B1623*E1623)</f>
        <v>1.9603979999999999</v>
      </c>
      <c r="H1623">
        <f t="shared" si="102"/>
        <v>0.75</v>
      </c>
      <c r="I1623">
        <f t="shared" si="103"/>
        <v>0</v>
      </c>
      <c r="J1623">
        <f>IF(I1622=0,0,C1622-I1622)</f>
        <v>0</v>
      </c>
    </row>
    <row r="1624" spans="1:10" x14ac:dyDescent="0.25">
      <c r="A1624" s="1">
        <v>41087</v>
      </c>
      <c r="B1624">
        <v>2.58867</v>
      </c>
      <c r="C1624">
        <v>3.585</v>
      </c>
      <c r="D1624">
        <f>WEEKDAY(A1624,14)</f>
        <v>7</v>
      </c>
      <c r="E1624">
        <f t="shared" si="100"/>
        <v>0.25</v>
      </c>
      <c r="F1624">
        <f t="shared" si="101"/>
        <v>5</v>
      </c>
      <c r="G1624">
        <f>IF(F1624&gt;F1623,G1623+B1624*E1624,B1624*E1624)</f>
        <v>2.6075654999999998</v>
      </c>
      <c r="H1624">
        <f t="shared" si="102"/>
        <v>1</v>
      </c>
      <c r="I1624">
        <f t="shared" si="103"/>
        <v>2.6075654999999998</v>
      </c>
      <c r="J1624">
        <f>IF(I1623=0,0,C1623-I1623)</f>
        <v>0</v>
      </c>
    </row>
    <row r="1625" spans="1:10" x14ac:dyDescent="0.25">
      <c r="A1625" s="1">
        <v>41088</v>
      </c>
      <c r="B1625">
        <v>2.5509599999999999</v>
      </c>
      <c r="C1625">
        <v>3.57</v>
      </c>
      <c r="D1625">
        <f>WEEKDAY(A1625,14)</f>
        <v>1</v>
      </c>
      <c r="E1625">
        <f t="shared" si="100"/>
        <v>0</v>
      </c>
      <c r="F1625">
        <f t="shared" si="101"/>
        <v>1</v>
      </c>
      <c r="G1625">
        <f>IF(F1625&gt;F1624,G1624+B1625*E1625,B1625*E1625)</f>
        <v>0</v>
      </c>
      <c r="H1625">
        <f t="shared" si="102"/>
        <v>0</v>
      </c>
      <c r="I1625">
        <f t="shared" si="103"/>
        <v>0</v>
      </c>
      <c r="J1625">
        <f>IF(I1624=0,0,C1624-I1624)</f>
        <v>0.97743450000000021</v>
      </c>
    </row>
    <row r="1626" spans="1:10" x14ac:dyDescent="0.25">
      <c r="A1626" s="1">
        <v>41089</v>
      </c>
      <c r="B1626">
        <v>2.6237200000000001</v>
      </c>
      <c r="C1626">
        <v>3.57</v>
      </c>
      <c r="D1626">
        <f>WEEKDAY(A1626,14)</f>
        <v>2</v>
      </c>
      <c r="E1626">
        <f t="shared" si="100"/>
        <v>0</v>
      </c>
      <c r="F1626">
        <f t="shared" si="101"/>
        <v>2</v>
      </c>
      <c r="G1626">
        <f>IF(F1626&gt;F1625,G1625+B1626*E1626,B1626*E1626)</f>
        <v>0</v>
      </c>
      <c r="H1626">
        <f t="shared" si="102"/>
        <v>0</v>
      </c>
      <c r="I1626">
        <f t="shared" si="103"/>
        <v>0</v>
      </c>
      <c r="J1626">
        <f>IF(I1625=0,0,C1625-I1625)</f>
        <v>0</v>
      </c>
    </row>
    <row r="1627" spans="1:10" x14ac:dyDescent="0.25">
      <c r="A1627" s="1">
        <v>41092</v>
      </c>
      <c r="B1627">
        <v>2.5453199999999998</v>
      </c>
      <c r="C1627">
        <v>3.57</v>
      </c>
      <c r="D1627">
        <f>WEEKDAY(A1627,14)</f>
        <v>5</v>
      </c>
      <c r="E1627">
        <f t="shared" si="100"/>
        <v>0.05</v>
      </c>
      <c r="F1627">
        <f t="shared" si="101"/>
        <v>3</v>
      </c>
      <c r="G1627">
        <f>IF(F1627&gt;F1626,G1626+B1627*E1627,B1627*E1627)</f>
        <v>0.12726599999999999</v>
      </c>
      <c r="H1627">
        <f t="shared" si="102"/>
        <v>0.05</v>
      </c>
      <c r="I1627">
        <f t="shared" si="103"/>
        <v>0</v>
      </c>
      <c r="J1627">
        <f>IF(I1626=0,0,C1626-I1626)</f>
        <v>0</v>
      </c>
    </row>
    <row r="1628" spans="1:10" x14ac:dyDescent="0.25">
      <c r="A1628" s="1">
        <v>41093</v>
      </c>
      <c r="B1628">
        <v>2.5832799999999998</v>
      </c>
      <c r="C1628">
        <v>3.57</v>
      </c>
      <c r="D1628">
        <f>WEEKDAY(A1628,14)</f>
        <v>6</v>
      </c>
      <c r="E1628">
        <f t="shared" si="100"/>
        <v>0.7</v>
      </c>
      <c r="F1628">
        <f t="shared" si="101"/>
        <v>4</v>
      </c>
      <c r="G1628">
        <f>IF(F1628&gt;F1627,G1627+B1628*E1628,B1628*E1628)</f>
        <v>1.9355619999999996</v>
      </c>
      <c r="H1628">
        <f t="shared" si="102"/>
        <v>0.75</v>
      </c>
      <c r="I1628">
        <f t="shared" si="103"/>
        <v>2.5807493333333329</v>
      </c>
      <c r="J1628">
        <f>IF(I1627=0,0,C1627-I1627)</f>
        <v>0</v>
      </c>
    </row>
    <row r="1629" spans="1:10" x14ac:dyDescent="0.25">
      <c r="A1629" s="1">
        <v>41095</v>
      </c>
      <c r="B1629">
        <v>2.5563799999999999</v>
      </c>
      <c r="C1629">
        <v>3.4849999999999999</v>
      </c>
      <c r="D1629">
        <f>WEEKDAY(A1629,14)</f>
        <v>1</v>
      </c>
      <c r="E1629">
        <f t="shared" si="100"/>
        <v>0</v>
      </c>
      <c r="F1629">
        <f t="shared" si="101"/>
        <v>1</v>
      </c>
      <c r="G1629">
        <f>IF(F1629&gt;F1628,G1628+B1629*E1629,B1629*E1629)</f>
        <v>0</v>
      </c>
      <c r="H1629">
        <f t="shared" si="102"/>
        <v>0</v>
      </c>
      <c r="I1629">
        <f t="shared" si="103"/>
        <v>0</v>
      </c>
      <c r="J1629">
        <f>IF(I1628=0,0,C1628-I1628)</f>
        <v>0.98925066666666694</v>
      </c>
    </row>
    <row r="1630" spans="1:10" x14ac:dyDescent="0.25">
      <c r="A1630" s="1">
        <v>41096</v>
      </c>
      <c r="B1630">
        <v>2.4766499999999998</v>
      </c>
      <c r="C1630">
        <v>3.4849999999999999</v>
      </c>
      <c r="D1630">
        <f>WEEKDAY(A1630,14)</f>
        <v>2</v>
      </c>
      <c r="E1630">
        <f t="shared" si="100"/>
        <v>0</v>
      </c>
      <c r="F1630">
        <f t="shared" si="101"/>
        <v>2</v>
      </c>
      <c r="G1630">
        <f>IF(F1630&gt;F1629,G1629+B1630*E1630,B1630*E1630)</f>
        <v>0</v>
      </c>
      <c r="H1630">
        <f t="shared" si="102"/>
        <v>0</v>
      </c>
      <c r="I1630">
        <f t="shared" si="103"/>
        <v>0</v>
      </c>
      <c r="J1630">
        <f>IF(I1629=0,0,C1629-I1629)</f>
        <v>0</v>
      </c>
    </row>
    <row r="1631" spans="1:10" x14ac:dyDescent="0.25">
      <c r="A1631" s="1">
        <v>41099</v>
      </c>
      <c r="B1631">
        <v>2.4491999999999998</v>
      </c>
      <c r="C1631">
        <v>3.4849999999999999</v>
      </c>
      <c r="D1631">
        <f>WEEKDAY(A1631,14)</f>
        <v>5</v>
      </c>
      <c r="E1631">
        <f t="shared" si="100"/>
        <v>0.05</v>
      </c>
      <c r="F1631">
        <f t="shared" si="101"/>
        <v>3</v>
      </c>
      <c r="G1631">
        <f>IF(F1631&gt;F1630,G1630+B1631*E1631,B1631*E1631)</f>
        <v>0.12246</v>
      </c>
      <c r="H1631">
        <f t="shared" si="102"/>
        <v>0.05</v>
      </c>
      <c r="I1631">
        <f t="shared" si="103"/>
        <v>0</v>
      </c>
      <c r="J1631">
        <f>IF(I1630=0,0,C1630-I1630)</f>
        <v>0</v>
      </c>
    </row>
    <row r="1632" spans="1:10" x14ac:dyDescent="0.25">
      <c r="A1632" s="1">
        <v>41100</v>
      </c>
      <c r="B1632">
        <v>2.4230299999999998</v>
      </c>
      <c r="C1632">
        <v>3.4849999999999999</v>
      </c>
      <c r="D1632">
        <f>WEEKDAY(A1632,14)</f>
        <v>6</v>
      </c>
      <c r="E1632">
        <f t="shared" si="100"/>
        <v>0.7</v>
      </c>
      <c r="F1632">
        <f t="shared" si="101"/>
        <v>4</v>
      </c>
      <c r="G1632">
        <f>IF(F1632&gt;F1631,G1631+B1632*E1632,B1632*E1632)</f>
        <v>1.8185809999999998</v>
      </c>
      <c r="H1632">
        <f t="shared" si="102"/>
        <v>0.75</v>
      </c>
      <c r="I1632">
        <f t="shared" si="103"/>
        <v>0</v>
      </c>
      <c r="J1632">
        <f>IF(I1631=0,0,C1631-I1631)</f>
        <v>0</v>
      </c>
    </row>
    <row r="1633" spans="1:10" x14ac:dyDescent="0.25">
      <c r="A1633" s="1">
        <v>41101</v>
      </c>
      <c r="B1633">
        <v>2.4116200000000001</v>
      </c>
      <c r="C1633">
        <v>3.4849999999999999</v>
      </c>
      <c r="D1633">
        <f>WEEKDAY(A1633,14)</f>
        <v>7</v>
      </c>
      <c r="E1633">
        <f t="shared" si="100"/>
        <v>0.25</v>
      </c>
      <c r="F1633">
        <f t="shared" si="101"/>
        <v>5</v>
      </c>
      <c r="G1633">
        <f>IF(F1633&gt;F1632,G1632+B1633*E1633,B1633*E1633)</f>
        <v>2.4214859999999998</v>
      </c>
      <c r="H1633">
        <f t="shared" si="102"/>
        <v>1</v>
      </c>
      <c r="I1633">
        <f t="shared" si="103"/>
        <v>2.4214859999999998</v>
      </c>
      <c r="J1633">
        <f>IF(I1632=0,0,C1632-I1632)</f>
        <v>0</v>
      </c>
    </row>
    <row r="1634" spans="1:10" x14ac:dyDescent="0.25">
      <c r="A1634" s="1">
        <v>41102</v>
      </c>
      <c r="B1634">
        <v>2.4034300000000002</v>
      </c>
      <c r="C1634">
        <v>3.4550000000000001</v>
      </c>
      <c r="D1634">
        <f>WEEKDAY(A1634,14)</f>
        <v>1</v>
      </c>
      <c r="E1634">
        <f t="shared" si="100"/>
        <v>0</v>
      </c>
      <c r="F1634">
        <f t="shared" si="101"/>
        <v>1</v>
      </c>
      <c r="G1634">
        <f>IF(F1634&gt;F1633,G1633+B1634*E1634,B1634*E1634)</f>
        <v>0</v>
      </c>
      <c r="H1634">
        <f t="shared" si="102"/>
        <v>0</v>
      </c>
      <c r="I1634">
        <f t="shared" si="103"/>
        <v>0</v>
      </c>
      <c r="J1634">
        <f>IF(I1633=0,0,C1633-I1633)</f>
        <v>1.0635140000000001</v>
      </c>
    </row>
    <row r="1635" spans="1:10" x14ac:dyDescent="0.25">
      <c r="A1635" s="1">
        <v>41103</v>
      </c>
      <c r="B1635">
        <v>2.4584999999999999</v>
      </c>
      <c r="C1635">
        <v>3.4550000000000001</v>
      </c>
      <c r="D1635">
        <f>WEEKDAY(A1635,14)</f>
        <v>2</v>
      </c>
      <c r="E1635">
        <f t="shared" si="100"/>
        <v>0</v>
      </c>
      <c r="F1635">
        <f t="shared" si="101"/>
        <v>2</v>
      </c>
      <c r="G1635">
        <f>IF(F1635&gt;F1634,G1634+B1635*E1635,B1635*E1635)</f>
        <v>0</v>
      </c>
      <c r="H1635">
        <f t="shared" si="102"/>
        <v>0</v>
      </c>
      <c r="I1635">
        <f t="shared" si="103"/>
        <v>0</v>
      </c>
      <c r="J1635">
        <f>IF(I1634=0,0,C1634-I1634)</f>
        <v>0</v>
      </c>
    </row>
    <row r="1636" spans="1:10" x14ac:dyDescent="0.25">
      <c r="A1636" s="1">
        <v>41106</v>
      </c>
      <c r="B1636">
        <v>2.3968400000000001</v>
      </c>
      <c r="C1636">
        <v>3.4550000000000001</v>
      </c>
      <c r="D1636">
        <f>WEEKDAY(A1636,14)</f>
        <v>5</v>
      </c>
      <c r="E1636">
        <f t="shared" si="100"/>
        <v>0.05</v>
      </c>
      <c r="F1636">
        <f t="shared" si="101"/>
        <v>3</v>
      </c>
      <c r="G1636">
        <f>IF(F1636&gt;F1635,G1635+B1636*E1636,B1636*E1636)</f>
        <v>0.119842</v>
      </c>
      <c r="H1636">
        <f t="shared" si="102"/>
        <v>0.05</v>
      </c>
      <c r="I1636">
        <f t="shared" si="103"/>
        <v>0</v>
      </c>
      <c r="J1636">
        <f>IF(I1635=0,0,C1635-I1635)</f>
        <v>0</v>
      </c>
    </row>
    <row r="1637" spans="1:10" x14ac:dyDescent="0.25">
      <c r="A1637" s="1">
        <v>41107</v>
      </c>
      <c r="B1637">
        <v>2.4361000000000002</v>
      </c>
      <c r="C1637">
        <v>3.4550000000000001</v>
      </c>
      <c r="D1637">
        <f>WEEKDAY(A1637,14)</f>
        <v>6</v>
      </c>
      <c r="E1637">
        <f t="shared" si="100"/>
        <v>0.7</v>
      </c>
      <c r="F1637">
        <f t="shared" si="101"/>
        <v>4</v>
      </c>
      <c r="G1637">
        <f>IF(F1637&gt;F1636,G1636+B1637*E1637,B1637*E1637)</f>
        <v>1.8251120000000001</v>
      </c>
      <c r="H1637">
        <f t="shared" si="102"/>
        <v>0.75</v>
      </c>
      <c r="I1637">
        <f t="shared" si="103"/>
        <v>0</v>
      </c>
      <c r="J1637">
        <f>IF(I1636=0,0,C1636-I1636)</f>
        <v>0</v>
      </c>
    </row>
    <row r="1638" spans="1:10" x14ac:dyDescent="0.25">
      <c r="A1638" s="1">
        <v>41108</v>
      </c>
      <c r="B1638">
        <v>2.3758499999999998</v>
      </c>
      <c r="C1638">
        <v>3.4550000000000001</v>
      </c>
      <c r="D1638">
        <f>WEEKDAY(A1638,14)</f>
        <v>7</v>
      </c>
      <c r="E1638">
        <f t="shared" si="100"/>
        <v>0.25</v>
      </c>
      <c r="F1638">
        <f t="shared" si="101"/>
        <v>5</v>
      </c>
      <c r="G1638">
        <f>IF(F1638&gt;F1637,G1637+B1638*E1638,B1638*E1638)</f>
        <v>2.4190744999999998</v>
      </c>
      <c r="H1638">
        <f t="shared" si="102"/>
        <v>1</v>
      </c>
      <c r="I1638">
        <f t="shared" si="103"/>
        <v>2.4190744999999998</v>
      </c>
      <c r="J1638">
        <f>IF(I1637=0,0,C1637-I1637)</f>
        <v>0</v>
      </c>
    </row>
    <row r="1639" spans="1:10" x14ac:dyDescent="0.25">
      <c r="A1639" s="1">
        <v>41109</v>
      </c>
      <c r="B1639">
        <v>2.3931200000000001</v>
      </c>
      <c r="C1639">
        <v>3.415</v>
      </c>
      <c r="D1639">
        <f>WEEKDAY(A1639,14)</f>
        <v>1</v>
      </c>
      <c r="E1639">
        <f t="shared" si="100"/>
        <v>0</v>
      </c>
      <c r="F1639">
        <f t="shared" si="101"/>
        <v>1</v>
      </c>
      <c r="G1639">
        <f>IF(F1639&gt;F1638,G1638+B1639*E1639,B1639*E1639)</f>
        <v>0</v>
      </c>
      <c r="H1639">
        <f t="shared" si="102"/>
        <v>0</v>
      </c>
      <c r="I1639">
        <f t="shared" si="103"/>
        <v>0</v>
      </c>
      <c r="J1639">
        <f>IF(I1638=0,0,C1638-I1638)</f>
        <v>1.0359255000000003</v>
      </c>
    </row>
    <row r="1640" spans="1:10" x14ac:dyDescent="0.25">
      <c r="A1640" s="1">
        <v>41110</v>
      </c>
      <c r="B1640">
        <v>2.3249599999999999</v>
      </c>
      <c r="C1640">
        <v>3.415</v>
      </c>
      <c r="D1640">
        <f>WEEKDAY(A1640,14)</f>
        <v>2</v>
      </c>
      <c r="E1640">
        <f t="shared" si="100"/>
        <v>0</v>
      </c>
      <c r="F1640">
        <f t="shared" si="101"/>
        <v>2</v>
      </c>
      <c r="G1640">
        <f>IF(F1640&gt;F1639,G1639+B1640*E1640,B1640*E1640)</f>
        <v>0</v>
      </c>
      <c r="H1640">
        <f t="shared" si="102"/>
        <v>0</v>
      </c>
      <c r="I1640">
        <f t="shared" si="103"/>
        <v>0</v>
      </c>
      <c r="J1640">
        <f>IF(I1639=0,0,C1639-I1639)</f>
        <v>0</v>
      </c>
    </row>
    <row r="1641" spans="1:10" x14ac:dyDescent="0.25">
      <c r="A1641" s="1">
        <v>41113</v>
      </c>
      <c r="B1641">
        <v>2.2772299999999999</v>
      </c>
      <c r="C1641">
        <v>3.415</v>
      </c>
      <c r="D1641">
        <f>WEEKDAY(A1641,14)</f>
        <v>5</v>
      </c>
      <c r="E1641">
        <f t="shared" si="100"/>
        <v>0.05</v>
      </c>
      <c r="F1641">
        <f t="shared" si="101"/>
        <v>3</v>
      </c>
      <c r="G1641">
        <f>IF(F1641&gt;F1640,G1640+B1641*E1641,B1641*E1641)</f>
        <v>0.1138615</v>
      </c>
      <c r="H1641">
        <f t="shared" si="102"/>
        <v>0.05</v>
      </c>
      <c r="I1641">
        <f t="shared" si="103"/>
        <v>0</v>
      </c>
      <c r="J1641">
        <f>IF(I1640=0,0,C1640-I1640)</f>
        <v>0</v>
      </c>
    </row>
    <row r="1642" spans="1:10" x14ac:dyDescent="0.25">
      <c r="A1642" s="1">
        <v>41114</v>
      </c>
      <c r="B1642">
        <v>2.2471800000000002</v>
      </c>
      <c r="C1642">
        <v>3.415</v>
      </c>
      <c r="D1642">
        <f>WEEKDAY(A1642,14)</f>
        <v>6</v>
      </c>
      <c r="E1642">
        <f t="shared" si="100"/>
        <v>0.7</v>
      </c>
      <c r="F1642">
        <f t="shared" si="101"/>
        <v>4</v>
      </c>
      <c r="G1642">
        <f>IF(F1642&gt;F1641,G1641+B1642*E1642,B1642*E1642)</f>
        <v>1.6868875000000001</v>
      </c>
      <c r="H1642">
        <f t="shared" si="102"/>
        <v>0.75</v>
      </c>
      <c r="I1642">
        <f t="shared" si="103"/>
        <v>0</v>
      </c>
      <c r="J1642">
        <f>IF(I1641=0,0,C1641-I1641)</f>
        <v>0</v>
      </c>
    </row>
    <row r="1643" spans="1:10" x14ac:dyDescent="0.25">
      <c r="A1643" s="1">
        <v>41115</v>
      </c>
      <c r="B1643">
        <v>2.2633700000000001</v>
      </c>
      <c r="C1643">
        <v>3.415</v>
      </c>
      <c r="D1643">
        <f>WEEKDAY(A1643,14)</f>
        <v>7</v>
      </c>
      <c r="E1643">
        <f t="shared" si="100"/>
        <v>0.25</v>
      </c>
      <c r="F1643">
        <f t="shared" si="101"/>
        <v>5</v>
      </c>
      <c r="G1643">
        <f>IF(F1643&gt;F1642,G1642+B1643*E1643,B1643*E1643)</f>
        <v>2.2527300000000001</v>
      </c>
      <c r="H1643">
        <f t="shared" si="102"/>
        <v>1</v>
      </c>
      <c r="I1643">
        <f t="shared" si="103"/>
        <v>2.2527300000000001</v>
      </c>
      <c r="J1643">
        <f>IF(I1642=0,0,C1642-I1642)</f>
        <v>0</v>
      </c>
    </row>
    <row r="1644" spans="1:10" x14ac:dyDescent="0.25">
      <c r="A1644" s="1">
        <v>41116</v>
      </c>
      <c r="B1644">
        <v>2.2877900000000002</v>
      </c>
      <c r="C1644">
        <v>3.4750000000000001</v>
      </c>
      <c r="D1644">
        <f>WEEKDAY(A1644,14)</f>
        <v>1</v>
      </c>
      <c r="E1644">
        <f t="shared" si="100"/>
        <v>0</v>
      </c>
      <c r="F1644">
        <f t="shared" si="101"/>
        <v>1</v>
      </c>
      <c r="G1644">
        <f>IF(F1644&gt;F1643,G1643+B1644*E1644,B1644*E1644)</f>
        <v>0</v>
      </c>
      <c r="H1644">
        <f t="shared" si="102"/>
        <v>0</v>
      </c>
      <c r="I1644">
        <f t="shared" si="103"/>
        <v>0</v>
      </c>
      <c r="J1644">
        <f>IF(I1643=0,0,C1643-I1643)</f>
        <v>1.1622699999999999</v>
      </c>
    </row>
    <row r="1645" spans="1:10" x14ac:dyDescent="0.25">
      <c r="A1645" s="1">
        <v>41117</v>
      </c>
      <c r="B1645">
        <v>2.46854</v>
      </c>
      <c r="C1645">
        <v>3.4750000000000001</v>
      </c>
      <c r="D1645">
        <f>WEEKDAY(A1645,14)</f>
        <v>2</v>
      </c>
      <c r="E1645">
        <f t="shared" si="100"/>
        <v>0</v>
      </c>
      <c r="F1645">
        <f t="shared" si="101"/>
        <v>2</v>
      </c>
      <c r="G1645">
        <f>IF(F1645&gt;F1644,G1644+B1645*E1645,B1645*E1645)</f>
        <v>0</v>
      </c>
      <c r="H1645">
        <f t="shared" si="102"/>
        <v>0</v>
      </c>
      <c r="I1645">
        <f t="shared" si="103"/>
        <v>0</v>
      </c>
      <c r="J1645">
        <f>IF(I1644=0,0,C1644-I1644)</f>
        <v>0</v>
      </c>
    </row>
    <row r="1646" spans="1:10" x14ac:dyDescent="0.25">
      <c r="A1646" s="1">
        <v>41120</v>
      </c>
      <c r="B1646">
        <v>2.3365100000000001</v>
      </c>
      <c r="C1646">
        <v>3.4750000000000001</v>
      </c>
      <c r="D1646">
        <f>WEEKDAY(A1646,14)</f>
        <v>5</v>
      </c>
      <c r="E1646">
        <f t="shared" si="100"/>
        <v>0.05</v>
      </c>
      <c r="F1646">
        <f t="shared" si="101"/>
        <v>3</v>
      </c>
      <c r="G1646">
        <f>IF(F1646&gt;F1645,G1645+B1646*E1646,B1646*E1646)</f>
        <v>0.11682550000000001</v>
      </c>
      <c r="H1646">
        <f t="shared" si="102"/>
        <v>0.05</v>
      </c>
      <c r="I1646">
        <f t="shared" si="103"/>
        <v>0</v>
      </c>
      <c r="J1646">
        <f>IF(I1645=0,0,C1645-I1645)</f>
        <v>0</v>
      </c>
    </row>
    <row r="1647" spans="1:10" x14ac:dyDescent="0.25">
      <c r="A1647" s="1">
        <v>41121</v>
      </c>
      <c r="B1647">
        <v>2.3146</v>
      </c>
      <c r="C1647">
        <v>3.4750000000000001</v>
      </c>
      <c r="D1647">
        <f>WEEKDAY(A1647,14)</f>
        <v>6</v>
      </c>
      <c r="E1647">
        <f t="shared" si="100"/>
        <v>0.7</v>
      </c>
      <c r="F1647">
        <f t="shared" si="101"/>
        <v>4</v>
      </c>
      <c r="G1647">
        <f>IF(F1647&gt;F1646,G1646+B1647*E1647,B1647*E1647)</f>
        <v>1.7370455</v>
      </c>
      <c r="H1647">
        <f t="shared" si="102"/>
        <v>0.75</v>
      </c>
      <c r="I1647">
        <f t="shared" si="103"/>
        <v>0</v>
      </c>
      <c r="J1647">
        <f>IF(I1646=0,0,C1646-I1646)</f>
        <v>0</v>
      </c>
    </row>
    <row r="1648" spans="1:10" x14ac:dyDescent="0.25">
      <c r="A1648" s="1">
        <v>41122</v>
      </c>
      <c r="B1648">
        <v>2.3658800000000002</v>
      </c>
      <c r="C1648">
        <v>3.4750000000000001</v>
      </c>
      <c r="D1648">
        <f>WEEKDAY(A1648,14)</f>
        <v>7</v>
      </c>
      <c r="E1648">
        <f t="shared" si="100"/>
        <v>0.25</v>
      </c>
      <c r="F1648">
        <f t="shared" si="101"/>
        <v>5</v>
      </c>
      <c r="G1648">
        <f>IF(F1648&gt;F1647,G1647+B1648*E1648,B1648*E1648)</f>
        <v>2.3285155</v>
      </c>
      <c r="H1648">
        <f t="shared" si="102"/>
        <v>1</v>
      </c>
      <c r="I1648">
        <f t="shared" si="103"/>
        <v>2.3285155</v>
      </c>
      <c r="J1648">
        <f>IF(I1647=0,0,C1647-I1647)</f>
        <v>0</v>
      </c>
    </row>
    <row r="1649" spans="1:10" x14ac:dyDescent="0.25">
      <c r="A1649" s="1">
        <v>41123</v>
      </c>
      <c r="B1649">
        <v>2.33657</v>
      </c>
      <c r="C1649">
        <v>3.49</v>
      </c>
      <c r="D1649">
        <f>WEEKDAY(A1649,14)</f>
        <v>1</v>
      </c>
      <c r="E1649">
        <f t="shared" si="100"/>
        <v>0</v>
      </c>
      <c r="F1649">
        <f t="shared" si="101"/>
        <v>1</v>
      </c>
      <c r="G1649">
        <f>IF(F1649&gt;F1648,G1648+B1649*E1649,B1649*E1649)</f>
        <v>0</v>
      </c>
      <c r="H1649">
        <f t="shared" si="102"/>
        <v>0</v>
      </c>
      <c r="I1649">
        <f t="shared" si="103"/>
        <v>0</v>
      </c>
      <c r="J1649">
        <f>IF(I1648=0,0,C1648-I1648)</f>
        <v>1.1464845000000001</v>
      </c>
    </row>
    <row r="1650" spans="1:10" x14ac:dyDescent="0.25">
      <c r="A1650" s="1">
        <v>41124</v>
      </c>
      <c r="B1650">
        <v>2.4267500000000002</v>
      </c>
      <c r="C1650">
        <v>3.49</v>
      </c>
      <c r="D1650">
        <f>WEEKDAY(A1650,14)</f>
        <v>2</v>
      </c>
      <c r="E1650">
        <f t="shared" si="100"/>
        <v>0</v>
      </c>
      <c r="F1650">
        <f t="shared" si="101"/>
        <v>2</v>
      </c>
      <c r="G1650">
        <f>IF(F1650&gt;F1649,G1649+B1650*E1650,B1650*E1650)</f>
        <v>0</v>
      </c>
      <c r="H1650">
        <f t="shared" si="102"/>
        <v>0</v>
      </c>
      <c r="I1650">
        <f t="shared" si="103"/>
        <v>0</v>
      </c>
      <c r="J1650">
        <f>IF(I1649=0,0,C1649-I1649)</f>
        <v>0</v>
      </c>
    </row>
    <row r="1651" spans="1:10" x14ac:dyDescent="0.25">
      <c r="A1651" s="1">
        <v>41127</v>
      </c>
      <c r="B1651">
        <v>2.4102600000000001</v>
      </c>
      <c r="C1651">
        <v>3.49</v>
      </c>
      <c r="D1651">
        <f>WEEKDAY(A1651,14)</f>
        <v>5</v>
      </c>
      <c r="E1651">
        <f t="shared" si="100"/>
        <v>0.05</v>
      </c>
      <c r="F1651">
        <f t="shared" si="101"/>
        <v>3</v>
      </c>
      <c r="G1651">
        <f>IF(F1651&gt;F1650,G1650+B1651*E1651,B1651*E1651)</f>
        <v>0.12051300000000001</v>
      </c>
      <c r="H1651">
        <f t="shared" si="102"/>
        <v>0.05</v>
      </c>
      <c r="I1651">
        <f t="shared" si="103"/>
        <v>0</v>
      </c>
      <c r="J1651">
        <f>IF(I1650=0,0,C1650-I1650)</f>
        <v>0</v>
      </c>
    </row>
    <row r="1652" spans="1:10" x14ac:dyDescent="0.25">
      <c r="A1652" s="1">
        <v>41128</v>
      </c>
      <c r="B1652">
        <v>2.4648300000000001</v>
      </c>
      <c r="C1652">
        <v>3.49</v>
      </c>
      <c r="D1652">
        <f>WEEKDAY(A1652,14)</f>
        <v>6</v>
      </c>
      <c r="E1652">
        <f t="shared" si="100"/>
        <v>0.7</v>
      </c>
      <c r="F1652">
        <f t="shared" si="101"/>
        <v>4</v>
      </c>
      <c r="G1652">
        <f>IF(F1652&gt;F1651,G1651+B1652*E1652,B1652*E1652)</f>
        <v>1.8458940000000001</v>
      </c>
      <c r="H1652">
        <f t="shared" si="102"/>
        <v>0.75</v>
      </c>
      <c r="I1652">
        <f t="shared" si="103"/>
        <v>0</v>
      </c>
      <c r="J1652">
        <f>IF(I1651=0,0,C1651-I1651)</f>
        <v>0</v>
      </c>
    </row>
    <row r="1653" spans="1:10" x14ac:dyDescent="0.25">
      <c r="A1653" s="1">
        <v>41129</v>
      </c>
      <c r="B1653">
        <v>2.4538799999999998</v>
      </c>
      <c r="C1653">
        <v>3.49</v>
      </c>
      <c r="D1653">
        <f>WEEKDAY(A1653,14)</f>
        <v>7</v>
      </c>
      <c r="E1653">
        <f t="shared" si="100"/>
        <v>0.25</v>
      </c>
      <c r="F1653">
        <f t="shared" si="101"/>
        <v>5</v>
      </c>
      <c r="G1653">
        <f>IF(F1653&gt;F1652,G1652+B1653*E1653,B1653*E1653)</f>
        <v>2.4593639999999999</v>
      </c>
      <c r="H1653">
        <f t="shared" si="102"/>
        <v>1</v>
      </c>
      <c r="I1653">
        <f t="shared" si="103"/>
        <v>2.4593639999999999</v>
      </c>
      <c r="J1653">
        <f>IF(I1652=0,0,C1652-I1652)</f>
        <v>0</v>
      </c>
    </row>
    <row r="1654" spans="1:10" x14ac:dyDescent="0.25">
      <c r="A1654" s="1">
        <v>41130</v>
      </c>
      <c r="B1654">
        <v>2.4571700000000001</v>
      </c>
      <c r="C1654">
        <v>3.52</v>
      </c>
      <c r="D1654">
        <f>WEEKDAY(A1654,14)</f>
        <v>1</v>
      </c>
      <c r="E1654">
        <f t="shared" si="100"/>
        <v>0</v>
      </c>
      <c r="F1654">
        <f t="shared" si="101"/>
        <v>1</v>
      </c>
      <c r="G1654">
        <f>IF(F1654&gt;F1653,G1653+B1654*E1654,B1654*E1654)</f>
        <v>0</v>
      </c>
      <c r="H1654">
        <f t="shared" si="102"/>
        <v>0</v>
      </c>
      <c r="I1654">
        <f t="shared" si="103"/>
        <v>0</v>
      </c>
      <c r="J1654">
        <f>IF(I1653=0,0,C1653-I1653)</f>
        <v>1.0306360000000003</v>
      </c>
    </row>
    <row r="1655" spans="1:10" x14ac:dyDescent="0.25">
      <c r="A1655" s="1">
        <v>41131</v>
      </c>
      <c r="B1655">
        <v>2.4373499999999999</v>
      </c>
      <c r="C1655">
        <v>3.52</v>
      </c>
      <c r="D1655">
        <f>WEEKDAY(A1655,14)</f>
        <v>2</v>
      </c>
      <c r="E1655">
        <f t="shared" si="100"/>
        <v>0</v>
      </c>
      <c r="F1655">
        <f t="shared" si="101"/>
        <v>2</v>
      </c>
      <c r="G1655">
        <f>IF(F1655&gt;F1654,G1654+B1655*E1655,B1655*E1655)</f>
        <v>0</v>
      </c>
      <c r="H1655">
        <f t="shared" si="102"/>
        <v>0</v>
      </c>
      <c r="I1655">
        <f t="shared" si="103"/>
        <v>0</v>
      </c>
      <c r="J1655">
        <f>IF(I1654=0,0,C1654-I1654)</f>
        <v>0</v>
      </c>
    </row>
    <row r="1656" spans="1:10" x14ac:dyDescent="0.25">
      <c r="A1656" s="1">
        <v>41134</v>
      </c>
      <c r="B1656">
        <v>2.43262</v>
      </c>
      <c r="C1656">
        <v>3.52</v>
      </c>
      <c r="D1656">
        <f>WEEKDAY(A1656,14)</f>
        <v>5</v>
      </c>
      <c r="E1656">
        <f t="shared" si="100"/>
        <v>0.05</v>
      </c>
      <c r="F1656">
        <f t="shared" si="101"/>
        <v>3</v>
      </c>
      <c r="G1656">
        <f>IF(F1656&gt;F1655,G1655+B1656*E1656,B1656*E1656)</f>
        <v>0.121631</v>
      </c>
      <c r="H1656">
        <f t="shared" si="102"/>
        <v>0.05</v>
      </c>
      <c r="I1656">
        <f t="shared" si="103"/>
        <v>0</v>
      </c>
      <c r="J1656">
        <f>IF(I1655=0,0,C1655-I1655)</f>
        <v>0</v>
      </c>
    </row>
    <row r="1657" spans="1:10" x14ac:dyDescent="0.25">
      <c r="A1657" s="1">
        <v>41135</v>
      </c>
      <c r="B1657">
        <v>2.5032100000000002</v>
      </c>
      <c r="C1657">
        <v>3.52</v>
      </c>
      <c r="D1657">
        <f>WEEKDAY(A1657,14)</f>
        <v>6</v>
      </c>
      <c r="E1657">
        <f t="shared" si="100"/>
        <v>0.7</v>
      </c>
      <c r="F1657">
        <f t="shared" si="101"/>
        <v>4</v>
      </c>
      <c r="G1657">
        <f>IF(F1657&gt;F1656,G1656+B1657*E1657,B1657*E1657)</f>
        <v>1.8738779999999999</v>
      </c>
      <c r="H1657">
        <f t="shared" si="102"/>
        <v>0.75</v>
      </c>
      <c r="I1657">
        <f t="shared" si="103"/>
        <v>0</v>
      </c>
      <c r="J1657">
        <f>IF(I1656=0,0,C1656-I1656)</f>
        <v>0</v>
      </c>
    </row>
    <row r="1658" spans="1:10" x14ac:dyDescent="0.25">
      <c r="A1658" s="1">
        <v>41136</v>
      </c>
      <c r="B1658">
        <v>2.6381299999999999</v>
      </c>
      <c r="C1658">
        <v>3.52</v>
      </c>
      <c r="D1658">
        <f>WEEKDAY(A1658,14)</f>
        <v>7</v>
      </c>
      <c r="E1658">
        <f t="shared" si="100"/>
        <v>0.25</v>
      </c>
      <c r="F1658">
        <f t="shared" si="101"/>
        <v>5</v>
      </c>
      <c r="G1658">
        <f>IF(F1658&gt;F1657,G1657+B1658*E1658,B1658*E1658)</f>
        <v>2.5334105</v>
      </c>
      <c r="H1658">
        <f t="shared" si="102"/>
        <v>1</v>
      </c>
      <c r="I1658">
        <f t="shared" si="103"/>
        <v>2.5334105</v>
      </c>
      <c r="J1658">
        <f>IF(I1657=0,0,C1657-I1657)</f>
        <v>0</v>
      </c>
    </row>
    <row r="1659" spans="1:10" x14ac:dyDescent="0.25">
      <c r="A1659" s="1">
        <v>41137</v>
      </c>
      <c r="B1659">
        <v>2.6701899999999998</v>
      </c>
      <c r="C1659">
        <v>3.585</v>
      </c>
      <c r="D1659">
        <f>WEEKDAY(A1659,14)</f>
        <v>1</v>
      </c>
      <c r="E1659">
        <f t="shared" si="100"/>
        <v>0</v>
      </c>
      <c r="F1659">
        <f t="shared" si="101"/>
        <v>1</v>
      </c>
      <c r="G1659">
        <f>IF(F1659&gt;F1658,G1658+B1659*E1659,B1659*E1659)</f>
        <v>0</v>
      </c>
      <c r="H1659">
        <f t="shared" si="102"/>
        <v>0</v>
      </c>
      <c r="I1659">
        <f t="shared" si="103"/>
        <v>0</v>
      </c>
      <c r="J1659">
        <f>IF(I1658=0,0,C1658-I1658)</f>
        <v>0.98658950000000001</v>
      </c>
    </row>
    <row r="1660" spans="1:10" x14ac:dyDescent="0.25">
      <c r="A1660" s="1">
        <v>41138</v>
      </c>
      <c r="B1660">
        <v>2.6390400000000001</v>
      </c>
      <c r="C1660">
        <v>3.585</v>
      </c>
      <c r="D1660">
        <f>WEEKDAY(A1660,14)</f>
        <v>2</v>
      </c>
      <c r="E1660">
        <f t="shared" si="100"/>
        <v>0</v>
      </c>
      <c r="F1660">
        <f t="shared" si="101"/>
        <v>2</v>
      </c>
      <c r="G1660">
        <f>IF(F1660&gt;F1659,G1659+B1660*E1660,B1660*E1660)</f>
        <v>0</v>
      </c>
      <c r="H1660">
        <f t="shared" si="102"/>
        <v>0</v>
      </c>
      <c r="I1660">
        <f t="shared" si="103"/>
        <v>0</v>
      </c>
      <c r="J1660">
        <f>IF(I1659=0,0,C1659-I1659)</f>
        <v>0</v>
      </c>
    </row>
    <row r="1661" spans="1:10" x14ac:dyDescent="0.25">
      <c r="A1661" s="1">
        <v>41141</v>
      </c>
      <c r="B1661">
        <v>2.6186799999999999</v>
      </c>
      <c r="C1661">
        <v>3.585</v>
      </c>
      <c r="D1661">
        <f>WEEKDAY(A1661,14)</f>
        <v>5</v>
      </c>
      <c r="E1661">
        <f t="shared" si="100"/>
        <v>0.05</v>
      </c>
      <c r="F1661">
        <f t="shared" si="101"/>
        <v>3</v>
      </c>
      <c r="G1661">
        <f>IF(F1661&gt;F1660,G1660+B1661*E1661,B1661*E1661)</f>
        <v>0.13093399999999999</v>
      </c>
      <c r="H1661">
        <f t="shared" si="102"/>
        <v>0.05</v>
      </c>
      <c r="I1661">
        <f t="shared" si="103"/>
        <v>0</v>
      </c>
      <c r="J1661">
        <f>IF(I1660=0,0,C1660-I1660)</f>
        <v>0</v>
      </c>
    </row>
    <row r="1662" spans="1:10" x14ac:dyDescent="0.25">
      <c r="A1662" s="1">
        <v>41142</v>
      </c>
      <c r="B1662">
        <v>2.6258900000000001</v>
      </c>
      <c r="C1662">
        <v>3.585</v>
      </c>
      <c r="D1662">
        <f>WEEKDAY(A1662,14)</f>
        <v>6</v>
      </c>
      <c r="E1662">
        <f t="shared" si="100"/>
        <v>0.7</v>
      </c>
      <c r="F1662">
        <f t="shared" si="101"/>
        <v>4</v>
      </c>
      <c r="G1662">
        <f>IF(F1662&gt;F1661,G1661+B1662*E1662,B1662*E1662)</f>
        <v>1.9690569999999998</v>
      </c>
      <c r="H1662">
        <f t="shared" si="102"/>
        <v>0.75</v>
      </c>
      <c r="I1662">
        <f t="shared" si="103"/>
        <v>0</v>
      </c>
      <c r="J1662">
        <f>IF(I1661=0,0,C1661-I1661)</f>
        <v>0</v>
      </c>
    </row>
    <row r="1663" spans="1:10" x14ac:dyDescent="0.25">
      <c r="A1663" s="1">
        <v>41143</v>
      </c>
      <c r="B1663">
        <v>2.51207</v>
      </c>
      <c r="C1663">
        <v>3.585</v>
      </c>
      <c r="D1663">
        <f>WEEKDAY(A1663,14)</f>
        <v>7</v>
      </c>
      <c r="E1663">
        <f t="shared" si="100"/>
        <v>0.25</v>
      </c>
      <c r="F1663">
        <f t="shared" si="101"/>
        <v>5</v>
      </c>
      <c r="G1663">
        <f>IF(F1663&gt;F1662,G1662+B1663*E1663,B1663*E1663)</f>
        <v>2.5970744999999997</v>
      </c>
      <c r="H1663">
        <f t="shared" si="102"/>
        <v>1</v>
      </c>
      <c r="I1663">
        <f t="shared" si="103"/>
        <v>2.5970744999999997</v>
      </c>
      <c r="J1663">
        <f>IF(I1662=0,0,C1662-I1662)</f>
        <v>0</v>
      </c>
    </row>
    <row r="1664" spans="1:10" x14ac:dyDescent="0.25">
      <c r="A1664" s="1">
        <v>41144</v>
      </c>
      <c r="B1664">
        <v>2.4447100000000002</v>
      </c>
      <c r="C1664">
        <v>3.49</v>
      </c>
      <c r="D1664">
        <f>WEEKDAY(A1664,14)</f>
        <v>1</v>
      </c>
      <c r="E1664">
        <f t="shared" si="100"/>
        <v>0</v>
      </c>
      <c r="F1664">
        <f t="shared" si="101"/>
        <v>1</v>
      </c>
      <c r="G1664">
        <f>IF(F1664&gt;F1663,G1663+B1664*E1664,B1664*E1664)</f>
        <v>0</v>
      </c>
      <c r="H1664">
        <f t="shared" si="102"/>
        <v>0</v>
      </c>
      <c r="I1664">
        <f t="shared" si="103"/>
        <v>0</v>
      </c>
      <c r="J1664">
        <f>IF(I1663=0,0,C1663-I1663)</f>
        <v>0.98792550000000023</v>
      </c>
    </row>
    <row r="1665" spans="1:10" x14ac:dyDescent="0.25">
      <c r="A1665" s="1">
        <v>41145</v>
      </c>
      <c r="B1665">
        <v>2.4760900000000001</v>
      </c>
      <c r="C1665">
        <v>3.49</v>
      </c>
      <c r="D1665">
        <f>WEEKDAY(A1665,14)</f>
        <v>2</v>
      </c>
      <c r="E1665">
        <f t="shared" si="100"/>
        <v>0</v>
      </c>
      <c r="F1665">
        <f t="shared" si="101"/>
        <v>2</v>
      </c>
      <c r="G1665">
        <f>IF(F1665&gt;F1664,G1664+B1665*E1665,B1665*E1665)</f>
        <v>0</v>
      </c>
      <c r="H1665">
        <f t="shared" si="102"/>
        <v>0</v>
      </c>
      <c r="I1665">
        <f t="shared" si="103"/>
        <v>0</v>
      </c>
      <c r="J1665">
        <f>IF(I1664=0,0,C1664-I1664)</f>
        <v>0</v>
      </c>
    </row>
    <row r="1666" spans="1:10" x14ac:dyDescent="0.25">
      <c r="A1666" s="1">
        <v>41148</v>
      </c>
      <c r="B1666">
        <v>2.44075</v>
      </c>
      <c r="C1666">
        <v>3.49</v>
      </c>
      <c r="D1666">
        <f>WEEKDAY(A1666,14)</f>
        <v>5</v>
      </c>
      <c r="E1666">
        <f t="shared" si="100"/>
        <v>0.05</v>
      </c>
      <c r="F1666">
        <f t="shared" si="101"/>
        <v>3</v>
      </c>
      <c r="G1666">
        <f>IF(F1666&gt;F1665,G1665+B1666*E1666,B1666*E1666)</f>
        <v>0.12203750000000001</v>
      </c>
      <c r="H1666">
        <f t="shared" si="102"/>
        <v>0.05</v>
      </c>
      <c r="I1666">
        <f t="shared" si="103"/>
        <v>0</v>
      </c>
      <c r="J1666">
        <f>IF(I1665=0,0,C1665-I1665)</f>
        <v>0</v>
      </c>
    </row>
    <row r="1667" spans="1:10" x14ac:dyDescent="0.25">
      <c r="A1667" s="1">
        <v>41149</v>
      </c>
      <c r="B1667">
        <v>2.4110399999999998</v>
      </c>
      <c r="C1667">
        <v>3.49</v>
      </c>
      <c r="D1667">
        <f>WEEKDAY(A1667,14)</f>
        <v>6</v>
      </c>
      <c r="E1667">
        <f t="shared" ref="E1667:E1730" si="104">VLOOKUP(D1667,M$2:N$8,2,FALSE)</f>
        <v>0.7</v>
      </c>
      <c r="F1667">
        <f t="shared" ref="F1667:F1730" si="105">IF(AND(D1667&gt;D1666,F1666&lt;6),F1666+1,1)</f>
        <v>4</v>
      </c>
      <c r="G1667">
        <f>IF(F1667&gt;F1666,G1666+B1667*E1667,B1667*E1667)</f>
        <v>1.8097654999999999</v>
      </c>
      <c r="H1667">
        <f t="shared" si="102"/>
        <v>0.75</v>
      </c>
      <c r="I1667">
        <f t="shared" si="103"/>
        <v>0</v>
      </c>
      <c r="J1667">
        <f>IF(I1666=0,0,C1666-I1666)</f>
        <v>0</v>
      </c>
    </row>
    <row r="1668" spans="1:10" x14ac:dyDescent="0.25">
      <c r="A1668" s="1">
        <v>41150</v>
      </c>
      <c r="B1668">
        <v>2.4687800000000002</v>
      </c>
      <c r="C1668">
        <v>3.49</v>
      </c>
      <c r="D1668">
        <f>WEEKDAY(A1668,14)</f>
        <v>7</v>
      </c>
      <c r="E1668">
        <f t="shared" si="104"/>
        <v>0.25</v>
      </c>
      <c r="F1668">
        <f t="shared" si="105"/>
        <v>5</v>
      </c>
      <c r="G1668">
        <f>IF(F1668&gt;F1667,G1667+B1668*E1668,B1668*E1668)</f>
        <v>2.4269604999999999</v>
      </c>
      <c r="H1668">
        <f t="shared" ref="H1668:H1731" si="106">IF(AND(F1668&lt;6,F1668&gt;F1667),E1668+H1667,E1668)</f>
        <v>1</v>
      </c>
      <c r="I1668">
        <f t="shared" ref="I1668:I1731" si="107">IF(F1668&gt;F1669,G1668/H1668,0)</f>
        <v>2.4269604999999999</v>
      </c>
      <c r="J1668">
        <f>IF(I1667=0,0,C1667-I1667)</f>
        <v>0</v>
      </c>
    </row>
    <row r="1669" spans="1:10" x14ac:dyDescent="0.25">
      <c r="A1669" s="1">
        <v>41151</v>
      </c>
      <c r="B1669">
        <v>2.43371</v>
      </c>
      <c r="C1669">
        <v>3.4750000000000001</v>
      </c>
      <c r="D1669">
        <f>WEEKDAY(A1669,14)</f>
        <v>1</v>
      </c>
      <c r="E1669">
        <f t="shared" si="104"/>
        <v>0</v>
      </c>
      <c r="F1669">
        <f t="shared" si="105"/>
        <v>1</v>
      </c>
      <c r="G1669">
        <f>IF(F1669&gt;F1668,G1668+B1669*E1669,B1669*E1669)</f>
        <v>0</v>
      </c>
      <c r="H1669">
        <f t="shared" si="106"/>
        <v>0</v>
      </c>
      <c r="I1669">
        <f t="shared" si="107"/>
        <v>0</v>
      </c>
      <c r="J1669">
        <f>IF(I1668=0,0,C1668-I1668)</f>
        <v>1.0630395000000004</v>
      </c>
    </row>
    <row r="1670" spans="1:10" x14ac:dyDescent="0.25">
      <c r="A1670" s="1">
        <v>41152</v>
      </c>
      <c r="B1670">
        <v>2.3689499999999999</v>
      </c>
      <c r="C1670">
        <v>3.4750000000000001</v>
      </c>
      <c r="D1670">
        <f>WEEKDAY(A1670,14)</f>
        <v>2</v>
      </c>
      <c r="E1670">
        <f t="shared" si="104"/>
        <v>0</v>
      </c>
      <c r="F1670">
        <f t="shared" si="105"/>
        <v>2</v>
      </c>
      <c r="G1670">
        <f>IF(F1670&gt;F1669,G1669+B1670*E1670,B1670*E1670)</f>
        <v>0</v>
      </c>
      <c r="H1670">
        <f t="shared" si="106"/>
        <v>0</v>
      </c>
      <c r="I1670">
        <f t="shared" si="107"/>
        <v>0</v>
      </c>
      <c r="J1670">
        <f>IF(I1669=0,0,C1669-I1669)</f>
        <v>0</v>
      </c>
    </row>
    <row r="1671" spans="1:10" x14ac:dyDescent="0.25">
      <c r="A1671" s="1">
        <v>41156</v>
      </c>
      <c r="B1671">
        <v>2.3841700000000001</v>
      </c>
      <c r="C1671">
        <v>3.4750000000000001</v>
      </c>
      <c r="D1671">
        <f>WEEKDAY(A1671,14)</f>
        <v>6</v>
      </c>
      <c r="E1671">
        <f t="shared" si="104"/>
        <v>0.7</v>
      </c>
      <c r="F1671">
        <f t="shared" si="105"/>
        <v>3</v>
      </c>
      <c r="G1671">
        <f>IF(F1671&gt;F1670,G1670+B1671*E1671,B1671*E1671)</f>
        <v>1.668919</v>
      </c>
      <c r="H1671">
        <f t="shared" si="106"/>
        <v>0.7</v>
      </c>
      <c r="I1671">
        <f t="shared" si="107"/>
        <v>0</v>
      </c>
      <c r="J1671">
        <f>IF(I1670=0,0,C1670-I1670)</f>
        <v>0</v>
      </c>
    </row>
    <row r="1672" spans="1:10" x14ac:dyDescent="0.25">
      <c r="A1672" s="1">
        <v>41157</v>
      </c>
      <c r="B1672">
        <v>2.3952800000000001</v>
      </c>
      <c r="C1672">
        <v>3.4750000000000001</v>
      </c>
      <c r="D1672">
        <f>WEEKDAY(A1672,14)</f>
        <v>7</v>
      </c>
      <c r="E1672">
        <f t="shared" si="104"/>
        <v>0.25</v>
      </c>
      <c r="F1672">
        <f t="shared" si="105"/>
        <v>4</v>
      </c>
      <c r="G1672">
        <f>IF(F1672&gt;F1671,G1671+B1672*E1672,B1672*E1672)</f>
        <v>2.2677390000000002</v>
      </c>
      <c r="H1672">
        <f t="shared" si="106"/>
        <v>0.95</v>
      </c>
      <c r="I1672">
        <f t="shared" si="107"/>
        <v>2.3870936842105266</v>
      </c>
      <c r="J1672">
        <f>IF(I1671=0,0,C1671-I1671)</f>
        <v>0</v>
      </c>
    </row>
    <row r="1673" spans="1:10" x14ac:dyDescent="0.25">
      <c r="A1673" s="1">
        <v>41158</v>
      </c>
      <c r="B1673">
        <v>2.45607</v>
      </c>
      <c r="C1673">
        <v>3.45</v>
      </c>
      <c r="D1673">
        <f>WEEKDAY(A1673,14)</f>
        <v>1</v>
      </c>
      <c r="E1673">
        <f t="shared" si="104"/>
        <v>0</v>
      </c>
      <c r="F1673">
        <f t="shared" si="105"/>
        <v>1</v>
      </c>
      <c r="G1673">
        <f>IF(F1673&gt;F1672,G1672+B1673*E1673,B1673*E1673)</f>
        <v>0</v>
      </c>
      <c r="H1673">
        <f t="shared" si="106"/>
        <v>0</v>
      </c>
      <c r="I1673">
        <f t="shared" si="107"/>
        <v>0</v>
      </c>
      <c r="J1673">
        <f>IF(I1672=0,0,C1672-I1672)</f>
        <v>1.0879063157894735</v>
      </c>
    </row>
    <row r="1674" spans="1:10" x14ac:dyDescent="0.25">
      <c r="A1674" s="1">
        <v>41159</v>
      </c>
      <c r="B1674">
        <v>2.37384</v>
      </c>
      <c r="C1674">
        <v>3.45</v>
      </c>
      <c r="D1674">
        <f>WEEKDAY(A1674,14)</f>
        <v>2</v>
      </c>
      <c r="E1674">
        <f t="shared" si="104"/>
        <v>0</v>
      </c>
      <c r="F1674">
        <f t="shared" si="105"/>
        <v>2</v>
      </c>
      <c r="G1674">
        <f>IF(F1674&gt;F1673,G1673+B1674*E1674,B1674*E1674)</f>
        <v>0</v>
      </c>
      <c r="H1674">
        <f t="shared" si="106"/>
        <v>0</v>
      </c>
      <c r="I1674">
        <f t="shared" si="107"/>
        <v>0</v>
      </c>
      <c r="J1674">
        <f>IF(I1673=0,0,C1673-I1673)</f>
        <v>0</v>
      </c>
    </row>
    <row r="1675" spans="1:10" x14ac:dyDescent="0.25">
      <c r="A1675" s="1">
        <v>41162</v>
      </c>
      <c r="B1675">
        <v>2.37785</v>
      </c>
      <c r="C1675">
        <v>3.45</v>
      </c>
      <c r="D1675">
        <f>WEEKDAY(A1675,14)</f>
        <v>5</v>
      </c>
      <c r="E1675">
        <f t="shared" si="104"/>
        <v>0.05</v>
      </c>
      <c r="F1675">
        <f t="shared" si="105"/>
        <v>3</v>
      </c>
      <c r="G1675">
        <f>IF(F1675&gt;F1674,G1674+B1675*E1675,B1675*E1675)</f>
        <v>0.11889250000000001</v>
      </c>
      <c r="H1675">
        <f t="shared" si="106"/>
        <v>0.05</v>
      </c>
      <c r="I1675">
        <f t="shared" si="107"/>
        <v>0</v>
      </c>
      <c r="J1675">
        <f>IF(I1674=0,0,C1674-I1674)</f>
        <v>0</v>
      </c>
    </row>
    <row r="1676" spans="1:10" x14ac:dyDescent="0.25">
      <c r="A1676" s="1">
        <v>41163</v>
      </c>
      <c r="B1676">
        <v>2.39371</v>
      </c>
      <c r="C1676">
        <v>3.45</v>
      </c>
      <c r="D1676">
        <f>WEEKDAY(A1676,14)</f>
        <v>6</v>
      </c>
      <c r="E1676">
        <f t="shared" si="104"/>
        <v>0.7</v>
      </c>
      <c r="F1676">
        <f t="shared" si="105"/>
        <v>4</v>
      </c>
      <c r="G1676">
        <f>IF(F1676&gt;F1675,G1675+B1676*E1676,B1676*E1676)</f>
        <v>1.7944895000000001</v>
      </c>
      <c r="H1676">
        <f t="shared" si="106"/>
        <v>0.75</v>
      </c>
      <c r="I1676">
        <f t="shared" si="107"/>
        <v>0</v>
      </c>
      <c r="J1676">
        <f>IF(I1675=0,0,C1675-I1675)</f>
        <v>0</v>
      </c>
    </row>
    <row r="1677" spans="1:10" x14ac:dyDescent="0.25">
      <c r="A1677" s="1">
        <v>41164</v>
      </c>
      <c r="B1677">
        <v>2.4292199999999999</v>
      </c>
      <c r="C1677">
        <v>3.45</v>
      </c>
      <c r="D1677">
        <f>WEEKDAY(A1677,14)</f>
        <v>7</v>
      </c>
      <c r="E1677">
        <f t="shared" si="104"/>
        <v>0.25</v>
      </c>
      <c r="F1677">
        <f t="shared" si="105"/>
        <v>5</v>
      </c>
      <c r="G1677">
        <f>IF(F1677&gt;F1676,G1676+B1677*E1677,B1677*E1677)</f>
        <v>2.4017945000000003</v>
      </c>
      <c r="H1677">
        <f t="shared" si="106"/>
        <v>1</v>
      </c>
      <c r="I1677">
        <f t="shared" si="107"/>
        <v>2.4017945000000003</v>
      </c>
      <c r="J1677">
        <f>IF(I1676=0,0,C1676-I1676)</f>
        <v>0</v>
      </c>
    </row>
    <row r="1678" spans="1:10" x14ac:dyDescent="0.25">
      <c r="A1678" s="1">
        <v>41165</v>
      </c>
      <c r="B1678">
        <v>2.20601</v>
      </c>
      <c r="C1678">
        <v>3.39</v>
      </c>
      <c r="D1678">
        <f>WEEKDAY(A1678,14)</f>
        <v>1</v>
      </c>
      <c r="E1678">
        <f t="shared" si="104"/>
        <v>0</v>
      </c>
      <c r="F1678">
        <f t="shared" si="105"/>
        <v>1</v>
      </c>
      <c r="G1678">
        <f>IF(F1678&gt;F1677,G1677+B1678*E1678,B1678*E1678)</f>
        <v>0</v>
      </c>
      <c r="H1678">
        <f t="shared" si="106"/>
        <v>0</v>
      </c>
      <c r="I1678">
        <f t="shared" si="107"/>
        <v>0</v>
      </c>
      <c r="J1678">
        <f>IF(I1677=0,0,C1677-I1677)</f>
        <v>1.0482054999999999</v>
      </c>
    </row>
    <row r="1679" spans="1:10" x14ac:dyDescent="0.25">
      <c r="A1679" s="1">
        <v>41166</v>
      </c>
      <c r="B1679">
        <v>2.2680500000000001</v>
      </c>
      <c r="C1679">
        <v>3.39</v>
      </c>
      <c r="D1679">
        <f>WEEKDAY(A1679,14)</f>
        <v>2</v>
      </c>
      <c r="E1679">
        <f t="shared" si="104"/>
        <v>0</v>
      </c>
      <c r="F1679">
        <f t="shared" si="105"/>
        <v>2</v>
      </c>
      <c r="G1679">
        <f>IF(F1679&gt;F1678,G1678+B1679*E1679,B1679*E1679)</f>
        <v>0</v>
      </c>
      <c r="H1679">
        <f t="shared" si="106"/>
        <v>0</v>
      </c>
      <c r="I1679">
        <f t="shared" si="107"/>
        <v>0</v>
      </c>
      <c r="J1679">
        <f>IF(I1678=0,0,C1678-I1678)</f>
        <v>0</v>
      </c>
    </row>
    <row r="1680" spans="1:10" x14ac:dyDescent="0.25">
      <c r="A1680" s="1">
        <v>41169</v>
      </c>
      <c r="B1680">
        <v>2.2811699999999999</v>
      </c>
      <c r="C1680">
        <v>3.39</v>
      </c>
      <c r="D1680">
        <f>WEEKDAY(A1680,14)</f>
        <v>5</v>
      </c>
      <c r="E1680">
        <f t="shared" si="104"/>
        <v>0.05</v>
      </c>
      <c r="F1680">
        <f t="shared" si="105"/>
        <v>3</v>
      </c>
      <c r="G1680">
        <f>IF(F1680&gt;F1679,G1679+B1680*E1680,B1680*E1680)</f>
        <v>0.11405850000000001</v>
      </c>
      <c r="H1680">
        <f t="shared" si="106"/>
        <v>0.05</v>
      </c>
      <c r="I1680">
        <f t="shared" si="107"/>
        <v>0</v>
      </c>
      <c r="J1680">
        <f>IF(I1679=0,0,C1679-I1679)</f>
        <v>0</v>
      </c>
    </row>
    <row r="1681" spans="1:10" x14ac:dyDescent="0.25">
      <c r="A1681" s="1">
        <v>41170</v>
      </c>
      <c r="B1681">
        <v>2.2694000000000001</v>
      </c>
      <c r="C1681">
        <v>3.39</v>
      </c>
      <c r="D1681">
        <f>WEEKDAY(A1681,14)</f>
        <v>6</v>
      </c>
      <c r="E1681">
        <f t="shared" si="104"/>
        <v>0.7</v>
      </c>
      <c r="F1681">
        <f t="shared" si="105"/>
        <v>4</v>
      </c>
      <c r="G1681">
        <f>IF(F1681&gt;F1680,G1680+B1681*E1681,B1681*E1681)</f>
        <v>1.7026384999999999</v>
      </c>
      <c r="H1681">
        <f t="shared" si="106"/>
        <v>0.75</v>
      </c>
      <c r="I1681">
        <f t="shared" si="107"/>
        <v>0</v>
      </c>
      <c r="J1681">
        <f>IF(I1680=0,0,C1680-I1680)</f>
        <v>0</v>
      </c>
    </row>
    <row r="1682" spans="1:10" x14ac:dyDescent="0.25">
      <c r="A1682" s="1">
        <v>41171</v>
      </c>
      <c r="B1682">
        <v>2.2108599999999998</v>
      </c>
      <c r="C1682">
        <v>3.39</v>
      </c>
      <c r="D1682">
        <f>WEEKDAY(A1682,14)</f>
        <v>7</v>
      </c>
      <c r="E1682">
        <f t="shared" si="104"/>
        <v>0.25</v>
      </c>
      <c r="F1682">
        <f t="shared" si="105"/>
        <v>5</v>
      </c>
      <c r="G1682">
        <f>IF(F1682&gt;F1681,G1681+B1682*E1682,B1682*E1682)</f>
        <v>2.2553535</v>
      </c>
      <c r="H1682">
        <f t="shared" si="106"/>
        <v>1</v>
      </c>
      <c r="I1682">
        <f t="shared" si="107"/>
        <v>2.2553535</v>
      </c>
      <c r="J1682">
        <f>IF(I1681=0,0,C1681-I1681)</f>
        <v>0</v>
      </c>
    </row>
    <row r="1683" spans="1:10" x14ac:dyDescent="0.25">
      <c r="A1683" s="1">
        <v>41172</v>
      </c>
      <c r="B1683">
        <v>2.1699299999999999</v>
      </c>
      <c r="C1683">
        <v>3.3</v>
      </c>
      <c r="D1683">
        <f>WEEKDAY(A1683,14)</f>
        <v>1</v>
      </c>
      <c r="E1683">
        <f t="shared" si="104"/>
        <v>0</v>
      </c>
      <c r="F1683">
        <f t="shared" si="105"/>
        <v>1</v>
      </c>
      <c r="G1683">
        <f>IF(F1683&gt;F1682,G1682+B1683*E1683,B1683*E1683)</f>
        <v>0</v>
      </c>
      <c r="H1683">
        <f t="shared" si="106"/>
        <v>0</v>
      </c>
      <c r="I1683">
        <f t="shared" si="107"/>
        <v>0</v>
      </c>
      <c r="J1683">
        <f>IF(I1682=0,0,C1682-I1682)</f>
        <v>1.1346465000000001</v>
      </c>
    </row>
    <row r="1684" spans="1:10" x14ac:dyDescent="0.25">
      <c r="A1684" s="1">
        <v>41173</v>
      </c>
      <c r="B1684">
        <v>2.0966999999999998</v>
      </c>
      <c r="C1684">
        <v>3.3</v>
      </c>
      <c r="D1684">
        <f>WEEKDAY(A1684,14)</f>
        <v>2</v>
      </c>
      <c r="E1684">
        <f t="shared" si="104"/>
        <v>0</v>
      </c>
      <c r="F1684">
        <f t="shared" si="105"/>
        <v>2</v>
      </c>
      <c r="G1684">
        <f>IF(F1684&gt;F1683,G1683+B1684*E1684,B1684*E1684)</f>
        <v>0</v>
      </c>
      <c r="H1684">
        <f t="shared" si="106"/>
        <v>0</v>
      </c>
      <c r="I1684">
        <f t="shared" si="107"/>
        <v>0</v>
      </c>
      <c r="J1684">
        <f>IF(I1683=0,0,C1683-I1683)</f>
        <v>0</v>
      </c>
    </row>
    <row r="1685" spans="1:10" x14ac:dyDescent="0.25">
      <c r="A1685" s="1">
        <v>41176</v>
      </c>
      <c r="B1685">
        <v>2.0433500000000002</v>
      </c>
      <c r="C1685">
        <v>3.3</v>
      </c>
      <c r="D1685">
        <f>WEEKDAY(A1685,14)</f>
        <v>5</v>
      </c>
      <c r="E1685">
        <f t="shared" si="104"/>
        <v>0.05</v>
      </c>
      <c r="F1685">
        <f t="shared" si="105"/>
        <v>3</v>
      </c>
      <c r="G1685">
        <f>IF(F1685&gt;F1684,G1684+B1685*E1685,B1685*E1685)</f>
        <v>0.10216750000000002</v>
      </c>
      <c r="H1685">
        <f t="shared" si="106"/>
        <v>0.05</v>
      </c>
      <c r="I1685">
        <f t="shared" si="107"/>
        <v>0</v>
      </c>
      <c r="J1685">
        <f>IF(I1684=0,0,C1684-I1684)</f>
        <v>0</v>
      </c>
    </row>
    <row r="1686" spans="1:10" x14ac:dyDescent="0.25">
      <c r="A1686" s="1">
        <v>41177</v>
      </c>
      <c r="B1686">
        <v>1.97862</v>
      </c>
      <c r="C1686">
        <v>3.3</v>
      </c>
      <c r="D1686">
        <f>WEEKDAY(A1686,14)</f>
        <v>6</v>
      </c>
      <c r="E1686">
        <f t="shared" si="104"/>
        <v>0.7</v>
      </c>
      <c r="F1686">
        <f t="shared" si="105"/>
        <v>4</v>
      </c>
      <c r="G1686">
        <f>IF(F1686&gt;F1685,G1685+B1686*E1686,B1686*E1686)</f>
        <v>1.4872014999999998</v>
      </c>
      <c r="H1686">
        <f t="shared" si="106"/>
        <v>0.75</v>
      </c>
      <c r="I1686">
        <f t="shared" si="107"/>
        <v>0</v>
      </c>
      <c r="J1686">
        <f>IF(I1685=0,0,C1685-I1685)</f>
        <v>0</v>
      </c>
    </row>
    <row r="1687" spans="1:10" x14ac:dyDescent="0.25">
      <c r="A1687" s="1">
        <v>41178</v>
      </c>
      <c r="B1687">
        <v>1.9724999999999999</v>
      </c>
      <c r="C1687">
        <v>3.3</v>
      </c>
      <c r="D1687">
        <f>WEEKDAY(A1687,14)</f>
        <v>7</v>
      </c>
      <c r="E1687">
        <f t="shared" si="104"/>
        <v>0.25</v>
      </c>
      <c r="F1687">
        <f t="shared" si="105"/>
        <v>5</v>
      </c>
      <c r="G1687">
        <f>IF(F1687&gt;F1686,G1686+B1687*E1687,B1687*E1687)</f>
        <v>1.9803264999999999</v>
      </c>
      <c r="H1687">
        <f t="shared" si="106"/>
        <v>1</v>
      </c>
      <c r="I1687">
        <f t="shared" si="107"/>
        <v>1.9803264999999999</v>
      </c>
      <c r="J1687">
        <f>IF(I1686=0,0,C1686-I1686)</f>
        <v>0</v>
      </c>
    </row>
    <row r="1688" spans="1:10" x14ac:dyDescent="0.25">
      <c r="A1688" s="1">
        <v>41179</v>
      </c>
      <c r="B1688">
        <v>2.05097</v>
      </c>
      <c r="C1688">
        <v>3.26</v>
      </c>
      <c r="D1688">
        <f>WEEKDAY(A1688,14)</f>
        <v>1</v>
      </c>
      <c r="E1688">
        <f t="shared" si="104"/>
        <v>0</v>
      </c>
      <c r="F1688">
        <f t="shared" si="105"/>
        <v>1</v>
      </c>
      <c r="G1688">
        <f>IF(F1688&gt;F1687,G1687+B1688*E1688,B1688*E1688)</f>
        <v>0</v>
      </c>
      <c r="H1688">
        <f t="shared" si="106"/>
        <v>0</v>
      </c>
      <c r="I1688">
        <f t="shared" si="107"/>
        <v>0</v>
      </c>
      <c r="J1688">
        <f>IF(I1687=0,0,C1687-I1687)</f>
        <v>1.3196734999999999</v>
      </c>
    </row>
    <row r="1689" spans="1:10" x14ac:dyDescent="0.25">
      <c r="A1689" s="1">
        <v>41180</v>
      </c>
      <c r="B1689">
        <v>2.0399099999999999</v>
      </c>
      <c r="C1689">
        <v>3.26</v>
      </c>
      <c r="D1689">
        <f>WEEKDAY(A1689,14)</f>
        <v>2</v>
      </c>
      <c r="E1689">
        <f t="shared" si="104"/>
        <v>0</v>
      </c>
      <c r="F1689">
        <f t="shared" si="105"/>
        <v>2</v>
      </c>
      <c r="G1689">
        <f>IF(F1689&gt;F1688,G1688+B1689*E1689,B1689*E1689)</f>
        <v>0</v>
      </c>
      <c r="H1689">
        <f t="shared" si="106"/>
        <v>0</v>
      </c>
      <c r="I1689">
        <f t="shared" si="107"/>
        <v>0</v>
      </c>
      <c r="J1689">
        <f>IF(I1688=0,0,C1688-I1688)</f>
        <v>0</v>
      </c>
    </row>
    <row r="1690" spans="1:10" x14ac:dyDescent="0.25">
      <c r="A1690" s="1">
        <v>41183</v>
      </c>
      <c r="B1690">
        <v>1.9779100000000001</v>
      </c>
      <c r="C1690">
        <v>3.26</v>
      </c>
      <c r="D1690">
        <f>WEEKDAY(A1690,14)</f>
        <v>5</v>
      </c>
      <c r="E1690">
        <f t="shared" si="104"/>
        <v>0.05</v>
      </c>
      <c r="F1690">
        <f t="shared" si="105"/>
        <v>3</v>
      </c>
      <c r="G1690">
        <f>IF(F1690&gt;F1689,G1689+B1690*E1690,B1690*E1690)</f>
        <v>9.8895500000000011E-2</v>
      </c>
      <c r="H1690">
        <f t="shared" si="106"/>
        <v>0.05</v>
      </c>
      <c r="I1690">
        <f t="shared" si="107"/>
        <v>0</v>
      </c>
      <c r="J1690">
        <f>IF(I1689=0,0,C1689-I1689)</f>
        <v>0</v>
      </c>
    </row>
    <row r="1691" spans="1:10" x14ac:dyDescent="0.25">
      <c r="A1691" s="1">
        <v>41184</v>
      </c>
      <c r="B1691">
        <v>1.89432</v>
      </c>
      <c r="C1691">
        <v>3.26</v>
      </c>
      <c r="D1691">
        <f>WEEKDAY(A1691,14)</f>
        <v>6</v>
      </c>
      <c r="E1691">
        <f t="shared" si="104"/>
        <v>0.7</v>
      </c>
      <c r="F1691">
        <f t="shared" si="105"/>
        <v>4</v>
      </c>
      <c r="G1691">
        <f>IF(F1691&gt;F1690,G1690+B1691*E1691,B1691*E1691)</f>
        <v>1.4249194999999999</v>
      </c>
      <c r="H1691">
        <f t="shared" si="106"/>
        <v>0.75</v>
      </c>
      <c r="I1691">
        <f t="shared" si="107"/>
        <v>0</v>
      </c>
      <c r="J1691">
        <f>IF(I1690=0,0,C1690-I1690)</f>
        <v>0</v>
      </c>
    </row>
    <row r="1692" spans="1:10" x14ac:dyDescent="0.25">
      <c r="A1692" s="1">
        <v>41185</v>
      </c>
      <c r="B1692">
        <v>1.97292</v>
      </c>
      <c r="C1692">
        <v>3.26</v>
      </c>
      <c r="D1692">
        <f>WEEKDAY(A1692,14)</f>
        <v>7</v>
      </c>
      <c r="E1692">
        <f t="shared" si="104"/>
        <v>0.25</v>
      </c>
      <c r="F1692">
        <f t="shared" si="105"/>
        <v>5</v>
      </c>
      <c r="G1692">
        <f>IF(F1692&gt;F1691,G1691+B1692*E1692,B1692*E1692)</f>
        <v>1.9181495</v>
      </c>
      <c r="H1692">
        <f t="shared" si="106"/>
        <v>1</v>
      </c>
      <c r="I1692">
        <f t="shared" si="107"/>
        <v>1.9181495</v>
      </c>
      <c r="J1692">
        <f>IF(I1691=0,0,C1691-I1691)</f>
        <v>0</v>
      </c>
    </row>
    <row r="1693" spans="1:10" x14ac:dyDescent="0.25">
      <c r="A1693" s="1">
        <v>41186</v>
      </c>
      <c r="B1693">
        <v>2.0658799999999999</v>
      </c>
      <c r="C1693">
        <v>3.3149999999999999</v>
      </c>
      <c r="D1693">
        <f>WEEKDAY(A1693,14)</f>
        <v>1</v>
      </c>
      <c r="E1693">
        <f t="shared" si="104"/>
        <v>0</v>
      </c>
      <c r="F1693">
        <f t="shared" si="105"/>
        <v>1</v>
      </c>
      <c r="G1693">
        <f>IF(F1693&gt;F1692,G1692+B1693*E1693,B1693*E1693)</f>
        <v>0</v>
      </c>
      <c r="H1693">
        <f t="shared" si="106"/>
        <v>0</v>
      </c>
      <c r="I1693">
        <f t="shared" si="107"/>
        <v>0</v>
      </c>
      <c r="J1693">
        <f>IF(I1692=0,0,C1692-I1692)</f>
        <v>1.3418504999999998</v>
      </c>
    </row>
    <row r="1694" spans="1:10" x14ac:dyDescent="0.25">
      <c r="A1694" s="1">
        <v>41187</v>
      </c>
      <c r="B1694">
        <v>2.09992</v>
      </c>
      <c r="C1694">
        <v>3.3149999999999999</v>
      </c>
      <c r="D1694">
        <f>WEEKDAY(A1694,14)</f>
        <v>2</v>
      </c>
      <c r="E1694">
        <f t="shared" si="104"/>
        <v>0</v>
      </c>
      <c r="F1694">
        <f t="shared" si="105"/>
        <v>2</v>
      </c>
      <c r="G1694">
        <f>IF(F1694&gt;F1693,G1693+B1694*E1694,B1694*E1694)</f>
        <v>0</v>
      </c>
      <c r="H1694">
        <f t="shared" si="106"/>
        <v>0</v>
      </c>
      <c r="I1694">
        <f t="shared" si="107"/>
        <v>0</v>
      </c>
      <c r="J1694">
        <f>IF(I1693=0,0,C1693-I1693)</f>
        <v>0</v>
      </c>
    </row>
    <row r="1695" spans="1:10" x14ac:dyDescent="0.25">
      <c r="A1695" s="1">
        <v>41191</v>
      </c>
      <c r="B1695">
        <v>2.1122000000000001</v>
      </c>
      <c r="C1695">
        <v>3.3149999999999999</v>
      </c>
      <c r="D1695">
        <f>WEEKDAY(A1695,14)</f>
        <v>6</v>
      </c>
      <c r="E1695">
        <f t="shared" si="104"/>
        <v>0.7</v>
      </c>
      <c r="F1695">
        <f t="shared" si="105"/>
        <v>3</v>
      </c>
      <c r="G1695">
        <f>IF(F1695&gt;F1694,G1694+B1695*E1695,B1695*E1695)</f>
        <v>1.47854</v>
      </c>
      <c r="H1695">
        <f t="shared" si="106"/>
        <v>0.7</v>
      </c>
      <c r="I1695">
        <f t="shared" si="107"/>
        <v>0</v>
      </c>
      <c r="J1695">
        <f>IF(I1694=0,0,C1694-I1694)</f>
        <v>0</v>
      </c>
    </row>
    <row r="1696" spans="1:10" x14ac:dyDescent="0.25">
      <c r="A1696" s="1">
        <v>41192</v>
      </c>
      <c r="B1696">
        <v>2.0567000000000002</v>
      </c>
      <c r="C1696">
        <v>3.3149999999999999</v>
      </c>
      <c r="D1696">
        <f>WEEKDAY(A1696,14)</f>
        <v>7</v>
      </c>
      <c r="E1696">
        <f t="shared" si="104"/>
        <v>0.25</v>
      </c>
      <c r="F1696">
        <f t="shared" si="105"/>
        <v>4</v>
      </c>
      <c r="G1696">
        <f>IF(F1696&gt;F1695,G1695+B1696*E1696,B1696*E1696)</f>
        <v>1.992715</v>
      </c>
      <c r="H1696">
        <f t="shared" si="106"/>
        <v>0.95</v>
      </c>
      <c r="I1696">
        <f t="shared" si="107"/>
        <v>2.0975947368421055</v>
      </c>
      <c r="J1696">
        <f>IF(I1695=0,0,C1695-I1695)</f>
        <v>0</v>
      </c>
    </row>
    <row r="1697" spans="1:10" x14ac:dyDescent="0.25">
      <c r="A1697" s="1">
        <v>41193</v>
      </c>
      <c r="B1697">
        <v>2.0188199999999998</v>
      </c>
      <c r="C1697">
        <v>3.2949999999999999</v>
      </c>
      <c r="D1697">
        <f>WEEKDAY(A1697,14)</f>
        <v>1</v>
      </c>
      <c r="E1697">
        <f t="shared" si="104"/>
        <v>0</v>
      </c>
      <c r="F1697">
        <f t="shared" si="105"/>
        <v>1</v>
      </c>
      <c r="G1697">
        <f>IF(F1697&gt;F1696,G1696+B1697*E1697,B1697*E1697)</f>
        <v>0</v>
      </c>
      <c r="H1697">
        <f t="shared" si="106"/>
        <v>0</v>
      </c>
      <c r="I1697">
        <f t="shared" si="107"/>
        <v>0</v>
      </c>
      <c r="J1697">
        <f>IF(I1696=0,0,C1696-I1696)</f>
        <v>1.2174052631578944</v>
      </c>
    </row>
    <row r="1698" spans="1:10" x14ac:dyDescent="0.25">
      <c r="A1698" s="1">
        <v>41194</v>
      </c>
      <c r="B1698">
        <v>2.0148700000000002</v>
      </c>
      <c r="C1698">
        <v>3.2949999999999999</v>
      </c>
      <c r="D1698">
        <f>WEEKDAY(A1698,14)</f>
        <v>2</v>
      </c>
      <c r="E1698">
        <f t="shared" si="104"/>
        <v>0</v>
      </c>
      <c r="F1698">
        <f t="shared" si="105"/>
        <v>2</v>
      </c>
      <c r="G1698">
        <f>IF(F1698&gt;F1697,G1697+B1698*E1698,B1698*E1698)</f>
        <v>0</v>
      </c>
      <c r="H1698">
        <f t="shared" si="106"/>
        <v>0</v>
      </c>
      <c r="I1698">
        <f t="shared" si="107"/>
        <v>0</v>
      </c>
      <c r="J1698">
        <f>IF(I1697=0,0,C1697-I1697)</f>
        <v>0</v>
      </c>
    </row>
    <row r="1699" spans="1:10" x14ac:dyDescent="0.25">
      <c r="A1699" s="1">
        <v>41197</v>
      </c>
      <c r="B1699">
        <v>2.0434000000000001</v>
      </c>
      <c r="C1699">
        <v>3.2949999999999999</v>
      </c>
      <c r="D1699">
        <f>WEEKDAY(A1699,14)</f>
        <v>5</v>
      </c>
      <c r="E1699">
        <f t="shared" si="104"/>
        <v>0.05</v>
      </c>
      <c r="F1699">
        <f t="shared" si="105"/>
        <v>3</v>
      </c>
      <c r="G1699">
        <f>IF(F1699&gt;F1698,G1698+B1699*E1699,B1699*E1699)</f>
        <v>0.10217000000000001</v>
      </c>
      <c r="H1699">
        <f t="shared" si="106"/>
        <v>0.05</v>
      </c>
      <c r="I1699">
        <f t="shared" si="107"/>
        <v>0</v>
      </c>
      <c r="J1699">
        <f>IF(I1698=0,0,C1698-I1698)</f>
        <v>0</v>
      </c>
    </row>
    <row r="1700" spans="1:10" x14ac:dyDescent="0.25">
      <c r="A1700" s="1">
        <v>41198</v>
      </c>
      <c r="B1700">
        <v>2.0903100000000001</v>
      </c>
      <c r="C1700">
        <v>3.2949999999999999</v>
      </c>
      <c r="D1700">
        <f>WEEKDAY(A1700,14)</f>
        <v>6</v>
      </c>
      <c r="E1700">
        <f t="shared" si="104"/>
        <v>0.7</v>
      </c>
      <c r="F1700">
        <f t="shared" si="105"/>
        <v>4</v>
      </c>
      <c r="G1700">
        <f>IF(F1700&gt;F1699,G1699+B1700*E1700,B1700*E1700)</f>
        <v>1.5653870000000001</v>
      </c>
      <c r="H1700">
        <f t="shared" si="106"/>
        <v>0.75</v>
      </c>
      <c r="I1700">
        <f t="shared" si="107"/>
        <v>0</v>
      </c>
      <c r="J1700">
        <f>IF(I1699=0,0,C1699-I1699)</f>
        <v>0</v>
      </c>
    </row>
    <row r="1701" spans="1:10" x14ac:dyDescent="0.25">
      <c r="A1701" s="1">
        <v>41199</v>
      </c>
      <c r="B1701">
        <v>2.1999399999999998</v>
      </c>
      <c r="C1701">
        <v>3.2949999999999999</v>
      </c>
      <c r="D1701">
        <f>WEEKDAY(A1701,14)</f>
        <v>7</v>
      </c>
      <c r="E1701">
        <f t="shared" si="104"/>
        <v>0.25</v>
      </c>
      <c r="F1701">
        <f t="shared" si="105"/>
        <v>5</v>
      </c>
      <c r="G1701">
        <f>IF(F1701&gt;F1700,G1700+B1701*E1701,B1701*E1701)</f>
        <v>2.1153719999999998</v>
      </c>
      <c r="H1701">
        <f t="shared" si="106"/>
        <v>1</v>
      </c>
      <c r="I1701">
        <f t="shared" si="107"/>
        <v>2.1153719999999998</v>
      </c>
      <c r="J1701">
        <f>IF(I1700=0,0,C1700-I1700)</f>
        <v>0</v>
      </c>
    </row>
    <row r="1702" spans="1:10" x14ac:dyDescent="0.25">
      <c r="A1702" s="1">
        <v>41200</v>
      </c>
      <c r="B1702">
        <v>2.2380399999999998</v>
      </c>
      <c r="C1702">
        <v>3.335</v>
      </c>
      <c r="D1702">
        <f>WEEKDAY(A1702,14)</f>
        <v>1</v>
      </c>
      <c r="E1702">
        <f t="shared" si="104"/>
        <v>0</v>
      </c>
      <c r="F1702">
        <f t="shared" si="105"/>
        <v>1</v>
      </c>
      <c r="G1702">
        <f>IF(F1702&gt;F1701,G1701+B1702*E1702,B1702*E1702)</f>
        <v>0</v>
      </c>
      <c r="H1702">
        <f t="shared" si="106"/>
        <v>0</v>
      </c>
      <c r="I1702">
        <f t="shared" si="107"/>
        <v>0</v>
      </c>
      <c r="J1702">
        <f>IF(I1701=0,0,C1701-I1701)</f>
        <v>1.1796280000000001</v>
      </c>
    </row>
    <row r="1703" spans="1:10" x14ac:dyDescent="0.25">
      <c r="A1703" s="1">
        <v>41201</v>
      </c>
      <c r="B1703">
        <v>2.1714899999999999</v>
      </c>
      <c r="C1703">
        <v>3.335</v>
      </c>
      <c r="D1703">
        <f>WEEKDAY(A1703,14)</f>
        <v>2</v>
      </c>
      <c r="E1703">
        <f t="shared" si="104"/>
        <v>0</v>
      </c>
      <c r="F1703">
        <f t="shared" si="105"/>
        <v>2</v>
      </c>
      <c r="G1703">
        <f>IF(F1703&gt;F1702,G1702+B1703*E1703,B1703*E1703)</f>
        <v>0</v>
      </c>
      <c r="H1703">
        <f t="shared" si="106"/>
        <v>0</v>
      </c>
      <c r="I1703">
        <f t="shared" si="107"/>
        <v>0</v>
      </c>
      <c r="J1703">
        <f>IF(I1702=0,0,C1702-I1702)</f>
        <v>0</v>
      </c>
    </row>
    <row r="1704" spans="1:10" x14ac:dyDescent="0.25">
      <c r="A1704" s="1">
        <v>41204</v>
      </c>
      <c r="B1704">
        <v>2.2048000000000001</v>
      </c>
      <c r="C1704">
        <v>3.335</v>
      </c>
      <c r="D1704">
        <f>WEEKDAY(A1704,14)</f>
        <v>5</v>
      </c>
      <c r="E1704">
        <f t="shared" si="104"/>
        <v>0.05</v>
      </c>
      <c r="F1704">
        <f t="shared" si="105"/>
        <v>3</v>
      </c>
      <c r="G1704">
        <f>IF(F1704&gt;F1703,G1703+B1704*E1704,B1704*E1704)</f>
        <v>0.11024</v>
      </c>
      <c r="H1704">
        <f t="shared" si="106"/>
        <v>0.05</v>
      </c>
      <c r="I1704">
        <f t="shared" si="107"/>
        <v>0</v>
      </c>
      <c r="J1704">
        <f>IF(I1703=0,0,C1703-I1703)</f>
        <v>0</v>
      </c>
    </row>
    <row r="1705" spans="1:10" x14ac:dyDescent="0.25">
      <c r="A1705" s="1">
        <v>41205</v>
      </c>
      <c r="B1705">
        <v>2.18831</v>
      </c>
      <c r="C1705">
        <v>3.335</v>
      </c>
      <c r="D1705">
        <f>WEEKDAY(A1705,14)</f>
        <v>6</v>
      </c>
      <c r="E1705">
        <f t="shared" si="104"/>
        <v>0.7</v>
      </c>
      <c r="F1705">
        <f t="shared" si="105"/>
        <v>4</v>
      </c>
      <c r="G1705">
        <f>IF(F1705&gt;F1704,G1704+B1705*E1705,B1705*E1705)</f>
        <v>1.6420569999999999</v>
      </c>
      <c r="H1705">
        <f t="shared" si="106"/>
        <v>0.75</v>
      </c>
      <c r="I1705">
        <f t="shared" si="107"/>
        <v>0</v>
      </c>
      <c r="J1705">
        <f>IF(I1704=0,0,C1704-I1704)</f>
        <v>0</v>
      </c>
    </row>
    <row r="1706" spans="1:10" x14ac:dyDescent="0.25">
      <c r="A1706" s="1">
        <v>41206</v>
      </c>
      <c r="B1706">
        <v>2.2250200000000002</v>
      </c>
      <c r="C1706">
        <v>3.335</v>
      </c>
      <c r="D1706">
        <f>WEEKDAY(A1706,14)</f>
        <v>7</v>
      </c>
      <c r="E1706">
        <f t="shared" si="104"/>
        <v>0.25</v>
      </c>
      <c r="F1706">
        <f t="shared" si="105"/>
        <v>5</v>
      </c>
      <c r="G1706">
        <f>IF(F1706&gt;F1705,G1705+B1706*E1706,B1706*E1706)</f>
        <v>2.198312</v>
      </c>
      <c r="H1706">
        <f t="shared" si="106"/>
        <v>1</v>
      </c>
      <c r="I1706">
        <f t="shared" si="107"/>
        <v>2.198312</v>
      </c>
      <c r="J1706">
        <f>IF(I1705=0,0,C1705-I1705)</f>
        <v>0</v>
      </c>
    </row>
    <row r="1707" spans="1:10" x14ac:dyDescent="0.25">
      <c r="A1707" s="1">
        <v>41207</v>
      </c>
      <c r="B1707">
        <v>2.2775300000000001</v>
      </c>
      <c r="C1707">
        <v>3.3149999999999999</v>
      </c>
      <c r="D1707">
        <f>WEEKDAY(A1707,14)</f>
        <v>1</v>
      </c>
      <c r="E1707">
        <f t="shared" si="104"/>
        <v>0</v>
      </c>
      <c r="F1707">
        <f t="shared" si="105"/>
        <v>1</v>
      </c>
      <c r="G1707">
        <f>IF(F1707&gt;F1706,G1706+B1707*E1707,B1707*E1707)</f>
        <v>0</v>
      </c>
      <c r="H1707">
        <f t="shared" si="106"/>
        <v>0</v>
      </c>
      <c r="I1707">
        <f t="shared" si="107"/>
        <v>0</v>
      </c>
      <c r="J1707">
        <f>IF(I1706=0,0,C1706-I1706)</f>
        <v>1.1366879999999999</v>
      </c>
    </row>
    <row r="1708" spans="1:10" x14ac:dyDescent="0.25">
      <c r="A1708" s="1">
        <v>41208</v>
      </c>
      <c r="B1708">
        <v>2.2062400000000002</v>
      </c>
      <c r="C1708">
        <v>3.3149999999999999</v>
      </c>
      <c r="D1708">
        <f>WEEKDAY(A1708,14)</f>
        <v>2</v>
      </c>
      <c r="E1708">
        <f t="shared" si="104"/>
        <v>0</v>
      </c>
      <c r="F1708">
        <f t="shared" si="105"/>
        <v>2</v>
      </c>
      <c r="G1708">
        <f>IF(F1708&gt;F1707,G1707+B1708*E1708,B1708*E1708)</f>
        <v>0</v>
      </c>
      <c r="H1708">
        <f t="shared" si="106"/>
        <v>0</v>
      </c>
      <c r="I1708">
        <f t="shared" si="107"/>
        <v>0</v>
      </c>
      <c r="J1708">
        <f>IF(I1707=0,0,C1707-I1707)</f>
        <v>0</v>
      </c>
    </row>
    <row r="1709" spans="1:10" x14ac:dyDescent="0.25">
      <c r="A1709" s="1">
        <v>41211</v>
      </c>
      <c r="B1709">
        <v>2.1758600000000001</v>
      </c>
      <c r="C1709">
        <v>3.3149999999999999</v>
      </c>
      <c r="D1709">
        <f>WEEKDAY(A1709,14)</f>
        <v>5</v>
      </c>
      <c r="E1709">
        <f t="shared" si="104"/>
        <v>0.05</v>
      </c>
      <c r="F1709">
        <f t="shared" si="105"/>
        <v>3</v>
      </c>
      <c r="G1709">
        <f>IF(F1709&gt;F1708,G1708+B1709*E1709,B1709*E1709)</f>
        <v>0.10879300000000001</v>
      </c>
      <c r="H1709">
        <f t="shared" si="106"/>
        <v>0.05</v>
      </c>
      <c r="I1709">
        <f t="shared" si="107"/>
        <v>0</v>
      </c>
      <c r="J1709">
        <f>IF(I1708=0,0,C1708-I1708)</f>
        <v>0</v>
      </c>
    </row>
    <row r="1710" spans="1:10" x14ac:dyDescent="0.25">
      <c r="A1710" s="1">
        <v>41213</v>
      </c>
      <c r="B1710">
        <v>2.14235</v>
      </c>
      <c r="C1710">
        <v>3.3149999999999999</v>
      </c>
      <c r="D1710">
        <f>WEEKDAY(A1710,14)</f>
        <v>7</v>
      </c>
      <c r="E1710">
        <f t="shared" si="104"/>
        <v>0.25</v>
      </c>
      <c r="F1710">
        <f t="shared" si="105"/>
        <v>4</v>
      </c>
      <c r="G1710">
        <f>IF(F1710&gt;F1709,G1709+B1710*E1710,B1710*E1710)</f>
        <v>0.64438050000000002</v>
      </c>
      <c r="H1710">
        <f t="shared" si="106"/>
        <v>0.3</v>
      </c>
      <c r="I1710">
        <f t="shared" si="107"/>
        <v>2.1479350000000004</v>
      </c>
      <c r="J1710">
        <f>IF(I1709=0,0,C1709-I1709)</f>
        <v>0</v>
      </c>
    </row>
    <row r="1711" spans="1:10" x14ac:dyDescent="0.25">
      <c r="A1711" s="1">
        <v>41214</v>
      </c>
      <c r="B1711">
        <v>2.2324299999999999</v>
      </c>
      <c r="C1711">
        <v>3.3250000000000002</v>
      </c>
      <c r="D1711">
        <f>WEEKDAY(A1711,14)</f>
        <v>1</v>
      </c>
      <c r="E1711">
        <f t="shared" si="104"/>
        <v>0</v>
      </c>
      <c r="F1711">
        <f t="shared" si="105"/>
        <v>1</v>
      </c>
      <c r="G1711">
        <f>IF(F1711&gt;F1710,G1710+B1711*E1711,B1711*E1711)</f>
        <v>0</v>
      </c>
      <c r="H1711">
        <f t="shared" si="106"/>
        <v>0</v>
      </c>
      <c r="I1711">
        <f t="shared" si="107"/>
        <v>0</v>
      </c>
      <c r="J1711">
        <f>IF(I1710=0,0,C1710-I1710)</f>
        <v>1.1670649999999996</v>
      </c>
    </row>
    <row r="1712" spans="1:10" x14ac:dyDescent="0.25">
      <c r="A1712" s="1">
        <v>41215</v>
      </c>
      <c r="B1712">
        <v>2.1949299999999998</v>
      </c>
      <c r="C1712">
        <v>3.3250000000000002</v>
      </c>
      <c r="D1712">
        <f>WEEKDAY(A1712,14)</f>
        <v>2</v>
      </c>
      <c r="E1712">
        <f t="shared" si="104"/>
        <v>0</v>
      </c>
      <c r="F1712">
        <f t="shared" si="105"/>
        <v>2</v>
      </c>
      <c r="G1712">
        <f>IF(F1712&gt;F1711,G1711+B1712*E1712,B1712*E1712)</f>
        <v>0</v>
      </c>
      <c r="H1712">
        <f t="shared" si="106"/>
        <v>0</v>
      </c>
      <c r="I1712">
        <f t="shared" si="107"/>
        <v>0</v>
      </c>
      <c r="J1712">
        <f>IF(I1711=0,0,C1711-I1711)</f>
        <v>0</v>
      </c>
    </row>
    <row r="1713" spans="1:10" x14ac:dyDescent="0.25">
      <c r="A1713" s="1">
        <v>41218</v>
      </c>
      <c r="B1713">
        <v>2.1479400000000002</v>
      </c>
      <c r="C1713">
        <v>3.3250000000000002</v>
      </c>
      <c r="D1713">
        <f>WEEKDAY(A1713,14)</f>
        <v>5</v>
      </c>
      <c r="E1713">
        <f t="shared" si="104"/>
        <v>0.05</v>
      </c>
      <c r="F1713">
        <f t="shared" si="105"/>
        <v>3</v>
      </c>
      <c r="G1713">
        <f>IF(F1713&gt;F1712,G1712+B1713*E1713,B1713*E1713)</f>
        <v>0.10739700000000002</v>
      </c>
      <c r="H1713">
        <f t="shared" si="106"/>
        <v>0.05</v>
      </c>
      <c r="I1713">
        <f t="shared" si="107"/>
        <v>0</v>
      </c>
      <c r="J1713">
        <f>IF(I1712=0,0,C1712-I1712)</f>
        <v>0</v>
      </c>
    </row>
    <row r="1714" spans="1:10" x14ac:dyDescent="0.25">
      <c r="A1714" s="1">
        <v>41219</v>
      </c>
      <c r="B1714">
        <v>2.2488899999999998</v>
      </c>
      <c r="C1714">
        <v>3.3250000000000002</v>
      </c>
      <c r="D1714">
        <f>WEEKDAY(A1714,14)</f>
        <v>6</v>
      </c>
      <c r="E1714">
        <f t="shared" si="104"/>
        <v>0.7</v>
      </c>
      <c r="F1714">
        <f t="shared" si="105"/>
        <v>4</v>
      </c>
      <c r="G1714">
        <f>IF(F1714&gt;F1713,G1713+B1714*E1714,B1714*E1714)</f>
        <v>1.6816199999999997</v>
      </c>
      <c r="H1714">
        <f t="shared" si="106"/>
        <v>0.75</v>
      </c>
      <c r="I1714">
        <f t="shared" si="107"/>
        <v>0</v>
      </c>
      <c r="J1714">
        <f>IF(I1713=0,0,C1713-I1713)</f>
        <v>0</v>
      </c>
    </row>
    <row r="1715" spans="1:10" x14ac:dyDescent="0.25">
      <c r="A1715" s="1">
        <v>41220</v>
      </c>
      <c r="B1715">
        <v>2.0919699999999999</v>
      </c>
      <c r="C1715">
        <v>3.3250000000000002</v>
      </c>
      <c r="D1715">
        <f>WEEKDAY(A1715,14)</f>
        <v>7</v>
      </c>
      <c r="E1715">
        <f t="shared" si="104"/>
        <v>0.25</v>
      </c>
      <c r="F1715">
        <f t="shared" si="105"/>
        <v>5</v>
      </c>
      <c r="G1715">
        <f>IF(F1715&gt;F1714,G1714+B1715*E1715,B1715*E1715)</f>
        <v>2.2046124999999996</v>
      </c>
      <c r="H1715">
        <f t="shared" si="106"/>
        <v>1</v>
      </c>
      <c r="I1715">
        <f t="shared" si="107"/>
        <v>2.2046124999999996</v>
      </c>
      <c r="J1715">
        <f>IF(I1714=0,0,C1714-I1714)</f>
        <v>0</v>
      </c>
    </row>
    <row r="1716" spans="1:10" x14ac:dyDescent="0.25">
      <c r="A1716" s="1">
        <v>41221</v>
      </c>
      <c r="B1716">
        <v>2.04956</v>
      </c>
      <c r="C1716">
        <v>3.2650000000000001</v>
      </c>
      <c r="D1716">
        <f>WEEKDAY(A1716,14)</f>
        <v>1</v>
      </c>
      <c r="E1716">
        <f t="shared" si="104"/>
        <v>0</v>
      </c>
      <c r="F1716">
        <f t="shared" si="105"/>
        <v>1</v>
      </c>
      <c r="G1716">
        <f>IF(F1716&gt;F1715,G1715+B1716*E1716,B1716*E1716)</f>
        <v>0</v>
      </c>
      <c r="H1716">
        <f t="shared" si="106"/>
        <v>0</v>
      </c>
      <c r="I1716">
        <f t="shared" si="107"/>
        <v>0</v>
      </c>
      <c r="J1716">
        <f>IF(I1715=0,0,C1715-I1715)</f>
        <v>1.1203875000000005</v>
      </c>
    </row>
    <row r="1717" spans="1:10" x14ac:dyDescent="0.25">
      <c r="A1717" s="1">
        <v>41222</v>
      </c>
      <c r="B1717">
        <v>2.0596000000000001</v>
      </c>
      <c r="C1717">
        <v>3.2650000000000001</v>
      </c>
      <c r="D1717">
        <f>WEEKDAY(A1717,14)</f>
        <v>2</v>
      </c>
      <c r="E1717">
        <f t="shared" si="104"/>
        <v>0</v>
      </c>
      <c r="F1717">
        <f t="shared" si="105"/>
        <v>2</v>
      </c>
      <c r="G1717">
        <f>IF(F1717&gt;F1716,G1716+B1717*E1717,B1717*E1717)</f>
        <v>0</v>
      </c>
      <c r="H1717">
        <f t="shared" si="106"/>
        <v>0</v>
      </c>
      <c r="I1717">
        <f t="shared" si="107"/>
        <v>0</v>
      </c>
      <c r="J1717">
        <f>IF(I1716=0,0,C1716-I1716)</f>
        <v>0</v>
      </c>
    </row>
    <row r="1718" spans="1:10" x14ac:dyDescent="0.25">
      <c r="A1718" s="1">
        <v>41226</v>
      </c>
      <c r="B1718">
        <v>2.0829800000000001</v>
      </c>
      <c r="C1718">
        <v>3.2650000000000001</v>
      </c>
      <c r="D1718">
        <f>WEEKDAY(A1718,14)</f>
        <v>6</v>
      </c>
      <c r="E1718">
        <f t="shared" si="104"/>
        <v>0.7</v>
      </c>
      <c r="F1718">
        <f t="shared" si="105"/>
        <v>3</v>
      </c>
      <c r="G1718">
        <f>IF(F1718&gt;F1717,G1717+B1718*E1718,B1718*E1718)</f>
        <v>1.458086</v>
      </c>
      <c r="H1718">
        <f t="shared" si="106"/>
        <v>0.7</v>
      </c>
      <c r="I1718">
        <f t="shared" si="107"/>
        <v>0</v>
      </c>
      <c r="J1718">
        <f>IF(I1717=0,0,C1717-I1717)</f>
        <v>0</v>
      </c>
    </row>
    <row r="1719" spans="1:10" x14ac:dyDescent="0.25">
      <c r="A1719" s="1">
        <v>41227</v>
      </c>
      <c r="B1719">
        <v>2.13435</v>
      </c>
      <c r="C1719">
        <v>3.2349999999999999</v>
      </c>
      <c r="D1719">
        <f>WEEKDAY(A1719,14)</f>
        <v>7</v>
      </c>
      <c r="E1719">
        <f t="shared" si="104"/>
        <v>0.25</v>
      </c>
      <c r="F1719">
        <f t="shared" si="105"/>
        <v>4</v>
      </c>
      <c r="G1719">
        <f>IF(F1719&gt;F1718,G1718+B1719*E1719,B1719*E1719)</f>
        <v>1.9916735000000001</v>
      </c>
      <c r="H1719">
        <f t="shared" si="106"/>
        <v>0.95</v>
      </c>
      <c r="I1719">
        <f t="shared" si="107"/>
        <v>2.0964984210526318</v>
      </c>
      <c r="J1719">
        <f>IF(I1718=0,0,C1718-I1718)</f>
        <v>0</v>
      </c>
    </row>
    <row r="1720" spans="1:10" x14ac:dyDescent="0.25">
      <c r="A1720" s="1">
        <v>41228</v>
      </c>
      <c r="B1720">
        <v>2.0923400000000001</v>
      </c>
      <c r="C1720">
        <v>3.2650000000000001</v>
      </c>
      <c r="D1720">
        <f>WEEKDAY(A1720,14)</f>
        <v>1</v>
      </c>
      <c r="E1720">
        <f t="shared" si="104"/>
        <v>0</v>
      </c>
      <c r="F1720">
        <f t="shared" si="105"/>
        <v>1</v>
      </c>
      <c r="G1720">
        <f>IF(F1720&gt;F1719,G1719+B1720*E1720,B1720*E1720)</f>
        <v>0</v>
      </c>
      <c r="H1720">
        <f t="shared" si="106"/>
        <v>0</v>
      </c>
      <c r="I1720">
        <f t="shared" si="107"/>
        <v>0</v>
      </c>
      <c r="J1720">
        <f>IF(I1719=0,0,C1719-I1719)</f>
        <v>1.138501578947368</v>
      </c>
    </row>
    <row r="1721" spans="1:10" x14ac:dyDescent="0.25">
      <c r="A1721" s="1">
        <v>41229</v>
      </c>
      <c r="B1721">
        <v>2.0361099999999999</v>
      </c>
      <c r="C1721">
        <v>3.2349999999999999</v>
      </c>
      <c r="D1721">
        <f>WEEKDAY(A1721,14)</f>
        <v>2</v>
      </c>
      <c r="E1721">
        <f t="shared" si="104"/>
        <v>0</v>
      </c>
      <c r="F1721">
        <f t="shared" si="105"/>
        <v>2</v>
      </c>
      <c r="G1721">
        <f>IF(F1721&gt;F1720,G1720+B1721*E1721,B1721*E1721)</f>
        <v>0</v>
      </c>
      <c r="H1721">
        <f t="shared" si="106"/>
        <v>0</v>
      </c>
      <c r="I1721">
        <f t="shared" si="107"/>
        <v>0</v>
      </c>
      <c r="J1721">
        <f>IF(I1720=0,0,C1720-I1720)</f>
        <v>0</v>
      </c>
    </row>
    <row r="1722" spans="1:10" x14ac:dyDescent="0.25">
      <c r="A1722" s="1">
        <v>41232</v>
      </c>
      <c r="B1722">
        <v>2.0699700000000001</v>
      </c>
      <c r="C1722">
        <v>3.2349999999999999</v>
      </c>
      <c r="D1722">
        <f>WEEKDAY(A1722,14)</f>
        <v>5</v>
      </c>
      <c r="E1722">
        <f t="shared" si="104"/>
        <v>0.05</v>
      </c>
      <c r="F1722">
        <f t="shared" si="105"/>
        <v>3</v>
      </c>
      <c r="G1722">
        <f>IF(F1722&gt;F1721,G1721+B1722*E1722,B1722*E1722)</f>
        <v>0.10349850000000001</v>
      </c>
      <c r="H1722">
        <f t="shared" si="106"/>
        <v>0.05</v>
      </c>
      <c r="I1722">
        <f t="shared" si="107"/>
        <v>0</v>
      </c>
      <c r="J1722">
        <f>IF(I1721=0,0,C1721-I1721)</f>
        <v>0</v>
      </c>
    </row>
    <row r="1723" spans="1:10" x14ac:dyDescent="0.25">
      <c r="A1723" s="1">
        <v>41233</v>
      </c>
      <c r="B1723">
        <v>2.1420400000000002</v>
      </c>
      <c r="C1723">
        <v>3.2349999999999999</v>
      </c>
      <c r="D1723">
        <f>WEEKDAY(A1723,14)</f>
        <v>6</v>
      </c>
      <c r="E1723">
        <f t="shared" si="104"/>
        <v>0.7</v>
      </c>
      <c r="F1723">
        <f t="shared" si="105"/>
        <v>4</v>
      </c>
      <c r="G1723">
        <f>IF(F1723&gt;F1722,G1722+B1723*E1723,B1723*E1723)</f>
        <v>1.6029264999999999</v>
      </c>
      <c r="H1723">
        <f t="shared" si="106"/>
        <v>0.75</v>
      </c>
      <c r="I1723">
        <f t="shared" si="107"/>
        <v>0</v>
      </c>
      <c r="J1723">
        <f>IF(I1722=0,0,C1722-I1722)</f>
        <v>0</v>
      </c>
    </row>
    <row r="1724" spans="1:10" x14ac:dyDescent="0.25">
      <c r="A1724" s="1">
        <v>41234</v>
      </c>
      <c r="B1724">
        <v>2.1925400000000002</v>
      </c>
      <c r="C1724">
        <v>3.2349999999999999</v>
      </c>
      <c r="D1724">
        <f>WEEKDAY(A1724,14)</f>
        <v>7</v>
      </c>
      <c r="E1724">
        <f t="shared" si="104"/>
        <v>0.25</v>
      </c>
      <c r="F1724">
        <f t="shared" si="105"/>
        <v>5</v>
      </c>
      <c r="G1724">
        <f>IF(F1724&gt;F1723,G1723+B1724*E1724,B1724*E1724)</f>
        <v>2.1510615</v>
      </c>
      <c r="H1724">
        <f t="shared" si="106"/>
        <v>1</v>
      </c>
      <c r="I1724">
        <f t="shared" si="107"/>
        <v>2.1510615</v>
      </c>
      <c r="J1724">
        <f>IF(I1723=0,0,C1723-I1723)</f>
        <v>0</v>
      </c>
    </row>
    <row r="1725" spans="1:10" x14ac:dyDescent="0.25">
      <c r="A1725" s="1">
        <v>41236</v>
      </c>
      <c r="B1725">
        <v>2.20126</v>
      </c>
      <c r="C1725">
        <v>3.27</v>
      </c>
      <c r="D1725">
        <f>WEEKDAY(A1725,14)</f>
        <v>2</v>
      </c>
      <c r="E1725">
        <f t="shared" si="104"/>
        <v>0</v>
      </c>
      <c r="F1725">
        <f t="shared" si="105"/>
        <v>1</v>
      </c>
      <c r="G1725">
        <f>IF(F1725&gt;F1724,G1724+B1725*E1725,B1725*E1725)</f>
        <v>0</v>
      </c>
      <c r="H1725">
        <f t="shared" si="106"/>
        <v>0</v>
      </c>
      <c r="I1725">
        <f t="shared" si="107"/>
        <v>0</v>
      </c>
      <c r="J1725">
        <f>IF(I1724=0,0,C1724-I1724)</f>
        <v>1.0839384999999999</v>
      </c>
    </row>
    <row r="1726" spans="1:10" x14ac:dyDescent="0.25">
      <c r="A1726" s="1">
        <v>41239</v>
      </c>
      <c r="B1726">
        <v>2.1328999999999998</v>
      </c>
      <c r="C1726">
        <v>3.27</v>
      </c>
      <c r="D1726">
        <f>WEEKDAY(A1726,14)</f>
        <v>5</v>
      </c>
      <c r="E1726">
        <f t="shared" si="104"/>
        <v>0.05</v>
      </c>
      <c r="F1726">
        <f t="shared" si="105"/>
        <v>2</v>
      </c>
      <c r="G1726">
        <f>IF(F1726&gt;F1725,G1725+B1726*E1726,B1726*E1726)</f>
        <v>0.10664499999999999</v>
      </c>
      <c r="H1726">
        <f t="shared" si="106"/>
        <v>0.05</v>
      </c>
      <c r="I1726">
        <f t="shared" si="107"/>
        <v>0</v>
      </c>
      <c r="J1726">
        <f>IF(I1725=0,0,C1725-I1725)</f>
        <v>0</v>
      </c>
    </row>
    <row r="1727" spans="1:10" x14ac:dyDescent="0.25">
      <c r="A1727" s="1">
        <v>41240</v>
      </c>
      <c r="B1727">
        <v>2.0440499999999999</v>
      </c>
      <c r="C1727">
        <v>3.27</v>
      </c>
      <c r="D1727">
        <f>WEEKDAY(A1727,14)</f>
        <v>6</v>
      </c>
      <c r="E1727">
        <f t="shared" si="104"/>
        <v>0.7</v>
      </c>
      <c r="F1727">
        <f t="shared" si="105"/>
        <v>3</v>
      </c>
      <c r="G1727">
        <f>IF(F1727&gt;F1726,G1726+B1727*E1727,B1727*E1727)</f>
        <v>1.53748</v>
      </c>
      <c r="H1727">
        <f t="shared" si="106"/>
        <v>0.75</v>
      </c>
      <c r="I1727">
        <f t="shared" si="107"/>
        <v>0</v>
      </c>
      <c r="J1727">
        <f>IF(I1726=0,0,C1726-I1726)</f>
        <v>0</v>
      </c>
    </row>
    <row r="1728" spans="1:10" x14ac:dyDescent="0.25">
      <c r="A1728" s="1">
        <v>41241</v>
      </c>
      <c r="B1728">
        <v>2.05097</v>
      </c>
      <c r="C1728">
        <v>3.27</v>
      </c>
      <c r="D1728">
        <f>WEEKDAY(A1728,14)</f>
        <v>7</v>
      </c>
      <c r="E1728">
        <f t="shared" si="104"/>
        <v>0.25</v>
      </c>
      <c r="F1728">
        <f t="shared" si="105"/>
        <v>4</v>
      </c>
      <c r="G1728">
        <f>IF(F1728&gt;F1727,G1727+B1728*E1728,B1728*E1728)</f>
        <v>2.0502224999999998</v>
      </c>
      <c r="H1728">
        <f t="shared" si="106"/>
        <v>1</v>
      </c>
      <c r="I1728">
        <f t="shared" si="107"/>
        <v>2.0502224999999998</v>
      </c>
      <c r="J1728">
        <f>IF(I1727=0,0,C1727-I1727)</f>
        <v>0</v>
      </c>
    </row>
    <row r="1729" spans="1:10" x14ac:dyDescent="0.25">
      <c r="A1729" s="1">
        <v>41242</v>
      </c>
      <c r="B1729">
        <v>2.0724399999999998</v>
      </c>
      <c r="C1729">
        <v>3.2650000000000001</v>
      </c>
      <c r="D1729">
        <f>WEEKDAY(A1729,14)</f>
        <v>1</v>
      </c>
      <c r="E1729">
        <f t="shared" si="104"/>
        <v>0</v>
      </c>
      <c r="F1729">
        <f t="shared" si="105"/>
        <v>1</v>
      </c>
      <c r="G1729">
        <f>IF(F1729&gt;F1728,G1728+B1729*E1729,B1729*E1729)</f>
        <v>0</v>
      </c>
      <c r="H1729">
        <f t="shared" si="106"/>
        <v>0</v>
      </c>
      <c r="I1729">
        <f t="shared" si="107"/>
        <v>0</v>
      </c>
      <c r="J1729">
        <f>IF(I1728=0,0,C1728-I1728)</f>
        <v>1.2197775000000002</v>
      </c>
    </row>
    <row r="1730" spans="1:10" x14ac:dyDescent="0.25">
      <c r="A1730" s="1">
        <v>41243</v>
      </c>
      <c r="B1730">
        <v>2.07253</v>
      </c>
      <c r="C1730">
        <v>3.2650000000000001</v>
      </c>
      <c r="D1730">
        <f>WEEKDAY(A1730,14)</f>
        <v>2</v>
      </c>
      <c r="E1730">
        <f t="shared" si="104"/>
        <v>0</v>
      </c>
      <c r="F1730">
        <f t="shared" si="105"/>
        <v>2</v>
      </c>
      <c r="G1730">
        <f>IF(F1730&gt;F1729,G1729+B1730*E1730,B1730*E1730)</f>
        <v>0</v>
      </c>
      <c r="H1730">
        <f t="shared" si="106"/>
        <v>0</v>
      </c>
      <c r="I1730">
        <f t="shared" si="107"/>
        <v>0</v>
      </c>
      <c r="J1730">
        <f>IF(I1729=0,0,C1729-I1729)</f>
        <v>0</v>
      </c>
    </row>
    <row r="1731" spans="1:10" x14ac:dyDescent="0.25">
      <c r="A1731" s="1">
        <v>41246</v>
      </c>
      <c r="B1731">
        <v>2.08622</v>
      </c>
      <c r="C1731">
        <v>3.2650000000000001</v>
      </c>
      <c r="D1731">
        <f>WEEKDAY(A1731,14)</f>
        <v>5</v>
      </c>
      <c r="E1731">
        <f t="shared" ref="E1731:E1794" si="108">VLOOKUP(D1731,M$2:N$8,2,FALSE)</f>
        <v>0.05</v>
      </c>
      <c r="F1731">
        <f t="shared" ref="F1731:F1794" si="109">IF(AND(D1731&gt;D1730,F1730&lt;6),F1730+1,1)</f>
        <v>3</v>
      </c>
      <c r="G1731">
        <f>IF(F1731&gt;F1730,G1730+B1731*E1731,B1731*E1731)</f>
        <v>0.104311</v>
      </c>
      <c r="H1731">
        <f t="shared" si="106"/>
        <v>0.05</v>
      </c>
      <c r="I1731">
        <f t="shared" si="107"/>
        <v>0</v>
      </c>
      <c r="J1731">
        <f>IF(I1730=0,0,C1730-I1730)</f>
        <v>0</v>
      </c>
    </row>
    <row r="1732" spans="1:10" x14ac:dyDescent="0.25">
      <c r="A1732" s="1">
        <v>41247</v>
      </c>
      <c r="B1732">
        <v>2.0678299999999998</v>
      </c>
      <c r="C1732">
        <v>3.2650000000000001</v>
      </c>
      <c r="D1732">
        <f>WEEKDAY(A1732,14)</f>
        <v>6</v>
      </c>
      <c r="E1732">
        <f t="shared" si="108"/>
        <v>0.7</v>
      </c>
      <c r="F1732">
        <f t="shared" si="109"/>
        <v>4</v>
      </c>
      <c r="G1732">
        <f>IF(F1732&gt;F1731,G1731+B1732*E1732,B1732*E1732)</f>
        <v>1.5517919999999998</v>
      </c>
      <c r="H1732">
        <f t="shared" ref="H1732:H1795" si="110">IF(AND(F1732&lt;6,F1732&gt;F1731),E1732+H1731,E1732)</f>
        <v>0.75</v>
      </c>
      <c r="I1732">
        <f t="shared" ref="I1732:I1795" si="111">IF(F1732&gt;F1733,G1732/H1732,0)</f>
        <v>0</v>
      </c>
      <c r="J1732">
        <f>IF(I1731=0,0,C1731-I1731)</f>
        <v>0</v>
      </c>
    </row>
    <row r="1733" spans="1:10" x14ac:dyDescent="0.25">
      <c r="A1733" s="1">
        <v>41248</v>
      </c>
      <c r="B1733">
        <v>2.0799400000000001</v>
      </c>
      <c r="C1733">
        <v>3.2650000000000001</v>
      </c>
      <c r="D1733">
        <f>WEEKDAY(A1733,14)</f>
        <v>7</v>
      </c>
      <c r="E1733">
        <f t="shared" si="108"/>
        <v>0.25</v>
      </c>
      <c r="F1733">
        <f t="shared" si="109"/>
        <v>5</v>
      </c>
      <c r="G1733">
        <f>IF(F1733&gt;F1732,G1732+B1733*E1733,B1733*E1733)</f>
        <v>2.071777</v>
      </c>
      <c r="H1733">
        <f t="shared" si="110"/>
        <v>1</v>
      </c>
      <c r="I1733">
        <f t="shared" si="111"/>
        <v>2.071777</v>
      </c>
      <c r="J1733">
        <f>IF(I1732=0,0,C1732-I1732)</f>
        <v>0</v>
      </c>
    </row>
    <row r="1734" spans="1:10" x14ac:dyDescent="0.25">
      <c r="A1734" s="1">
        <v>41249</v>
      </c>
      <c r="B1734">
        <v>2.1082700000000001</v>
      </c>
      <c r="C1734">
        <v>3.2450000000000001</v>
      </c>
      <c r="D1734">
        <f>WEEKDAY(A1734,14)</f>
        <v>1</v>
      </c>
      <c r="E1734">
        <f t="shared" si="108"/>
        <v>0</v>
      </c>
      <c r="F1734">
        <f t="shared" si="109"/>
        <v>1</v>
      </c>
      <c r="G1734">
        <f>IF(F1734&gt;F1733,G1733+B1734*E1734,B1734*E1734)</f>
        <v>0</v>
      </c>
      <c r="H1734">
        <f t="shared" si="110"/>
        <v>0</v>
      </c>
      <c r="I1734">
        <f t="shared" si="111"/>
        <v>0</v>
      </c>
      <c r="J1734">
        <f>IF(I1733=0,0,C1733-I1733)</f>
        <v>1.1932230000000001</v>
      </c>
    </row>
    <row r="1735" spans="1:10" x14ac:dyDescent="0.25">
      <c r="A1735" s="1">
        <v>41250</v>
      </c>
      <c r="B1735">
        <v>2.1663299999999999</v>
      </c>
      <c r="C1735">
        <v>3.2450000000000001</v>
      </c>
      <c r="D1735">
        <f>WEEKDAY(A1735,14)</f>
        <v>2</v>
      </c>
      <c r="E1735">
        <f t="shared" si="108"/>
        <v>0</v>
      </c>
      <c r="F1735">
        <f t="shared" si="109"/>
        <v>2</v>
      </c>
      <c r="G1735">
        <f>IF(F1735&gt;F1734,G1734+B1735*E1735,B1735*E1735)</f>
        <v>0</v>
      </c>
      <c r="H1735">
        <f t="shared" si="110"/>
        <v>0</v>
      </c>
      <c r="I1735">
        <f t="shared" si="111"/>
        <v>0</v>
      </c>
      <c r="J1735">
        <f>IF(I1734=0,0,C1734-I1734)</f>
        <v>0</v>
      </c>
    </row>
    <row r="1736" spans="1:10" x14ac:dyDescent="0.25">
      <c r="A1736" s="1">
        <v>41253</v>
      </c>
      <c r="B1736">
        <v>2.1263200000000002</v>
      </c>
      <c r="C1736">
        <v>3.2450000000000001</v>
      </c>
      <c r="D1736">
        <f>WEEKDAY(A1736,14)</f>
        <v>5</v>
      </c>
      <c r="E1736">
        <f t="shared" si="108"/>
        <v>0.05</v>
      </c>
      <c r="F1736">
        <f t="shared" si="109"/>
        <v>3</v>
      </c>
      <c r="G1736">
        <f>IF(F1736&gt;F1735,G1735+B1736*E1736,B1736*E1736)</f>
        <v>0.10631600000000002</v>
      </c>
      <c r="H1736">
        <f t="shared" si="110"/>
        <v>0.05</v>
      </c>
      <c r="I1736">
        <f t="shared" si="111"/>
        <v>0</v>
      </c>
      <c r="J1736">
        <f>IF(I1735=0,0,C1735-I1735)</f>
        <v>0</v>
      </c>
    </row>
    <row r="1737" spans="1:10" x14ac:dyDescent="0.25">
      <c r="A1737" s="1">
        <v>41254</v>
      </c>
      <c r="B1737">
        <v>2.1257000000000001</v>
      </c>
      <c r="C1737">
        <v>3.2450000000000001</v>
      </c>
      <c r="D1737">
        <f>WEEKDAY(A1737,14)</f>
        <v>6</v>
      </c>
      <c r="E1737">
        <f t="shared" si="108"/>
        <v>0.7</v>
      </c>
      <c r="F1737">
        <f t="shared" si="109"/>
        <v>4</v>
      </c>
      <c r="G1737">
        <f>IF(F1737&gt;F1736,G1736+B1737*E1737,B1737*E1737)</f>
        <v>1.594306</v>
      </c>
      <c r="H1737">
        <f t="shared" si="110"/>
        <v>0.75</v>
      </c>
      <c r="I1737">
        <f t="shared" si="111"/>
        <v>0</v>
      </c>
      <c r="J1737">
        <f>IF(I1736=0,0,C1736-I1736)</f>
        <v>0</v>
      </c>
    </row>
    <row r="1738" spans="1:10" x14ac:dyDescent="0.25">
      <c r="A1738" s="1">
        <v>41255</v>
      </c>
      <c r="B1738">
        <v>2.1698499999999998</v>
      </c>
      <c r="C1738">
        <v>3.2450000000000001</v>
      </c>
      <c r="D1738">
        <f>WEEKDAY(A1738,14)</f>
        <v>7</v>
      </c>
      <c r="E1738">
        <f t="shared" si="108"/>
        <v>0.25</v>
      </c>
      <c r="F1738">
        <f t="shared" si="109"/>
        <v>5</v>
      </c>
      <c r="G1738">
        <f>IF(F1738&gt;F1737,G1737+B1738*E1738,B1738*E1738)</f>
        <v>2.1367685000000001</v>
      </c>
      <c r="H1738">
        <f t="shared" si="110"/>
        <v>1</v>
      </c>
      <c r="I1738">
        <f t="shared" si="111"/>
        <v>2.1367685000000001</v>
      </c>
      <c r="J1738">
        <f>IF(I1737=0,0,C1737-I1737)</f>
        <v>0</v>
      </c>
    </row>
    <row r="1739" spans="1:10" x14ac:dyDescent="0.25">
      <c r="A1739" s="1">
        <v>41256</v>
      </c>
      <c r="B1739">
        <v>2.1795399999999998</v>
      </c>
      <c r="C1739">
        <v>3.2949999999999999</v>
      </c>
      <c r="D1739">
        <f>WEEKDAY(A1739,14)</f>
        <v>1</v>
      </c>
      <c r="E1739">
        <f t="shared" si="108"/>
        <v>0</v>
      </c>
      <c r="F1739">
        <f t="shared" si="109"/>
        <v>1</v>
      </c>
      <c r="G1739">
        <f>IF(F1739&gt;F1738,G1738+B1739*E1739,B1739*E1739)</f>
        <v>0</v>
      </c>
      <c r="H1739">
        <f t="shared" si="110"/>
        <v>0</v>
      </c>
      <c r="I1739">
        <f t="shared" si="111"/>
        <v>0</v>
      </c>
      <c r="J1739">
        <f>IF(I1738=0,0,C1738-I1738)</f>
        <v>1.1082315</v>
      </c>
    </row>
    <row r="1740" spans="1:10" x14ac:dyDescent="0.25">
      <c r="A1740" s="1">
        <v>41257</v>
      </c>
      <c r="B1740">
        <v>2.1747100000000001</v>
      </c>
      <c r="C1740">
        <v>3.2949999999999999</v>
      </c>
      <c r="D1740">
        <f>WEEKDAY(A1740,14)</f>
        <v>2</v>
      </c>
      <c r="E1740">
        <f t="shared" si="108"/>
        <v>0</v>
      </c>
      <c r="F1740">
        <f t="shared" si="109"/>
        <v>2</v>
      </c>
      <c r="G1740">
        <f>IF(F1740&gt;F1739,G1739+B1740*E1740,B1740*E1740)</f>
        <v>0</v>
      </c>
      <c r="H1740">
        <f t="shared" si="110"/>
        <v>0</v>
      </c>
      <c r="I1740">
        <f t="shared" si="111"/>
        <v>0</v>
      </c>
      <c r="J1740">
        <f>IF(I1739=0,0,C1739-I1739)</f>
        <v>0</v>
      </c>
    </row>
    <row r="1741" spans="1:10" x14ac:dyDescent="0.25">
      <c r="A1741" s="1">
        <v>41260</v>
      </c>
      <c r="B1741">
        <v>2.2147999999999999</v>
      </c>
      <c r="C1741">
        <v>3.2949999999999999</v>
      </c>
      <c r="D1741">
        <f>WEEKDAY(A1741,14)</f>
        <v>5</v>
      </c>
      <c r="E1741">
        <f t="shared" si="108"/>
        <v>0.05</v>
      </c>
      <c r="F1741">
        <f t="shared" si="109"/>
        <v>3</v>
      </c>
      <c r="G1741">
        <f>IF(F1741&gt;F1740,G1740+B1741*E1741,B1741*E1741)</f>
        <v>0.11074000000000001</v>
      </c>
      <c r="H1741">
        <f t="shared" si="110"/>
        <v>0.05</v>
      </c>
      <c r="I1741">
        <f t="shared" si="111"/>
        <v>0</v>
      </c>
      <c r="J1741">
        <f>IF(I1740=0,0,C1740-I1740)</f>
        <v>0</v>
      </c>
    </row>
    <row r="1742" spans="1:10" x14ac:dyDescent="0.25">
      <c r="A1742" s="1">
        <v>41261</v>
      </c>
      <c r="B1742">
        <v>2.2780200000000002</v>
      </c>
      <c r="C1742">
        <v>3.2949999999999999</v>
      </c>
      <c r="D1742">
        <f>WEEKDAY(A1742,14)</f>
        <v>6</v>
      </c>
      <c r="E1742">
        <f t="shared" si="108"/>
        <v>0.7</v>
      </c>
      <c r="F1742">
        <f t="shared" si="109"/>
        <v>4</v>
      </c>
      <c r="G1742">
        <f>IF(F1742&gt;F1741,G1741+B1742*E1742,B1742*E1742)</f>
        <v>1.705354</v>
      </c>
      <c r="H1742">
        <f t="shared" si="110"/>
        <v>0.75</v>
      </c>
      <c r="I1742">
        <f t="shared" si="111"/>
        <v>0</v>
      </c>
      <c r="J1742">
        <f>IF(I1741=0,0,C1741-I1741)</f>
        <v>0</v>
      </c>
    </row>
    <row r="1743" spans="1:10" x14ac:dyDescent="0.25">
      <c r="A1743" s="1">
        <v>41262</v>
      </c>
      <c r="B1743">
        <v>2.2371699999999999</v>
      </c>
      <c r="C1743">
        <v>3.2949999999999999</v>
      </c>
      <c r="D1743">
        <f>WEEKDAY(A1743,14)</f>
        <v>7</v>
      </c>
      <c r="E1743">
        <f t="shared" si="108"/>
        <v>0.25</v>
      </c>
      <c r="F1743">
        <f t="shared" si="109"/>
        <v>5</v>
      </c>
      <c r="G1743">
        <f>IF(F1743&gt;F1742,G1742+B1743*E1743,B1743*E1743)</f>
        <v>2.2646465</v>
      </c>
      <c r="H1743">
        <f t="shared" si="110"/>
        <v>1</v>
      </c>
      <c r="I1743">
        <f t="shared" si="111"/>
        <v>2.2646465</v>
      </c>
      <c r="J1743">
        <f>IF(I1742=0,0,C1742-I1742)</f>
        <v>0</v>
      </c>
    </row>
    <row r="1744" spans="1:10" x14ac:dyDescent="0.25">
      <c r="A1744" s="1">
        <v>41263</v>
      </c>
      <c r="B1744">
        <v>2.2213500000000002</v>
      </c>
      <c r="C1744">
        <v>3.2749999999999999</v>
      </c>
      <c r="D1744">
        <f>WEEKDAY(A1744,14)</f>
        <v>1</v>
      </c>
      <c r="E1744">
        <f t="shared" si="108"/>
        <v>0</v>
      </c>
      <c r="F1744">
        <f t="shared" si="109"/>
        <v>1</v>
      </c>
      <c r="G1744">
        <f>IF(F1744&gt;F1743,G1743+B1744*E1744,B1744*E1744)</f>
        <v>0</v>
      </c>
      <c r="H1744">
        <f t="shared" si="110"/>
        <v>0</v>
      </c>
      <c r="I1744">
        <f t="shared" si="111"/>
        <v>0</v>
      </c>
      <c r="J1744">
        <f>IF(I1743=0,0,C1743-I1743)</f>
        <v>1.0303534999999999</v>
      </c>
    </row>
    <row r="1745" spans="1:10" x14ac:dyDescent="0.25">
      <c r="A1745" s="1">
        <v>41264</v>
      </c>
      <c r="B1745">
        <v>2.18757</v>
      </c>
      <c r="C1745">
        <v>3.2749999999999999</v>
      </c>
      <c r="D1745">
        <f>WEEKDAY(A1745,14)</f>
        <v>2</v>
      </c>
      <c r="E1745">
        <f t="shared" si="108"/>
        <v>0</v>
      </c>
      <c r="F1745">
        <f t="shared" si="109"/>
        <v>2</v>
      </c>
      <c r="G1745">
        <f>IF(F1745&gt;F1744,G1744+B1745*E1745,B1745*E1745)</f>
        <v>0</v>
      </c>
      <c r="H1745">
        <f t="shared" si="110"/>
        <v>0</v>
      </c>
      <c r="I1745">
        <f t="shared" si="111"/>
        <v>0</v>
      </c>
      <c r="J1745">
        <f>IF(I1744=0,0,C1744-I1744)</f>
        <v>0</v>
      </c>
    </row>
    <row r="1746" spans="1:10" x14ac:dyDescent="0.25">
      <c r="A1746" s="1">
        <v>41267</v>
      </c>
      <c r="B1746">
        <v>2.2151100000000001</v>
      </c>
      <c r="C1746">
        <v>3.2749999999999999</v>
      </c>
      <c r="D1746">
        <f>WEEKDAY(A1746,14)</f>
        <v>5</v>
      </c>
      <c r="E1746">
        <f t="shared" si="108"/>
        <v>0.05</v>
      </c>
      <c r="F1746">
        <f t="shared" si="109"/>
        <v>3</v>
      </c>
      <c r="G1746">
        <f>IF(F1746&gt;F1745,G1745+B1746*E1746,B1746*E1746)</f>
        <v>0.11075550000000001</v>
      </c>
      <c r="H1746">
        <f t="shared" si="110"/>
        <v>0.05</v>
      </c>
      <c r="I1746">
        <f t="shared" si="111"/>
        <v>0</v>
      </c>
      <c r="J1746">
        <f>IF(I1745=0,0,C1745-I1745)</f>
        <v>0</v>
      </c>
    </row>
    <row r="1747" spans="1:10" x14ac:dyDescent="0.25">
      <c r="A1747" s="1">
        <v>41269</v>
      </c>
      <c r="B1747">
        <v>2.19828</v>
      </c>
      <c r="C1747">
        <v>3.2749999999999999</v>
      </c>
      <c r="D1747">
        <f>WEEKDAY(A1747,14)</f>
        <v>7</v>
      </c>
      <c r="E1747">
        <f t="shared" si="108"/>
        <v>0.25</v>
      </c>
      <c r="F1747">
        <f t="shared" si="109"/>
        <v>4</v>
      </c>
      <c r="G1747">
        <f>IF(F1747&gt;F1746,G1746+B1747*E1747,B1747*E1747)</f>
        <v>0.66032550000000001</v>
      </c>
      <c r="H1747">
        <f t="shared" si="110"/>
        <v>0.3</v>
      </c>
      <c r="I1747">
        <f t="shared" si="111"/>
        <v>2.201085</v>
      </c>
      <c r="J1747">
        <f>IF(I1746=0,0,C1746-I1746)</f>
        <v>0</v>
      </c>
    </row>
    <row r="1748" spans="1:10" x14ac:dyDescent="0.25">
      <c r="A1748" s="1">
        <v>41270</v>
      </c>
      <c r="B1748">
        <v>2.1768000000000001</v>
      </c>
      <c r="C1748">
        <v>3.2650000000000001</v>
      </c>
      <c r="D1748">
        <f>WEEKDAY(A1748,14)</f>
        <v>1</v>
      </c>
      <c r="E1748">
        <f t="shared" si="108"/>
        <v>0</v>
      </c>
      <c r="F1748">
        <f t="shared" si="109"/>
        <v>1</v>
      </c>
      <c r="G1748">
        <f>IF(F1748&gt;F1747,G1747+B1748*E1748,B1748*E1748)</f>
        <v>0</v>
      </c>
      <c r="H1748">
        <f t="shared" si="110"/>
        <v>0</v>
      </c>
      <c r="I1748">
        <f t="shared" si="111"/>
        <v>0</v>
      </c>
      <c r="J1748">
        <f>IF(I1747=0,0,C1747-I1747)</f>
        <v>1.073915</v>
      </c>
    </row>
    <row r="1749" spans="1:10" x14ac:dyDescent="0.25">
      <c r="A1749" s="1">
        <v>41271</v>
      </c>
      <c r="B1749">
        <v>2.1854399999999998</v>
      </c>
      <c r="C1749">
        <v>3.2650000000000001</v>
      </c>
      <c r="D1749">
        <f>WEEKDAY(A1749,14)</f>
        <v>2</v>
      </c>
      <c r="E1749">
        <f t="shared" si="108"/>
        <v>0</v>
      </c>
      <c r="F1749">
        <f t="shared" si="109"/>
        <v>2</v>
      </c>
      <c r="G1749">
        <f>IF(F1749&gt;F1748,G1748+B1749*E1749,B1749*E1749)</f>
        <v>0</v>
      </c>
      <c r="H1749">
        <f t="shared" si="110"/>
        <v>0</v>
      </c>
      <c r="I1749">
        <f t="shared" si="111"/>
        <v>0</v>
      </c>
      <c r="J1749">
        <f>IF(I1748=0,0,C1748-I1748)</f>
        <v>0</v>
      </c>
    </row>
    <row r="1750" spans="1:10" x14ac:dyDescent="0.25">
      <c r="A1750" s="1">
        <v>41274</v>
      </c>
      <c r="B1750">
        <v>2.2000899999999999</v>
      </c>
      <c r="C1750">
        <v>3.2650000000000001</v>
      </c>
      <c r="D1750">
        <f>WEEKDAY(A1750,14)</f>
        <v>5</v>
      </c>
      <c r="E1750">
        <f t="shared" si="108"/>
        <v>0.05</v>
      </c>
      <c r="F1750">
        <f t="shared" si="109"/>
        <v>3</v>
      </c>
      <c r="G1750">
        <f>IF(F1750&gt;F1749,G1749+B1750*E1750,B1750*E1750)</f>
        <v>0.11000450000000001</v>
      </c>
      <c r="H1750">
        <f t="shared" si="110"/>
        <v>0.05</v>
      </c>
      <c r="I1750">
        <f t="shared" si="111"/>
        <v>0</v>
      </c>
      <c r="J1750">
        <f>IF(I1749=0,0,C1749-I1749)</f>
        <v>0</v>
      </c>
    </row>
    <row r="1751" spans="1:10" x14ac:dyDescent="0.25">
      <c r="A1751" s="1">
        <v>41276</v>
      </c>
      <c r="B1751">
        <v>2.2624200000000001</v>
      </c>
      <c r="C1751">
        <v>3.2650000000000001</v>
      </c>
      <c r="D1751">
        <f>WEEKDAY(A1751,14)</f>
        <v>7</v>
      </c>
      <c r="E1751">
        <f t="shared" si="108"/>
        <v>0.25</v>
      </c>
      <c r="F1751">
        <f t="shared" si="109"/>
        <v>4</v>
      </c>
      <c r="G1751">
        <f>IF(F1751&gt;F1750,G1750+B1751*E1751,B1751*E1751)</f>
        <v>0.67560949999999997</v>
      </c>
      <c r="H1751">
        <f t="shared" si="110"/>
        <v>0.3</v>
      </c>
      <c r="I1751">
        <f t="shared" si="111"/>
        <v>2.2520316666666669</v>
      </c>
      <c r="J1751">
        <f>IF(I1750=0,0,C1750-I1750)</f>
        <v>0</v>
      </c>
    </row>
    <row r="1752" spans="1:10" x14ac:dyDescent="0.25">
      <c r="A1752" s="1">
        <v>41277</v>
      </c>
      <c r="B1752">
        <v>2.36511</v>
      </c>
      <c r="C1752">
        <v>3.3250000000000002</v>
      </c>
      <c r="D1752">
        <f>WEEKDAY(A1752,14)</f>
        <v>1</v>
      </c>
      <c r="E1752">
        <f t="shared" si="108"/>
        <v>0</v>
      </c>
      <c r="F1752">
        <f t="shared" si="109"/>
        <v>1</v>
      </c>
      <c r="G1752">
        <f>IF(F1752&gt;F1751,G1751+B1752*E1752,B1752*E1752)</f>
        <v>0</v>
      </c>
      <c r="H1752">
        <f t="shared" si="110"/>
        <v>0</v>
      </c>
      <c r="I1752">
        <f t="shared" si="111"/>
        <v>0</v>
      </c>
      <c r="J1752">
        <f>IF(I1751=0,0,C1751-I1751)</f>
        <v>1.0129683333333332</v>
      </c>
    </row>
    <row r="1753" spans="1:10" x14ac:dyDescent="0.25">
      <c r="A1753" s="1">
        <v>41278</v>
      </c>
      <c r="B1753">
        <v>2.3807200000000002</v>
      </c>
      <c r="C1753">
        <v>3.3250000000000002</v>
      </c>
      <c r="D1753">
        <f>WEEKDAY(A1753,14)</f>
        <v>2</v>
      </c>
      <c r="E1753">
        <f t="shared" si="108"/>
        <v>0</v>
      </c>
      <c r="F1753">
        <f t="shared" si="109"/>
        <v>2</v>
      </c>
      <c r="G1753">
        <f>IF(F1753&gt;F1752,G1752+B1753*E1753,B1753*E1753)</f>
        <v>0</v>
      </c>
      <c r="H1753">
        <f t="shared" si="110"/>
        <v>0</v>
      </c>
      <c r="I1753">
        <f t="shared" si="111"/>
        <v>0</v>
      </c>
      <c r="J1753">
        <f>IF(I1752=0,0,C1752-I1752)</f>
        <v>0</v>
      </c>
    </row>
    <row r="1754" spans="1:10" x14ac:dyDescent="0.25">
      <c r="A1754" s="1">
        <v>41281</v>
      </c>
      <c r="B1754">
        <v>2.3426300000000002</v>
      </c>
      <c r="C1754">
        <v>3.3250000000000002</v>
      </c>
      <c r="D1754">
        <f>WEEKDAY(A1754,14)</f>
        <v>5</v>
      </c>
      <c r="E1754">
        <f t="shared" si="108"/>
        <v>0.05</v>
      </c>
      <c r="F1754">
        <f t="shared" si="109"/>
        <v>3</v>
      </c>
      <c r="G1754">
        <f>IF(F1754&gt;F1753,G1753+B1754*E1754,B1754*E1754)</f>
        <v>0.11713150000000001</v>
      </c>
      <c r="H1754">
        <f t="shared" si="110"/>
        <v>0.05</v>
      </c>
      <c r="I1754">
        <f t="shared" si="111"/>
        <v>0</v>
      </c>
      <c r="J1754">
        <f>IF(I1753=0,0,C1753-I1753)</f>
        <v>0</v>
      </c>
    </row>
    <row r="1755" spans="1:10" x14ac:dyDescent="0.25">
      <c r="A1755" s="1">
        <v>41282</v>
      </c>
      <c r="B1755">
        <v>2.3170099999999998</v>
      </c>
      <c r="C1755">
        <v>3.3250000000000002</v>
      </c>
      <c r="D1755">
        <f>WEEKDAY(A1755,14)</f>
        <v>6</v>
      </c>
      <c r="E1755">
        <f t="shared" si="108"/>
        <v>0.7</v>
      </c>
      <c r="F1755">
        <f t="shared" si="109"/>
        <v>4</v>
      </c>
      <c r="G1755">
        <f>IF(F1755&gt;F1754,G1754+B1755*E1755,B1755*E1755)</f>
        <v>1.7390384999999997</v>
      </c>
      <c r="H1755">
        <f t="shared" si="110"/>
        <v>0.75</v>
      </c>
      <c r="I1755">
        <f t="shared" si="111"/>
        <v>0</v>
      </c>
      <c r="J1755">
        <f>IF(I1754=0,0,C1754-I1754)</f>
        <v>0</v>
      </c>
    </row>
    <row r="1756" spans="1:10" x14ac:dyDescent="0.25">
      <c r="A1756" s="1">
        <v>41283</v>
      </c>
      <c r="B1756">
        <v>2.2926299999999999</v>
      </c>
      <c r="C1756">
        <v>3.3250000000000002</v>
      </c>
      <c r="D1756">
        <f>WEEKDAY(A1756,14)</f>
        <v>7</v>
      </c>
      <c r="E1756">
        <f t="shared" si="108"/>
        <v>0.25</v>
      </c>
      <c r="F1756">
        <f t="shared" si="109"/>
        <v>5</v>
      </c>
      <c r="G1756">
        <f>IF(F1756&gt;F1755,G1755+B1756*E1756,B1756*E1756)</f>
        <v>2.3121959999999997</v>
      </c>
      <c r="H1756">
        <f t="shared" si="110"/>
        <v>1</v>
      </c>
      <c r="I1756">
        <f t="shared" si="111"/>
        <v>2.3121959999999997</v>
      </c>
      <c r="J1756">
        <f>IF(I1755=0,0,C1755-I1755)</f>
        <v>0</v>
      </c>
    </row>
    <row r="1757" spans="1:10" x14ac:dyDescent="0.25">
      <c r="A1757" s="1">
        <v>41284</v>
      </c>
      <c r="B1757">
        <v>2.3291900000000001</v>
      </c>
      <c r="C1757">
        <v>3.3050000000000002</v>
      </c>
      <c r="D1757">
        <f>WEEKDAY(A1757,14)</f>
        <v>1</v>
      </c>
      <c r="E1757">
        <f t="shared" si="108"/>
        <v>0</v>
      </c>
      <c r="F1757">
        <f t="shared" si="109"/>
        <v>1</v>
      </c>
      <c r="G1757">
        <f>IF(F1757&gt;F1756,G1756+B1757*E1757,B1757*E1757)</f>
        <v>0</v>
      </c>
      <c r="H1757">
        <f t="shared" si="110"/>
        <v>0</v>
      </c>
      <c r="I1757">
        <f t="shared" si="111"/>
        <v>0</v>
      </c>
      <c r="J1757">
        <f>IF(I1756=0,0,C1756-I1756)</f>
        <v>1.0128040000000005</v>
      </c>
    </row>
    <row r="1758" spans="1:10" x14ac:dyDescent="0.25">
      <c r="A1758" s="1">
        <v>41285</v>
      </c>
      <c r="B1758">
        <v>2.3130799999999998</v>
      </c>
      <c r="C1758">
        <v>3.3050000000000002</v>
      </c>
      <c r="D1758">
        <f>WEEKDAY(A1758,14)</f>
        <v>2</v>
      </c>
      <c r="E1758">
        <f t="shared" si="108"/>
        <v>0</v>
      </c>
      <c r="F1758">
        <f t="shared" si="109"/>
        <v>2</v>
      </c>
      <c r="G1758">
        <f>IF(F1758&gt;F1757,G1757+B1758*E1758,B1758*E1758)</f>
        <v>0</v>
      </c>
      <c r="H1758">
        <f t="shared" si="110"/>
        <v>0</v>
      </c>
      <c r="I1758">
        <f t="shared" si="111"/>
        <v>0</v>
      </c>
      <c r="J1758">
        <f>IF(I1757=0,0,C1757-I1757)</f>
        <v>0</v>
      </c>
    </row>
    <row r="1759" spans="1:10" x14ac:dyDescent="0.25">
      <c r="A1759" s="1">
        <v>41288</v>
      </c>
      <c r="B1759">
        <v>2.2784</v>
      </c>
      <c r="C1759">
        <v>3.3050000000000002</v>
      </c>
      <c r="D1759">
        <f>WEEKDAY(A1759,14)</f>
        <v>5</v>
      </c>
      <c r="E1759">
        <f t="shared" si="108"/>
        <v>0.05</v>
      </c>
      <c r="F1759">
        <f t="shared" si="109"/>
        <v>3</v>
      </c>
      <c r="G1759">
        <f>IF(F1759&gt;F1758,G1758+B1759*E1759,B1759*E1759)</f>
        <v>0.11392000000000001</v>
      </c>
      <c r="H1759">
        <f t="shared" si="110"/>
        <v>0.05</v>
      </c>
      <c r="I1759">
        <f t="shared" si="111"/>
        <v>0</v>
      </c>
      <c r="J1759">
        <f>IF(I1758=0,0,C1758-I1758)</f>
        <v>0</v>
      </c>
    </row>
    <row r="1760" spans="1:10" x14ac:dyDescent="0.25">
      <c r="A1760" s="1">
        <v>41289</v>
      </c>
      <c r="B1760">
        <v>2.2938399999999999</v>
      </c>
      <c r="C1760">
        <v>3.3050000000000002</v>
      </c>
      <c r="D1760">
        <f>WEEKDAY(A1760,14)</f>
        <v>6</v>
      </c>
      <c r="E1760">
        <f t="shared" si="108"/>
        <v>0.7</v>
      </c>
      <c r="F1760">
        <f t="shared" si="109"/>
        <v>4</v>
      </c>
      <c r="G1760">
        <f>IF(F1760&gt;F1759,G1759+B1760*E1760,B1760*E1760)</f>
        <v>1.7196079999999998</v>
      </c>
      <c r="H1760">
        <f t="shared" si="110"/>
        <v>0.75</v>
      </c>
      <c r="I1760">
        <f t="shared" si="111"/>
        <v>0</v>
      </c>
      <c r="J1760">
        <f>IF(I1759=0,0,C1759-I1759)</f>
        <v>0</v>
      </c>
    </row>
    <row r="1761" spans="1:10" x14ac:dyDescent="0.25">
      <c r="A1761" s="1">
        <v>41290</v>
      </c>
      <c r="B1761">
        <v>2.2944100000000001</v>
      </c>
      <c r="C1761">
        <v>3.3050000000000002</v>
      </c>
      <c r="D1761">
        <f>WEEKDAY(A1761,14)</f>
        <v>7</v>
      </c>
      <c r="E1761">
        <f t="shared" si="108"/>
        <v>0.25</v>
      </c>
      <c r="F1761">
        <f t="shared" si="109"/>
        <v>5</v>
      </c>
      <c r="G1761">
        <f>IF(F1761&gt;F1760,G1760+B1761*E1761,B1761*E1761)</f>
        <v>2.2932104999999998</v>
      </c>
      <c r="H1761">
        <f t="shared" si="110"/>
        <v>1</v>
      </c>
      <c r="I1761">
        <f t="shared" si="111"/>
        <v>2.2932104999999998</v>
      </c>
      <c r="J1761">
        <f>IF(I1760=0,0,C1760-I1760)</f>
        <v>0</v>
      </c>
    </row>
    <row r="1762" spans="1:10" x14ac:dyDescent="0.25">
      <c r="A1762" s="1">
        <v>41291</v>
      </c>
      <c r="B1762">
        <v>2.3689100000000001</v>
      </c>
      <c r="C1762">
        <v>3.3450000000000002</v>
      </c>
      <c r="D1762">
        <f>WEEKDAY(A1762,14)</f>
        <v>1</v>
      </c>
      <c r="E1762">
        <f t="shared" si="108"/>
        <v>0</v>
      </c>
      <c r="F1762">
        <f t="shared" si="109"/>
        <v>1</v>
      </c>
      <c r="G1762">
        <f>IF(F1762&gt;F1761,G1761+B1762*E1762,B1762*E1762)</f>
        <v>0</v>
      </c>
      <c r="H1762">
        <f t="shared" si="110"/>
        <v>0</v>
      </c>
      <c r="I1762">
        <f t="shared" si="111"/>
        <v>0</v>
      </c>
      <c r="J1762">
        <f>IF(I1761=0,0,C1761-I1761)</f>
        <v>1.0117895000000003</v>
      </c>
    </row>
    <row r="1763" spans="1:10" x14ac:dyDescent="0.25">
      <c r="A1763" s="1">
        <v>41292</v>
      </c>
      <c r="B1763">
        <v>2.3502800000000001</v>
      </c>
      <c r="C1763">
        <v>3.3450000000000002</v>
      </c>
      <c r="D1763">
        <f>WEEKDAY(A1763,14)</f>
        <v>2</v>
      </c>
      <c r="E1763">
        <f t="shared" si="108"/>
        <v>0</v>
      </c>
      <c r="F1763">
        <f t="shared" si="109"/>
        <v>2</v>
      </c>
      <c r="G1763">
        <f>IF(F1763&gt;F1762,G1762+B1763*E1763,B1763*E1763)</f>
        <v>0</v>
      </c>
      <c r="H1763">
        <f t="shared" si="110"/>
        <v>0</v>
      </c>
      <c r="I1763">
        <f t="shared" si="111"/>
        <v>0</v>
      </c>
      <c r="J1763">
        <f>IF(I1762=0,0,C1762-I1762)</f>
        <v>0</v>
      </c>
    </row>
    <row r="1764" spans="1:10" x14ac:dyDescent="0.25">
      <c r="A1764" s="1">
        <v>41296</v>
      </c>
      <c r="B1764">
        <v>2.3522099999999999</v>
      </c>
      <c r="C1764">
        <v>3.3450000000000002</v>
      </c>
      <c r="D1764">
        <f>WEEKDAY(A1764,14)</f>
        <v>6</v>
      </c>
      <c r="E1764">
        <f t="shared" si="108"/>
        <v>0.7</v>
      </c>
      <c r="F1764">
        <f t="shared" si="109"/>
        <v>3</v>
      </c>
      <c r="G1764">
        <f>IF(F1764&gt;F1763,G1763+B1764*E1764,B1764*E1764)</f>
        <v>1.6465469999999998</v>
      </c>
      <c r="H1764">
        <f t="shared" si="110"/>
        <v>0.7</v>
      </c>
      <c r="I1764">
        <f t="shared" si="111"/>
        <v>0</v>
      </c>
      <c r="J1764">
        <f>IF(I1763=0,0,C1763-I1763)</f>
        <v>0</v>
      </c>
    </row>
    <row r="1765" spans="1:10" x14ac:dyDescent="0.25">
      <c r="A1765" s="1">
        <v>41297</v>
      </c>
      <c r="B1765">
        <v>2.3433099999999998</v>
      </c>
      <c r="C1765">
        <v>3.3450000000000002</v>
      </c>
      <c r="D1765">
        <f>WEEKDAY(A1765,14)</f>
        <v>7</v>
      </c>
      <c r="E1765">
        <f t="shared" si="108"/>
        <v>0.25</v>
      </c>
      <c r="F1765">
        <f t="shared" si="109"/>
        <v>4</v>
      </c>
      <c r="G1765">
        <f>IF(F1765&gt;F1764,G1764+B1765*E1765,B1765*E1765)</f>
        <v>2.2323744999999997</v>
      </c>
      <c r="H1765">
        <f t="shared" si="110"/>
        <v>0.95</v>
      </c>
      <c r="I1765">
        <f t="shared" si="111"/>
        <v>2.3498678947368421</v>
      </c>
      <c r="J1765">
        <f>IF(I1764=0,0,C1764-I1764)</f>
        <v>0</v>
      </c>
    </row>
    <row r="1766" spans="1:10" x14ac:dyDescent="0.25">
      <c r="A1766" s="1">
        <v>41298</v>
      </c>
      <c r="B1766">
        <v>2.3674200000000001</v>
      </c>
      <c r="C1766">
        <v>3.4550000000000001</v>
      </c>
      <c r="D1766">
        <f>WEEKDAY(A1766,14)</f>
        <v>1</v>
      </c>
      <c r="E1766">
        <f t="shared" si="108"/>
        <v>0</v>
      </c>
      <c r="F1766">
        <f t="shared" si="109"/>
        <v>1</v>
      </c>
      <c r="G1766">
        <f>IF(F1766&gt;F1765,G1765+B1766*E1766,B1766*E1766)</f>
        <v>0</v>
      </c>
      <c r="H1766">
        <f t="shared" si="110"/>
        <v>0</v>
      </c>
      <c r="I1766">
        <f t="shared" si="111"/>
        <v>0</v>
      </c>
      <c r="J1766">
        <f>IF(I1765=0,0,C1765-I1765)</f>
        <v>0.9951321052631581</v>
      </c>
    </row>
    <row r="1767" spans="1:10" x14ac:dyDescent="0.25">
      <c r="A1767" s="1">
        <v>41299</v>
      </c>
      <c r="B1767">
        <v>2.5053200000000002</v>
      </c>
      <c r="C1767">
        <v>3.4550000000000001</v>
      </c>
      <c r="D1767">
        <f>WEEKDAY(A1767,14)</f>
        <v>2</v>
      </c>
      <c r="E1767">
        <f t="shared" si="108"/>
        <v>0</v>
      </c>
      <c r="F1767">
        <f t="shared" si="109"/>
        <v>2</v>
      </c>
      <c r="G1767">
        <f>IF(F1767&gt;F1766,G1766+B1767*E1767,B1767*E1767)</f>
        <v>0</v>
      </c>
      <c r="H1767">
        <f t="shared" si="110"/>
        <v>0</v>
      </c>
      <c r="I1767">
        <f t="shared" si="111"/>
        <v>0</v>
      </c>
      <c r="J1767">
        <f>IF(I1766=0,0,C1766-I1766)</f>
        <v>0</v>
      </c>
    </row>
    <row r="1768" spans="1:10" x14ac:dyDescent="0.25">
      <c r="A1768" s="1">
        <v>41302</v>
      </c>
      <c r="B1768">
        <v>2.5393300000000001</v>
      </c>
      <c r="C1768">
        <v>3.4550000000000001</v>
      </c>
      <c r="D1768">
        <f>WEEKDAY(A1768,14)</f>
        <v>5</v>
      </c>
      <c r="E1768">
        <f t="shared" si="108"/>
        <v>0.05</v>
      </c>
      <c r="F1768">
        <f t="shared" si="109"/>
        <v>3</v>
      </c>
      <c r="G1768">
        <f>IF(F1768&gt;F1767,G1767+B1768*E1768,B1768*E1768)</f>
        <v>0.12696650000000001</v>
      </c>
      <c r="H1768">
        <f t="shared" si="110"/>
        <v>0.05</v>
      </c>
      <c r="I1768">
        <f t="shared" si="111"/>
        <v>0</v>
      </c>
      <c r="J1768">
        <f>IF(I1767=0,0,C1767-I1767)</f>
        <v>0</v>
      </c>
    </row>
    <row r="1769" spans="1:10" x14ac:dyDescent="0.25">
      <c r="A1769" s="1">
        <v>41303</v>
      </c>
      <c r="B1769">
        <v>2.5598100000000001</v>
      </c>
      <c r="C1769">
        <v>3.4550000000000001</v>
      </c>
      <c r="D1769">
        <f>WEEKDAY(A1769,14)</f>
        <v>6</v>
      </c>
      <c r="E1769">
        <f t="shared" si="108"/>
        <v>0.7</v>
      </c>
      <c r="F1769">
        <f t="shared" si="109"/>
        <v>4</v>
      </c>
      <c r="G1769">
        <f>IF(F1769&gt;F1768,G1768+B1769*E1769,B1769*E1769)</f>
        <v>1.9188334999999999</v>
      </c>
      <c r="H1769">
        <f t="shared" si="110"/>
        <v>0.75</v>
      </c>
      <c r="I1769">
        <f t="shared" si="111"/>
        <v>0</v>
      </c>
      <c r="J1769">
        <f>IF(I1768=0,0,C1768-I1768)</f>
        <v>0</v>
      </c>
    </row>
    <row r="1770" spans="1:10" x14ac:dyDescent="0.25">
      <c r="A1770" s="1">
        <v>41304</v>
      </c>
      <c r="B1770">
        <v>2.5772900000000001</v>
      </c>
      <c r="C1770">
        <v>3.4550000000000001</v>
      </c>
      <c r="D1770">
        <f>WEEKDAY(A1770,14)</f>
        <v>7</v>
      </c>
      <c r="E1770">
        <f t="shared" si="108"/>
        <v>0.25</v>
      </c>
      <c r="F1770">
        <f t="shared" si="109"/>
        <v>5</v>
      </c>
      <c r="G1770">
        <f>IF(F1770&gt;F1769,G1769+B1770*E1770,B1770*E1770)</f>
        <v>2.5631559999999998</v>
      </c>
      <c r="H1770">
        <f t="shared" si="110"/>
        <v>1</v>
      </c>
      <c r="I1770">
        <f t="shared" si="111"/>
        <v>2.5631559999999998</v>
      </c>
      <c r="J1770">
        <f>IF(I1769=0,0,C1769-I1769)</f>
        <v>0</v>
      </c>
    </row>
    <row r="1771" spans="1:10" x14ac:dyDescent="0.25">
      <c r="A1771" s="1">
        <v>41305</v>
      </c>
      <c r="B1771">
        <v>2.5737700000000001</v>
      </c>
      <c r="C1771">
        <v>3.48</v>
      </c>
      <c r="D1771">
        <f>WEEKDAY(A1771,14)</f>
        <v>1</v>
      </c>
      <c r="E1771">
        <f t="shared" si="108"/>
        <v>0</v>
      </c>
      <c r="F1771">
        <f t="shared" si="109"/>
        <v>1</v>
      </c>
      <c r="G1771">
        <f>IF(F1771&gt;F1770,G1770+B1771*E1771,B1771*E1771)</f>
        <v>0</v>
      </c>
      <c r="H1771">
        <f t="shared" si="110"/>
        <v>0</v>
      </c>
      <c r="I1771">
        <f t="shared" si="111"/>
        <v>0</v>
      </c>
      <c r="J1771">
        <f>IF(I1770=0,0,C1770-I1770)</f>
        <v>0.8918440000000003</v>
      </c>
    </row>
    <row r="1772" spans="1:10" x14ac:dyDescent="0.25">
      <c r="A1772" s="1">
        <v>41306</v>
      </c>
      <c r="B1772">
        <v>2.5914100000000002</v>
      </c>
      <c r="C1772">
        <v>3.48</v>
      </c>
      <c r="D1772">
        <f>WEEKDAY(A1772,14)</f>
        <v>2</v>
      </c>
      <c r="E1772">
        <f t="shared" si="108"/>
        <v>0</v>
      </c>
      <c r="F1772">
        <f t="shared" si="109"/>
        <v>2</v>
      </c>
      <c r="G1772">
        <f>IF(F1772&gt;F1771,G1771+B1772*E1772,B1772*E1772)</f>
        <v>0</v>
      </c>
      <c r="H1772">
        <f t="shared" si="110"/>
        <v>0</v>
      </c>
      <c r="I1772">
        <f t="shared" si="111"/>
        <v>0</v>
      </c>
      <c r="J1772">
        <f>IF(I1771=0,0,C1771-I1771)</f>
        <v>0</v>
      </c>
    </row>
    <row r="1773" spans="1:10" x14ac:dyDescent="0.25">
      <c r="A1773" s="1">
        <v>41309</v>
      </c>
      <c r="B1773">
        <v>2.5556299999999998</v>
      </c>
      <c r="C1773">
        <v>3.48</v>
      </c>
      <c r="D1773">
        <f>WEEKDAY(A1773,14)</f>
        <v>5</v>
      </c>
      <c r="E1773">
        <f t="shared" si="108"/>
        <v>0.05</v>
      </c>
      <c r="F1773">
        <f t="shared" si="109"/>
        <v>3</v>
      </c>
      <c r="G1773">
        <f>IF(F1773&gt;F1772,G1772+B1773*E1773,B1773*E1773)</f>
        <v>0.12778149999999999</v>
      </c>
      <c r="H1773">
        <f t="shared" si="110"/>
        <v>0.05</v>
      </c>
      <c r="I1773">
        <f t="shared" si="111"/>
        <v>0</v>
      </c>
      <c r="J1773">
        <f>IF(I1772=0,0,C1772-I1772)</f>
        <v>0</v>
      </c>
    </row>
    <row r="1774" spans="1:10" x14ac:dyDescent="0.25">
      <c r="A1774" s="1">
        <v>41310</v>
      </c>
      <c r="B1774">
        <v>2.6005199999999999</v>
      </c>
      <c r="C1774">
        <v>3.48</v>
      </c>
      <c r="D1774">
        <f>WEEKDAY(A1774,14)</f>
        <v>6</v>
      </c>
      <c r="E1774">
        <f t="shared" si="108"/>
        <v>0.7</v>
      </c>
      <c r="F1774">
        <f t="shared" si="109"/>
        <v>4</v>
      </c>
      <c r="G1774">
        <f>IF(F1774&gt;F1773,G1773+B1774*E1774,B1774*E1774)</f>
        <v>1.9481454999999999</v>
      </c>
      <c r="H1774">
        <f t="shared" si="110"/>
        <v>0.75</v>
      </c>
      <c r="I1774">
        <f t="shared" si="111"/>
        <v>0</v>
      </c>
      <c r="J1774">
        <f>IF(I1773=0,0,C1773-I1773)</f>
        <v>0</v>
      </c>
    </row>
    <row r="1775" spans="1:10" x14ac:dyDescent="0.25">
      <c r="A1775" s="1">
        <v>41311</v>
      </c>
      <c r="B1775">
        <v>2.5594299999999999</v>
      </c>
      <c r="C1775">
        <v>3.48</v>
      </c>
      <c r="D1775">
        <f>WEEKDAY(A1775,14)</f>
        <v>7</v>
      </c>
      <c r="E1775">
        <f t="shared" si="108"/>
        <v>0.25</v>
      </c>
      <c r="F1775">
        <f t="shared" si="109"/>
        <v>5</v>
      </c>
      <c r="G1775">
        <f>IF(F1775&gt;F1774,G1774+B1775*E1775,B1775*E1775)</f>
        <v>2.5880029999999996</v>
      </c>
      <c r="H1775">
        <f t="shared" si="110"/>
        <v>1</v>
      </c>
      <c r="I1775">
        <f t="shared" si="111"/>
        <v>2.5880029999999996</v>
      </c>
      <c r="J1775">
        <f>IF(I1774=0,0,C1774-I1774)</f>
        <v>0</v>
      </c>
    </row>
    <row r="1776" spans="1:10" x14ac:dyDescent="0.25">
      <c r="A1776" s="1">
        <v>41312</v>
      </c>
      <c r="B1776">
        <v>2.5513599999999999</v>
      </c>
      <c r="C1776">
        <v>3.48</v>
      </c>
      <c r="D1776">
        <f>WEEKDAY(A1776,14)</f>
        <v>1</v>
      </c>
      <c r="E1776">
        <f t="shared" si="108"/>
        <v>0</v>
      </c>
      <c r="F1776">
        <f t="shared" si="109"/>
        <v>1</v>
      </c>
      <c r="G1776">
        <f>IF(F1776&gt;F1775,G1775+B1776*E1776,B1776*E1776)</f>
        <v>0</v>
      </c>
      <c r="H1776">
        <f t="shared" si="110"/>
        <v>0</v>
      </c>
      <c r="I1776">
        <f t="shared" si="111"/>
        <v>0</v>
      </c>
      <c r="J1776">
        <f>IF(I1775=0,0,C1775-I1775)</f>
        <v>0.89199700000000037</v>
      </c>
    </row>
    <row r="1777" spans="1:10" x14ac:dyDescent="0.25">
      <c r="A1777" s="1">
        <v>41313</v>
      </c>
      <c r="B1777">
        <v>2.5731799999999998</v>
      </c>
      <c r="C1777">
        <v>3.48</v>
      </c>
      <c r="D1777">
        <f>WEEKDAY(A1777,14)</f>
        <v>2</v>
      </c>
      <c r="E1777">
        <f t="shared" si="108"/>
        <v>0</v>
      </c>
      <c r="F1777">
        <f t="shared" si="109"/>
        <v>2</v>
      </c>
      <c r="G1777">
        <f>IF(F1777&gt;F1776,G1776+B1777*E1777,B1777*E1777)</f>
        <v>0</v>
      </c>
      <c r="H1777">
        <f t="shared" si="110"/>
        <v>0</v>
      </c>
      <c r="I1777">
        <f t="shared" si="111"/>
        <v>0</v>
      </c>
      <c r="J1777">
        <f>IF(I1776=0,0,C1776-I1776)</f>
        <v>0</v>
      </c>
    </row>
    <row r="1778" spans="1:10" x14ac:dyDescent="0.25">
      <c r="A1778" s="1">
        <v>41316</v>
      </c>
      <c r="B1778">
        <v>2.5653100000000002</v>
      </c>
      <c r="C1778">
        <v>3.48</v>
      </c>
      <c r="D1778">
        <f>WEEKDAY(A1778,14)</f>
        <v>5</v>
      </c>
      <c r="E1778">
        <f t="shared" si="108"/>
        <v>0.05</v>
      </c>
      <c r="F1778">
        <f t="shared" si="109"/>
        <v>3</v>
      </c>
      <c r="G1778">
        <f>IF(F1778&gt;F1777,G1777+B1778*E1778,B1778*E1778)</f>
        <v>0.1282655</v>
      </c>
      <c r="H1778">
        <f t="shared" si="110"/>
        <v>0.05</v>
      </c>
      <c r="I1778">
        <f t="shared" si="111"/>
        <v>0</v>
      </c>
      <c r="J1778">
        <f>IF(I1777=0,0,C1777-I1777)</f>
        <v>0</v>
      </c>
    </row>
    <row r="1779" spans="1:10" x14ac:dyDescent="0.25">
      <c r="A1779" s="1">
        <v>41317</v>
      </c>
      <c r="B1779">
        <v>2.6070099999999998</v>
      </c>
      <c r="C1779">
        <v>3.48</v>
      </c>
      <c r="D1779">
        <f>WEEKDAY(A1779,14)</f>
        <v>6</v>
      </c>
      <c r="E1779">
        <f t="shared" si="108"/>
        <v>0.7</v>
      </c>
      <c r="F1779">
        <f t="shared" si="109"/>
        <v>4</v>
      </c>
      <c r="G1779">
        <f>IF(F1779&gt;F1778,G1778+B1779*E1779,B1779*E1779)</f>
        <v>1.9531724999999998</v>
      </c>
      <c r="H1779">
        <f t="shared" si="110"/>
        <v>0.75</v>
      </c>
      <c r="I1779">
        <f t="shared" si="111"/>
        <v>0</v>
      </c>
      <c r="J1779">
        <f>IF(I1778=0,0,C1778-I1778)</f>
        <v>0</v>
      </c>
    </row>
    <row r="1780" spans="1:10" x14ac:dyDescent="0.25">
      <c r="A1780" s="1">
        <v>41318</v>
      </c>
      <c r="B1780">
        <v>2.6537199999999999</v>
      </c>
      <c r="C1780">
        <v>3.48</v>
      </c>
      <c r="D1780">
        <f>WEEKDAY(A1780,14)</f>
        <v>7</v>
      </c>
      <c r="E1780">
        <f t="shared" si="108"/>
        <v>0.25</v>
      </c>
      <c r="F1780">
        <f t="shared" si="109"/>
        <v>5</v>
      </c>
      <c r="G1780">
        <f>IF(F1780&gt;F1779,G1779+B1780*E1780,B1780*E1780)</f>
        <v>2.6166024999999999</v>
      </c>
      <c r="H1780">
        <f t="shared" si="110"/>
        <v>1</v>
      </c>
      <c r="I1780">
        <f t="shared" si="111"/>
        <v>2.6166024999999999</v>
      </c>
      <c r="J1780">
        <f>IF(I1779=0,0,C1779-I1779)</f>
        <v>0</v>
      </c>
    </row>
    <row r="1781" spans="1:10" x14ac:dyDescent="0.25">
      <c r="A1781" s="1">
        <v>41319</v>
      </c>
      <c r="B1781">
        <v>2.6085500000000001</v>
      </c>
      <c r="C1781">
        <v>3.51</v>
      </c>
      <c r="D1781">
        <f>WEEKDAY(A1781,14)</f>
        <v>1</v>
      </c>
      <c r="E1781">
        <f t="shared" si="108"/>
        <v>0</v>
      </c>
      <c r="F1781">
        <f t="shared" si="109"/>
        <v>1</v>
      </c>
      <c r="G1781">
        <f>IF(F1781&gt;F1780,G1780+B1781*E1781,B1781*E1781)</f>
        <v>0</v>
      </c>
      <c r="H1781">
        <f t="shared" si="110"/>
        <v>0</v>
      </c>
      <c r="I1781">
        <f t="shared" si="111"/>
        <v>0</v>
      </c>
      <c r="J1781">
        <f>IF(I1780=0,0,C1780-I1780)</f>
        <v>0.86339750000000004</v>
      </c>
    </row>
    <row r="1782" spans="1:10" x14ac:dyDescent="0.25">
      <c r="A1782" s="1">
        <v>41320</v>
      </c>
      <c r="B1782">
        <v>2.62079</v>
      </c>
      <c r="C1782">
        <v>3.51</v>
      </c>
      <c r="D1782">
        <f>WEEKDAY(A1782,14)</f>
        <v>2</v>
      </c>
      <c r="E1782">
        <f t="shared" si="108"/>
        <v>0</v>
      </c>
      <c r="F1782">
        <f t="shared" si="109"/>
        <v>2</v>
      </c>
      <c r="G1782">
        <f>IF(F1782&gt;F1781,G1781+B1782*E1782,B1782*E1782)</f>
        <v>0</v>
      </c>
      <c r="H1782">
        <f t="shared" si="110"/>
        <v>0</v>
      </c>
      <c r="I1782">
        <f t="shared" si="111"/>
        <v>0</v>
      </c>
      <c r="J1782">
        <f>IF(I1781=0,0,C1781-I1781)</f>
        <v>0</v>
      </c>
    </row>
    <row r="1783" spans="1:10" x14ac:dyDescent="0.25">
      <c r="A1783" s="1">
        <v>41324</v>
      </c>
      <c r="B1783">
        <v>2.63802</v>
      </c>
      <c r="C1783">
        <v>3.51</v>
      </c>
      <c r="D1783">
        <f>WEEKDAY(A1783,14)</f>
        <v>6</v>
      </c>
      <c r="E1783">
        <f t="shared" si="108"/>
        <v>0.7</v>
      </c>
      <c r="F1783">
        <f t="shared" si="109"/>
        <v>3</v>
      </c>
      <c r="G1783">
        <f>IF(F1783&gt;F1782,G1782+B1783*E1783,B1783*E1783)</f>
        <v>1.846614</v>
      </c>
      <c r="H1783">
        <f t="shared" si="110"/>
        <v>0.7</v>
      </c>
      <c r="I1783">
        <f t="shared" si="111"/>
        <v>0</v>
      </c>
      <c r="J1783">
        <f>IF(I1782=0,0,C1782-I1782)</f>
        <v>0</v>
      </c>
    </row>
    <row r="1784" spans="1:10" x14ac:dyDescent="0.25">
      <c r="A1784" s="1">
        <v>41325</v>
      </c>
      <c r="B1784">
        <v>2.6379700000000001</v>
      </c>
      <c r="C1784">
        <v>3.51</v>
      </c>
      <c r="D1784">
        <f>WEEKDAY(A1784,14)</f>
        <v>7</v>
      </c>
      <c r="E1784">
        <f t="shared" si="108"/>
        <v>0.25</v>
      </c>
      <c r="F1784">
        <f t="shared" si="109"/>
        <v>4</v>
      </c>
      <c r="G1784">
        <f>IF(F1784&gt;F1783,G1783+B1784*E1784,B1784*E1784)</f>
        <v>2.5061065</v>
      </c>
      <c r="H1784">
        <f t="shared" si="110"/>
        <v>0.95</v>
      </c>
      <c r="I1784">
        <f t="shared" si="111"/>
        <v>2.6380068421052631</v>
      </c>
      <c r="J1784">
        <f>IF(I1783=0,0,C1783-I1783)</f>
        <v>0</v>
      </c>
    </row>
    <row r="1785" spans="1:10" x14ac:dyDescent="0.25">
      <c r="A1785" s="1">
        <v>41326</v>
      </c>
      <c r="B1785">
        <v>2.62574</v>
      </c>
      <c r="C1785">
        <v>3.46</v>
      </c>
      <c r="D1785">
        <f>WEEKDAY(A1785,14)</f>
        <v>1</v>
      </c>
      <c r="E1785">
        <f t="shared" si="108"/>
        <v>0</v>
      </c>
      <c r="F1785">
        <f t="shared" si="109"/>
        <v>1</v>
      </c>
      <c r="G1785">
        <f>IF(F1785&gt;F1784,G1784+B1785*E1785,B1785*E1785)</f>
        <v>0</v>
      </c>
      <c r="H1785">
        <f t="shared" si="110"/>
        <v>0</v>
      </c>
      <c r="I1785">
        <f t="shared" si="111"/>
        <v>0</v>
      </c>
      <c r="J1785">
        <f>IF(I1784=0,0,C1784-I1784)</f>
        <v>0.87199315789473664</v>
      </c>
    </row>
    <row r="1786" spans="1:10" x14ac:dyDescent="0.25">
      <c r="A1786" s="1">
        <v>41327</v>
      </c>
      <c r="B1786">
        <v>2.62514</v>
      </c>
      <c r="C1786">
        <v>3.46</v>
      </c>
      <c r="D1786">
        <f>WEEKDAY(A1786,14)</f>
        <v>2</v>
      </c>
      <c r="E1786">
        <f t="shared" si="108"/>
        <v>0</v>
      </c>
      <c r="F1786">
        <f t="shared" si="109"/>
        <v>2</v>
      </c>
      <c r="G1786">
        <f>IF(F1786&gt;F1785,G1785+B1786*E1786,B1786*E1786)</f>
        <v>0</v>
      </c>
      <c r="H1786">
        <f t="shared" si="110"/>
        <v>0</v>
      </c>
      <c r="I1786">
        <f t="shared" si="111"/>
        <v>0</v>
      </c>
      <c r="J1786">
        <f>IF(I1785=0,0,C1785-I1785)</f>
        <v>0</v>
      </c>
    </row>
    <row r="1787" spans="1:10" x14ac:dyDescent="0.25">
      <c r="A1787" s="1">
        <v>41330</v>
      </c>
      <c r="B1787">
        <v>2.5578599999999998</v>
      </c>
      <c r="C1787">
        <v>3.46</v>
      </c>
      <c r="D1787">
        <f>WEEKDAY(A1787,14)</f>
        <v>5</v>
      </c>
      <c r="E1787">
        <f t="shared" si="108"/>
        <v>0.05</v>
      </c>
      <c r="F1787">
        <f t="shared" si="109"/>
        <v>3</v>
      </c>
      <c r="G1787">
        <f>IF(F1787&gt;F1786,G1786+B1787*E1787,B1787*E1787)</f>
        <v>0.12789300000000001</v>
      </c>
      <c r="H1787">
        <f t="shared" si="110"/>
        <v>0.05</v>
      </c>
      <c r="I1787">
        <f t="shared" si="111"/>
        <v>0</v>
      </c>
      <c r="J1787">
        <f>IF(I1786=0,0,C1786-I1786)</f>
        <v>0</v>
      </c>
    </row>
    <row r="1788" spans="1:10" x14ac:dyDescent="0.25">
      <c r="A1788" s="1">
        <v>41331</v>
      </c>
      <c r="B1788">
        <v>2.5389599999999999</v>
      </c>
      <c r="C1788">
        <v>3.46</v>
      </c>
      <c r="D1788">
        <f>WEEKDAY(A1788,14)</f>
        <v>6</v>
      </c>
      <c r="E1788">
        <f t="shared" si="108"/>
        <v>0.7</v>
      </c>
      <c r="F1788">
        <f t="shared" si="109"/>
        <v>4</v>
      </c>
      <c r="G1788">
        <f>IF(F1788&gt;F1787,G1787+B1788*E1788,B1788*E1788)</f>
        <v>1.9051649999999998</v>
      </c>
      <c r="H1788">
        <f t="shared" si="110"/>
        <v>0.75</v>
      </c>
      <c r="I1788">
        <f t="shared" si="111"/>
        <v>0</v>
      </c>
      <c r="J1788">
        <f>IF(I1787=0,0,C1787-I1787)</f>
        <v>0</v>
      </c>
    </row>
    <row r="1789" spans="1:10" x14ac:dyDescent="0.25">
      <c r="A1789" s="1">
        <v>41332</v>
      </c>
      <c r="B1789">
        <v>2.5732200000000001</v>
      </c>
      <c r="C1789">
        <v>3.46</v>
      </c>
      <c r="D1789">
        <f>WEEKDAY(A1789,14)</f>
        <v>7</v>
      </c>
      <c r="E1789">
        <f t="shared" si="108"/>
        <v>0.25</v>
      </c>
      <c r="F1789">
        <f t="shared" si="109"/>
        <v>5</v>
      </c>
      <c r="G1789">
        <f>IF(F1789&gt;F1788,G1788+B1789*E1789,B1789*E1789)</f>
        <v>2.54847</v>
      </c>
      <c r="H1789">
        <f t="shared" si="110"/>
        <v>1</v>
      </c>
      <c r="I1789">
        <f t="shared" si="111"/>
        <v>2.54847</v>
      </c>
      <c r="J1789">
        <f>IF(I1788=0,0,C1788-I1788)</f>
        <v>0</v>
      </c>
    </row>
    <row r="1790" spans="1:10" x14ac:dyDescent="0.25">
      <c r="A1790" s="1">
        <v>41333</v>
      </c>
      <c r="B1790">
        <v>2.5448400000000002</v>
      </c>
      <c r="C1790">
        <v>3.4449999999999998</v>
      </c>
      <c r="D1790">
        <f>WEEKDAY(A1790,14)</f>
        <v>1</v>
      </c>
      <c r="E1790">
        <f t="shared" si="108"/>
        <v>0</v>
      </c>
      <c r="F1790">
        <f t="shared" si="109"/>
        <v>1</v>
      </c>
      <c r="G1790">
        <f>IF(F1790&gt;F1789,G1789+B1790*E1790,B1790*E1790)</f>
        <v>0</v>
      </c>
      <c r="H1790">
        <f t="shared" si="110"/>
        <v>0</v>
      </c>
      <c r="I1790">
        <f t="shared" si="111"/>
        <v>0</v>
      </c>
      <c r="J1790">
        <f>IF(I1789=0,0,C1789-I1789)</f>
        <v>0.91152999999999995</v>
      </c>
    </row>
    <row r="1791" spans="1:10" x14ac:dyDescent="0.25">
      <c r="A1791" s="1">
        <v>41334</v>
      </c>
      <c r="B1791">
        <v>2.5299299999999998</v>
      </c>
      <c r="C1791">
        <v>3.4449999999999998</v>
      </c>
      <c r="D1791">
        <f>WEEKDAY(A1791,14)</f>
        <v>2</v>
      </c>
      <c r="E1791">
        <f t="shared" si="108"/>
        <v>0</v>
      </c>
      <c r="F1791">
        <f t="shared" si="109"/>
        <v>2</v>
      </c>
      <c r="G1791">
        <f>IF(F1791&gt;F1790,G1790+B1791*E1791,B1791*E1791)</f>
        <v>0</v>
      </c>
      <c r="H1791">
        <f t="shared" si="110"/>
        <v>0</v>
      </c>
      <c r="I1791">
        <f t="shared" si="111"/>
        <v>0</v>
      </c>
      <c r="J1791">
        <f>IF(I1790=0,0,C1790-I1790)</f>
        <v>0</v>
      </c>
    </row>
    <row r="1792" spans="1:10" x14ac:dyDescent="0.25">
      <c r="A1792" s="1">
        <v>41337</v>
      </c>
      <c r="B1792">
        <v>2.5457800000000002</v>
      </c>
      <c r="C1792">
        <v>3.4449999999999998</v>
      </c>
      <c r="D1792">
        <f>WEEKDAY(A1792,14)</f>
        <v>5</v>
      </c>
      <c r="E1792">
        <f t="shared" si="108"/>
        <v>0.05</v>
      </c>
      <c r="F1792">
        <f t="shared" si="109"/>
        <v>3</v>
      </c>
      <c r="G1792">
        <f>IF(F1792&gt;F1791,G1791+B1792*E1792,B1792*E1792)</f>
        <v>0.12728900000000001</v>
      </c>
      <c r="H1792">
        <f t="shared" si="110"/>
        <v>0.05</v>
      </c>
      <c r="I1792">
        <f t="shared" si="111"/>
        <v>0</v>
      </c>
      <c r="J1792">
        <f>IF(I1791=0,0,C1791-I1791)</f>
        <v>0</v>
      </c>
    </row>
    <row r="1793" spans="1:10" x14ac:dyDescent="0.25">
      <c r="A1793" s="1">
        <v>41338</v>
      </c>
      <c r="B1793">
        <v>2.5607600000000001</v>
      </c>
      <c r="C1793">
        <v>3.4449999999999998</v>
      </c>
      <c r="D1793">
        <f>WEEKDAY(A1793,14)</f>
        <v>6</v>
      </c>
      <c r="E1793">
        <f t="shared" si="108"/>
        <v>0.7</v>
      </c>
      <c r="F1793">
        <f t="shared" si="109"/>
        <v>4</v>
      </c>
      <c r="G1793">
        <f>IF(F1793&gt;F1792,G1792+B1793*E1793,B1793*E1793)</f>
        <v>1.919821</v>
      </c>
      <c r="H1793">
        <f t="shared" si="110"/>
        <v>0.75</v>
      </c>
      <c r="I1793">
        <f t="shared" si="111"/>
        <v>0</v>
      </c>
      <c r="J1793">
        <f>IF(I1792=0,0,C1792-I1792)</f>
        <v>0</v>
      </c>
    </row>
    <row r="1794" spans="1:10" x14ac:dyDescent="0.25">
      <c r="A1794" s="1">
        <v>41339</v>
      </c>
      <c r="B1794">
        <v>2.6125500000000001</v>
      </c>
      <c r="C1794">
        <v>3.4449999999999998</v>
      </c>
      <c r="D1794">
        <f>WEEKDAY(A1794,14)</f>
        <v>7</v>
      </c>
      <c r="E1794">
        <f t="shared" si="108"/>
        <v>0.25</v>
      </c>
      <c r="F1794">
        <f t="shared" si="109"/>
        <v>5</v>
      </c>
      <c r="G1794">
        <f>IF(F1794&gt;F1793,G1793+B1794*E1794,B1794*E1794)</f>
        <v>2.5729584999999999</v>
      </c>
      <c r="H1794">
        <f t="shared" si="110"/>
        <v>1</v>
      </c>
      <c r="I1794">
        <f t="shared" si="111"/>
        <v>2.5729584999999999</v>
      </c>
      <c r="J1794">
        <f>IF(I1793=0,0,C1793-I1793)</f>
        <v>0</v>
      </c>
    </row>
    <row r="1795" spans="1:10" x14ac:dyDescent="0.25">
      <c r="A1795" s="1">
        <v>41340</v>
      </c>
      <c r="B1795">
        <v>2.6733099999999999</v>
      </c>
      <c r="C1795">
        <v>3.58</v>
      </c>
      <c r="D1795">
        <f>WEEKDAY(A1795,14)</f>
        <v>1</v>
      </c>
      <c r="E1795">
        <f t="shared" ref="E1795:E1858" si="112">VLOOKUP(D1795,M$2:N$8,2,FALSE)</f>
        <v>0</v>
      </c>
      <c r="F1795">
        <f t="shared" ref="F1795:F1858" si="113">IF(AND(D1795&gt;D1794,F1794&lt;6),F1794+1,1)</f>
        <v>1</v>
      </c>
      <c r="G1795">
        <f>IF(F1795&gt;F1794,G1794+B1795*E1795,B1795*E1795)</f>
        <v>0</v>
      </c>
      <c r="H1795">
        <f t="shared" si="110"/>
        <v>0</v>
      </c>
      <c r="I1795">
        <f t="shared" si="111"/>
        <v>0</v>
      </c>
      <c r="J1795">
        <f>IF(I1794=0,0,C1794-I1794)</f>
        <v>0.87204149999999991</v>
      </c>
    </row>
    <row r="1796" spans="1:10" x14ac:dyDescent="0.25">
      <c r="A1796" s="1">
        <v>41341</v>
      </c>
      <c r="B1796">
        <v>2.7519200000000001</v>
      </c>
      <c r="C1796">
        <v>3.58</v>
      </c>
      <c r="D1796">
        <f>WEEKDAY(A1796,14)</f>
        <v>2</v>
      </c>
      <c r="E1796">
        <f t="shared" si="112"/>
        <v>0</v>
      </c>
      <c r="F1796">
        <f t="shared" si="113"/>
        <v>2</v>
      </c>
      <c r="G1796">
        <f>IF(F1796&gt;F1795,G1795+B1796*E1796,B1796*E1796)</f>
        <v>0</v>
      </c>
      <c r="H1796">
        <f t="shared" ref="H1796:H1859" si="114">IF(AND(F1796&lt;6,F1796&gt;F1795),E1796+H1795,E1796)</f>
        <v>0</v>
      </c>
      <c r="I1796">
        <f t="shared" ref="I1796:I1859" si="115">IF(F1796&gt;F1797,G1796/H1796,0)</f>
        <v>0</v>
      </c>
      <c r="J1796">
        <f>IF(I1795=0,0,C1795-I1795)</f>
        <v>0</v>
      </c>
    </row>
    <row r="1797" spans="1:10" x14ac:dyDescent="0.25">
      <c r="A1797" s="1">
        <v>41344</v>
      </c>
      <c r="B1797">
        <v>2.7399800000000001</v>
      </c>
      <c r="C1797">
        <v>3.58</v>
      </c>
      <c r="D1797">
        <f>WEEKDAY(A1797,14)</f>
        <v>5</v>
      </c>
      <c r="E1797">
        <f t="shared" si="112"/>
        <v>0.05</v>
      </c>
      <c r="F1797">
        <f t="shared" si="113"/>
        <v>3</v>
      </c>
      <c r="G1797">
        <f>IF(F1797&gt;F1796,G1796+B1797*E1797,B1797*E1797)</f>
        <v>0.13699900000000001</v>
      </c>
      <c r="H1797">
        <f t="shared" si="114"/>
        <v>0.05</v>
      </c>
      <c r="I1797">
        <f t="shared" si="115"/>
        <v>0</v>
      </c>
      <c r="J1797">
        <f>IF(I1796=0,0,C1796-I1796)</f>
        <v>0</v>
      </c>
    </row>
    <row r="1798" spans="1:10" x14ac:dyDescent="0.25">
      <c r="A1798" s="1">
        <v>41345</v>
      </c>
      <c r="B1798">
        <v>2.7064599999999999</v>
      </c>
      <c r="C1798">
        <v>3.58</v>
      </c>
      <c r="D1798">
        <f>WEEKDAY(A1798,14)</f>
        <v>6</v>
      </c>
      <c r="E1798">
        <f t="shared" si="112"/>
        <v>0.7</v>
      </c>
      <c r="F1798">
        <f t="shared" si="113"/>
        <v>4</v>
      </c>
      <c r="G1798">
        <f>IF(F1798&gt;F1797,G1797+B1798*E1798,B1798*E1798)</f>
        <v>2.0315209999999997</v>
      </c>
      <c r="H1798">
        <f t="shared" si="114"/>
        <v>0.75</v>
      </c>
      <c r="I1798">
        <f t="shared" si="115"/>
        <v>0</v>
      </c>
      <c r="J1798">
        <f>IF(I1797=0,0,C1797-I1797)</f>
        <v>0</v>
      </c>
    </row>
    <row r="1799" spans="1:10" x14ac:dyDescent="0.25">
      <c r="A1799" s="1">
        <v>41346</v>
      </c>
      <c r="B1799">
        <v>2.70044</v>
      </c>
      <c r="C1799">
        <v>3.58</v>
      </c>
      <c r="D1799">
        <f>WEEKDAY(A1799,14)</f>
        <v>7</v>
      </c>
      <c r="E1799">
        <f t="shared" si="112"/>
        <v>0.25</v>
      </c>
      <c r="F1799">
        <f t="shared" si="113"/>
        <v>5</v>
      </c>
      <c r="G1799">
        <f>IF(F1799&gt;F1798,G1798+B1799*E1799,B1799*E1799)</f>
        <v>2.7066309999999998</v>
      </c>
      <c r="H1799">
        <f t="shared" si="114"/>
        <v>1</v>
      </c>
      <c r="I1799">
        <f t="shared" si="115"/>
        <v>2.7066309999999998</v>
      </c>
      <c r="J1799">
        <f>IF(I1798=0,0,C1798-I1798)</f>
        <v>0</v>
      </c>
    </row>
    <row r="1800" spans="1:10" x14ac:dyDescent="0.25">
      <c r="A1800" s="1">
        <v>41347</v>
      </c>
      <c r="B1800">
        <v>2.70546</v>
      </c>
      <c r="C1800">
        <v>3.49</v>
      </c>
      <c r="D1800">
        <f>WEEKDAY(A1800,14)</f>
        <v>1</v>
      </c>
      <c r="E1800">
        <f t="shared" si="112"/>
        <v>0</v>
      </c>
      <c r="F1800">
        <f t="shared" si="113"/>
        <v>1</v>
      </c>
      <c r="G1800">
        <f>IF(F1800&gt;F1799,G1799+B1800*E1800,B1800*E1800)</f>
        <v>0</v>
      </c>
      <c r="H1800">
        <f t="shared" si="114"/>
        <v>0</v>
      </c>
      <c r="I1800">
        <f t="shared" si="115"/>
        <v>0</v>
      </c>
      <c r="J1800">
        <f>IF(I1799=0,0,C1799-I1799)</f>
        <v>0.87336900000000028</v>
      </c>
    </row>
    <row r="1801" spans="1:10" x14ac:dyDescent="0.25">
      <c r="A1801" s="1">
        <v>41348</v>
      </c>
      <c r="B1801">
        <v>2.6643400000000002</v>
      </c>
      <c r="C1801">
        <v>3.49</v>
      </c>
      <c r="D1801">
        <f>WEEKDAY(A1801,14)</f>
        <v>2</v>
      </c>
      <c r="E1801">
        <f t="shared" si="112"/>
        <v>0</v>
      </c>
      <c r="F1801">
        <f t="shared" si="113"/>
        <v>2</v>
      </c>
      <c r="G1801">
        <f>IF(F1801&gt;F1800,G1800+B1801*E1801,B1801*E1801)</f>
        <v>0</v>
      </c>
      <c r="H1801">
        <f t="shared" si="114"/>
        <v>0</v>
      </c>
      <c r="I1801">
        <f t="shared" si="115"/>
        <v>0</v>
      </c>
      <c r="J1801">
        <f>IF(I1800=0,0,C1800-I1800)</f>
        <v>0</v>
      </c>
    </row>
    <row r="1802" spans="1:10" x14ac:dyDescent="0.25">
      <c r="A1802" s="1">
        <v>41351</v>
      </c>
      <c r="B1802">
        <v>2.6296300000000001</v>
      </c>
      <c r="C1802">
        <v>3.49</v>
      </c>
      <c r="D1802">
        <f>WEEKDAY(A1802,14)</f>
        <v>5</v>
      </c>
      <c r="E1802">
        <f t="shared" si="112"/>
        <v>0.05</v>
      </c>
      <c r="F1802">
        <f t="shared" si="113"/>
        <v>3</v>
      </c>
      <c r="G1802">
        <f>IF(F1802&gt;F1801,G1801+B1802*E1802,B1802*E1802)</f>
        <v>0.1314815</v>
      </c>
      <c r="H1802">
        <f t="shared" si="114"/>
        <v>0.05</v>
      </c>
      <c r="I1802">
        <f t="shared" si="115"/>
        <v>0</v>
      </c>
      <c r="J1802">
        <f>IF(I1801=0,0,C1801-I1801)</f>
        <v>0</v>
      </c>
    </row>
    <row r="1803" spans="1:10" x14ac:dyDescent="0.25">
      <c r="A1803" s="1">
        <v>41352</v>
      </c>
      <c r="B1803">
        <v>2.6068600000000002</v>
      </c>
      <c r="C1803">
        <v>3.49</v>
      </c>
      <c r="D1803">
        <f>WEEKDAY(A1803,14)</f>
        <v>6</v>
      </c>
      <c r="E1803">
        <f t="shared" si="112"/>
        <v>0.7</v>
      </c>
      <c r="F1803">
        <f t="shared" si="113"/>
        <v>4</v>
      </c>
      <c r="G1803">
        <f>IF(F1803&gt;F1802,G1802+B1803*E1803,B1803*E1803)</f>
        <v>1.9562835000000001</v>
      </c>
      <c r="H1803">
        <f t="shared" si="114"/>
        <v>0.75</v>
      </c>
      <c r="I1803">
        <f t="shared" si="115"/>
        <v>0</v>
      </c>
      <c r="J1803">
        <f>IF(I1802=0,0,C1802-I1802)</f>
        <v>0</v>
      </c>
    </row>
    <row r="1804" spans="1:10" x14ac:dyDescent="0.25">
      <c r="A1804" s="1">
        <v>41353</v>
      </c>
      <c r="B1804">
        <v>2.6469800000000001</v>
      </c>
      <c r="C1804">
        <v>3.49</v>
      </c>
      <c r="D1804">
        <f>WEEKDAY(A1804,14)</f>
        <v>7</v>
      </c>
      <c r="E1804">
        <f t="shared" si="112"/>
        <v>0.25</v>
      </c>
      <c r="F1804">
        <f t="shared" si="113"/>
        <v>5</v>
      </c>
      <c r="G1804">
        <f>IF(F1804&gt;F1803,G1803+B1804*E1804,B1804*E1804)</f>
        <v>2.6180285000000003</v>
      </c>
      <c r="H1804">
        <f t="shared" si="114"/>
        <v>1</v>
      </c>
      <c r="I1804">
        <f t="shared" si="115"/>
        <v>2.6180285000000003</v>
      </c>
      <c r="J1804">
        <f>IF(I1803=0,0,C1803-I1803)</f>
        <v>0</v>
      </c>
    </row>
    <row r="1805" spans="1:10" x14ac:dyDescent="0.25">
      <c r="A1805" s="1">
        <v>41354</v>
      </c>
      <c r="B1805">
        <v>2.6762700000000001</v>
      </c>
      <c r="C1805">
        <v>3.52</v>
      </c>
      <c r="D1805">
        <f>WEEKDAY(A1805,14)</f>
        <v>1</v>
      </c>
      <c r="E1805">
        <f t="shared" si="112"/>
        <v>0</v>
      </c>
      <c r="F1805">
        <f t="shared" si="113"/>
        <v>1</v>
      </c>
      <c r="G1805">
        <f>IF(F1805&gt;F1804,G1804+B1805*E1805,B1805*E1805)</f>
        <v>0</v>
      </c>
      <c r="H1805">
        <f t="shared" si="114"/>
        <v>0</v>
      </c>
      <c r="I1805">
        <f t="shared" si="115"/>
        <v>0</v>
      </c>
      <c r="J1805">
        <f>IF(I1804=0,0,C1804-I1804)</f>
        <v>0.8719714999999999</v>
      </c>
    </row>
    <row r="1806" spans="1:10" x14ac:dyDescent="0.25">
      <c r="A1806" s="1">
        <v>41355</v>
      </c>
      <c r="B1806">
        <v>2.6414800000000001</v>
      </c>
      <c r="C1806">
        <v>3.52</v>
      </c>
      <c r="D1806">
        <f>WEEKDAY(A1806,14)</f>
        <v>2</v>
      </c>
      <c r="E1806">
        <f t="shared" si="112"/>
        <v>0</v>
      </c>
      <c r="F1806">
        <f t="shared" si="113"/>
        <v>2</v>
      </c>
      <c r="G1806">
        <f>IF(F1806&gt;F1805,G1805+B1806*E1806,B1806*E1806)</f>
        <v>0</v>
      </c>
      <c r="H1806">
        <f t="shared" si="114"/>
        <v>0</v>
      </c>
      <c r="I1806">
        <f t="shared" si="115"/>
        <v>0</v>
      </c>
      <c r="J1806">
        <f>IF(I1805=0,0,C1805-I1805)</f>
        <v>0</v>
      </c>
    </row>
    <row r="1807" spans="1:10" x14ac:dyDescent="0.25">
      <c r="A1807" s="1">
        <v>41358</v>
      </c>
      <c r="B1807">
        <v>2.6394799999999998</v>
      </c>
      <c r="C1807">
        <v>3.52</v>
      </c>
      <c r="D1807">
        <f>WEEKDAY(A1807,14)</f>
        <v>5</v>
      </c>
      <c r="E1807">
        <f t="shared" si="112"/>
        <v>0.05</v>
      </c>
      <c r="F1807">
        <f t="shared" si="113"/>
        <v>3</v>
      </c>
      <c r="G1807">
        <f>IF(F1807&gt;F1806,G1806+B1807*E1807,B1807*E1807)</f>
        <v>0.13197400000000001</v>
      </c>
      <c r="H1807">
        <f t="shared" si="114"/>
        <v>0.05</v>
      </c>
      <c r="I1807">
        <f t="shared" si="115"/>
        <v>0</v>
      </c>
      <c r="J1807">
        <f>IF(I1806=0,0,C1806-I1806)</f>
        <v>0</v>
      </c>
    </row>
    <row r="1808" spans="1:10" x14ac:dyDescent="0.25">
      <c r="A1808" s="1">
        <v>41359</v>
      </c>
      <c r="B1808">
        <v>2.64256</v>
      </c>
      <c r="C1808">
        <v>3.52</v>
      </c>
      <c r="D1808">
        <f>WEEKDAY(A1808,14)</f>
        <v>6</v>
      </c>
      <c r="E1808">
        <f t="shared" si="112"/>
        <v>0.7</v>
      </c>
      <c r="F1808">
        <f t="shared" si="113"/>
        <v>4</v>
      </c>
      <c r="G1808">
        <f>IF(F1808&gt;F1807,G1807+B1808*E1808,B1808*E1808)</f>
        <v>1.9817659999999999</v>
      </c>
      <c r="H1808">
        <f t="shared" si="114"/>
        <v>0.75</v>
      </c>
      <c r="I1808">
        <f t="shared" si="115"/>
        <v>0</v>
      </c>
      <c r="J1808">
        <f>IF(I1807=0,0,C1807-I1807)</f>
        <v>0</v>
      </c>
    </row>
    <row r="1809" spans="1:10" x14ac:dyDescent="0.25">
      <c r="A1809" s="1">
        <v>41360</v>
      </c>
      <c r="B1809">
        <v>2.6080700000000001</v>
      </c>
      <c r="C1809">
        <v>3.52</v>
      </c>
      <c r="D1809">
        <f>WEEKDAY(A1809,14)</f>
        <v>7</v>
      </c>
      <c r="E1809">
        <f t="shared" si="112"/>
        <v>0.25</v>
      </c>
      <c r="F1809">
        <f t="shared" si="113"/>
        <v>5</v>
      </c>
      <c r="G1809">
        <f>IF(F1809&gt;F1808,G1808+B1809*E1809,B1809*E1809)</f>
        <v>2.6337834999999998</v>
      </c>
      <c r="H1809">
        <f t="shared" si="114"/>
        <v>1</v>
      </c>
      <c r="I1809">
        <f t="shared" si="115"/>
        <v>2.6337834999999998</v>
      </c>
      <c r="J1809">
        <f>IF(I1808=0,0,C1808-I1808)</f>
        <v>0</v>
      </c>
    </row>
    <row r="1810" spans="1:10" x14ac:dyDescent="0.25">
      <c r="A1810" s="1">
        <v>41361</v>
      </c>
      <c r="B1810">
        <v>2.6143299999999998</v>
      </c>
      <c r="C1810">
        <v>3.49</v>
      </c>
      <c r="D1810">
        <f>WEEKDAY(A1810,14)</f>
        <v>1</v>
      </c>
      <c r="E1810">
        <f t="shared" si="112"/>
        <v>0</v>
      </c>
      <c r="F1810">
        <f t="shared" si="113"/>
        <v>1</v>
      </c>
      <c r="G1810">
        <f>IF(F1810&gt;F1809,G1809+B1810*E1810,B1810*E1810)</f>
        <v>0</v>
      </c>
      <c r="H1810">
        <f t="shared" si="114"/>
        <v>0</v>
      </c>
      <c r="I1810">
        <f t="shared" si="115"/>
        <v>0</v>
      </c>
      <c r="J1810">
        <f>IF(I1809=0,0,C1809-I1809)</f>
        <v>0.88621650000000018</v>
      </c>
    </row>
    <row r="1811" spans="1:10" x14ac:dyDescent="0.25">
      <c r="A1811" s="1">
        <v>41365</v>
      </c>
      <c r="B1811">
        <v>2.5951300000000002</v>
      </c>
      <c r="C1811">
        <v>3.49</v>
      </c>
      <c r="D1811">
        <f>WEEKDAY(A1811,14)</f>
        <v>5</v>
      </c>
      <c r="E1811">
        <f t="shared" si="112"/>
        <v>0.05</v>
      </c>
      <c r="F1811">
        <f t="shared" si="113"/>
        <v>2</v>
      </c>
      <c r="G1811">
        <f>IF(F1811&gt;F1810,G1810+B1811*E1811,B1811*E1811)</f>
        <v>0.12975650000000002</v>
      </c>
      <c r="H1811">
        <f t="shared" si="114"/>
        <v>0.05</v>
      </c>
      <c r="I1811">
        <f t="shared" si="115"/>
        <v>0</v>
      </c>
      <c r="J1811">
        <f>IF(I1810=0,0,C1810-I1810)</f>
        <v>0</v>
      </c>
    </row>
    <row r="1812" spans="1:10" x14ac:dyDescent="0.25">
      <c r="A1812" s="1">
        <v>41366</v>
      </c>
      <c r="B1812">
        <v>2.6101999999999999</v>
      </c>
      <c r="C1812">
        <v>3.49</v>
      </c>
      <c r="D1812">
        <f>WEEKDAY(A1812,14)</f>
        <v>6</v>
      </c>
      <c r="E1812">
        <f t="shared" si="112"/>
        <v>0.7</v>
      </c>
      <c r="F1812">
        <f t="shared" si="113"/>
        <v>3</v>
      </c>
      <c r="G1812">
        <f>IF(F1812&gt;F1811,G1811+B1812*E1812,B1812*E1812)</f>
        <v>1.9568964999999998</v>
      </c>
      <c r="H1812">
        <f t="shared" si="114"/>
        <v>0.75</v>
      </c>
      <c r="I1812">
        <f t="shared" si="115"/>
        <v>0</v>
      </c>
      <c r="J1812">
        <f>IF(I1811=0,0,C1811-I1811)</f>
        <v>0</v>
      </c>
    </row>
    <row r="1813" spans="1:10" x14ac:dyDescent="0.25">
      <c r="A1813" s="1">
        <v>41367</v>
      </c>
      <c r="B1813">
        <v>2.5647199999999999</v>
      </c>
      <c r="C1813">
        <v>3.49</v>
      </c>
      <c r="D1813">
        <f>WEEKDAY(A1813,14)</f>
        <v>7</v>
      </c>
      <c r="E1813">
        <f t="shared" si="112"/>
        <v>0.25</v>
      </c>
      <c r="F1813">
        <f t="shared" si="113"/>
        <v>4</v>
      </c>
      <c r="G1813">
        <f>IF(F1813&gt;F1812,G1812+B1813*E1813,B1813*E1813)</f>
        <v>2.5980764999999999</v>
      </c>
      <c r="H1813">
        <f t="shared" si="114"/>
        <v>1</v>
      </c>
      <c r="I1813">
        <f t="shared" si="115"/>
        <v>2.5980764999999999</v>
      </c>
      <c r="J1813">
        <f>IF(I1812=0,0,C1812-I1812)</f>
        <v>0</v>
      </c>
    </row>
    <row r="1814" spans="1:10" x14ac:dyDescent="0.25">
      <c r="A1814" s="1">
        <v>41368</v>
      </c>
      <c r="B1814">
        <v>2.4858699999999998</v>
      </c>
      <c r="C1814">
        <v>3.38</v>
      </c>
      <c r="D1814">
        <f>WEEKDAY(A1814,14)</f>
        <v>1</v>
      </c>
      <c r="E1814">
        <f t="shared" si="112"/>
        <v>0</v>
      </c>
      <c r="F1814">
        <f t="shared" si="113"/>
        <v>1</v>
      </c>
      <c r="G1814">
        <f>IF(F1814&gt;F1813,G1813+B1814*E1814,B1814*E1814)</f>
        <v>0</v>
      </c>
      <c r="H1814">
        <f t="shared" si="114"/>
        <v>0</v>
      </c>
      <c r="I1814">
        <f t="shared" si="115"/>
        <v>0</v>
      </c>
      <c r="J1814">
        <f>IF(I1813=0,0,C1813-I1813)</f>
        <v>0.89192350000000031</v>
      </c>
    </row>
    <row r="1815" spans="1:10" x14ac:dyDescent="0.25">
      <c r="A1815" s="1">
        <v>41369</v>
      </c>
      <c r="B1815">
        <v>2.4173800000000001</v>
      </c>
      <c r="C1815">
        <v>3.38</v>
      </c>
      <c r="D1815">
        <f>WEEKDAY(A1815,14)</f>
        <v>2</v>
      </c>
      <c r="E1815">
        <f t="shared" si="112"/>
        <v>0</v>
      </c>
      <c r="F1815">
        <f t="shared" si="113"/>
        <v>2</v>
      </c>
      <c r="G1815">
        <f>IF(F1815&gt;F1814,G1814+B1815*E1815,B1815*E1815)</f>
        <v>0</v>
      </c>
      <c r="H1815">
        <f t="shared" si="114"/>
        <v>0</v>
      </c>
      <c r="I1815">
        <f t="shared" si="115"/>
        <v>0</v>
      </c>
      <c r="J1815">
        <f>IF(I1814=0,0,C1814-I1814)</f>
        <v>0</v>
      </c>
    </row>
    <row r="1816" spans="1:10" x14ac:dyDescent="0.25">
      <c r="A1816" s="1">
        <v>41372</v>
      </c>
      <c r="B1816">
        <v>2.47695</v>
      </c>
      <c r="C1816">
        <v>3.38</v>
      </c>
      <c r="D1816">
        <f>WEEKDAY(A1816,14)</f>
        <v>5</v>
      </c>
      <c r="E1816">
        <f t="shared" si="112"/>
        <v>0.05</v>
      </c>
      <c r="F1816">
        <f t="shared" si="113"/>
        <v>3</v>
      </c>
      <c r="G1816">
        <f>IF(F1816&gt;F1815,G1815+B1816*E1816,B1816*E1816)</f>
        <v>0.1238475</v>
      </c>
      <c r="H1816">
        <f t="shared" si="114"/>
        <v>0.05</v>
      </c>
      <c r="I1816">
        <f t="shared" si="115"/>
        <v>0</v>
      </c>
      <c r="J1816">
        <f>IF(I1815=0,0,C1815-I1815)</f>
        <v>0</v>
      </c>
    </row>
    <row r="1817" spans="1:10" x14ac:dyDescent="0.25">
      <c r="A1817" s="1">
        <v>41373</v>
      </c>
      <c r="B1817">
        <v>2.4893800000000001</v>
      </c>
      <c r="C1817">
        <v>3.38</v>
      </c>
      <c r="D1817">
        <f>WEEKDAY(A1817,14)</f>
        <v>6</v>
      </c>
      <c r="E1817">
        <f t="shared" si="112"/>
        <v>0.7</v>
      </c>
      <c r="F1817">
        <f t="shared" si="113"/>
        <v>4</v>
      </c>
      <c r="G1817">
        <f>IF(F1817&gt;F1816,G1816+B1817*E1817,B1817*E1817)</f>
        <v>1.8664135000000002</v>
      </c>
      <c r="H1817">
        <f t="shared" si="114"/>
        <v>0.75</v>
      </c>
      <c r="I1817">
        <f t="shared" si="115"/>
        <v>0</v>
      </c>
      <c r="J1817">
        <f>IF(I1816=0,0,C1816-I1816)</f>
        <v>0</v>
      </c>
    </row>
    <row r="1818" spans="1:10" x14ac:dyDescent="0.25">
      <c r="A1818" s="1">
        <v>41374</v>
      </c>
      <c r="B1818">
        <v>2.5447899999999999</v>
      </c>
      <c r="C1818">
        <v>3.38</v>
      </c>
      <c r="D1818">
        <f>WEEKDAY(A1818,14)</f>
        <v>7</v>
      </c>
      <c r="E1818">
        <f t="shared" si="112"/>
        <v>0.25</v>
      </c>
      <c r="F1818">
        <f t="shared" si="113"/>
        <v>5</v>
      </c>
      <c r="G1818">
        <f>IF(F1818&gt;F1817,G1817+B1818*E1818,B1818*E1818)</f>
        <v>2.5026109999999999</v>
      </c>
      <c r="H1818">
        <f t="shared" si="114"/>
        <v>1</v>
      </c>
      <c r="I1818">
        <f t="shared" si="115"/>
        <v>2.5026109999999999</v>
      </c>
      <c r="J1818">
        <f>IF(I1817=0,0,C1817-I1817)</f>
        <v>0</v>
      </c>
    </row>
    <row r="1819" spans="1:10" x14ac:dyDescent="0.25">
      <c r="A1819" s="1">
        <v>41375</v>
      </c>
      <c r="B1819">
        <v>2.5180799999999999</v>
      </c>
      <c r="C1819">
        <v>3.335</v>
      </c>
      <c r="D1819">
        <f>WEEKDAY(A1819,14)</f>
        <v>1</v>
      </c>
      <c r="E1819">
        <f t="shared" si="112"/>
        <v>0</v>
      </c>
      <c r="F1819">
        <f t="shared" si="113"/>
        <v>1</v>
      </c>
      <c r="G1819">
        <f>IF(F1819&gt;F1818,G1818+B1819*E1819,B1819*E1819)</f>
        <v>0</v>
      </c>
      <c r="H1819">
        <f t="shared" si="114"/>
        <v>0</v>
      </c>
      <c r="I1819">
        <f t="shared" si="115"/>
        <v>0</v>
      </c>
      <c r="J1819">
        <f>IF(I1818=0,0,C1818-I1818)</f>
        <v>0.87738899999999997</v>
      </c>
    </row>
    <row r="1820" spans="1:10" x14ac:dyDescent="0.25">
      <c r="A1820" s="1">
        <v>41376</v>
      </c>
      <c r="B1820">
        <v>2.4532400000000001</v>
      </c>
      <c r="C1820">
        <v>3.335</v>
      </c>
      <c r="D1820">
        <f>WEEKDAY(A1820,14)</f>
        <v>2</v>
      </c>
      <c r="E1820">
        <f t="shared" si="112"/>
        <v>0</v>
      </c>
      <c r="F1820">
        <f t="shared" si="113"/>
        <v>2</v>
      </c>
      <c r="G1820">
        <f>IF(F1820&gt;F1819,G1819+B1820*E1820,B1820*E1820)</f>
        <v>0</v>
      </c>
      <c r="H1820">
        <f t="shared" si="114"/>
        <v>0</v>
      </c>
      <c r="I1820">
        <f t="shared" si="115"/>
        <v>0</v>
      </c>
      <c r="J1820">
        <f>IF(I1819=0,0,C1819-I1819)</f>
        <v>0</v>
      </c>
    </row>
    <row r="1821" spans="1:10" x14ac:dyDescent="0.25">
      <c r="A1821" s="1">
        <v>41379</v>
      </c>
      <c r="B1821">
        <v>2.43066</v>
      </c>
      <c r="C1821">
        <v>3.335</v>
      </c>
      <c r="D1821">
        <f>WEEKDAY(A1821,14)</f>
        <v>5</v>
      </c>
      <c r="E1821">
        <f t="shared" si="112"/>
        <v>0.05</v>
      </c>
      <c r="F1821">
        <f t="shared" si="113"/>
        <v>3</v>
      </c>
      <c r="G1821">
        <f>IF(F1821&gt;F1820,G1820+B1821*E1821,B1821*E1821)</f>
        <v>0.121533</v>
      </c>
      <c r="H1821">
        <f t="shared" si="114"/>
        <v>0.05</v>
      </c>
      <c r="I1821">
        <f t="shared" si="115"/>
        <v>0</v>
      </c>
      <c r="J1821">
        <f>IF(I1820=0,0,C1820-I1820)</f>
        <v>0</v>
      </c>
    </row>
    <row r="1822" spans="1:10" x14ac:dyDescent="0.25">
      <c r="A1822" s="1">
        <v>41380</v>
      </c>
      <c r="B1822">
        <v>2.45465</v>
      </c>
      <c r="C1822">
        <v>3.335</v>
      </c>
      <c r="D1822">
        <f>WEEKDAY(A1822,14)</f>
        <v>6</v>
      </c>
      <c r="E1822">
        <f t="shared" si="112"/>
        <v>0.7</v>
      </c>
      <c r="F1822">
        <f t="shared" si="113"/>
        <v>4</v>
      </c>
      <c r="G1822">
        <f>IF(F1822&gt;F1821,G1821+B1822*E1822,B1822*E1822)</f>
        <v>1.839788</v>
      </c>
      <c r="H1822">
        <f t="shared" si="114"/>
        <v>0.75</v>
      </c>
      <c r="I1822">
        <f t="shared" si="115"/>
        <v>0</v>
      </c>
      <c r="J1822">
        <f>IF(I1821=0,0,C1821-I1821)</f>
        <v>0</v>
      </c>
    </row>
    <row r="1823" spans="1:10" x14ac:dyDescent="0.25">
      <c r="A1823" s="1">
        <v>41381</v>
      </c>
      <c r="B1823">
        <v>2.4500500000000001</v>
      </c>
      <c r="C1823">
        <v>3.335</v>
      </c>
      <c r="D1823">
        <f>WEEKDAY(A1823,14)</f>
        <v>7</v>
      </c>
      <c r="E1823">
        <f t="shared" si="112"/>
        <v>0.25</v>
      </c>
      <c r="F1823">
        <f t="shared" si="113"/>
        <v>5</v>
      </c>
      <c r="G1823">
        <f>IF(F1823&gt;F1822,G1822+B1823*E1823,B1823*E1823)</f>
        <v>2.4523004999999998</v>
      </c>
      <c r="H1823">
        <f t="shared" si="114"/>
        <v>1</v>
      </c>
      <c r="I1823">
        <f t="shared" si="115"/>
        <v>2.4523004999999998</v>
      </c>
      <c r="J1823">
        <f>IF(I1822=0,0,C1822-I1822)</f>
        <v>0</v>
      </c>
    </row>
    <row r="1824" spans="1:10" x14ac:dyDescent="0.25">
      <c r="A1824" s="1">
        <v>41382</v>
      </c>
      <c r="B1824">
        <v>2.4319199999999999</v>
      </c>
      <c r="C1824">
        <v>3.35</v>
      </c>
      <c r="D1824">
        <f>WEEKDAY(A1824,14)</f>
        <v>1</v>
      </c>
      <c r="E1824">
        <f t="shared" si="112"/>
        <v>0</v>
      </c>
      <c r="F1824">
        <f t="shared" si="113"/>
        <v>1</v>
      </c>
      <c r="G1824">
        <f>IF(F1824&gt;F1823,G1823+B1824*E1824,B1824*E1824)</f>
        <v>0</v>
      </c>
      <c r="H1824">
        <f t="shared" si="114"/>
        <v>0</v>
      </c>
      <c r="I1824">
        <f t="shared" si="115"/>
        <v>0</v>
      </c>
      <c r="J1824">
        <f>IF(I1823=0,0,C1823-I1823)</f>
        <v>0.88269950000000019</v>
      </c>
    </row>
    <row r="1825" spans="1:10" x14ac:dyDescent="0.25">
      <c r="A1825" s="1">
        <v>41383</v>
      </c>
      <c r="B1825">
        <v>2.4478300000000002</v>
      </c>
      <c r="C1825">
        <v>3.35</v>
      </c>
      <c r="D1825">
        <f>WEEKDAY(A1825,14)</f>
        <v>2</v>
      </c>
      <c r="E1825">
        <f t="shared" si="112"/>
        <v>0</v>
      </c>
      <c r="F1825">
        <f t="shared" si="113"/>
        <v>2</v>
      </c>
      <c r="G1825">
        <f>IF(F1825&gt;F1824,G1824+B1825*E1825,B1825*E1825)</f>
        <v>0</v>
      </c>
      <c r="H1825">
        <f t="shared" si="114"/>
        <v>0</v>
      </c>
      <c r="I1825">
        <f t="shared" si="115"/>
        <v>0</v>
      </c>
      <c r="J1825">
        <f>IF(I1824=0,0,C1824-I1824)</f>
        <v>0</v>
      </c>
    </row>
    <row r="1826" spans="1:10" x14ac:dyDescent="0.25">
      <c r="A1826" s="1">
        <v>41386</v>
      </c>
      <c r="B1826">
        <v>2.4460999999999999</v>
      </c>
      <c r="C1826">
        <v>3.35</v>
      </c>
      <c r="D1826">
        <f>WEEKDAY(A1826,14)</f>
        <v>5</v>
      </c>
      <c r="E1826">
        <f t="shared" si="112"/>
        <v>0.05</v>
      </c>
      <c r="F1826">
        <f t="shared" si="113"/>
        <v>3</v>
      </c>
      <c r="G1826">
        <f>IF(F1826&gt;F1825,G1825+B1826*E1826,B1826*E1826)</f>
        <v>0.122305</v>
      </c>
      <c r="H1826">
        <f t="shared" si="114"/>
        <v>0.05</v>
      </c>
      <c r="I1826">
        <f t="shared" si="115"/>
        <v>0</v>
      </c>
      <c r="J1826">
        <f>IF(I1825=0,0,C1825-I1825)</f>
        <v>0</v>
      </c>
    </row>
    <row r="1827" spans="1:10" x14ac:dyDescent="0.25">
      <c r="A1827" s="1">
        <v>41387</v>
      </c>
      <c r="B1827">
        <v>2.4375300000000002</v>
      </c>
      <c r="C1827">
        <v>3.35</v>
      </c>
      <c r="D1827">
        <f>WEEKDAY(A1827,14)</f>
        <v>6</v>
      </c>
      <c r="E1827">
        <f t="shared" si="112"/>
        <v>0.7</v>
      </c>
      <c r="F1827">
        <f t="shared" si="113"/>
        <v>4</v>
      </c>
      <c r="G1827">
        <f>IF(F1827&gt;F1826,G1826+B1827*E1827,B1827*E1827)</f>
        <v>1.828576</v>
      </c>
      <c r="H1827">
        <f t="shared" si="114"/>
        <v>0.75</v>
      </c>
      <c r="I1827">
        <f t="shared" si="115"/>
        <v>0</v>
      </c>
      <c r="J1827">
        <f>IF(I1826=0,0,C1826-I1826)</f>
        <v>0</v>
      </c>
    </row>
    <row r="1828" spans="1:10" x14ac:dyDescent="0.25">
      <c r="A1828" s="1">
        <v>41388</v>
      </c>
      <c r="B1828">
        <v>2.4323899999999998</v>
      </c>
      <c r="C1828">
        <v>3.35</v>
      </c>
      <c r="D1828">
        <f>WEEKDAY(A1828,14)</f>
        <v>7</v>
      </c>
      <c r="E1828">
        <f t="shared" si="112"/>
        <v>0.25</v>
      </c>
      <c r="F1828">
        <f t="shared" si="113"/>
        <v>5</v>
      </c>
      <c r="G1828">
        <f>IF(F1828&gt;F1827,G1827+B1828*E1828,B1828*E1828)</f>
        <v>2.4366734999999999</v>
      </c>
      <c r="H1828">
        <f t="shared" si="114"/>
        <v>1</v>
      </c>
      <c r="I1828">
        <f t="shared" si="115"/>
        <v>2.4366734999999999</v>
      </c>
      <c r="J1828">
        <f>IF(I1827=0,0,C1827-I1827)</f>
        <v>0</v>
      </c>
    </row>
    <row r="1829" spans="1:10" x14ac:dyDescent="0.25">
      <c r="A1829" s="1">
        <v>41389</v>
      </c>
      <c r="B1829">
        <v>2.43235</v>
      </c>
      <c r="C1829">
        <v>3.2749999999999999</v>
      </c>
      <c r="D1829">
        <f>WEEKDAY(A1829,14)</f>
        <v>1</v>
      </c>
      <c r="E1829">
        <f t="shared" si="112"/>
        <v>0</v>
      </c>
      <c r="F1829">
        <f t="shared" si="113"/>
        <v>1</v>
      </c>
      <c r="G1829">
        <f>IF(F1829&gt;F1828,G1828+B1829*E1829,B1829*E1829)</f>
        <v>0</v>
      </c>
      <c r="H1829">
        <f t="shared" si="114"/>
        <v>0</v>
      </c>
      <c r="I1829">
        <f t="shared" si="115"/>
        <v>0</v>
      </c>
      <c r="J1829">
        <f>IF(I1828=0,0,C1828-I1828)</f>
        <v>0.91332650000000015</v>
      </c>
    </row>
    <row r="1830" spans="1:10" x14ac:dyDescent="0.25">
      <c r="A1830" s="1">
        <v>41390</v>
      </c>
      <c r="B1830">
        <v>2.3795099999999998</v>
      </c>
      <c r="C1830">
        <v>3.2749999999999999</v>
      </c>
      <c r="D1830">
        <f>WEEKDAY(A1830,14)</f>
        <v>2</v>
      </c>
      <c r="E1830">
        <f t="shared" si="112"/>
        <v>0</v>
      </c>
      <c r="F1830">
        <f t="shared" si="113"/>
        <v>2</v>
      </c>
      <c r="G1830">
        <f>IF(F1830&gt;F1829,G1829+B1830*E1830,B1830*E1830)</f>
        <v>0</v>
      </c>
      <c r="H1830">
        <f t="shared" si="114"/>
        <v>0</v>
      </c>
      <c r="I1830">
        <f t="shared" si="115"/>
        <v>0</v>
      </c>
      <c r="J1830">
        <f>IF(I1829=0,0,C1829-I1829)</f>
        <v>0</v>
      </c>
    </row>
    <row r="1831" spans="1:10" x14ac:dyDescent="0.25">
      <c r="A1831" s="1">
        <v>41393</v>
      </c>
      <c r="B1831">
        <v>2.3744800000000001</v>
      </c>
      <c r="C1831">
        <v>3.2749999999999999</v>
      </c>
      <c r="D1831">
        <f>WEEKDAY(A1831,14)</f>
        <v>5</v>
      </c>
      <c r="E1831">
        <f t="shared" si="112"/>
        <v>0.05</v>
      </c>
      <c r="F1831">
        <f t="shared" si="113"/>
        <v>3</v>
      </c>
      <c r="G1831">
        <f>IF(F1831&gt;F1830,G1830+B1831*E1831,B1831*E1831)</f>
        <v>0.11872400000000001</v>
      </c>
      <c r="H1831">
        <f t="shared" si="114"/>
        <v>0.05</v>
      </c>
      <c r="I1831">
        <f t="shared" si="115"/>
        <v>0</v>
      </c>
      <c r="J1831">
        <f>IF(I1830=0,0,C1830-I1830)</f>
        <v>0</v>
      </c>
    </row>
    <row r="1832" spans="1:10" x14ac:dyDescent="0.25">
      <c r="A1832" s="1">
        <v>41394</v>
      </c>
      <c r="B1832">
        <v>2.3535400000000002</v>
      </c>
      <c r="C1832">
        <v>3.2749999999999999</v>
      </c>
      <c r="D1832">
        <f>WEEKDAY(A1832,14)</f>
        <v>6</v>
      </c>
      <c r="E1832">
        <f t="shared" si="112"/>
        <v>0.7</v>
      </c>
      <c r="F1832">
        <f t="shared" si="113"/>
        <v>4</v>
      </c>
      <c r="G1832">
        <f>IF(F1832&gt;F1831,G1831+B1832*E1832,B1832*E1832)</f>
        <v>1.766202</v>
      </c>
      <c r="H1832">
        <f t="shared" si="114"/>
        <v>0.75</v>
      </c>
      <c r="I1832">
        <f t="shared" si="115"/>
        <v>0</v>
      </c>
      <c r="J1832">
        <f>IF(I1831=0,0,C1831-I1831)</f>
        <v>0</v>
      </c>
    </row>
    <row r="1833" spans="1:10" x14ac:dyDescent="0.25">
      <c r="A1833" s="1">
        <v>41395</v>
      </c>
      <c r="B1833">
        <v>2.3103600000000002</v>
      </c>
      <c r="C1833">
        <v>3.2749999999999999</v>
      </c>
      <c r="D1833">
        <f>WEEKDAY(A1833,14)</f>
        <v>7</v>
      </c>
      <c r="E1833">
        <f t="shared" si="112"/>
        <v>0.25</v>
      </c>
      <c r="F1833">
        <f t="shared" si="113"/>
        <v>5</v>
      </c>
      <c r="G1833">
        <f>IF(F1833&gt;F1832,G1832+B1833*E1833,B1833*E1833)</f>
        <v>2.3437920000000001</v>
      </c>
      <c r="H1833">
        <f t="shared" si="114"/>
        <v>1</v>
      </c>
      <c r="I1833">
        <f t="shared" si="115"/>
        <v>2.3437920000000001</v>
      </c>
      <c r="J1833">
        <f>IF(I1832=0,0,C1832-I1832)</f>
        <v>0</v>
      </c>
    </row>
    <row r="1834" spans="1:10" x14ac:dyDescent="0.25">
      <c r="A1834" s="1">
        <v>41396</v>
      </c>
      <c r="B1834">
        <v>2.3420999999999998</v>
      </c>
      <c r="C1834">
        <v>3.3450000000000002</v>
      </c>
      <c r="D1834">
        <f>WEEKDAY(A1834,14)</f>
        <v>1</v>
      </c>
      <c r="E1834">
        <f t="shared" si="112"/>
        <v>0</v>
      </c>
      <c r="F1834">
        <f t="shared" si="113"/>
        <v>1</v>
      </c>
      <c r="G1834">
        <f>IF(F1834&gt;F1833,G1833+B1834*E1834,B1834*E1834)</f>
        <v>0</v>
      </c>
      <c r="H1834">
        <f t="shared" si="114"/>
        <v>0</v>
      </c>
      <c r="I1834">
        <f t="shared" si="115"/>
        <v>0</v>
      </c>
      <c r="J1834">
        <f>IF(I1833=0,0,C1833-I1833)</f>
        <v>0.93120799999999981</v>
      </c>
    </row>
    <row r="1835" spans="1:10" x14ac:dyDescent="0.25">
      <c r="A1835" s="1">
        <v>41397</v>
      </c>
      <c r="B1835">
        <v>2.4561500000000001</v>
      </c>
      <c r="C1835">
        <v>3.3450000000000002</v>
      </c>
      <c r="D1835">
        <f>WEEKDAY(A1835,14)</f>
        <v>2</v>
      </c>
      <c r="E1835">
        <f t="shared" si="112"/>
        <v>0</v>
      </c>
      <c r="F1835">
        <f t="shared" si="113"/>
        <v>2</v>
      </c>
      <c r="G1835">
        <f>IF(F1835&gt;F1834,G1834+B1835*E1835,B1835*E1835)</f>
        <v>0</v>
      </c>
      <c r="H1835">
        <f t="shared" si="114"/>
        <v>0</v>
      </c>
      <c r="I1835">
        <f t="shared" si="115"/>
        <v>0</v>
      </c>
      <c r="J1835">
        <f>IF(I1834=0,0,C1834-I1834)</f>
        <v>0</v>
      </c>
    </row>
    <row r="1836" spans="1:10" x14ac:dyDescent="0.25">
      <c r="A1836" s="1">
        <v>41400</v>
      </c>
      <c r="B1836">
        <v>2.4723999999999999</v>
      </c>
      <c r="C1836">
        <v>3.3450000000000002</v>
      </c>
      <c r="D1836">
        <f>WEEKDAY(A1836,14)</f>
        <v>5</v>
      </c>
      <c r="E1836">
        <f t="shared" si="112"/>
        <v>0.05</v>
      </c>
      <c r="F1836">
        <f t="shared" si="113"/>
        <v>3</v>
      </c>
      <c r="G1836">
        <f>IF(F1836&gt;F1835,G1835+B1836*E1836,B1836*E1836)</f>
        <v>0.12362000000000001</v>
      </c>
      <c r="H1836">
        <f t="shared" si="114"/>
        <v>0.05</v>
      </c>
      <c r="I1836">
        <f t="shared" si="115"/>
        <v>0</v>
      </c>
      <c r="J1836">
        <f>IF(I1835=0,0,C1835-I1835)</f>
        <v>0</v>
      </c>
    </row>
    <row r="1837" spans="1:10" x14ac:dyDescent="0.25">
      <c r="A1837" s="1">
        <v>41401</v>
      </c>
      <c r="B1837">
        <v>2.4889399999999999</v>
      </c>
      <c r="C1837">
        <v>3.3450000000000002</v>
      </c>
      <c r="D1837">
        <f>WEEKDAY(A1837,14)</f>
        <v>6</v>
      </c>
      <c r="E1837">
        <f t="shared" si="112"/>
        <v>0.7</v>
      </c>
      <c r="F1837">
        <f t="shared" si="113"/>
        <v>4</v>
      </c>
      <c r="G1837">
        <f>IF(F1837&gt;F1836,G1836+B1837*E1837,B1837*E1837)</f>
        <v>1.8658779999999999</v>
      </c>
      <c r="H1837">
        <f t="shared" si="114"/>
        <v>0.75</v>
      </c>
      <c r="I1837">
        <f t="shared" si="115"/>
        <v>0</v>
      </c>
      <c r="J1837">
        <f>IF(I1836=0,0,C1836-I1836)</f>
        <v>0</v>
      </c>
    </row>
    <row r="1838" spans="1:10" x14ac:dyDescent="0.25">
      <c r="A1838" s="1">
        <v>41402</v>
      </c>
      <c r="B1838">
        <v>2.4724499999999998</v>
      </c>
      <c r="C1838">
        <v>3.3450000000000002</v>
      </c>
      <c r="D1838">
        <f>WEEKDAY(A1838,14)</f>
        <v>7</v>
      </c>
      <c r="E1838">
        <f t="shared" si="112"/>
        <v>0.25</v>
      </c>
      <c r="F1838">
        <f t="shared" si="113"/>
        <v>5</v>
      </c>
      <c r="G1838">
        <f>IF(F1838&gt;F1837,G1837+B1838*E1838,B1838*E1838)</f>
        <v>2.4839905</v>
      </c>
      <c r="H1838">
        <f t="shared" si="114"/>
        <v>1</v>
      </c>
      <c r="I1838">
        <f t="shared" si="115"/>
        <v>2.4839905</v>
      </c>
      <c r="J1838">
        <f>IF(I1837=0,0,C1837-I1837)</f>
        <v>0</v>
      </c>
    </row>
    <row r="1839" spans="1:10" x14ac:dyDescent="0.25">
      <c r="A1839" s="1">
        <v>41403</v>
      </c>
      <c r="B1839">
        <v>2.4966499999999998</v>
      </c>
      <c r="C1839">
        <v>3.4350000000000001</v>
      </c>
      <c r="D1839">
        <f>WEEKDAY(A1839,14)</f>
        <v>1</v>
      </c>
      <c r="E1839">
        <f t="shared" si="112"/>
        <v>0</v>
      </c>
      <c r="F1839">
        <f t="shared" si="113"/>
        <v>1</v>
      </c>
      <c r="G1839">
        <f>IF(F1839&gt;F1838,G1838+B1839*E1839,B1839*E1839)</f>
        <v>0</v>
      </c>
      <c r="H1839">
        <f t="shared" si="114"/>
        <v>0</v>
      </c>
      <c r="I1839">
        <f t="shared" si="115"/>
        <v>0</v>
      </c>
      <c r="J1839">
        <f>IF(I1838=0,0,C1838-I1838)</f>
        <v>0.86100950000000021</v>
      </c>
    </row>
    <row r="1840" spans="1:10" x14ac:dyDescent="0.25">
      <c r="A1840" s="1">
        <v>41404</v>
      </c>
      <c r="B1840">
        <v>2.5868600000000002</v>
      </c>
      <c r="C1840">
        <v>3.4350000000000001</v>
      </c>
      <c r="D1840">
        <f>WEEKDAY(A1840,14)</f>
        <v>2</v>
      </c>
      <c r="E1840">
        <f t="shared" si="112"/>
        <v>0</v>
      </c>
      <c r="F1840">
        <f t="shared" si="113"/>
        <v>2</v>
      </c>
      <c r="G1840">
        <f>IF(F1840&gt;F1839,G1839+B1840*E1840,B1840*E1840)</f>
        <v>0</v>
      </c>
      <c r="H1840">
        <f t="shared" si="114"/>
        <v>0</v>
      </c>
      <c r="I1840">
        <f t="shared" si="115"/>
        <v>0</v>
      </c>
      <c r="J1840">
        <f>IF(I1839=0,0,C1839-I1839)</f>
        <v>0</v>
      </c>
    </row>
    <row r="1841" spans="1:10" x14ac:dyDescent="0.25">
      <c r="A1841" s="1">
        <v>41407</v>
      </c>
      <c r="B1841">
        <v>2.621</v>
      </c>
      <c r="C1841">
        <v>3.4350000000000001</v>
      </c>
      <c r="D1841">
        <f>WEEKDAY(A1841,14)</f>
        <v>5</v>
      </c>
      <c r="E1841">
        <f t="shared" si="112"/>
        <v>0.05</v>
      </c>
      <c r="F1841">
        <f t="shared" si="113"/>
        <v>3</v>
      </c>
      <c r="G1841">
        <f>IF(F1841&gt;F1840,G1840+B1841*E1841,B1841*E1841)</f>
        <v>0.13105</v>
      </c>
      <c r="H1841">
        <f t="shared" si="114"/>
        <v>0.05</v>
      </c>
      <c r="I1841">
        <f t="shared" si="115"/>
        <v>0</v>
      </c>
      <c r="J1841">
        <f>IF(I1840=0,0,C1840-I1840)</f>
        <v>0</v>
      </c>
    </row>
    <row r="1842" spans="1:10" x14ac:dyDescent="0.25">
      <c r="A1842" s="1">
        <v>41408</v>
      </c>
      <c r="B1842">
        <v>2.6627200000000002</v>
      </c>
      <c r="C1842">
        <v>3.4350000000000001</v>
      </c>
      <c r="D1842">
        <f>WEEKDAY(A1842,14)</f>
        <v>6</v>
      </c>
      <c r="E1842">
        <f t="shared" si="112"/>
        <v>0.7</v>
      </c>
      <c r="F1842">
        <f t="shared" si="113"/>
        <v>4</v>
      </c>
      <c r="G1842">
        <f>IF(F1842&gt;F1841,G1841+B1842*E1842,B1842*E1842)</f>
        <v>1.9949539999999999</v>
      </c>
      <c r="H1842">
        <f t="shared" si="114"/>
        <v>0.75</v>
      </c>
      <c r="I1842">
        <f t="shared" si="115"/>
        <v>0</v>
      </c>
      <c r="J1842">
        <f>IF(I1841=0,0,C1841-I1841)</f>
        <v>0</v>
      </c>
    </row>
    <row r="1843" spans="1:10" x14ac:dyDescent="0.25">
      <c r="A1843" s="1">
        <v>41409</v>
      </c>
      <c r="B1843">
        <v>2.66187</v>
      </c>
      <c r="C1843">
        <v>3.4350000000000001</v>
      </c>
      <c r="D1843">
        <f>WEEKDAY(A1843,14)</f>
        <v>7</v>
      </c>
      <c r="E1843">
        <f t="shared" si="112"/>
        <v>0.25</v>
      </c>
      <c r="F1843">
        <f t="shared" si="113"/>
        <v>5</v>
      </c>
      <c r="G1843">
        <f>IF(F1843&gt;F1842,G1842+B1843*E1843,B1843*E1843)</f>
        <v>2.6604215</v>
      </c>
      <c r="H1843">
        <f t="shared" si="114"/>
        <v>1</v>
      </c>
      <c r="I1843">
        <f t="shared" si="115"/>
        <v>2.6604215</v>
      </c>
      <c r="J1843">
        <f>IF(I1842=0,0,C1842-I1842)</f>
        <v>0</v>
      </c>
    </row>
    <row r="1844" spans="1:10" x14ac:dyDescent="0.25">
      <c r="A1844" s="1">
        <v>41410</v>
      </c>
      <c r="B1844">
        <v>2.5638800000000002</v>
      </c>
      <c r="C1844">
        <v>3.5150000000000001</v>
      </c>
      <c r="D1844">
        <f>WEEKDAY(A1844,14)</f>
        <v>1</v>
      </c>
      <c r="E1844">
        <f t="shared" si="112"/>
        <v>0</v>
      </c>
      <c r="F1844">
        <f t="shared" si="113"/>
        <v>1</v>
      </c>
      <c r="G1844">
        <f>IF(F1844&gt;F1843,G1843+B1844*E1844,B1844*E1844)</f>
        <v>0</v>
      </c>
      <c r="H1844">
        <f t="shared" si="114"/>
        <v>0</v>
      </c>
      <c r="I1844">
        <f t="shared" si="115"/>
        <v>0</v>
      </c>
      <c r="J1844">
        <f>IF(I1843=0,0,C1843-I1843)</f>
        <v>0.77457850000000006</v>
      </c>
    </row>
    <row r="1845" spans="1:10" x14ac:dyDescent="0.25">
      <c r="A1845" s="1">
        <v>41411</v>
      </c>
      <c r="B1845">
        <v>2.68581</v>
      </c>
      <c r="C1845">
        <v>3.5150000000000001</v>
      </c>
      <c r="D1845">
        <f>WEEKDAY(A1845,14)</f>
        <v>2</v>
      </c>
      <c r="E1845">
        <f t="shared" si="112"/>
        <v>0</v>
      </c>
      <c r="F1845">
        <f t="shared" si="113"/>
        <v>2</v>
      </c>
      <c r="G1845">
        <f>IF(F1845&gt;F1844,G1844+B1845*E1845,B1845*E1845)</f>
        <v>0</v>
      </c>
      <c r="H1845">
        <f t="shared" si="114"/>
        <v>0</v>
      </c>
      <c r="I1845">
        <f t="shared" si="115"/>
        <v>0</v>
      </c>
      <c r="J1845">
        <f>IF(I1844=0,0,C1844-I1844)</f>
        <v>0</v>
      </c>
    </row>
    <row r="1846" spans="1:10" x14ac:dyDescent="0.25">
      <c r="A1846" s="1">
        <v>41414</v>
      </c>
      <c r="B1846">
        <v>2.7128800000000002</v>
      </c>
      <c r="C1846">
        <v>3.5150000000000001</v>
      </c>
      <c r="D1846">
        <f>WEEKDAY(A1846,14)</f>
        <v>5</v>
      </c>
      <c r="E1846">
        <f t="shared" si="112"/>
        <v>0.05</v>
      </c>
      <c r="F1846">
        <f t="shared" si="113"/>
        <v>3</v>
      </c>
      <c r="G1846">
        <f>IF(F1846&gt;F1845,G1845+B1846*E1846,B1846*E1846)</f>
        <v>0.13564400000000001</v>
      </c>
      <c r="H1846">
        <f t="shared" si="114"/>
        <v>0.05</v>
      </c>
      <c r="I1846">
        <f t="shared" si="115"/>
        <v>0</v>
      </c>
      <c r="J1846">
        <f>IF(I1845=0,0,C1845-I1845)</f>
        <v>0</v>
      </c>
    </row>
    <row r="1847" spans="1:10" x14ac:dyDescent="0.25">
      <c r="A1847" s="1">
        <v>41415</v>
      </c>
      <c r="B1847">
        <v>2.6645300000000001</v>
      </c>
      <c r="C1847">
        <v>3.5150000000000001</v>
      </c>
      <c r="D1847">
        <f>WEEKDAY(A1847,14)</f>
        <v>6</v>
      </c>
      <c r="E1847">
        <f t="shared" si="112"/>
        <v>0.7</v>
      </c>
      <c r="F1847">
        <f t="shared" si="113"/>
        <v>4</v>
      </c>
      <c r="G1847">
        <f>IF(F1847&gt;F1846,G1846+B1847*E1847,B1847*E1847)</f>
        <v>2.0008149999999998</v>
      </c>
      <c r="H1847">
        <f t="shared" si="114"/>
        <v>0.75</v>
      </c>
      <c r="I1847">
        <f t="shared" si="115"/>
        <v>0</v>
      </c>
      <c r="J1847">
        <f>IF(I1846=0,0,C1846-I1846)</f>
        <v>0</v>
      </c>
    </row>
    <row r="1848" spans="1:10" x14ac:dyDescent="0.25">
      <c r="A1848" s="1">
        <v>41416</v>
      </c>
      <c r="B1848">
        <v>2.78844</v>
      </c>
      <c r="C1848">
        <v>3.5150000000000001</v>
      </c>
      <c r="D1848">
        <f>WEEKDAY(A1848,14)</f>
        <v>7</v>
      </c>
      <c r="E1848">
        <f t="shared" si="112"/>
        <v>0.25</v>
      </c>
      <c r="F1848">
        <f t="shared" si="113"/>
        <v>5</v>
      </c>
      <c r="G1848">
        <f>IF(F1848&gt;F1847,G1847+B1848*E1848,B1848*E1848)</f>
        <v>2.6979249999999997</v>
      </c>
      <c r="H1848">
        <f t="shared" si="114"/>
        <v>1</v>
      </c>
      <c r="I1848">
        <f t="shared" si="115"/>
        <v>2.6979249999999997</v>
      </c>
      <c r="J1848">
        <f>IF(I1847=0,0,C1847-I1847)</f>
        <v>0</v>
      </c>
    </row>
    <row r="1849" spans="1:10" x14ac:dyDescent="0.25">
      <c r="A1849" s="1">
        <v>41417</v>
      </c>
      <c r="B1849">
        <v>2.8219099999999999</v>
      </c>
      <c r="C1849">
        <v>3.76</v>
      </c>
      <c r="D1849">
        <f>WEEKDAY(A1849,14)</f>
        <v>1</v>
      </c>
      <c r="E1849">
        <f t="shared" si="112"/>
        <v>0</v>
      </c>
      <c r="F1849">
        <f t="shared" si="113"/>
        <v>1</v>
      </c>
      <c r="G1849">
        <f>IF(F1849&gt;F1848,G1848+B1849*E1849,B1849*E1849)</f>
        <v>0</v>
      </c>
      <c r="H1849">
        <f t="shared" si="114"/>
        <v>0</v>
      </c>
      <c r="I1849">
        <f t="shared" si="115"/>
        <v>0</v>
      </c>
      <c r="J1849">
        <f>IF(I1848=0,0,C1848-I1848)</f>
        <v>0.81707500000000044</v>
      </c>
    </row>
    <row r="1850" spans="1:10" x14ac:dyDescent="0.25">
      <c r="A1850" s="1">
        <v>41418</v>
      </c>
      <c r="B1850">
        <v>2.8149700000000002</v>
      </c>
      <c r="C1850">
        <v>3.76</v>
      </c>
      <c r="D1850">
        <f>WEEKDAY(A1850,14)</f>
        <v>2</v>
      </c>
      <c r="E1850">
        <f t="shared" si="112"/>
        <v>0</v>
      </c>
      <c r="F1850">
        <f t="shared" si="113"/>
        <v>2</v>
      </c>
      <c r="G1850">
        <f>IF(F1850&gt;F1849,G1849+B1850*E1850,B1850*E1850)</f>
        <v>0</v>
      </c>
      <c r="H1850">
        <f t="shared" si="114"/>
        <v>0</v>
      </c>
      <c r="I1850">
        <f t="shared" si="115"/>
        <v>0</v>
      </c>
      <c r="J1850">
        <f>IF(I1849=0,0,C1849-I1849)</f>
        <v>0</v>
      </c>
    </row>
    <row r="1851" spans="1:10" x14ac:dyDescent="0.25">
      <c r="A1851" s="1">
        <v>41422</v>
      </c>
      <c r="B1851">
        <v>2.9439600000000001</v>
      </c>
      <c r="C1851">
        <v>3.76</v>
      </c>
      <c r="D1851">
        <f>WEEKDAY(A1851,14)</f>
        <v>6</v>
      </c>
      <c r="E1851">
        <f t="shared" si="112"/>
        <v>0.7</v>
      </c>
      <c r="F1851">
        <f t="shared" si="113"/>
        <v>3</v>
      </c>
      <c r="G1851">
        <f>IF(F1851&gt;F1850,G1850+B1851*E1851,B1851*E1851)</f>
        <v>2.060772</v>
      </c>
      <c r="H1851">
        <f t="shared" si="114"/>
        <v>0.7</v>
      </c>
      <c r="I1851">
        <f t="shared" si="115"/>
        <v>0</v>
      </c>
      <c r="J1851">
        <f>IF(I1850=0,0,C1850-I1850)</f>
        <v>0</v>
      </c>
    </row>
    <row r="1852" spans="1:10" x14ac:dyDescent="0.25">
      <c r="A1852" s="1">
        <v>41423</v>
      </c>
      <c r="B1852">
        <v>2.9196900000000001</v>
      </c>
      <c r="C1852">
        <v>3.76</v>
      </c>
      <c r="D1852">
        <f>WEEKDAY(A1852,14)</f>
        <v>7</v>
      </c>
      <c r="E1852">
        <f t="shared" si="112"/>
        <v>0.25</v>
      </c>
      <c r="F1852">
        <f t="shared" si="113"/>
        <v>4</v>
      </c>
      <c r="G1852">
        <f>IF(F1852&gt;F1851,G1851+B1852*E1852,B1852*E1852)</f>
        <v>2.7906944999999999</v>
      </c>
      <c r="H1852">
        <f t="shared" si="114"/>
        <v>0.95</v>
      </c>
      <c r="I1852">
        <f t="shared" si="115"/>
        <v>2.9375731578947368</v>
      </c>
      <c r="J1852">
        <f>IF(I1851=0,0,C1851-I1851)</f>
        <v>0</v>
      </c>
    </row>
    <row r="1853" spans="1:10" x14ac:dyDescent="0.25">
      <c r="A1853" s="1">
        <v>41424</v>
      </c>
      <c r="B1853">
        <v>2.9046500000000002</v>
      </c>
      <c r="C1853">
        <v>3.835</v>
      </c>
      <c r="D1853">
        <f>WEEKDAY(A1853,14)</f>
        <v>1</v>
      </c>
      <c r="E1853">
        <f t="shared" si="112"/>
        <v>0</v>
      </c>
      <c r="F1853">
        <f t="shared" si="113"/>
        <v>1</v>
      </c>
      <c r="G1853">
        <f>IF(F1853&gt;F1852,G1852+B1853*E1853,B1853*E1853)</f>
        <v>0</v>
      </c>
      <c r="H1853">
        <f t="shared" si="114"/>
        <v>0</v>
      </c>
      <c r="I1853">
        <f t="shared" si="115"/>
        <v>0</v>
      </c>
      <c r="J1853">
        <f>IF(I1852=0,0,C1852-I1852)</f>
        <v>0.82242684210526296</v>
      </c>
    </row>
    <row r="1854" spans="1:10" x14ac:dyDescent="0.25">
      <c r="A1854" s="1">
        <v>41425</v>
      </c>
      <c r="B1854">
        <v>2.9573100000000001</v>
      </c>
      <c r="C1854">
        <v>3.835</v>
      </c>
      <c r="D1854">
        <f>WEEKDAY(A1854,14)</f>
        <v>2</v>
      </c>
      <c r="E1854">
        <f t="shared" si="112"/>
        <v>0</v>
      </c>
      <c r="F1854">
        <f t="shared" si="113"/>
        <v>2</v>
      </c>
      <c r="G1854">
        <f>IF(F1854&gt;F1853,G1853+B1854*E1854,B1854*E1854)</f>
        <v>0</v>
      </c>
      <c r="H1854">
        <f t="shared" si="114"/>
        <v>0</v>
      </c>
      <c r="I1854">
        <f t="shared" si="115"/>
        <v>0</v>
      </c>
      <c r="J1854">
        <f>IF(I1853=0,0,C1853-I1853)</f>
        <v>0</v>
      </c>
    </row>
    <row r="1855" spans="1:10" x14ac:dyDescent="0.25">
      <c r="A1855" s="1">
        <v>41428</v>
      </c>
      <c r="B1855">
        <v>2.9603199999999998</v>
      </c>
      <c r="C1855">
        <v>3.835</v>
      </c>
      <c r="D1855">
        <f>WEEKDAY(A1855,14)</f>
        <v>5</v>
      </c>
      <c r="E1855">
        <f t="shared" si="112"/>
        <v>0.05</v>
      </c>
      <c r="F1855">
        <f t="shared" si="113"/>
        <v>3</v>
      </c>
      <c r="G1855">
        <f>IF(F1855&gt;F1854,G1854+B1855*E1855,B1855*E1855)</f>
        <v>0.14801600000000001</v>
      </c>
      <c r="H1855">
        <f t="shared" si="114"/>
        <v>0.05</v>
      </c>
      <c r="I1855">
        <f t="shared" si="115"/>
        <v>0</v>
      </c>
      <c r="J1855">
        <f>IF(I1854=0,0,C1854-I1854)</f>
        <v>0</v>
      </c>
    </row>
    <row r="1856" spans="1:10" x14ac:dyDescent="0.25">
      <c r="A1856" s="1">
        <v>41429</v>
      </c>
      <c r="B1856">
        <v>2.9897399999999998</v>
      </c>
      <c r="C1856">
        <v>3.835</v>
      </c>
      <c r="D1856">
        <f>WEEKDAY(A1856,14)</f>
        <v>6</v>
      </c>
      <c r="E1856">
        <f t="shared" si="112"/>
        <v>0.7</v>
      </c>
      <c r="F1856">
        <f t="shared" si="113"/>
        <v>4</v>
      </c>
      <c r="G1856">
        <f>IF(F1856&gt;F1855,G1855+B1856*E1856,B1856*E1856)</f>
        <v>2.240834</v>
      </c>
      <c r="H1856">
        <f t="shared" si="114"/>
        <v>0.75</v>
      </c>
      <c r="I1856">
        <f t="shared" si="115"/>
        <v>0</v>
      </c>
      <c r="J1856">
        <f>IF(I1855=0,0,C1855-I1855)</f>
        <v>0</v>
      </c>
    </row>
    <row r="1857" spans="1:10" x14ac:dyDescent="0.25">
      <c r="A1857" s="1">
        <v>41430</v>
      </c>
      <c r="B1857">
        <v>2.9737200000000001</v>
      </c>
      <c r="C1857">
        <v>3.835</v>
      </c>
      <c r="D1857">
        <f>WEEKDAY(A1857,14)</f>
        <v>7</v>
      </c>
      <c r="E1857">
        <f t="shared" si="112"/>
        <v>0.25</v>
      </c>
      <c r="F1857">
        <f t="shared" si="113"/>
        <v>5</v>
      </c>
      <c r="G1857">
        <f>IF(F1857&gt;F1856,G1856+B1857*E1857,B1857*E1857)</f>
        <v>2.984264</v>
      </c>
      <c r="H1857">
        <f t="shared" si="114"/>
        <v>1</v>
      </c>
      <c r="I1857">
        <f t="shared" si="115"/>
        <v>2.984264</v>
      </c>
      <c r="J1857">
        <f>IF(I1856=0,0,C1856-I1856)</f>
        <v>0</v>
      </c>
    </row>
    <row r="1858" spans="1:10" x14ac:dyDescent="0.25">
      <c r="A1858" s="1">
        <v>41431</v>
      </c>
      <c r="B1858">
        <v>2.9363899999999998</v>
      </c>
      <c r="C1858">
        <v>3.9049999999999998</v>
      </c>
      <c r="D1858">
        <f>WEEKDAY(A1858,14)</f>
        <v>1</v>
      </c>
      <c r="E1858">
        <f t="shared" si="112"/>
        <v>0</v>
      </c>
      <c r="F1858">
        <f t="shared" si="113"/>
        <v>1</v>
      </c>
      <c r="G1858">
        <f>IF(F1858&gt;F1857,G1857+B1858*E1858,B1858*E1858)</f>
        <v>0</v>
      </c>
      <c r="H1858">
        <f t="shared" si="114"/>
        <v>0</v>
      </c>
      <c r="I1858">
        <f t="shared" si="115"/>
        <v>0</v>
      </c>
      <c r="J1858">
        <f>IF(I1857=0,0,C1857-I1857)</f>
        <v>0.85073599999999994</v>
      </c>
    </row>
    <row r="1859" spans="1:10" x14ac:dyDescent="0.25">
      <c r="A1859" s="1">
        <v>41432</v>
      </c>
      <c r="B1859">
        <v>2.9931199999999998</v>
      </c>
      <c r="C1859">
        <v>3.9049999999999998</v>
      </c>
      <c r="D1859">
        <f>WEEKDAY(A1859,14)</f>
        <v>2</v>
      </c>
      <c r="E1859">
        <f t="shared" ref="E1859:E1922" si="116">VLOOKUP(D1859,M$2:N$8,2,FALSE)</f>
        <v>0</v>
      </c>
      <c r="F1859">
        <f t="shared" ref="F1859:F1922" si="117">IF(AND(D1859&gt;D1858,F1858&lt;6),F1858+1,1)</f>
        <v>2</v>
      </c>
      <c r="G1859">
        <f>IF(F1859&gt;F1858,G1858+B1859*E1859,B1859*E1859)</f>
        <v>0</v>
      </c>
      <c r="H1859">
        <f t="shared" si="114"/>
        <v>0</v>
      </c>
      <c r="I1859">
        <f t="shared" si="115"/>
        <v>0</v>
      </c>
      <c r="J1859">
        <f>IF(I1858=0,0,C1858-I1858)</f>
        <v>0</v>
      </c>
    </row>
    <row r="1860" spans="1:10" x14ac:dyDescent="0.25">
      <c r="A1860" s="1">
        <v>41435</v>
      </c>
      <c r="B1860">
        <v>3.0187499999999998</v>
      </c>
      <c r="C1860">
        <v>3.9049999999999998</v>
      </c>
      <c r="D1860">
        <f>WEEKDAY(A1860,14)</f>
        <v>5</v>
      </c>
      <c r="E1860">
        <f t="shared" si="116"/>
        <v>0.05</v>
      </c>
      <c r="F1860">
        <f t="shared" si="117"/>
        <v>3</v>
      </c>
      <c r="G1860">
        <f>IF(F1860&gt;F1859,G1859+B1860*E1860,B1860*E1860)</f>
        <v>0.1509375</v>
      </c>
      <c r="H1860">
        <f t="shared" ref="H1860:H1923" si="118">IF(AND(F1860&lt;6,F1860&gt;F1859),E1860+H1859,E1860)</f>
        <v>0.05</v>
      </c>
      <c r="I1860">
        <f t="shared" ref="I1860:I1923" si="119">IF(F1860&gt;F1861,G1860/H1860,0)</f>
        <v>0</v>
      </c>
      <c r="J1860">
        <f>IF(I1859=0,0,C1859-I1859)</f>
        <v>0</v>
      </c>
    </row>
    <row r="1861" spans="1:10" x14ac:dyDescent="0.25">
      <c r="A1861" s="1">
        <v>41436</v>
      </c>
      <c r="B1861">
        <v>2.9886200000000001</v>
      </c>
      <c r="C1861">
        <v>3.9049999999999998</v>
      </c>
      <c r="D1861">
        <f>WEEKDAY(A1861,14)</f>
        <v>6</v>
      </c>
      <c r="E1861">
        <f t="shared" si="116"/>
        <v>0.7</v>
      </c>
      <c r="F1861">
        <f t="shared" si="117"/>
        <v>4</v>
      </c>
      <c r="G1861">
        <f>IF(F1861&gt;F1860,G1860+B1861*E1861,B1861*E1861)</f>
        <v>2.2429714999999999</v>
      </c>
      <c r="H1861">
        <f t="shared" si="118"/>
        <v>0.75</v>
      </c>
      <c r="I1861">
        <f t="shared" si="119"/>
        <v>0</v>
      </c>
      <c r="J1861">
        <f>IF(I1860=0,0,C1860-I1860)</f>
        <v>0</v>
      </c>
    </row>
    <row r="1862" spans="1:10" x14ac:dyDescent="0.25">
      <c r="A1862" s="1">
        <v>41437</v>
      </c>
      <c r="B1862">
        <v>3.0173000000000001</v>
      </c>
      <c r="C1862">
        <v>3.9049999999999998</v>
      </c>
      <c r="D1862">
        <f>WEEKDAY(A1862,14)</f>
        <v>7</v>
      </c>
      <c r="E1862">
        <f t="shared" si="116"/>
        <v>0.25</v>
      </c>
      <c r="F1862">
        <f t="shared" si="117"/>
        <v>5</v>
      </c>
      <c r="G1862">
        <f>IF(F1862&gt;F1861,G1861+B1862*E1862,B1862*E1862)</f>
        <v>2.9972965</v>
      </c>
      <c r="H1862">
        <f t="shared" si="118"/>
        <v>1</v>
      </c>
      <c r="I1862">
        <f t="shared" si="119"/>
        <v>2.9972965</v>
      </c>
      <c r="J1862">
        <f>IF(I1861=0,0,C1861-I1861)</f>
        <v>0</v>
      </c>
    </row>
    <row r="1863" spans="1:10" x14ac:dyDescent="0.25">
      <c r="A1863" s="1">
        <v>41438</v>
      </c>
      <c r="B1863">
        <v>2.97052</v>
      </c>
      <c r="C1863">
        <v>3.88</v>
      </c>
      <c r="D1863">
        <f>WEEKDAY(A1863,14)</f>
        <v>1</v>
      </c>
      <c r="E1863">
        <f t="shared" si="116"/>
        <v>0</v>
      </c>
      <c r="F1863">
        <f t="shared" si="117"/>
        <v>1</v>
      </c>
      <c r="G1863">
        <f>IF(F1863&gt;F1862,G1862+B1863*E1863,B1863*E1863)</f>
        <v>0</v>
      </c>
      <c r="H1863">
        <f t="shared" si="118"/>
        <v>0</v>
      </c>
      <c r="I1863">
        <f t="shared" si="119"/>
        <v>0</v>
      </c>
      <c r="J1863">
        <f>IF(I1862=0,0,C1862-I1862)</f>
        <v>0.90770349999999977</v>
      </c>
    </row>
    <row r="1864" spans="1:10" x14ac:dyDescent="0.25">
      <c r="A1864" s="1">
        <v>41439</v>
      </c>
      <c r="B1864">
        <v>2.93282</v>
      </c>
      <c r="C1864">
        <v>3.88</v>
      </c>
      <c r="D1864">
        <f>WEEKDAY(A1864,14)</f>
        <v>2</v>
      </c>
      <c r="E1864">
        <f t="shared" si="116"/>
        <v>0</v>
      </c>
      <c r="F1864">
        <f t="shared" si="117"/>
        <v>2</v>
      </c>
      <c r="G1864">
        <f>IF(F1864&gt;F1863,G1863+B1864*E1864,B1864*E1864)</f>
        <v>0</v>
      </c>
      <c r="H1864">
        <f t="shared" si="118"/>
        <v>0</v>
      </c>
      <c r="I1864">
        <f t="shared" si="119"/>
        <v>0</v>
      </c>
      <c r="J1864">
        <f>IF(I1863=0,0,C1863-I1863)</f>
        <v>0</v>
      </c>
    </row>
    <row r="1865" spans="1:10" x14ac:dyDescent="0.25">
      <c r="A1865" s="1">
        <v>41442</v>
      </c>
      <c r="B1865">
        <v>2.9838499999999999</v>
      </c>
      <c r="C1865">
        <v>3.88</v>
      </c>
      <c r="D1865">
        <f>WEEKDAY(A1865,14)</f>
        <v>5</v>
      </c>
      <c r="E1865">
        <f t="shared" si="116"/>
        <v>0.05</v>
      </c>
      <c r="F1865">
        <f t="shared" si="117"/>
        <v>3</v>
      </c>
      <c r="G1865">
        <f>IF(F1865&gt;F1864,G1864+B1865*E1865,B1865*E1865)</f>
        <v>0.14919250000000001</v>
      </c>
      <c r="H1865">
        <f t="shared" si="118"/>
        <v>0.05</v>
      </c>
      <c r="I1865">
        <f t="shared" si="119"/>
        <v>0</v>
      </c>
      <c r="J1865">
        <f>IF(I1864=0,0,C1864-I1864)</f>
        <v>0</v>
      </c>
    </row>
    <row r="1866" spans="1:10" x14ac:dyDescent="0.25">
      <c r="A1866" s="1">
        <v>41443</v>
      </c>
      <c r="B1866">
        <v>2.9821300000000002</v>
      </c>
      <c r="C1866">
        <v>3.88</v>
      </c>
      <c r="D1866">
        <f>WEEKDAY(A1866,14)</f>
        <v>6</v>
      </c>
      <c r="E1866">
        <f t="shared" si="116"/>
        <v>0.7</v>
      </c>
      <c r="F1866">
        <f t="shared" si="117"/>
        <v>4</v>
      </c>
      <c r="G1866">
        <f>IF(F1866&gt;F1865,G1865+B1866*E1866,B1866*E1866)</f>
        <v>2.2366834999999998</v>
      </c>
      <c r="H1866">
        <f t="shared" si="118"/>
        <v>0.75</v>
      </c>
      <c r="I1866">
        <f t="shared" si="119"/>
        <v>0</v>
      </c>
      <c r="J1866">
        <f>IF(I1865=0,0,C1865-I1865)</f>
        <v>0</v>
      </c>
    </row>
    <row r="1867" spans="1:10" x14ac:dyDescent="0.25">
      <c r="A1867" s="1">
        <v>41444</v>
      </c>
      <c r="B1867">
        <v>3.12738</v>
      </c>
      <c r="C1867">
        <v>3.88</v>
      </c>
      <c r="D1867">
        <f>WEEKDAY(A1867,14)</f>
        <v>7</v>
      </c>
      <c r="E1867">
        <f t="shared" si="116"/>
        <v>0.25</v>
      </c>
      <c r="F1867">
        <f t="shared" si="117"/>
        <v>5</v>
      </c>
      <c r="G1867">
        <f>IF(F1867&gt;F1866,G1866+B1867*E1867,B1867*E1867)</f>
        <v>3.0185284999999999</v>
      </c>
      <c r="H1867">
        <f t="shared" si="118"/>
        <v>1</v>
      </c>
      <c r="I1867">
        <f t="shared" si="119"/>
        <v>3.0185284999999999</v>
      </c>
      <c r="J1867">
        <f>IF(I1866=0,0,C1866-I1866)</f>
        <v>0</v>
      </c>
    </row>
    <row r="1868" spans="1:10" x14ac:dyDescent="0.25">
      <c r="A1868" s="1">
        <v>41445</v>
      </c>
      <c r="B1868">
        <v>3.27319</v>
      </c>
      <c r="C1868">
        <v>4.41</v>
      </c>
      <c r="D1868">
        <f>WEEKDAY(A1868,14)</f>
        <v>1</v>
      </c>
      <c r="E1868">
        <f t="shared" si="116"/>
        <v>0</v>
      </c>
      <c r="F1868">
        <f t="shared" si="117"/>
        <v>1</v>
      </c>
      <c r="G1868">
        <f>IF(F1868&gt;F1867,G1867+B1868*E1868,B1868*E1868)</f>
        <v>0</v>
      </c>
      <c r="H1868">
        <f t="shared" si="118"/>
        <v>0</v>
      </c>
      <c r="I1868">
        <f t="shared" si="119"/>
        <v>0</v>
      </c>
      <c r="J1868">
        <f>IF(I1867=0,0,C1867-I1867)</f>
        <v>0.86147149999999995</v>
      </c>
    </row>
    <row r="1869" spans="1:10" x14ac:dyDescent="0.25">
      <c r="A1869" s="1">
        <v>41446</v>
      </c>
      <c r="B1869">
        <v>3.4290600000000002</v>
      </c>
      <c r="C1869">
        <v>4.41</v>
      </c>
      <c r="D1869">
        <f>WEEKDAY(A1869,14)</f>
        <v>2</v>
      </c>
      <c r="E1869">
        <f t="shared" si="116"/>
        <v>0</v>
      </c>
      <c r="F1869">
        <f t="shared" si="117"/>
        <v>2</v>
      </c>
      <c r="G1869">
        <f>IF(F1869&gt;F1868,G1868+B1869*E1869,B1869*E1869)</f>
        <v>0</v>
      </c>
      <c r="H1869">
        <f t="shared" si="118"/>
        <v>0</v>
      </c>
      <c r="I1869">
        <f t="shared" si="119"/>
        <v>0</v>
      </c>
      <c r="J1869">
        <f>IF(I1868=0,0,C1868-I1868)</f>
        <v>0</v>
      </c>
    </row>
    <row r="1870" spans="1:10" x14ac:dyDescent="0.25">
      <c r="A1870" s="1">
        <v>41449</v>
      </c>
      <c r="B1870">
        <v>3.48428</v>
      </c>
      <c r="C1870">
        <v>4.41</v>
      </c>
      <c r="D1870">
        <f>WEEKDAY(A1870,14)</f>
        <v>5</v>
      </c>
      <c r="E1870">
        <f t="shared" si="116"/>
        <v>0.05</v>
      </c>
      <c r="F1870">
        <f t="shared" si="117"/>
        <v>3</v>
      </c>
      <c r="G1870">
        <f>IF(F1870&gt;F1869,G1869+B1870*E1870,B1870*E1870)</f>
        <v>0.17421400000000001</v>
      </c>
      <c r="H1870">
        <f t="shared" si="118"/>
        <v>0.05</v>
      </c>
      <c r="I1870">
        <f t="shared" si="119"/>
        <v>0</v>
      </c>
      <c r="J1870">
        <f>IF(I1869=0,0,C1869-I1869)</f>
        <v>0</v>
      </c>
    </row>
    <row r="1871" spans="1:10" x14ac:dyDescent="0.25">
      <c r="A1871" s="1">
        <v>41450</v>
      </c>
      <c r="B1871">
        <v>3.4979100000000001</v>
      </c>
      <c r="C1871">
        <v>4.41</v>
      </c>
      <c r="D1871">
        <f>WEEKDAY(A1871,14)</f>
        <v>6</v>
      </c>
      <c r="E1871">
        <f t="shared" si="116"/>
        <v>0.7</v>
      </c>
      <c r="F1871">
        <f t="shared" si="117"/>
        <v>4</v>
      </c>
      <c r="G1871">
        <f>IF(F1871&gt;F1870,G1870+B1871*E1871,B1871*E1871)</f>
        <v>2.6227510000000001</v>
      </c>
      <c r="H1871">
        <f t="shared" si="118"/>
        <v>0.75</v>
      </c>
      <c r="I1871">
        <f t="shared" si="119"/>
        <v>0</v>
      </c>
      <c r="J1871">
        <f>IF(I1870=0,0,C1870-I1870)</f>
        <v>0</v>
      </c>
    </row>
    <row r="1872" spans="1:10" x14ac:dyDescent="0.25">
      <c r="A1872" s="1">
        <v>41451</v>
      </c>
      <c r="B1872">
        <v>3.4427500000000002</v>
      </c>
      <c r="C1872">
        <v>4.2149999999999999</v>
      </c>
      <c r="D1872">
        <f>WEEKDAY(A1872,14)</f>
        <v>7</v>
      </c>
      <c r="E1872">
        <f t="shared" si="116"/>
        <v>0.25</v>
      </c>
      <c r="F1872">
        <f t="shared" si="117"/>
        <v>5</v>
      </c>
      <c r="G1872">
        <f>IF(F1872&gt;F1871,G1871+B1872*E1872,B1872*E1872)</f>
        <v>3.4834385000000001</v>
      </c>
      <c r="H1872">
        <f t="shared" si="118"/>
        <v>1</v>
      </c>
      <c r="I1872">
        <f t="shared" si="119"/>
        <v>3.4834385000000001</v>
      </c>
      <c r="J1872">
        <f>IF(I1871=0,0,C1871-I1871)</f>
        <v>0</v>
      </c>
    </row>
    <row r="1873" spans="1:10" x14ac:dyDescent="0.25">
      <c r="A1873" s="1">
        <v>41452</v>
      </c>
      <c r="B1873">
        <v>3.3206600000000002</v>
      </c>
      <c r="C1873">
        <v>4.2149999999999999</v>
      </c>
      <c r="D1873">
        <f>WEEKDAY(A1873,14)</f>
        <v>1</v>
      </c>
      <c r="E1873">
        <f t="shared" si="116"/>
        <v>0</v>
      </c>
      <c r="F1873">
        <f t="shared" si="117"/>
        <v>1</v>
      </c>
      <c r="G1873">
        <f>IF(F1873&gt;F1872,G1872+B1873*E1873,B1873*E1873)</f>
        <v>0</v>
      </c>
      <c r="H1873">
        <f t="shared" si="118"/>
        <v>0</v>
      </c>
      <c r="I1873">
        <f t="shared" si="119"/>
        <v>0</v>
      </c>
      <c r="J1873">
        <f>IF(I1872=0,0,C1872-I1872)</f>
        <v>0.73156149999999975</v>
      </c>
    </row>
    <row r="1874" spans="1:10" x14ac:dyDescent="0.25">
      <c r="A1874" s="1">
        <v>41453</v>
      </c>
      <c r="B1874">
        <v>3.30945</v>
      </c>
      <c r="C1874">
        <v>4.2149999999999999</v>
      </c>
      <c r="D1874">
        <f>WEEKDAY(A1874,14)</f>
        <v>2</v>
      </c>
      <c r="E1874">
        <f t="shared" si="116"/>
        <v>0</v>
      </c>
      <c r="F1874">
        <f t="shared" si="117"/>
        <v>2</v>
      </c>
      <c r="G1874">
        <f>IF(F1874&gt;F1873,G1873+B1874*E1874,B1874*E1874)</f>
        <v>0</v>
      </c>
      <c r="H1874">
        <f t="shared" si="118"/>
        <v>0</v>
      </c>
      <c r="I1874">
        <f t="shared" si="119"/>
        <v>0</v>
      </c>
      <c r="J1874">
        <f>IF(I1873=0,0,C1873-I1873)</f>
        <v>0</v>
      </c>
    </row>
    <row r="1875" spans="1:10" x14ac:dyDescent="0.25">
      <c r="A1875" s="1">
        <v>41456</v>
      </c>
      <c r="B1875">
        <v>3.2979500000000002</v>
      </c>
      <c r="C1875">
        <v>4.2149999999999999</v>
      </c>
      <c r="D1875">
        <f>WEEKDAY(A1875,14)</f>
        <v>5</v>
      </c>
      <c r="E1875">
        <f t="shared" si="116"/>
        <v>0.05</v>
      </c>
      <c r="F1875">
        <f t="shared" si="117"/>
        <v>3</v>
      </c>
      <c r="G1875">
        <f>IF(F1875&gt;F1874,G1874+B1875*E1875,B1875*E1875)</f>
        <v>0.16489750000000003</v>
      </c>
      <c r="H1875">
        <f t="shared" si="118"/>
        <v>0.05</v>
      </c>
      <c r="I1875">
        <f t="shared" si="119"/>
        <v>0</v>
      </c>
      <c r="J1875">
        <f>IF(I1874=0,0,C1874-I1874)</f>
        <v>0</v>
      </c>
    </row>
    <row r="1876" spans="1:10" x14ac:dyDescent="0.25">
      <c r="A1876" s="1">
        <v>41457</v>
      </c>
      <c r="B1876">
        <v>3.31182</v>
      </c>
      <c r="C1876">
        <v>4.2149999999999999</v>
      </c>
      <c r="D1876">
        <f>WEEKDAY(A1876,14)</f>
        <v>6</v>
      </c>
      <c r="E1876">
        <f t="shared" si="116"/>
        <v>0.7</v>
      </c>
      <c r="F1876">
        <f t="shared" si="117"/>
        <v>4</v>
      </c>
      <c r="G1876">
        <f>IF(F1876&gt;F1875,G1875+B1876*E1876,B1876*E1876)</f>
        <v>2.4831714999999996</v>
      </c>
      <c r="H1876">
        <f t="shared" si="118"/>
        <v>0.75</v>
      </c>
      <c r="I1876">
        <f t="shared" si="119"/>
        <v>0</v>
      </c>
      <c r="J1876">
        <f>IF(I1875=0,0,C1875-I1875)</f>
        <v>0</v>
      </c>
    </row>
    <row r="1877" spans="1:10" x14ac:dyDescent="0.25">
      <c r="A1877" s="1">
        <v>41458</v>
      </c>
      <c r="B1877">
        <v>3.3689200000000001</v>
      </c>
      <c r="C1877">
        <v>4.2149999999999999</v>
      </c>
      <c r="D1877">
        <f>WEEKDAY(A1877,14)</f>
        <v>7</v>
      </c>
      <c r="E1877">
        <f t="shared" si="116"/>
        <v>0.25</v>
      </c>
      <c r="F1877">
        <f t="shared" si="117"/>
        <v>5</v>
      </c>
      <c r="G1877">
        <f>IF(F1877&gt;F1876,G1876+B1877*E1877,B1877*E1877)</f>
        <v>3.3254014999999999</v>
      </c>
      <c r="H1877">
        <f t="shared" si="118"/>
        <v>1</v>
      </c>
      <c r="I1877">
        <f t="shared" si="119"/>
        <v>3.3254014999999999</v>
      </c>
      <c r="J1877">
        <f>IF(I1876=0,0,C1876-I1876)</f>
        <v>0</v>
      </c>
    </row>
    <row r="1878" spans="1:10" x14ac:dyDescent="0.25">
      <c r="A1878" s="1">
        <v>41460</v>
      </c>
      <c r="B1878">
        <v>3.6732499999999999</v>
      </c>
      <c r="C1878">
        <v>4.46</v>
      </c>
      <c r="D1878">
        <f>WEEKDAY(A1878,14)</f>
        <v>2</v>
      </c>
      <c r="E1878">
        <f t="shared" si="116"/>
        <v>0</v>
      </c>
      <c r="F1878">
        <f t="shared" si="117"/>
        <v>1</v>
      </c>
      <c r="G1878">
        <f>IF(F1878&gt;F1877,G1877+B1878*E1878,B1878*E1878)</f>
        <v>0</v>
      </c>
      <c r="H1878">
        <f t="shared" si="118"/>
        <v>0</v>
      </c>
      <c r="I1878">
        <f t="shared" si="119"/>
        <v>0</v>
      </c>
      <c r="J1878">
        <f>IF(I1877=0,0,C1877-I1877)</f>
        <v>0.88959849999999996</v>
      </c>
    </row>
    <row r="1879" spans="1:10" x14ac:dyDescent="0.25">
      <c r="A1879" s="1">
        <v>41463</v>
      </c>
      <c r="B1879">
        <v>3.5446399999999998</v>
      </c>
      <c r="C1879">
        <v>4.46</v>
      </c>
      <c r="D1879">
        <f>WEEKDAY(A1879,14)</f>
        <v>5</v>
      </c>
      <c r="E1879">
        <f t="shared" si="116"/>
        <v>0.05</v>
      </c>
      <c r="F1879">
        <f t="shared" si="117"/>
        <v>2</v>
      </c>
      <c r="G1879">
        <f>IF(F1879&gt;F1878,G1878+B1879*E1879,B1879*E1879)</f>
        <v>0.177232</v>
      </c>
      <c r="H1879">
        <f t="shared" si="118"/>
        <v>0.05</v>
      </c>
      <c r="I1879">
        <f t="shared" si="119"/>
        <v>0</v>
      </c>
      <c r="J1879">
        <f>IF(I1878=0,0,C1878-I1878)</f>
        <v>0</v>
      </c>
    </row>
    <row r="1880" spans="1:10" x14ac:dyDescent="0.25">
      <c r="A1880" s="1">
        <v>41464</v>
      </c>
      <c r="B1880">
        <v>3.4880200000000001</v>
      </c>
      <c r="C1880">
        <v>4.46</v>
      </c>
      <c r="D1880">
        <f>WEEKDAY(A1880,14)</f>
        <v>6</v>
      </c>
      <c r="E1880">
        <f t="shared" si="116"/>
        <v>0.7</v>
      </c>
      <c r="F1880">
        <f t="shared" si="117"/>
        <v>3</v>
      </c>
      <c r="G1880">
        <f>IF(F1880&gt;F1879,G1879+B1880*E1880,B1880*E1880)</f>
        <v>2.618846</v>
      </c>
      <c r="H1880">
        <f t="shared" si="118"/>
        <v>0.75</v>
      </c>
      <c r="I1880">
        <f t="shared" si="119"/>
        <v>0</v>
      </c>
      <c r="J1880">
        <f>IF(I1879=0,0,C1879-I1879)</f>
        <v>0</v>
      </c>
    </row>
    <row r="1881" spans="1:10" x14ac:dyDescent="0.25">
      <c r="A1881" s="1">
        <v>41465</v>
      </c>
      <c r="B1881">
        <v>3.5853700000000002</v>
      </c>
      <c r="C1881">
        <v>4.46</v>
      </c>
      <c r="D1881">
        <f>WEEKDAY(A1881,14)</f>
        <v>7</v>
      </c>
      <c r="E1881">
        <f t="shared" si="116"/>
        <v>0.25</v>
      </c>
      <c r="F1881">
        <f t="shared" si="117"/>
        <v>4</v>
      </c>
      <c r="G1881">
        <f>IF(F1881&gt;F1880,G1880+B1881*E1881,B1881*E1881)</f>
        <v>3.5151884999999998</v>
      </c>
      <c r="H1881">
        <f t="shared" si="118"/>
        <v>1</v>
      </c>
      <c r="I1881">
        <f t="shared" si="119"/>
        <v>3.5151884999999998</v>
      </c>
      <c r="J1881">
        <f>IF(I1880=0,0,C1880-I1880)</f>
        <v>0</v>
      </c>
    </row>
    <row r="1882" spans="1:10" x14ac:dyDescent="0.25">
      <c r="A1882" s="1">
        <v>41466</v>
      </c>
      <c r="B1882">
        <v>3.4679700000000002</v>
      </c>
      <c r="C1882">
        <v>4.2949999999999999</v>
      </c>
      <c r="D1882">
        <f>WEEKDAY(A1882,14)</f>
        <v>1</v>
      </c>
      <c r="E1882">
        <f t="shared" si="116"/>
        <v>0</v>
      </c>
      <c r="F1882">
        <f t="shared" si="117"/>
        <v>1</v>
      </c>
      <c r="G1882">
        <f>IF(F1882&gt;F1881,G1881+B1882*E1882,B1882*E1882)</f>
        <v>0</v>
      </c>
      <c r="H1882">
        <f t="shared" si="118"/>
        <v>0</v>
      </c>
      <c r="I1882">
        <f t="shared" si="119"/>
        <v>0</v>
      </c>
      <c r="J1882">
        <f>IF(I1881=0,0,C1881-I1881)</f>
        <v>0.94481150000000014</v>
      </c>
    </row>
    <row r="1883" spans="1:10" x14ac:dyDescent="0.25">
      <c r="A1883" s="1">
        <v>41467</v>
      </c>
      <c r="B1883">
        <v>3.4748199999999998</v>
      </c>
      <c r="C1883">
        <v>4.2949999999999999</v>
      </c>
      <c r="D1883">
        <f>WEEKDAY(A1883,14)</f>
        <v>2</v>
      </c>
      <c r="E1883">
        <f t="shared" si="116"/>
        <v>0</v>
      </c>
      <c r="F1883">
        <f t="shared" si="117"/>
        <v>2</v>
      </c>
      <c r="G1883">
        <f>IF(F1883&gt;F1882,G1882+B1883*E1883,B1883*E1883)</f>
        <v>0</v>
      </c>
      <c r="H1883">
        <f t="shared" si="118"/>
        <v>0</v>
      </c>
      <c r="I1883">
        <f t="shared" si="119"/>
        <v>0</v>
      </c>
      <c r="J1883">
        <f>IF(I1882=0,0,C1882-I1882)</f>
        <v>0</v>
      </c>
    </row>
    <row r="1884" spans="1:10" x14ac:dyDescent="0.25">
      <c r="A1884" s="1">
        <v>41470</v>
      </c>
      <c r="B1884">
        <v>3.40503</v>
      </c>
      <c r="C1884">
        <v>4.2949999999999999</v>
      </c>
      <c r="D1884">
        <f>WEEKDAY(A1884,14)</f>
        <v>5</v>
      </c>
      <c r="E1884">
        <f t="shared" si="116"/>
        <v>0.05</v>
      </c>
      <c r="F1884">
        <f t="shared" si="117"/>
        <v>3</v>
      </c>
      <c r="G1884">
        <f>IF(F1884&gt;F1883,G1883+B1884*E1884,B1884*E1884)</f>
        <v>0.1702515</v>
      </c>
      <c r="H1884">
        <f t="shared" si="118"/>
        <v>0.05</v>
      </c>
      <c r="I1884">
        <f t="shared" si="119"/>
        <v>0</v>
      </c>
      <c r="J1884">
        <f>IF(I1883=0,0,C1883-I1883)</f>
        <v>0</v>
      </c>
    </row>
    <row r="1885" spans="1:10" x14ac:dyDescent="0.25">
      <c r="A1885" s="1">
        <v>41471</v>
      </c>
      <c r="B1885">
        <v>3.39147</v>
      </c>
      <c r="C1885">
        <v>4.2949999999999999</v>
      </c>
      <c r="D1885">
        <f>WEEKDAY(A1885,14)</f>
        <v>6</v>
      </c>
      <c r="E1885">
        <f t="shared" si="116"/>
        <v>0.7</v>
      </c>
      <c r="F1885">
        <f t="shared" si="117"/>
        <v>4</v>
      </c>
      <c r="G1885">
        <f>IF(F1885&gt;F1884,G1884+B1885*E1885,B1885*E1885)</f>
        <v>2.5442804999999997</v>
      </c>
      <c r="H1885">
        <f t="shared" si="118"/>
        <v>0.75</v>
      </c>
      <c r="I1885">
        <f t="shared" si="119"/>
        <v>0</v>
      </c>
      <c r="J1885">
        <f>IF(I1884=0,0,C1884-I1884)</f>
        <v>0</v>
      </c>
    </row>
    <row r="1886" spans="1:10" x14ac:dyDescent="0.25">
      <c r="A1886" s="1">
        <v>41472</v>
      </c>
      <c r="B1886">
        <v>3.3438699999999999</v>
      </c>
      <c r="C1886">
        <v>4.2949999999999999</v>
      </c>
      <c r="D1886">
        <f>WEEKDAY(A1886,14)</f>
        <v>7</v>
      </c>
      <c r="E1886">
        <f t="shared" si="116"/>
        <v>0.25</v>
      </c>
      <c r="F1886">
        <f t="shared" si="117"/>
        <v>5</v>
      </c>
      <c r="G1886">
        <f>IF(F1886&gt;F1885,G1885+B1886*E1886,B1886*E1886)</f>
        <v>3.3802479999999999</v>
      </c>
      <c r="H1886">
        <f t="shared" si="118"/>
        <v>1</v>
      </c>
      <c r="I1886">
        <f t="shared" si="119"/>
        <v>3.3802479999999999</v>
      </c>
      <c r="J1886">
        <f>IF(I1885=0,0,C1885-I1885)</f>
        <v>0</v>
      </c>
    </row>
    <row r="1887" spans="1:10" x14ac:dyDescent="0.25">
      <c r="A1887" s="1">
        <v>41473</v>
      </c>
      <c r="B1887">
        <v>3.3888500000000001</v>
      </c>
      <c r="C1887">
        <v>4.26</v>
      </c>
      <c r="D1887">
        <f>WEEKDAY(A1887,14)</f>
        <v>1</v>
      </c>
      <c r="E1887">
        <f t="shared" si="116"/>
        <v>0</v>
      </c>
      <c r="F1887">
        <f t="shared" si="117"/>
        <v>1</v>
      </c>
      <c r="G1887">
        <f>IF(F1887&gt;F1886,G1886+B1887*E1887,B1887*E1887)</f>
        <v>0</v>
      </c>
      <c r="H1887">
        <f t="shared" si="118"/>
        <v>0</v>
      </c>
      <c r="I1887">
        <f t="shared" si="119"/>
        <v>0</v>
      </c>
      <c r="J1887">
        <f>IF(I1886=0,0,C1886-I1886)</f>
        <v>0.91475200000000001</v>
      </c>
    </row>
    <row r="1888" spans="1:10" x14ac:dyDescent="0.25">
      <c r="A1888" s="1">
        <v>41474</v>
      </c>
      <c r="B1888">
        <v>3.3313899999999999</v>
      </c>
      <c r="C1888">
        <v>4.26</v>
      </c>
      <c r="D1888">
        <f>WEEKDAY(A1888,14)</f>
        <v>2</v>
      </c>
      <c r="E1888">
        <f t="shared" si="116"/>
        <v>0</v>
      </c>
      <c r="F1888">
        <f t="shared" si="117"/>
        <v>2</v>
      </c>
      <c r="G1888">
        <f>IF(F1888&gt;F1887,G1887+B1888*E1888,B1888*E1888)</f>
        <v>0</v>
      </c>
      <c r="H1888">
        <f t="shared" si="118"/>
        <v>0</v>
      </c>
      <c r="I1888">
        <f t="shared" si="119"/>
        <v>0</v>
      </c>
      <c r="J1888">
        <f>IF(I1887=0,0,C1887-I1887)</f>
        <v>0</v>
      </c>
    </row>
    <row r="1889" spans="1:10" x14ac:dyDescent="0.25">
      <c r="A1889" s="1">
        <v>41477</v>
      </c>
      <c r="B1889">
        <v>3.3220800000000001</v>
      </c>
      <c r="C1889">
        <v>4.26</v>
      </c>
      <c r="D1889">
        <f>WEEKDAY(A1889,14)</f>
        <v>5</v>
      </c>
      <c r="E1889">
        <f t="shared" si="116"/>
        <v>0.05</v>
      </c>
      <c r="F1889">
        <f t="shared" si="117"/>
        <v>3</v>
      </c>
      <c r="G1889">
        <f>IF(F1889&gt;F1888,G1888+B1889*E1889,B1889*E1889)</f>
        <v>0.16610400000000003</v>
      </c>
      <c r="H1889">
        <f t="shared" si="118"/>
        <v>0.05</v>
      </c>
      <c r="I1889">
        <f t="shared" si="119"/>
        <v>0</v>
      </c>
      <c r="J1889">
        <f>IF(I1888=0,0,C1888-I1888)</f>
        <v>0</v>
      </c>
    </row>
    <row r="1890" spans="1:10" x14ac:dyDescent="0.25">
      <c r="A1890" s="1">
        <v>41478</v>
      </c>
      <c r="B1890">
        <v>3.3639100000000002</v>
      </c>
      <c r="C1890">
        <v>4.26</v>
      </c>
      <c r="D1890">
        <f>WEEKDAY(A1890,14)</f>
        <v>6</v>
      </c>
      <c r="E1890">
        <f t="shared" si="116"/>
        <v>0.7</v>
      </c>
      <c r="F1890">
        <f t="shared" si="117"/>
        <v>4</v>
      </c>
      <c r="G1890">
        <f>IF(F1890&gt;F1889,G1889+B1890*E1890,B1890*E1890)</f>
        <v>2.5208409999999999</v>
      </c>
      <c r="H1890">
        <f t="shared" si="118"/>
        <v>0.75</v>
      </c>
      <c r="I1890">
        <f t="shared" si="119"/>
        <v>0</v>
      </c>
      <c r="J1890">
        <f>IF(I1889=0,0,C1889-I1889)</f>
        <v>0</v>
      </c>
    </row>
    <row r="1891" spans="1:10" x14ac:dyDescent="0.25">
      <c r="A1891" s="1">
        <v>41479</v>
      </c>
      <c r="B1891">
        <v>3.4296799999999998</v>
      </c>
      <c r="C1891">
        <v>4.26</v>
      </c>
      <c r="D1891">
        <f>WEEKDAY(A1891,14)</f>
        <v>7</v>
      </c>
      <c r="E1891">
        <f t="shared" si="116"/>
        <v>0.25</v>
      </c>
      <c r="F1891">
        <f t="shared" si="117"/>
        <v>5</v>
      </c>
      <c r="G1891">
        <f>IF(F1891&gt;F1890,G1890+B1891*E1891,B1891*E1891)</f>
        <v>3.3782609999999997</v>
      </c>
      <c r="H1891">
        <f t="shared" si="118"/>
        <v>1</v>
      </c>
      <c r="I1891">
        <f t="shared" si="119"/>
        <v>3.3782609999999997</v>
      </c>
      <c r="J1891">
        <f>IF(I1890=0,0,C1890-I1890)</f>
        <v>0</v>
      </c>
    </row>
    <row r="1892" spans="1:10" x14ac:dyDescent="0.25">
      <c r="A1892" s="1">
        <v>41480</v>
      </c>
      <c r="B1892">
        <v>3.4407899999999998</v>
      </c>
      <c r="C1892">
        <v>4.3150000000000004</v>
      </c>
      <c r="D1892">
        <f>WEEKDAY(A1892,14)</f>
        <v>1</v>
      </c>
      <c r="E1892">
        <f t="shared" si="116"/>
        <v>0</v>
      </c>
      <c r="F1892">
        <f t="shared" si="117"/>
        <v>1</v>
      </c>
      <c r="G1892">
        <f>IF(F1892&gt;F1891,G1891+B1892*E1892,B1892*E1892)</f>
        <v>0</v>
      </c>
      <c r="H1892">
        <f t="shared" si="118"/>
        <v>0</v>
      </c>
      <c r="I1892">
        <f t="shared" si="119"/>
        <v>0</v>
      </c>
      <c r="J1892">
        <f>IF(I1891=0,0,C1891-I1891)</f>
        <v>0.88173900000000005</v>
      </c>
    </row>
    <row r="1893" spans="1:10" x14ac:dyDescent="0.25">
      <c r="A1893" s="1">
        <v>41481</v>
      </c>
      <c r="B1893">
        <v>3.3953199999999999</v>
      </c>
      <c r="C1893">
        <v>4.3150000000000004</v>
      </c>
      <c r="D1893">
        <f>WEEKDAY(A1893,14)</f>
        <v>2</v>
      </c>
      <c r="E1893">
        <f t="shared" si="116"/>
        <v>0</v>
      </c>
      <c r="F1893">
        <f t="shared" si="117"/>
        <v>2</v>
      </c>
      <c r="G1893">
        <f>IF(F1893&gt;F1892,G1892+B1893*E1893,B1893*E1893)</f>
        <v>0</v>
      </c>
      <c r="H1893">
        <f t="shared" si="118"/>
        <v>0</v>
      </c>
      <c r="I1893">
        <f t="shared" si="119"/>
        <v>0</v>
      </c>
      <c r="J1893">
        <f>IF(I1892=0,0,C1892-I1892)</f>
        <v>0</v>
      </c>
    </row>
    <row r="1894" spans="1:10" x14ac:dyDescent="0.25">
      <c r="A1894" s="1">
        <v>41484</v>
      </c>
      <c r="B1894">
        <v>3.4061499999999998</v>
      </c>
      <c r="C1894">
        <v>4.3150000000000004</v>
      </c>
      <c r="D1894">
        <f>WEEKDAY(A1894,14)</f>
        <v>5</v>
      </c>
      <c r="E1894">
        <f t="shared" si="116"/>
        <v>0.05</v>
      </c>
      <c r="F1894">
        <f t="shared" si="117"/>
        <v>3</v>
      </c>
      <c r="G1894">
        <f>IF(F1894&gt;F1893,G1893+B1894*E1894,B1894*E1894)</f>
        <v>0.1703075</v>
      </c>
      <c r="H1894">
        <f t="shared" si="118"/>
        <v>0.05</v>
      </c>
      <c r="I1894">
        <f t="shared" si="119"/>
        <v>0</v>
      </c>
      <c r="J1894">
        <f>IF(I1893=0,0,C1893-I1893)</f>
        <v>0</v>
      </c>
    </row>
    <row r="1895" spans="1:10" x14ac:dyDescent="0.25">
      <c r="A1895" s="1">
        <v>41485</v>
      </c>
      <c r="B1895">
        <v>3.4285999999999999</v>
      </c>
      <c r="C1895">
        <v>4.3150000000000004</v>
      </c>
      <c r="D1895">
        <f>WEEKDAY(A1895,14)</f>
        <v>6</v>
      </c>
      <c r="E1895">
        <f t="shared" si="116"/>
        <v>0.7</v>
      </c>
      <c r="F1895">
        <f t="shared" si="117"/>
        <v>4</v>
      </c>
      <c r="G1895">
        <f>IF(F1895&gt;F1894,G1894+B1895*E1895,B1895*E1895)</f>
        <v>2.5703274999999994</v>
      </c>
      <c r="H1895">
        <f t="shared" si="118"/>
        <v>0.75</v>
      </c>
      <c r="I1895">
        <f t="shared" si="119"/>
        <v>0</v>
      </c>
      <c r="J1895">
        <f>IF(I1894=0,0,C1894-I1894)</f>
        <v>0</v>
      </c>
    </row>
    <row r="1896" spans="1:10" x14ac:dyDescent="0.25">
      <c r="A1896" s="1">
        <v>41486</v>
      </c>
      <c r="B1896">
        <v>3.4095399999999998</v>
      </c>
      <c r="C1896">
        <v>4.3150000000000004</v>
      </c>
      <c r="D1896">
        <f>WEEKDAY(A1896,14)</f>
        <v>7</v>
      </c>
      <c r="E1896">
        <f t="shared" si="116"/>
        <v>0.25</v>
      </c>
      <c r="F1896">
        <f t="shared" si="117"/>
        <v>5</v>
      </c>
      <c r="G1896">
        <f>IF(F1896&gt;F1895,G1895+B1896*E1896,B1896*E1896)</f>
        <v>3.4227124999999994</v>
      </c>
      <c r="H1896">
        <f t="shared" si="118"/>
        <v>1</v>
      </c>
      <c r="I1896">
        <f t="shared" si="119"/>
        <v>3.4227124999999994</v>
      </c>
      <c r="J1896">
        <f>IF(I1895=0,0,C1895-I1895)</f>
        <v>0</v>
      </c>
    </row>
    <row r="1897" spans="1:10" x14ac:dyDescent="0.25">
      <c r="A1897" s="1">
        <v>41487</v>
      </c>
      <c r="B1897">
        <v>3.53287</v>
      </c>
      <c r="C1897">
        <v>4.3250000000000002</v>
      </c>
      <c r="D1897">
        <f>WEEKDAY(A1897,14)</f>
        <v>1</v>
      </c>
      <c r="E1897">
        <f t="shared" si="116"/>
        <v>0</v>
      </c>
      <c r="F1897">
        <f t="shared" si="117"/>
        <v>1</v>
      </c>
      <c r="G1897">
        <f>IF(F1897&gt;F1896,G1896+B1897*E1897,B1897*E1897)</f>
        <v>0</v>
      </c>
      <c r="H1897">
        <f t="shared" si="118"/>
        <v>0</v>
      </c>
      <c r="I1897">
        <f t="shared" si="119"/>
        <v>0</v>
      </c>
      <c r="J1897">
        <f>IF(I1896=0,0,C1896-I1896)</f>
        <v>0.89228750000000101</v>
      </c>
    </row>
    <row r="1898" spans="1:10" x14ac:dyDescent="0.25">
      <c r="A1898" s="1">
        <v>41488</v>
      </c>
      <c r="B1898">
        <v>3.4035700000000002</v>
      </c>
      <c r="C1898">
        <v>4.3250000000000002</v>
      </c>
      <c r="D1898">
        <f>WEEKDAY(A1898,14)</f>
        <v>2</v>
      </c>
      <c r="E1898">
        <f t="shared" si="116"/>
        <v>0</v>
      </c>
      <c r="F1898">
        <f t="shared" si="117"/>
        <v>2</v>
      </c>
      <c r="G1898">
        <f>IF(F1898&gt;F1897,G1897+B1898*E1898,B1898*E1898)</f>
        <v>0</v>
      </c>
      <c r="H1898">
        <f t="shared" si="118"/>
        <v>0</v>
      </c>
      <c r="I1898">
        <f t="shared" si="119"/>
        <v>0</v>
      </c>
      <c r="J1898">
        <f>IF(I1897=0,0,C1897-I1897)</f>
        <v>0</v>
      </c>
    </row>
    <row r="1899" spans="1:10" x14ac:dyDescent="0.25">
      <c r="A1899" s="1">
        <v>41491</v>
      </c>
      <c r="B1899">
        <v>3.4178099999999998</v>
      </c>
      <c r="C1899">
        <v>4.3250000000000002</v>
      </c>
      <c r="D1899">
        <f>WEEKDAY(A1899,14)</f>
        <v>5</v>
      </c>
      <c r="E1899">
        <f t="shared" si="116"/>
        <v>0.05</v>
      </c>
      <c r="F1899">
        <f t="shared" si="117"/>
        <v>3</v>
      </c>
      <c r="G1899">
        <f>IF(F1899&gt;F1898,G1898+B1899*E1899,B1899*E1899)</f>
        <v>0.1708905</v>
      </c>
      <c r="H1899">
        <f t="shared" si="118"/>
        <v>0.05</v>
      </c>
      <c r="I1899">
        <f t="shared" si="119"/>
        <v>0</v>
      </c>
      <c r="J1899">
        <f>IF(I1898=0,0,C1898-I1898)</f>
        <v>0</v>
      </c>
    </row>
    <row r="1900" spans="1:10" x14ac:dyDescent="0.25">
      <c r="A1900" s="1">
        <v>41492</v>
      </c>
      <c r="B1900">
        <v>3.4430900000000002</v>
      </c>
      <c r="C1900">
        <v>4.3250000000000002</v>
      </c>
      <c r="D1900">
        <f>WEEKDAY(A1900,14)</f>
        <v>6</v>
      </c>
      <c r="E1900">
        <f t="shared" si="116"/>
        <v>0.7</v>
      </c>
      <c r="F1900">
        <f t="shared" si="117"/>
        <v>4</v>
      </c>
      <c r="G1900">
        <f>IF(F1900&gt;F1899,G1899+B1900*E1900,B1900*E1900)</f>
        <v>2.5810534999999999</v>
      </c>
      <c r="H1900">
        <f t="shared" si="118"/>
        <v>0.75</v>
      </c>
      <c r="I1900">
        <f t="shared" si="119"/>
        <v>0</v>
      </c>
      <c r="J1900">
        <f>IF(I1899=0,0,C1899-I1899)</f>
        <v>0</v>
      </c>
    </row>
    <row r="1901" spans="1:10" x14ac:dyDescent="0.25">
      <c r="A1901" s="1">
        <v>41493</v>
      </c>
      <c r="B1901">
        <v>3.4095300000000002</v>
      </c>
      <c r="C1901">
        <v>4.3250000000000002</v>
      </c>
      <c r="D1901">
        <f>WEEKDAY(A1901,14)</f>
        <v>7</v>
      </c>
      <c r="E1901">
        <f t="shared" si="116"/>
        <v>0.25</v>
      </c>
      <c r="F1901">
        <f t="shared" si="117"/>
        <v>5</v>
      </c>
      <c r="G1901">
        <f>IF(F1901&gt;F1900,G1900+B1901*E1901,B1901*E1901)</f>
        <v>3.4334359999999999</v>
      </c>
      <c r="H1901">
        <f t="shared" si="118"/>
        <v>1</v>
      </c>
      <c r="I1901">
        <f t="shared" si="119"/>
        <v>3.4334359999999999</v>
      </c>
      <c r="J1901">
        <f>IF(I1900=0,0,C1900-I1900)</f>
        <v>0</v>
      </c>
    </row>
    <row r="1902" spans="1:10" x14ac:dyDescent="0.25">
      <c r="A1902" s="1">
        <v>41494</v>
      </c>
      <c r="B1902">
        <v>3.3814899999999999</v>
      </c>
      <c r="C1902">
        <v>4.3250000000000002</v>
      </c>
      <c r="D1902">
        <f>WEEKDAY(A1902,14)</f>
        <v>1</v>
      </c>
      <c r="E1902">
        <f t="shared" si="116"/>
        <v>0</v>
      </c>
      <c r="F1902">
        <f t="shared" si="117"/>
        <v>1</v>
      </c>
      <c r="G1902">
        <f>IF(F1902&gt;F1901,G1901+B1902*E1902,B1902*E1902)</f>
        <v>0</v>
      </c>
      <c r="H1902">
        <f t="shared" si="118"/>
        <v>0</v>
      </c>
      <c r="I1902">
        <f t="shared" si="119"/>
        <v>0</v>
      </c>
      <c r="J1902">
        <f>IF(I1901=0,0,C1901-I1901)</f>
        <v>0.89156400000000025</v>
      </c>
    </row>
    <row r="1903" spans="1:10" x14ac:dyDescent="0.25">
      <c r="A1903" s="1">
        <v>41495</v>
      </c>
      <c r="B1903">
        <v>3.36395</v>
      </c>
      <c r="C1903">
        <v>4.3250000000000002</v>
      </c>
      <c r="D1903">
        <f>WEEKDAY(A1903,14)</f>
        <v>2</v>
      </c>
      <c r="E1903">
        <f t="shared" si="116"/>
        <v>0</v>
      </c>
      <c r="F1903">
        <f t="shared" si="117"/>
        <v>2</v>
      </c>
      <c r="G1903">
        <f>IF(F1903&gt;F1902,G1902+B1903*E1903,B1903*E1903)</f>
        <v>0</v>
      </c>
      <c r="H1903">
        <f t="shared" si="118"/>
        <v>0</v>
      </c>
      <c r="I1903">
        <f t="shared" si="119"/>
        <v>0</v>
      </c>
      <c r="J1903">
        <f>IF(I1902=0,0,C1902-I1902)</f>
        <v>0</v>
      </c>
    </row>
    <row r="1904" spans="1:10" x14ac:dyDescent="0.25">
      <c r="A1904" s="1">
        <v>41498</v>
      </c>
      <c r="B1904">
        <v>3.38388</v>
      </c>
      <c r="C1904">
        <v>4.3250000000000002</v>
      </c>
      <c r="D1904">
        <f>WEEKDAY(A1904,14)</f>
        <v>5</v>
      </c>
      <c r="E1904">
        <f t="shared" si="116"/>
        <v>0.05</v>
      </c>
      <c r="F1904">
        <f t="shared" si="117"/>
        <v>3</v>
      </c>
      <c r="G1904">
        <f>IF(F1904&gt;F1903,G1903+B1904*E1904,B1904*E1904)</f>
        <v>0.16919400000000001</v>
      </c>
      <c r="H1904">
        <f t="shared" si="118"/>
        <v>0.05</v>
      </c>
      <c r="I1904">
        <f t="shared" si="119"/>
        <v>0</v>
      </c>
      <c r="J1904">
        <f>IF(I1903=0,0,C1903-I1903)</f>
        <v>0</v>
      </c>
    </row>
    <row r="1905" spans="1:10" x14ac:dyDescent="0.25">
      <c r="A1905" s="1">
        <v>41499</v>
      </c>
      <c r="B1905">
        <v>3.4866000000000001</v>
      </c>
      <c r="C1905">
        <v>4.3250000000000002</v>
      </c>
      <c r="D1905">
        <f>WEEKDAY(A1905,14)</f>
        <v>6</v>
      </c>
      <c r="E1905">
        <f t="shared" si="116"/>
        <v>0.7</v>
      </c>
      <c r="F1905">
        <f t="shared" si="117"/>
        <v>4</v>
      </c>
      <c r="G1905">
        <f>IF(F1905&gt;F1904,G1904+B1905*E1905,B1905*E1905)</f>
        <v>2.6098140000000001</v>
      </c>
      <c r="H1905">
        <f t="shared" si="118"/>
        <v>0.75</v>
      </c>
      <c r="I1905">
        <f t="shared" si="119"/>
        <v>0</v>
      </c>
      <c r="J1905">
        <f>IF(I1904=0,0,C1904-I1904)</f>
        <v>0</v>
      </c>
    </row>
    <row r="1906" spans="1:10" x14ac:dyDescent="0.25">
      <c r="A1906" s="1">
        <v>41500</v>
      </c>
      <c r="B1906">
        <v>3.4840900000000001</v>
      </c>
      <c r="C1906">
        <v>4.3250000000000002</v>
      </c>
      <c r="D1906">
        <f>WEEKDAY(A1906,14)</f>
        <v>7</v>
      </c>
      <c r="E1906">
        <f t="shared" si="116"/>
        <v>0.25</v>
      </c>
      <c r="F1906">
        <f t="shared" si="117"/>
        <v>5</v>
      </c>
      <c r="G1906">
        <f>IF(F1906&gt;F1905,G1905+B1906*E1906,B1906*E1906)</f>
        <v>3.4808365000000001</v>
      </c>
      <c r="H1906">
        <f t="shared" si="118"/>
        <v>1</v>
      </c>
      <c r="I1906">
        <f t="shared" si="119"/>
        <v>3.4808365000000001</v>
      </c>
      <c r="J1906">
        <f>IF(I1905=0,0,C1905-I1905)</f>
        <v>0</v>
      </c>
    </row>
    <row r="1907" spans="1:10" x14ac:dyDescent="0.25">
      <c r="A1907" s="1">
        <v>41501</v>
      </c>
      <c r="B1907">
        <v>3.5424600000000002</v>
      </c>
      <c r="C1907">
        <v>4.53</v>
      </c>
      <c r="D1907">
        <f>WEEKDAY(A1907,14)</f>
        <v>1</v>
      </c>
      <c r="E1907">
        <f t="shared" si="116"/>
        <v>0</v>
      </c>
      <c r="F1907">
        <f t="shared" si="117"/>
        <v>1</v>
      </c>
      <c r="G1907">
        <f>IF(F1907&gt;F1906,G1906+B1907*E1907,B1907*E1907)</f>
        <v>0</v>
      </c>
      <c r="H1907">
        <f t="shared" si="118"/>
        <v>0</v>
      </c>
      <c r="I1907">
        <f t="shared" si="119"/>
        <v>0</v>
      </c>
      <c r="J1907">
        <f>IF(I1906=0,0,C1906-I1906)</f>
        <v>0.84416350000000007</v>
      </c>
    </row>
    <row r="1908" spans="1:10" x14ac:dyDescent="0.25">
      <c r="A1908" s="1">
        <v>41502</v>
      </c>
      <c r="B1908">
        <v>3.6342300000000001</v>
      </c>
      <c r="C1908">
        <v>4.53</v>
      </c>
      <c r="D1908">
        <f>WEEKDAY(A1908,14)</f>
        <v>2</v>
      </c>
      <c r="E1908">
        <f t="shared" si="116"/>
        <v>0</v>
      </c>
      <c r="F1908">
        <f t="shared" si="117"/>
        <v>2</v>
      </c>
      <c r="G1908">
        <f>IF(F1908&gt;F1907,G1907+B1908*E1908,B1908*E1908)</f>
        <v>0</v>
      </c>
      <c r="H1908">
        <f t="shared" si="118"/>
        <v>0</v>
      </c>
      <c r="I1908">
        <f t="shared" si="119"/>
        <v>0</v>
      </c>
      <c r="J1908">
        <f>IF(I1907=0,0,C1907-I1907)</f>
        <v>0</v>
      </c>
    </row>
    <row r="1909" spans="1:10" x14ac:dyDescent="0.25">
      <c r="A1909" s="1">
        <v>41505</v>
      </c>
      <c r="B1909">
        <v>3.7110500000000002</v>
      </c>
      <c r="C1909">
        <v>4.53</v>
      </c>
      <c r="D1909">
        <f>WEEKDAY(A1909,14)</f>
        <v>5</v>
      </c>
      <c r="E1909">
        <f t="shared" si="116"/>
        <v>0.05</v>
      </c>
      <c r="F1909">
        <f t="shared" si="117"/>
        <v>3</v>
      </c>
      <c r="G1909">
        <f>IF(F1909&gt;F1908,G1908+B1909*E1909,B1909*E1909)</f>
        <v>0.18555250000000001</v>
      </c>
      <c r="H1909">
        <f t="shared" si="118"/>
        <v>0.05</v>
      </c>
      <c r="I1909">
        <f t="shared" si="119"/>
        <v>0</v>
      </c>
      <c r="J1909">
        <f>IF(I1908=0,0,C1908-I1908)</f>
        <v>0</v>
      </c>
    </row>
    <row r="1910" spans="1:10" x14ac:dyDescent="0.25">
      <c r="A1910" s="1">
        <v>41506</v>
      </c>
      <c r="B1910">
        <v>3.6306799999999999</v>
      </c>
      <c r="C1910">
        <v>4.53</v>
      </c>
      <c r="D1910">
        <f>WEEKDAY(A1910,14)</f>
        <v>6</v>
      </c>
      <c r="E1910">
        <f t="shared" si="116"/>
        <v>0.7</v>
      </c>
      <c r="F1910">
        <f t="shared" si="117"/>
        <v>4</v>
      </c>
      <c r="G1910">
        <f>IF(F1910&gt;F1909,G1909+B1910*E1910,B1910*E1910)</f>
        <v>2.7270284999999999</v>
      </c>
      <c r="H1910">
        <f t="shared" si="118"/>
        <v>0.75</v>
      </c>
      <c r="I1910">
        <f t="shared" si="119"/>
        <v>0</v>
      </c>
      <c r="J1910">
        <f>IF(I1909=0,0,C1909-I1909)</f>
        <v>0</v>
      </c>
    </row>
    <row r="1911" spans="1:10" x14ac:dyDescent="0.25">
      <c r="A1911" s="1">
        <v>41507</v>
      </c>
      <c r="B1911">
        <v>3.6746400000000001</v>
      </c>
      <c r="C1911">
        <v>4.53</v>
      </c>
      <c r="D1911">
        <f>WEEKDAY(A1911,14)</f>
        <v>7</v>
      </c>
      <c r="E1911">
        <f t="shared" si="116"/>
        <v>0.25</v>
      </c>
      <c r="F1911">
        <f t="shared" si="117"/>
        <v>5</v>
      </c>
      <c r="G1911">
        <f>IF(F1911&gt;F1910,G1910+B1911*E1911,B1911*E1911)</f>
        <v>3.6456884999999999</v>
      </c>
      <c r="H1911">
        <f t="shared" si="118"/>
        <v>1</v>
      </c>
      <c r="I1911">
        <f t="shared" si="119"/>
        <v>3.6456884999999999</v>
      </c>
      <c r="J1911">
        <f>IF(I1910=0,0,C1910-I1910)</f>
        <v>0</v>
      </c>
    </row>
    <row r="1912" spans="1:10" x14ac:dyDescent="0.25">
      <c r="A1912" s="1">
        <v>41508</v>
      </c>
      <c r="B1912">
        <v>3.7101899999999999</v>
      </c>
      <c r="C1912">
        <v>4.4349999999999996</v>
      </c>
      <c r="D1912">
        <f>WEEKDAY(A1912,14)</f>
        <v>1</v>
      </c>
      <c r="E1912">
        <f t="shared" si="116"/>
        <v>0</v>
      </c>
      <c r="F1912">
        <f t="shared" si="117"/>
        <v>1</v>
      </c>
      <c r="G1912">
        <f>IF(F1912&gt;F1911,G1911+B1912*E1912,B1912*E1912)</f>
        <v>0</v>
      </c>
      <c r="H1912">
        <f t="shared" si="118"/>
        <v>0</v>
      </c>
      <c r="I1912">
        <f t="shared" si="119"/>
        <v>0</v>
      </c>
      <c r="J1912">
        <f>IF(I1911=0,0,C1911-I1911)</f>
        <v>0.88431150000000036</v>
      </c>
    </row>
    <row r="1913" spans="1:10" x14ac:dyDescent="0.25">
      <c r="A1913" s="1">
        <v>41509</v>
      </c>
      <c r="B1913">
        <v>3.6014599999999999</v>
      </c>
      <c r="C1913">
        <v>4.4349999999999996</v>
      </c>
      <c r="D1913">
        <f>WEEKDAY(A1913,14)</f>
        <v>2</v>
      </c>
      <c r="E1913">
        <f t="shared" si="116"/>
        <v>0</v>
      </c>
      <c r="F1913">
        <f t="shared" si="117"/>
        <v>2</v>
      </c>
      <c r="G1913">
        <f>IF(F1913&gt;F1912,G1912+B1913*E1913,B1913*E1913)</f>
        <v>0</v>
      </c>
      <c r="H1913">
        <f t="shared" si="118"/>
        <v>0</v>
      </c>
      <c r="I1913">
        <f t="shared" si="119"/>
        <v>0</v>
      </c>
      <c r="J1913">
        <f>IF(I1912=0,0,C1912-I1912)</f>
        <v>0</v>
      </c>
    </row>
    <row r="1914" spans="1:10" x14ac:dyDescent="0.25">
      <c r="A1914" s="1">
        <v>41512</v>
      </c>
      <c r="B1914">
        <v>3.56494</v>
      </c>
      <c r="C1914">
        <v>4.4349999999999996</v>
      </c>
      <c r="D1914">
        <f>WEEKDAY(A1914,14)</f>
        <v>5</v>
      </c>
      <c r="E1914">
        <f t="shared" si="116"/>
        <v>0.05</v>
      </c>
      <c r="F1914">
        <f t="shared" si="117"/>
        <v>3</v>
      </c>
      <c r="G1914">
        <f>IF(F1914&gt;F1913,G1913+B1914*E1914,B1914*E1914)</f>
        <v>0.17824700000000002</v>
      </c>
      <c r="H1914">
        <f t="shared" si="118"/>
        <v>0.05</v>
      </c>
      <c r="I1914">
        <f t="shared" si="119"/>
        <v>0</v>
      </c>
      <c r="J1914">
        <f>IF(I1913=0,0,C1913-I1913)</f>
        <v>0</v>
      </c>
    </row>
    <row r="1915" spans="1:10" x14ac:dyDescent="0.25">
      <c r="A1915" s="1">
        <v>41513</v>
      </c>
      <c r="B1915">
        <v>3.4950100000000002</v>
      </c>
      <c r="C1915">
        <v>4.4349999999999996</v>
      </c>
      <c r="D1915">
        <f>WEEKDAY(A1915,14)</f>
        <v>6</v>
      </c>
      <c r="E1915">
        <f t="shared" si="116"/>
        <v>0.7</v>
      </c>
      <c r="F1915">
        <f t="shared" si="117"/>
        <v>4</v>
      </c>
      <c r="G1915">
        <f>IF(F1915&gt;F1914,G1914+B1915*E1915,B1915*E1915)</f>
        <v>2.6247539999999998</v>
      </c>
      <c r="H1915">
        <f t="shared" si="118"/>
        <v>0.75</v>
      </c>
      <c r="I1915">
        <f t="shared" si="119"/>
        <v>0</v>
      </c>
      <c r="J1915">
        <f>IF(I1914=0,0,C1914-I1914)</f>
        <v>0</v>
      </c>
    </row>
    <row r="1916" spans="1:10" x14ac:dyDescent="0.25">
      <c r="A1916" s="1">
        <v>41514</v>
      </c>
      <c r="B1916">
        <v>3.5645199999999999</v>
      </c>
      <c r="C1916">
        <v>4.4349999999999996</v>
      </c>
      <c r="D1916">
        <f>WEEKDAY(A1916,14)</f>
        <v>7</v>
      </c>
      <c r="E1916">
        <f t="shared" si="116"/>
        <v>0.25</v>
      </c>
      <c r="F1916">
        <f t="shared" si="117"/>
        <v>5</v>
      </c>
      <c r="G1916">
        <f>IF(F1916&gt;F1915,G1915+B1916*E1916,B1916*E1916)</f>
        <v>3.5158839999999998</v>
      </c>
      <c r="H1916">
        <f t="shared" si="118"/>
        <v>1</v>
      </c>
      <c r="I1916">
        <f t="shared" si="119"/>
        <v>3.5158839999999998</v>
      </c>
      <c r="J1916">
        <f>IF(I1915=0,0,C1915-I1915)</f>
        <v>0</v>
      </c>
    </row>
    <row r="1917" spans="1:10" x14ac:dyDescent="0.25">
      <c r="A1917" s="1">
        <v>41515</v>
      </c>
      <c r="B1917">
        <v>3.5164</v>
      </c>
      <c r="C1917">
        <v>4.4950000000000001</v>
      </c>
      <c r="D1917">
        <f>WEEKDAY(A1917,14)</f>
        <v>1</v>
      </c>
      <c r="E1917">
        <f t="shared" si="116"/>
        <v>0</v>
      </c>
      <c r="F1917">
        <f t="shared" si="117"/>
        <v>1</v>
      </c>
      <c r="G1917">
        <f>IF(F1917&gt;F1916,G1916+B1917*E1917,B1917*E1917)</f>
        <v>0</v>
      </c>
      <c r="H1917">
        <f t="shared" si="118"/>
        <v>0</v>
      </c>
      <c r="I1917">
        <f t="shared" si="119"/>
        <v>0</v>
      </c>
      <c r="J1917">
        <f>IF(I1916=0,0,C1916-I1916)</f>
        <v>0.91911599999999982</v>
      </c>
    </row>
    <row r="1918" spans="1:10" x14ac:dyDescent="0.25">
      <c r="A1918" s="1">
        <v>41516</v>
      </c>
      <c r="B1918">
        <v>3.5181100000000001</v>
      </c>
      <c r="C1918">
        <v>4.4950000000000001</v>
      </c>
      <c r="D1918">
        <f>WEEKDAY(A1918,14)</f>
        <v>2</v>
      </c>
      <c r="E1918">
        <f t="shared" si="116"/>
        <v>0</v>
      </c>
      <c r="F1918">
        <f t="shared" si="117"/>
        <v>2</v>
      </c>
      <c r="G1918">
        <f>IF(F1918&gt;F1917,G1917+B1918*E1918,B1918*E1918)</f>
        <v>0</v>
      </c>
      <c r="H1918">
        <f t="shared" si="118"/>
        <v>0</v>
      </c>
      <c r="I1918">
        <f t="shared" si="119"/>
        <v>0</v>
      </c>
      <c r="J1918">
        <f>IF(I1917=0,0,C1917-I1917)</f>
        <v>0</v>
      </c>
    </row>
    <row r="1919" spans="1:10" x14ac:dyDescent="0.25">
      <c r="A1919" s="1">
        <v>41520</v>
      </c>
      <c r="B1919">
        <v>3.62303</v>
      </c>
      <c r="C1919">
        <v>4.4950000000000001</v>
      </c>
      <c r="D1919">
        <f>WEEKDAY(A1919,14)</f>
        <v>6</v>
      </c>
      <c r="E1919">
        <f t="shared" si="116"/>
        <v>0.7</v>
      </c>
      <c r="F1919">
        <f t="shared" si="117"/>
        <v>3</v>
      </c>
      <c r="G1919">
        <f>IF(F1919&gt;F1918,G1918+B1919*E1919,B1919*E1919)</f>
        <v>2.5361209999999996</v>
      </c>
      <c r="H1919">
        <f t="shared" si="118"/>
        <v>0.7</v>
      </c>
      <c r="I1919">
        <f t="shared" si="119"/>
        <v>0</v>
      </c>
      <c r="J1919">
        <f>IF(I1918=0,0,C1918-I1918)</f>
        <v>0</v>
      </c>
    </row>
    <row r="1920" spans="1:10" x14ac:dyDescent="0.25">
      <c r="A1920" s="1">
        <v>41521</v>
      </c>
      <c r="B1920">
        <v>3.67957</v>
      </c>
      <c r="C1920">
        <v>4.4950000000000001</v>
      </c>
      <c r="D1920">
        <f>WEEKDAY(A1920,14)</f>
        <v>7</v>
      </c>
      <c r="E1920">
        <f t="shared" si="116"/>
        <v>0.25</v>
      </c>
      <c r="F1920">
        <f t="shared" si="117"/>
        <v>4</v>
      </c>
      <c r="G1920">
        <f>IF(F1920&gt;F1919,G1919+B1920*E1920,B1920*E1920)</f>
        <v>3.4560134999999996</v>
      </c>
      <c r="H1920">
        <f t="shared" si="118"/>
        <v>0.95</v>
      </c>
      <c r="I1920">
        <f t="shared" si="119"/>
        <v>3.637908947368421</v>
      </c>
      <c r="J1920">
        <f>IF(I1919=0,0,C1919-I1919)</f>
        <v>0</v>
      </c>
    </row>
    <row r="1921" spans="1:10" x14ac:dyDescent="0.25">
      <c r="A1921" s="1">
        <v>41522</v>
      </c>
      <c r="B1921">
        <v>3.7867000000000002</v>
      </c>
      <c r="C1921">
        <v>4.5199999999999996</v>
      </c>
      <c r="D1921">
        <f>WEEKDAY(A1921,14)</f>
        <v>1</v>
      </c>
      <c r="E1921">
        <f t="shared" si="116"/>
        <v>0</v>
      </c>
      <c r="F1921">
        <f t="shared" si="117"/>
        <v>1</v>
      </c>
      <c r="G1921">
        <f>IF(F1921&gt;F1920,G1920+B1921*E1921,B1921*E1921)</f>
        <v>0</v>
      </c>
      <c r="H1921">
        <f t="shared" si="118"/>
        <v>0</v>
      </c>
      <c r="I1921">
        <f t="shared" si="119"/>
        <v>0</v>
      </c>
      <c r="J1921">
        <f>IF(I1920=0,0,C1920-I1920)</f>
        <v>0.85709105263157914</v>
      </c>
    </row>
    <row r="1922" spans="1:10" x14ac:dyDescent="0.25">
      <c r="A1922" s="1">
        <v>41523</v>
      </c>
      <c r="B1922">
        <v>3.7212399999999999</v>
      </c>
      <c r="C1922">
        <v>4.5199999999999996</v>
      </c>
      <c r="D1922">
        <f>WEEKDAY(A1922,14)</f>
        <v>2</v>
      </c>
      <c r="E1922">
        <f t="shared" si="116"/>
        <v>0</v>
      </c>
      <c r="F1922">
        <f t="shared" si="117"/>
        <v>2</v>
      </c>
      <c r="G1922">
        <f>IF(F1922&gt;F1921,G1921+B1922*E1922,B1922*E1922)</f>
        <v>0</v>
      </c>
      <c r="H1922">
        <f t="shared" si="118"/>
        <v>0</v>
      </c>
      <c r="I1922">
        <f t="shared" si="119"/>
        <v>0</v>
      </c>
      <c r="J1922">
        <f>IF(I1921=0,0,C1921-I1921)</f>
        <v>0</v>
      </c>
    </row>
    <row r="1923" spans="1:10" x14ac:dyDescent="0.25">
      <c r="A1923" s="1">
        <v>41526</v>
      </c>
      <c r="B1923">
        <v>3.6494900000000001</v>
      </c>
      <c r="C1923">
        <v>4.5199999999999996</v>
      </c>
      <c r="D1923">
        <f>WEEKDAY(A1923,14)</f>
        <v>5</v>
      </c>
      <c r="E1923">
        <f t="shared" ref="E1923:E1986" si="120">VLOOKUP(D1923,M$2:N$8,2,FALSE)</f>
        <v>0.05</v>
      </c>
      <c r="F1923">
        <f t="shared" ref="F1923:F1986" si="121">IF(AND(D1923&gt;D1922,F1922&lt;6),F1922+1,1)</f>
        <v>3</v>
      </c>
      <c r="G1923">
        <f>IF(F1923&gt;F1922,G1922+B1923*E1923,B1923*E1923)</f>
        <v>0.18247450000000001</v>
      </c>
      <c r="H1923">
        <f t="shared" si="118"/>
        <v>0.05</v>
      </c>
      <c r="I1923">
        <f t="shared" si="119"/>
        <v>0</v>
      </c>
      <c r="J1923">
        <f>IF(I1922=0,0,C1922-I1922)</f>
        <v>0</v>
      </c>
    </row>
    <row r="1924" spans="1:10" x14ac:dyDescent="0.25">
      <c r="A1924" s="1">
        <v>41527</v>
      </c>
      <c r="B1924">
        <v>3.7025600000000001</v>
      </c>
      <c r="C1924">
        <v>4.5199999999999996</v>
      </c>
      <c r="D1924">
        <f>WEEKDAY(A1924,14)</f>
        <v>6</v>
      </c>
      <c r="E1924">
        <f t="shared" si="120"/>
        <v>0.7</v>
      </c>
      <c r="F1924">
        <f t="shared" si="121"/>
        <v>4</v>
      </c>
      <c r="G1924">
        <f>IF(F1924&gt;F1923,G1923+B1924*E1924,B1924*E1924)</f>
        <v>2.7742665</v>
      </c>
      <c r="H1924">
        <f t="shared" ref="H1924:H1987" si="122">IF(AND(F1924&lt;6,F1924&gt;F1923),E1924+H1923,E1924)</f>
        <v>0.75</v>
      </c>
      <c r="I1924">
        <f t="shared" ref="I1924:I1987" si="123">IF(F1924&gt;F1925,G1924/H1924,0)</f>
        <v>0</v>
      </c>
      <c r="J1924">
        <f>IF(I1923=0,0,C1923-I1923)</f>
        <v>0</v>
      </c>
    </row>
    <row r="1925" spans="1:10" x14ac:dyDescent="0.25">
      <c r="A1925" s="1">
        <v>41528</v>
      </c>
      <c r="B1925">
        <v>3.6671800000000001</v>
      </c>
      <c r="C1925">
        <v>4.5199999999999996</v>
      </c>
      <c r="D1925">
        <f>WEEKDAY(A1925,14)</f>
        <v>7</v>
      </c>
      <c r="E1925">
        <f t="shared" si="120"/>
        <v>0.25</v>
      </c>
      <c r="F1925">
        <f t="shared" si="121"/>
        <v>5</v>
      </c>
      <c r="G1925">
        <f>IF(F1925&gt;F1924,G1924+B1925*E1925,B1925*E1925)</f>
        <v>3.6910615</v>
      </c>
      <c r="H1925">
        <f t="shared" si="122"/>
        <v>1</v>
      </c>
      <c r="I1925">
        <f t="shared" si="123"/>
        <v>3.6910615</v>
      </c>
      <c r="J1925">
        <f>IF(I1924=0,0,C1924-I1924)</f>
        <v>0</v>
      </c>
    </row>
    <row r="1926" spans="1:10" x14ac:dyDescent="0.25">
      <c r="A1926" s="1">
        <v>41529</v>
      </c>
      <c r="B1926">
        <v>3.6663000000000001</v>
      </c>
      <c r="C1926">
        <v>4.4249999999999998</v>
      </c>
      <c r="D1926">
        <f>WEEKDAY(A1926,14)</f>
        <v>1</v>
      </c>
      <c r="E1926">
        <f t="shared" si="120"/>
        <v>0</v>
      </c>
      <c r="F1926">
        <f t="shared" si="121"/>
        <v>1</v>
      </c>
      <c r="G1926">
        <f>IF(F1926&gt;F1925,G1925+B1926*E1926,B1926*E1926)</f>
        <v>0</v>
      </c>
      <c r="H1926">
        <f t="shared" si="122"/>
        <v>0</v>
      </c>
      <c r="I1926">
        <f t="shared" si="123"/>
        <v>0</v>
      </c>
      <c r="J1926">
        <f>IF(I1925=0,0,C1925-I1925)</f>
        <v>0.82893849999999958</v>
      </c>
    </row>
    <row r="1927" spans="1:10" x14ac:dyDescent="0.25">
      <c r="A1927" s="1">
        <v>41530</v>
      </c>
      <c r="B1927">
        <v>3.6507299999999998</v>
      </c>
      <c r="C1927">
        <v>4.4249999999999998</v>
      </c>
      <c r="D1927">
        <f>WEEKDAY(A1927,14)</f>
        <v>2</v>
      </c>
      <c r="E1927">
        <f t="shared" si="120"/>
        <v>0</v>
      </c>
      <c r="F1927">
        <f t="shared" si="121"/>
        <v>2</v>
      </c>
      <c r="G1927">
        <f>IF(F1927&gt;F1926,G1926+B1927*E1927,B1927*E1927)</f>
        <v>0</v>
      </c>
      <c r="H1927">
        <f t="shared" si="122"/>
        <v>0</v>
      </c>
      <c r="I1927">
        <f t="shared" si="123"/>
        <v>0</v>
      </c>
      <c r="J1927">
        <f>IF(I1926=0,0,C1926-I1926)</f>
        <v>0</v>
      </c>
    </row>
    <row r="1928" spans="1:10" x14ac:dyDescent="0.25">
      <c r="A1928" s="1">
        <v>41533</v>
      </c>
      <c r="B1928">
        <v>3.6050300000000002</v>
      </c>
      <c r="C1928">
        <v>4.4249999999999998</v>
      </c>
      <c r="D1928">
        <f>WEEKDAY(A1928,14)</f>
        <v>5</v>
      </c>
      <c r="E1928">
        <f t="shared" si="120"/>
        <v>0.05</v>
      </c>
      <c r="F1928">
        <f t="shared" si="121"/>
        <v>3</v>
      </c>
      <c r="G1928">
        <f>IF(F1928&gt;F1927,G1927+B1928*E1928,B1928*E1928)</f>
        <v>0.18025150000000001</v>
      </c>
      <c r="H1928">
        <f t="shared" si="122"/>
        <v>0.05</v>
      </c>
      <c r="I1928">
        <f t="shared" si="123"/>
        <v>0</v>
      </c>
      <c r="J1928">
        <f>IF(I1927=0,0,C1927-I1927)</f>
        <v>0</v>
      </c>
    </row>
    <row r="1929" spans="1:10" x14ac:dyDescent="0.25">
      <c r="A1929" s="1">
        <v>41534</v>
      </c>
      <c r="B1929">
        <v>3.5863</v>
      </c>
      <c r="C1929">
        <v>4.4249999999999998</v>
      </c>
      <c r="D1929">
        <f>WEEKDAY(A1929,14)</f>
        <v>6</v>
      </c>
      <c r="E1929">
        <f t="shared" si="120"/>
        <v>0.7</v>
      </c>
      <c r="F1929">
        <f t="shared" si="121"/>
        <v>4</v>
      </c>
      <c r="G1929">
        <f>IF(F1929&gt;F1928,G1928+B1929*E1929,B1929*E1929)</f>
        <v>2.6906615</v>
      </c>
      <c r="H1929">
        <f t="shared" si="122"/>
        <v>0.75</v>
      </c>
      <c r="I1929">
        <f t="shared" si="123"/>
        <v>0</v>
      </c>
      <c r="J1929">
        <f>IF(I1928=0,0,C1928-I1928)</f>
        <v>0</v>
      </c>
    </row>
    <row r="1930" spans="1:10" x14ac:dyDescent="0.25">
      <c r="A1930" s="1">
        <v>41535</v>
      </c>
      <c r="B1930">
        <v>3.4041100000000002</v>
      </c>
      <c r="C1930">
        <v>4.4249999999999998</v>
      </c>
      <c r="D1930">
        <f>WEEKDAY(A1930,14)</f>
        <v>7</v>
      </c>
      <c r="E1930">
        <f t="shared" si="120"/>
        <v>0.25</v>
      </c>
      <c r="F1930">
        <f t="shared" si="121"/>
        <v>5</v>
      </c>
      <c r="G1930">
        <f>IF(F1930&gt;F1929,G1929+B1930*E1930,B1930*E1930)</f>
        <v>3.5416889999999999</v>
      </c>
      <c r="H1930">
        <f t="shared" si="122"/>
        <v>1</v>
      </c>
      <c r="I1930">
        <f t="shared" si="123"/>
        <v>3.5416889999999999</v>
      </c>
      <c r="J1930">
        <f>IF(I1929=0,0,C1929-I1929)</f>
        <v>0</v>
      </c>
    </row>
    <row r="1931" spans="1:10" x14ac:dyDescent="0.25">
      <c r="A1931" s="1">
        <v>41536</v>
      </c>
      <c r="B1931">
        <v>3.4234800000000001</v>
      </c>
      <c r="C1931">
        <v>4.2450000000000001</v>
      </c>
      <c r="D1931">
        <f>WEEKDAY(A1931,14)</f>
        <v>1</v>
      </c>
      <c r="E1931">
        <f t="shared" si="120"/>
        <v>0</v>
      </c>
      <c r="F1931">
        <f t="shared" si="121"/>
        <v>1</v>
      </c>
      <c r="G1931">
        <f>IF(F1931&gt;F1930,G1930+B1931*E1931,B1931*E1931)</f>
        <v>0</v>
      </c>
      <c r="H1931">
        <f t="shared" si="122"/>
        <v>0</v>
      </c>
      <c r="I1931">
        <f t="shared" si="123"/>
        <v>0</v>
      </c>
      <c r="J1931">
        <f>IF(I1930=0,0,C1930-I1930)</f>
        <v>0.88331099999999996</v>
      </c>
    </row>
    <row r="1932" spans="1:10" x14ac:dyDescent="0.25">
      <c r="A1932" s="1">
        <v>41537</v>
      </c>
      <c r="B1932">
        <v>3.43161</v>
      </c>
      <c r="C1932">
        <v>4.2450000000000001</v>
      </c>
      <c r="D1932">
        <f>WEEKDAY(A1932,14)</f>
        <v>2</v>
      </c>
      <c r="E1932">
        <f t="shared" si="120"/>
        <v>0</v>
      </c>
      <c r="F1932">
        <f t="shared" si="121"/>
        <v>2</v>
      </c>
      <c r="G1932">
        <f>IF(F1932&gt;F1931,G1931+B1932*E1932,B1932*E1932)</f>
        <v>0</v>
      </c>
      <c r="H1932">
        <f t="shared" si="122"/>
        <v>0</v>
      </c>
      <c r="I1932">
        <f t="shared" si="123"/>
        <v>0</v>
      </c>
      <c r="J1932">
        <f>IF(I1931=0,0,C1931-I1931)</f>
        <v>0</v>
      </c>
    </row>
    <row r="1933" spans="1:10" x14ac:dyDescent="0.25">
      <c r="A1933" s="1">
        <v>41540</v>
      </c>
      <c r="B1933">
        <v>3.4028999999999998</v>
      </c>
      <c r="C1933">
        <v>4.2450000000000001</v>
      </c>
      <c r="D1933">
        <f>WEEKDAY(A1933,14)</f>
        <v>5</v>
      </c>
      <c r="E1933">
        <f t="shared" si="120"/>
        <v>0.05</v>
      </c>
      <c r="F1933">
        <f t="shared" si="121"/>
        <v>3</v>
      </c>
      <c r="G1933">
        <f>IF(F1933&gt;F1932,G1932+B1933*E1933,B1933*E1933)</f>
        <v>0.17014499999999999</v>
      </c>
      <c r="H1933">
        <f t="shared" si="122"/>
        <v>0.05</v>
      </c>
      <c r="I1933">
        <f t="shared" si="123"/>
        <v>0</v>
      </c>
      <c r="J1933">
        <f>IF(I1932=0,0,C1932-I1932)</f>
        <v>0</v>
      </c>
    </row>
    <row r="1934" spans="1:10" x14ac:dyDescent="0.25">
      <c r="A1934" s="1">
        <v>41541</v>
      </c>
      <c r="B1934">
        <v>3.3406899999999999</v>
      </c>
      <c r="C1934">
        <v>4.2450000000000001</v>
      </c>
      <c r="D1934">
        <f>WEEKDAY(A1934,14)</f>
        <v>6</v>
      </c>
      <c r="E1934">
        <f t="shared" si="120"/>
        <v>0.7</v>
      </c>
      <c r="F1934">
        <f t="shared" si="121"/>
        <v>4</v>
      </c>
      <c r="G1934">
        <f>IF(F1934&gt;F1933,G1933+B1934*E1934,B1934*E1934)</f>
        <v>2.5086279999999999</v>
      </c>
      <c r="H1934">
        <f t="shared" si="122"/>
        <v>0.75</v>
      </c>
      <c r="I1934">
        <f t="shared" si="123"/>
        <v>0</v>
      </c>
      <c r="J1934">
        <f>IF(I1933=0,0,C1933-I1933)</f>
        <v>0</v>
      </c>
    </row>
    <row r="1935" spans="1:10" x14ac:dyDescent="0.25">
      <c r="A1935" s="1">
        <v>41542</v>
      </c>
      <c r="B1935">
        <v>3.29616</v>
      </c>
      <c r="C1935">
        <v>4.2450000000000001</v>
      </c>
      <c r="D1935">
        <f>WEEKDAY(A1935,14)</f>
        <v>7</v>
      </c>
      <c r="E1935">
        <f t="shared" si="120"/>
        <v>0.25</v>
      </c>
      <c r="F1935">
        <f t="shared" si="121"/>
        <v>5</v>
      </c>
      <c r="G1935">
        <f>IF(F1935&gt;F1934,G1934+B1935*E1935,B1935*E1935)</f>
        <v>3.332668</v>
      </c>
      <c r="H1935">
        <f t="shared" si="122"/>
        <v>1</v>
      </c>
      <c r="I1935">
        <f t="shared" si="123"/>
        <v>3.332668</v>
      </c>
      <c r="J1935">
        <f>IF(I1934=0,0,C1934-I1934)</f>
        <v>0</v>
      </c>
    </row>
    <row r="1936" spans="1:10" x14ac:dyDescent="0.25">
      <c r="A1936" s="1">
        <v>41543</v>
      </c>
      <c r="B1936">
        <v>3.32335</v>
      </c>
      <c r="C1936">
        <v>4.1449999999999996</v>
      </c>
      <c r="D1936">
        <f>WEEKDAY(A1936,14)</f>
        <v>1</v>
      </c>
      <c r="E1936">
        <f t="shared" si="120"/>
        <v>0</v>
      </c>
      <c r="F1936">
        <f t="shared" si="121"/>
        <v>1</v>
      </c>
      <c r="G1936">
        <f>IF(F1936&gt;F1935,G1935+B1936*E1936,B1936*E1936)</f>
        <v>0</v>
      </c>
      <c r="H1936">
        <f t="shared" si="122"/>
        <v>0</v>
      </c>
      <c r="I1936">
        <f t="shared" si="123"/>
        <v>0</v>
      </c>
      <c r="J1936">
        <f>IF(I1935=0,0,C1935-I1935)</f>
        <v>0.91233200000000014</v>
      </c>
    </row>
    <row r="1937" spans="1:10" x14ac:dyDescent="0.25">
      <c r="A1937" s="1">
        <v>41544</v>
      </c>
      <c r="B1937">
        <v>3.2948900000000001</v>
      </c>
      <c r="C1937">
        <v>4.1449999999999996</v>
      </c>
      <c r="D1937">
        <f>WEEKDAY(A1937,14)</f>
        <v>2</v>
      </c>
      <c r="E1937">
        <f t="shared" si="120"/>
        <v>0</v>
      </c>
      <c r="F1937">
        <f t="shared" si="121"/>
        <v>2</v>
      </c>
      <c r="G1937">
        <f>IF(F1937&gt;F1936,G1936+B1937*E1937,B1937*E1937)</f>
        <v>0</v>
      </c>
      <c r="H1937">
        <f t="shared" si="122"/>
        <v>0</v>
      </c>
      <c r="I1937">
        <f t="shared" si="123"/>
        <v>0</v>
      </c>
      <c r="J1937">
        <f>IF(I1936=0,0,C1936-I1936)</f>
        <v>0</v>
      </c>
    </row>
    <row r="1938" spans="1:10" x14ac:dyDescent="0.25">
      <c r="A1938" s="1">
        <v>41547</v>
      </c>
      <c r="B1938">
        <v>3.2952499999999998</v>
      </c>
      <c r="C1938">
        <v>4.1449999999999996</v>
      </c>
      <c r="D1938">
        <f>WEEKDAY(A1938,14)</f>
        <v>5</v>
      </c>
      <c r="E1938">
        <f t="shared" si="120"/>
        <v>0.05</v>
      </c>
      <c r="F1938">
        <f t="shared" si="121"/>
        <v>3</v>
      </c>
      <c r="G1938">
        <f>IF(F1938&gt;F1937,G1937+B1938*E1938,B1938*E1938)</f>
        <v>0.16476250000000001</v>
      </c>
      <c r="H1938">
        <f t="shared" si="122"/>
        <v>0.05</v>
      </c>
      <c r="I1938">
        <f t="shared" si="123"/>
        <v>0</v>
      </c>
      <c r="J1938">
        <f>IF(I1937=0,0,C1937-I1937)</f>
        <v>0</v>
      </c>
    </row>
    <row r="1939" spans="1:10" x14ac:dyDescent="0.25">
      <c r="A1939" s="1">
        <v>41548</v>
      </c>
      <c r="B1939">
        <v>3.3154400000000002</v>
      </c>
      <c r="C1939">
        <v>4.1449999999999996</v>
      </c>
      <c r="D1939">
        <f>WEEKDAY(A1939,14)</f>
        <v>6</v>
      </c>
      <c r="E1939">
        <f t="shared" si="120"/>
        <v>0.7</v>
      </c>
      <c r="F1939">
        <f t="shared" si="121"/>
        <v>4</v>
      </c>
      <c r="G1939">
        <f>IF(F1939&gt;F1938,G1938+B1939*E1939,B1939*E1939)</f>
        <v>2.4855705000000001</v>
      </c>
      <c r="H1939">
        <f t="shared" si="122"/>
        <v>0.75</v>
      </c>
      <c r="I1939">
        <f t="shared" si="123"/>
        <v>0</v>
      </c>
      <c r="J1939">
        <f>IF(I1938=0,0,C1938-I1938)</f>
        <v>0</v>
      </c>
    </row>
    <row r="1940" spans="1:10" x14ac:dyDescent="0.25">
      <c r="A1940" s="1">
        <v>41549</v>
      </c>
      <c r="B1940">
        <v>3.3078699999999999</v>
      </c>
      <c r="C1940">
        <v>4.1449999999999996</v>
      </c>
      <c r="D1940">
        <f>WEEKDAY(A1940,14)</f>
        <v>7</v>
      </c>
      <c r="E1940">
        <f t="shared" si="120"/>
        <v>0.25</v>
      </c>
      <c r="F1940">
        <f t="shared" si="121"/>
        <v>5</v>
      </c>
      <c r="G1940">
        <f>IF(F1940&gt;F1939,G1939+B1940*E1940,B1940*E1940)</f>
        <v>3.312538</v>
      </c>
      <c r="H1940">
        <f t="shared" si="122"/>
        <v>1</v>
      </c>
      <c r="I1940">
        <f t="shared" si="123"/>
        <v>3.312538</v>
      </c>
      <c r="J1940">
        <f>IF(I1939=0,0,C1939-I1939)</f>
        <v>0</v>
      </c>
    </row>
    <row r="1941" spans="1:10" x14ac:dyDescent="0.25">
      <c r="A1941" s="1">
        <v>41550</v>
      </c>
      <c r="B1941">
        <v>3.2850799999999998</v>
      </c>
      <c r="C1941">
        <v>4.1550000000000002</v>
      </c>
      <c r="D1941">
        <f>WEEKDAY(A1941,14)</f>
        <v>1</v>
      </c>
      <c r="E1941">
        <f t="shared" si="120"/>
        <v>0</v>
      </c>
      <c r="F1941">
        <f t="shared" si="121"/>
        <v>1</v>
      </c>
      <c r="G1941">
        <f>IF(F1941&gt;F1940,G1940+B1941*E1941,B1941*E1941)</f>
        <v>0</v>
      </c>
      <c r="H1941">
        <f t="shared" si="122"/>
        <v>0</v>
      </c>
      <c r="I1941">
        <f t="shared" si="123"/>
        <v>0</v>
      </c>
      <c r="J1941">
        <f>IF(I1940=0,0,C1940-I1940)</f>
        <v>0.83246199999999959</v>
      </c>
    </row>
    <row r="1942" spans="1:10" x14ac:dyDescent="0.25">
      <c r="A1942" s="1">
        <v>41551</v>
      </c>
      <c r="B1942">
        <v>3.3143899999999999</v>
      </c>
      <c r="C1942">
        <v>4.1550000000000002</v>
      </c>
      <c r="D1942">
        <f>WEEKDAY(A1942,14)</f>
        <v>2</v>
      </c>
      <c r="E1942">
        <f t="shared" si="120"/>
        <v>0</v>
      </c>
      <c r="F1942">
        <f t="shared" si="121"/>
        <v>2</v>
      </c>
      <c r="G1942">
        <f>IF(F1942&gt;F1941,G1941+B1942*E1942,B1942*E1942)</f>
        <v>0</v>
      </c>
      <c r="H1942">
        <f t="shared" si="122"/>
        <v>0</v>
      </c>
      <c r="I1942">
        <f t="shared" si="123"/>
        <v>0</v>
      </c>
      <c r="J1942">
        <f>IF(I1941=0,0,C1941-I1941)</f>
        <v>0</v>
      </c>
    </row>
    <row r="1943" spans="1:10" x14ac:dyDescent="0.25">
      <c r="A1943" s="1">
        <v>41554</v>
      </c>
      <c r="B1943">
        <v>3.3152200000000001</v>
      </c>
      <c r="C1943">
        <v>4.1550000000000002</v>
      </c>
      <c r="D1943">
        <f>WEEKDAY(A1943,14)</f>
        <v>5</v>
      </c>
      <c r="E1943">
        <f t="shared" si="120"/>
        <v>0.05</v>
      </c>
      <c r="F1943">
        <f t="shared" si="121"/>
        <v>3</v>
      </c>
      <c r="G1943">
        <f>IF(F1943&gt;F1942,G1942+B1943*E1943,B1943*E1943)</f>
        <v>0.16576100000000002</v>
      </c>
      <c r="H1943">
        <f t="shared" si="122"/>
        <v>0.05</v>
      </c>
      <c r="I1943">
        <f t="shared" si="123"/>
        <v>0</v>
      </c>
      <c r="J1943">
        <f>IF(I1942=0,0,C1942-I1942)</f>
        <v>0</v>
      </c>
    </row>
    <row r="1944" spans="1:10" x14ac:dyDescent="0.25">
      <c r="A1944" s="1">
        <v>41555</v>
      </c>
      <c r="B1944">
        <v>3.3290099999999998</v>
      </c>
      <c r="C1944">
        <v>4.1550000000000002</v>
      </c>
      <c r="D1944">
        <f>WEEKDAY(A1944,14)</f>
        <v>6</v>
      </c>
      <c r="E1944">
        <f t="shared" si="120"/>
        <v>0.7</v>
      </c>
      <c r="F1944">
        <f t="shared" si="121"/>
        <v>4</v>
      </c>
      <c r="G1944">
        <f>IF(F1944&gt;F1943,G1943+B1944*E1944,B1944*E1944)</f>
        <v>2.4960679999999997</v>
      </c>
      <c r="H1944">
        <f t="shared" si="122"/>
        <v>0.75</v>
      </c>
      <c r="I1944">
        <f t="shared" si="123"/>
        <v>0</v>
      </c>
      <c r="J1944">
        <f>IF(I1943=0,0,C1943-I1943)</f>
        <v>0</v>
      </c>
    </row>
    <row r="1945" spans="1:10" x14ac:dyDescent="0.25">
      <c r="A1945" s="1">
        <v>41556</v>
      </c>
      <c r="B1945">
        <v>3.33121</v>
      </c>
      <c r="C1945">
        <v>4.1550000000000002</v>
      </c>
      <c r="D1945">
        <f>WEEKDAY(A1945,14)</f>
        <v>7</v>
      </c>
      <c r="E1945">
        <f t="shared" si="120"/>
        <v>0.25</v>
      </c>
      <c r="F1945">
        <f t="shared" si="121"/>
        <v>5</v>
      </c>
      <c r="G1945">
        <f>IF(F1945&gt;F1944,G1944+B1945*E1945,B1945*E1945)</f>
        <v>3.3288704999999998</v>
      </c>
      <c r="H1945">
        <f t="shared" si="122"/>
        <v>1</v>
      </c>
      <c r="I1945">
        <f t="shared" si="123"/>
        <v>3.3288704999999998</v>
      </c>
      <c r="J1945">
        <f>IF(I1944=0,0,C1944-I1944)</f>
        <v>0</v>
      </c>
    </row>
    <row r="1946" spans="1:10" x14ac:dyDescent="0.25">
      <c r="A1946" s="1">
        <v>41557</v>
      </c>
      <c r="B1946">
        <v>3.3459300000000001</v>
      </c>
      <c r="C1946">
        <v>4.2050000000000001</v>
      </c>
      <c r="D1946">
        <f>WEEKDAY(A1946,14)</f>
        <v>1</v>
      </c>
      <c r="E1946">
        <f t="shared" si="120"/>
        <v>0</v>
      </c>
      <c r="F1946">
        <f t="shared" si="121"/>
        <v>1</v>
      </c>
      <c r="G1946">
        <f>IF(F1946&gt;F1945,G1945+B1946*E1946,B1946*E1946)</f>
        <v>0</v>
      </c>
      <c r="H1946">
        <f t="shared" si="122"/>
        <v>0</v>
      </c>
      <c r="I1946">
        <f t="shared" si="123"/>
        <v>0</v>
      </c>
      <c r="J1946">
        <f>IF(I1945=0,0,C1945-I1945)</f>
        <v>0.82612950000000041</v>
      </c>
    </row>
    <row r="1947" spans="1:10" x14ac:dyDescent="0.25">
      <c r="A1947" s="1">
        <v>41558</v>
      </c>
      <c r="B1947">
        <v>3.3488799999999999</v>
      </c>
      <c r="C1947">
        <v>4.2050000000000001</v>
      </c>
      <c r="D1947">
        <f>WEEKDAY(A1947,14)</f>
        <v>2</v>
      </c>
      <c r="E1947">
        <f t="shared" si="120"/>
        <v>0</v>
      </c>
      <c r="F1947">
        <f t="shared" si="121"/>
        <v>2</v>
      </c>
      <c r="G1947">
        <f>IF(F1947&gt;F1946,G1946+B1947*E1947,B1947*E1947)</f>
        <v>0</v>
      </c>
      <c r="H1947">
        <f t="shared" si="122"/>
        <v>0</v>
      </c>
      <c r="I1947">
        <f t="shared" si="123"/>
        <v>0</v>
      </c>
      <c r="J1947">
        <f>IF(I1946=0,0,C1946-I1946)</f>
        <v>0</v>
      </c>
    </row>
    <row r="1948" spans="1:10" x14ac:dyDescent="0.25">
      <c r="A1948" s="1">
        <v>41562</v>
      </c>
      <c r="B1948">
        <v>3.3897300000000001</v>
      </c>
      <c r="C1948">
        <v>4.2050000000000001</v>
      </c>
      <c r="D1948">
        <f>WEEKDAY(A1948,14)</f>
        <v>6</v>
      </c>
      <c r="E1948">
        <f t="shared" si="120"/>
        <v>0.7</v>
      </c>
      <c r="F1948">
        <f t="shared" si="121"/>
        <v>3</v>
      </c>
      <c r="G1948">
        <f>IF(F1948&gt;F1947,G1947+B1948*E1948,B1948*E1948)</f>
        <v>2.372811</v>
      </c>
      <c r="H1948">
        <f t="shared" si="122"/>
        <v>0.7</v>
      </c>
      <c r="I1948">
        <f t="shared" si="123"/>
        <v>0</v>
      </c>
      <c r="J1948">
        <f>IF(I1947=0,0,C1947-I1947)</f>
        <v>0</v>
      </c>
    </row>
    <row r="1949" spans="1:10" x14ac:dyDescent="0.25">
      <c r="A1949" s="1">
        <v>41563</v>
      </c>
      <c r="B1949">
        <v>3.3453300000000001</v>
      </c>
      <c r="C1949">
        <v>4.2050000000000001</v>
      </c>
      <c r="D1949">
        <f>WEEKDAY(A1949,14)</f>
        <v>7</v>
      </c>
      <c r="E1949">
        <f t="shared" si="120"/>
        <v>0.25</v>
      </c>
      <c r="F1949">
        <f t="shared" si="121"/>
        <v>4</v>
      </c>
      <c r="G1949">
        <f>IF(F1949&gt;F1948,G1948+B1949*E1949,B1949*E1949)</f>
        <v>3.2091435000000001</v>
      </c>
      <c r="H1949">
        <f t="shared" si="122"/>
        <v>0.95</v>
      </c>
      <c r="I1949">
        <f t="shared" si="123"/>
        <v>3.3780457894736844</v>
      </c>
      <c r="J1949">
        <f>IF(I1948=0,0,C1948-I1948)</f>
        <v>0</v>
      </c>
    </row>
    <row r="1950" spans="1:10" x14ac:dyDescent="0.25">
      <c r="A1950" s="1">
        <v>41564</v>
      </c>
      <c r="B1950">
        <v>3.25461</v>
      </c>
      <c r="C1950">
        <v>4.08</v>
      </c>
      <c r="D1950">
        <f>WEEKDAY(A1950,14)</f>
        <v>1</v>
      </c>
      <c r="E1950">
        <f t="shared" si="120"/>
        <v>0</v>
      </c>
      <c r="F1950">
        <f t="shared" si="121"/>
        <v>1</v>
      </c>
      <c r="G1950">
        <f>IF(F1950&gt;F1949,G1949+B1950*E1950,B1950*E1950)</f>
        <v>0</v>
      </c>
      <c r="H1950">
        <f t="shared" si="122"/>
        <v>0</v>
      </c>
      <c r="I1950">
        <f t="shared" si="123"/>
        <v>0</v>
      </c>
      <c r="J1950">
        <f>IF(I1949=0,0,C1949-I1949)</f>
        <v>0.82695421052631568</v>
      </c>
    </row>
    <row r="1951" spans="1:10" x14ac:dyDescent="0.25">
      <c r="A1951" s="1">
        <v>41565</v>
      </c>
      <c r="B1951">
        <v>3.2585700000000002</v>
      </c>
      <c r="C1951">
        <v>4.08</v>
      </c>
      <c r="D1951">
        <f>WEEKDAY(A1951,14)</f>
        <v>2</v>
      </c>
      <c r="E1951">
        <f t="shared" si="120"/>
        <v>0</v>
      </c>
      <c r="F1951">
        <f t="shared" si="121"/>
        <v>2</v>
      </c>
      <c r="G1951">
        <f>IF(F1951&gt;F1950,G1950+B1951*E1951,B1951*E1951)</f>
        <v>0</v>
      </c>
      <c r="H1951">
        <f t="shared" si="122"/>
        <v>0</v>
      </c>
      <c r="I1951">
        <f t="shared" si="123"/>
        <v>0</v>
      </c>
      <c r="J1951">
        <f>IF(I1950=0,0,C1950-I1950)</f>
        <v>0</v>
      </c>
    </row>
    <row r="1952" spans="1:10" x14ac:dyDescent="0.25">
      <c r="A1952" s="1">
        <v>41568</v>
      </c>
      <c r="B1952">
        <v>3.2809499999999998</v>
      </c>
      <c r="C1952">
        <v>4.08</v>
      </c>
      <c r="D1952">
        <f>WEEKDAY(A1952,14)</f>
        <v>5</v>
      </c>
      <c r="E1952">
        <f t="shared" si="120"/>
        <v>0.05</v>
      </c>
      <c r="F1952">
        <f t="shared" si="121"/>
        <v>3</v>
      </c>
      <c r="G1952">
        <f>IF(F1952&gt;F1951,G1951+B1952*E1952,B1952*E1952)</f>
        <v>0.16404750000000001</v>
      </c>
      <c r="H1952">
        <f t="shared" si="122"/>
        <v>0.05</v>
      </c>
      <c r="I1952">
        <f t="shared" si="123"/>
        <v>0</v>
      </c>
      <c r="J1952">
        <f>IF(I1951=0,0,C1951-I1951)</f>
        <v>0</v>
      </c>
    </row>
    <row r="1953" spans="1:10" x14ac:dyDescent="0.25">
      <c r="A1953" s="1">
        <v>41569</v>
      </c>
      <c r="B1953">
        <v>3.1836600000000002</v>
      </c>
      <c r="C1953">
        <v>4.08</v>
      </c>
      <c r="D1953">
        <f>WEEKDAY(A1953,14)</f>
        <v>6</v>
      </c>
      <c r="E1953">
        <f t="shared" si="120"/>
        <v>0.7</v>
      </c>
      <c r="F1953">
        <f t="shared" si="121"/>
        <v>4</v>
      </c>
      <c r="G1953">
        <f>IF(F1953&gt;F1952,G1952+B1953*E1953,B1953*E1953)</f>
        <v>2.3926095000000003</v>
      </c>
      <c r="H1953">
        <f t="shared" si="122"/>
        <v>0.75</v>
      </c>
      <c r="I1953">
        <f t="shared" si="123"/>
        <v>0</v>
      </c>
      <c r="J1953">
        <f>IF(I1952=0,0,C1952-I1952)</f>
        <v>0</v>
      </c>
    </row>
    <row r="1954" spans="1:10" x14ac:dyDescent="0.25">
      <c r="A1954" s="1">
        <v>41570</v>
      </c>
      <c r="B1954">
        <v>3.1541700000000001</v>
      </c>
      <c r="C1954">
        <v>4.08</v>
      </c>
      <c r="D1954">
        <f>WEEKDAY(A1954,14)</f>
        <v>7</v>
      </c>
      <c r="E1954">
        <f t="shared" si="120"/>
        <v>0.25</v>
      </c>
      <c r="F1954">
        <f t="shared" si="121"/>
        <v>5</v>
      </c>
      <c r="G1954">
        <f>IF(F1954&gt;F1953,G1953+B1954*E1954,B1954*E1954)</f>
        <v>3.1811520000000004</v>
      </c>
      <c r="H1954">
        <f t="shared" si="122"/>
        <v>1</v>
      </c>
      <c r="I1954">
        <f t="shared" si="123"/>
        <v>3.1811520000000004</v>
      </c>
      <c r="J1954">
        <f>IF(I1953=0,0,C1953-I1953)</f>
        <v>0</v>
      </c>
    </row>
    <row r="1955" spans="1:10" x14ac:dyDescent="0.25">
      <c r="A1955" s="1">
        <v>41571</v>
      </c>
      <c r="B1955">
        <v>3.1772300000000002</v>
      </c>
      <c r="C1955">
        <v>4.0250000000000004</v>
      </c>
      <c r="D1955">
        <f>WEEKDAY(A1955,14)</f>
        <v>1</v>
      </c>
      <c r="E1955">
        <f t="shared" si="120"/>
        <v>0</v>
      </c>
      <c r="F1955">
        <f t="shared" si="121"/>
        <v>1</v>
      </c>
      <c r="G1955">
        <f>IF(F1955&gt;F1954,G1954+B1955*E1955,B1955*E1955)</f>
        <v>0</v>
      </c>
      <c r="H1955">
        <f t="shared" si="122"/>
        <v>0</v>
      </c>
      <c r="I1955">
        <f t="shared" si="123"/>
        <v>0</v>
      </c>
      <c r="J1955">
        <f>IF(I1954=0,0,C1954-I1954)</f>
        <v>0.89884799999999965</v>
      </c>
    </row>
    <row r="1956" spans="1:10" x14ac:dyDescent="0.25">
      <c r="A1956" s="1">
        <v>41572</v>
      </c>
      <c r="B1956">
        <v>3.15212</v>
      </c>
      <c r="C1956">
        <v>4.0250000000000004</v>
      </c>
      <c r="D1956">
        <f>WEEKDAY(A1956,14)</f>
        <v>2</v>
      </c>
      <c r="E1956">
        <f t="shared" si="120"/>
        <v>0</v>
      </c>
      <c r="F1956">
        <f t="shared" si="121"/>
        <v>2</v>
      </c>
      <c r="G1956">
        <f>IF(F1956&gt;F1955,G1955+B1956*E1956,B1956*E1956)</f>
        <v>0</v>
      </c>
      <c r="H1956">
        <f t="shared" si="122"/>
        <v>0</v>
      </c>
      <c r="I1956">
        <f t="shared" si="123"/>
        <v>0</v>
      </c>
      <c r="J1956">
        <f>IF(I1955=0,0,C1955-I1955)</f>
        <v>0</v>
      </c>
    </row>
    <row r="1957" spans="1:10" x14ac:dyDescent="0.25">
      <c r="A1957" s="1">
        <v>41575</v>
      </c>
      <c r="B1957">
        <v>3.1593200000000001</v>
      </c>
      <c r="C1957">
        <v>4.0250000000000004</v>
      </c>
      <c r="D1957">
        <f>WEEKDAY(A1957,14)</f>
        <v>5</v>
      </c>
      <c r="E1957">
        <f t="shared" si="120"/>
        <v>0.05</v>
      </c>
      <c r="F1957">
        <f t="shared" si="121"/>
        <v>3</v>
      </c>
      <c r="G1957">
        <f>IF(F1957&gt;F1956,G1956+B1957*E1957,B1957*E1957)</f>
        <v>0.15796600000000002</v>
      </c>
      <c r="H1957">
        <f t="shared" si="122"/>
        <v>0.05</v>
      </c>
      <c r="I1957">
        <f t="shared" si="123"/>
        <v>0</v>
      </c>
      <c r="J1957">
        <f>IF(I1956=0,0,C1956-I1956)</f>
        <v>0</v>
      </c>
    </row>
    <row r="1958" spans="1:10" x14ac:dyDescent="0.25">
      <c r="A1958" s="1">
        <v>41576</v>
      </c>
      <c r="B1958">
        <v>3.1543199999999998</v>
      </c>
      <c r="C1958">
        <v>4.0250000000000004</v>
      </c>
      <c r="D1958">
        <f>WEEKDAY(A1958,14)</f>
        <v>6</v>
      </c>
      <c r="E1958">
        <f t="shared" si="120"/>
        <v>0.7</v>
      </c>
      <c r="F1958">
        <f t="shared" si="121"/>
        <v>4</v>
      </c>
      <c r="G1958">
        <f>IF(F1958&gt;F1957,G1957+B1958*E1958,B1958*E1958)</f>
        <v>2.3659899999999996</v>
      </c>
      <c r="H1958">
        <f t="shared" si="122"/>
        <v>0.75</v>
      </c>
      <c r="I1958">
        <f t="shared" si="123"/>
        <v>0</v>
      </c>
      <c r="J1958">
        <f>IF(I1957=0,0,C1957-I1957)</f>
        <v>0</v>
      </c>
    </row>
    <row r="1959" spans="1:10" x14ac:dyDescent="0.25">
      <c r="A1959" s="1">
        <v>41577</v>
      </c>
      <c r="B1959">
        <v>3.1611400000000001</v>
      </c>
      <c r="C1959">
        <v>4.0250000000000004</v>
      </c>
      <c r="D1959">
        <f>WEEKDAY(A1959,14)</f>
        <v>7</v>
      </c>
      <c r="E1959">
        <f t="shared" si="120"/>
        <v>0.25</v>
      </c>
      <c r="F1959">
        <f t="shared" si="121"/>
        <v>5</v>
      </c>
      <c r="G1959">
        <f>IF(F1959&gt;F1958,G1958+B1959*E1959,B1959*E1959)</f>
        <v>3.1562749999999995</v>
      </c>
      <c r="H1959">
        <f t="shared" si="122"/>
        <v>1</v>
      </c>
      <c r="I1959">
        <f t="shared" si="123"/>
        <v>3.1562749999999995</v>
      </c>
      <c r="J1959">
        <f>IF(I1958=0,0,C1958-I1958)</f>
        <v>0</v>
      </c>
    </row>
    <row r="1960" spans="1:10" x14ac:dyDescent="0.25">
      <c r="A1960" s="1">
        <v>41578</v>
      </c>
      <c r="B1960">
        <v>3.1803599999999999</v>
      </c>
      <c r="C1960">
        <v>4.1100000000000003</v>
      </c>
      <c r="D1960">
        <f>WEEKDAY(A1960,14)</f>
        <v>1</v>
      </c>
      <c r="E1960">
        <f t="shared" si="120"/>
        <v>0</v>
      </c>
      <c r="F1960">
        <f t="shared" si="121"/>
        <v>1</v>
      </c>
      <c r="G1960">
        <f>IF(F1960&gt;F1959,G1959+B1960*E1960,B1960*E1960)</f>
        <v>0</v>
      </c>
      <c r="H1960">
        <f t="shared" si="122"/>
        <v>0</v>
      </c>
      <c r="I1960">
        <f t="shared" si="123"/>
        <v>0</v>
      </c>
      <c r="J1960">
        <f>IF(I1959=0,0,C1959-I1959)</f>
        <v>0.86872500000000086</v>
      </c>
    </row>
    <row r="1961" spans="1:10" x14ac:dyDescent="0.25">
      <c r="A1961" s="1">
        <v>41579</v>
      </c>
      <c r="B1961">
        <v>3.25928</v>
      </c>
      <c r="C1961">
        <v>4.1100000000000003</v>
      </c>
      <c r="D1961">
        <f>WEEKDAY(A1961,14)</f>
        <v>2</v>
      </c>
      <c r="E1961">
        <f t="shared" si="120"/>
        <v>0</v>
      </c>
      <c r="F1961">
        <f t="shared" si="121"/>
        <v>2</v>
      </c>
      <c r="G1961">
        <f>IF(F1961&gt;F1960,G1960+B1961*E1961,B1961*E1961)</f>
        <v>0</v>
      </c>
      <c r="H1961">
        <f t="shared" si="122"/>
        <v>0</v>
      </c>
      <c r="I1961">
        <f t="shared" si="123"/>
        <v>0</v>
      </c>
      <c r="J1961">
        <f>IF(I1960=0,0,C1960-I1960)</f>
        <v>0</v>
      </c>
    </row>
    <row r="1962" spans="1:10" x14ac:dyDescent="0.25">
      <c r="A1962" s="1">
        <v>41582</v>
      </c>
      <c r="B1962">
        <v>3.2387600000000001</v>
      </c>
      <c r="C1962">
        <v>4.1100000000000003</v>
      </c>
      <c r="D1962">
        <f>WEEKDAY(A1962,14)</f>
        <v>5</v>
      </c>
      <c r="E1962">
        <f t="shared" si="120"/>
        <v>0.05</v>
      </c>
      <c r="F1962">
        <f t="shared" si="121"/>
        <v>3</v>
      </c>
      <c r="G1962">
        <f>IF(F1962&gt;F1961,G1961+B1962*E1962,B1962*E1962)</f>
        <v>0.16193800000000003</v>
      </c>
      <c r="H1962">
        <f t="shared" si="122"/>
        <v>0.05</v>
      </c>
      <c r="I1962">
        <f t="shared" si="123"/>
        <v>0</v>
      </c>
      <c r="J1962">
        <f>IF(I1961=0,0,C1961-I1961)</f>
        <v>0</v>
      </c>
    </row>
    <row r="1963" spans="1:10" x14ac:dyDescent="0.25">
      <c r="A1963" s="1">
        <v>41583</v>
      </c>
      <c r="B1963">
        <v>3.3120099999999999</v>
      </c>
      <c r="C1963">
        <v>4.1100000000000003</v>
      </c>
      <c r="D1963">
        <f>WEEKDAY(A1963,14)</f>
        <v>6</v>
      </c>
      <c r="E1963">
        <f t="shared" si="120"/>
        <v>0.7</v>
      </c>
      <c r="F1963">
        <f t="shared" si="121"/>
        <v>4</v>
      </c>
      <c r="G1963">
        <f>IF(F1963&gt;F1962,G1962+B1963*E1963,B1963*E1963)</f>
        <v>2.4803449999999998</v>
      </c>
      <c r="H1963">
        <f t="shared" si="122"/>
        <v>0.75</v>
      </c>
      <c r="I1963">
        <f t="shared" si="123"/>
        <v>0</v>
      </c>
      <c r="J1963">
        <f>IF(I1962=0,0,C1962-I1962)</f>
        <v>0</v>
      </c>
    </row>
    <row r="1964" spans="1:10" x14ac:dyDescent="0.25">
      <c r="A1964" s="1">
        <v>41584</v>
      </c>
      <c r="B1964">
        <v>3.2997299999999998</v>
      </c>
      <c r="C1964">
        <v>4.1100000000000003</v>
      </c>
      <c r="D1964">
        <f>WEEKDAY(A1964,14)</f>
        <v>7</v>
      </c>
      <c r="E1964">
        <f t="shared" si="120"/>
        <v>0.25</v>
      </c>
      <c r="F1964">
        <f t="shared" si="121"/>
        <v>5</v>
      </c>
      <c r="G1964">
        <f>IF(F1964&gt;F1963,G1963+B1964*E1964,B1964*E1964)</f>
        <v>3.3052774999999999</v>
      </c>
      <c r="H1964">
        <f t="shared" si="122"/>
        <v>1</v>
      </c>
      <c r="I1964">
        <f t="shared" si="123"/>
        <v>3.3052774999999999</v>
      </c>
      <c r="J1964">
        <f>IF(I1963=0,0,C1963-I1963)</f>
        <v>0</v>
      </c>
    </row>
    <row r="1965" spans="1:10" x14ac:dyDescent="0.25">
      <c r="A1965" s="1">
        <v>41585</v>
      </c>
      <c r="B1965">
        <v>3.2915299999999998</v>
      </c>
      <c r="C1965">
        <v>4.2750000000000004</v>
      </c>
      <c r="D1965">
        <f>WEEKDAY(A1965,14)</f>
        <v>1</v>
      </c>
      <c r="E1965">
        <f t="shared" si="120"/>
        <v>0</v>
      </c>
      <c r="F1965">
        <f t="shared" si="121"/>
        <v>1</v>
      </c>
      <c r="G1965">
        <f>IF(F1965&gt;F1964,G1964+B1965*E1965,B1965*E1965)</f>
        <v>0</v>
      </c>
      <c r="H1965">
        <f t="shared" si="122"/>
        <v>0</v>
      </c>
      <c r="I1965">
        <f t="shared" si="123"/>
        <v>0</v>
      </c>
      <c r="J1965">
        <f>IF(I1964=0,0,C1964-I1964)</f>
        <v>0.80472250000000045</v>
      </c>
    </row>
    <row r="1966" spans="1:10" x14ac:dyDescent="0.25">
      <c r="A1966" s="1">
        <v>41586</v>
      </c>
      <c r="B1966">
        <v>3.4185300000000001</v>
      </c>
      <c r="C1966">
        <v>4.2750000000000004</v>
      </c>
      <c r="D1966">
        <f>WEEKDAY(A1966,14)</f>
        <v>2</v>
      </c>
      <c r="E1966">
        <f t="shared" si="120"/>
        <v>0</v>
      </c>
      <c r="F1966">
        <f t="shared" si="121"/>
        <v>2</v>
      </c>
      <c r="G1966">
        <f>IF(F1966&gt;F1965,G1965+B1966*E1966,B1966*E1966)</f>
        <v>0</v>
      </c>
      <c r="H1966">
        <f t="shared" si="122"/>
        <v>0</v>
      </c>
      <c r="I1966">
        <f t="shared" si="123"/>
        <v>0</v>
      </c>
      <c r="J1966">
        <f>IF(I1965=0,0,C1965-I1965)</f>
        <v>0</v>
      </c>
    </row>
    <row r="1967" spans="1:10" x14ac:dyDescent="0.25">
      <c r="A1967" s="1">
        <v>41590</v>
      </c>
      <c r="B1967">
        <v>3.42394</v>
      </c>
      <c r="C1967">
        <v>4.2750000000000004</v>
      </c>
      <c r="D1967">
        <f>WEEKDAY(A1967,14)</f>
        <v>6</v>
      </c>
      <c r="E1967">
        <f t="shared" si="120"/>
        <v>0.7</v>
      </c>
      <c r="F1967">
        <f t="shared" si="121"/>
        <v>3</v>
      </c>
      <c r="G1967">
        <f>IF(F1967&gt;F1966,G1966+B1967*E1967,B1967*E1967)</f>
        <v>2.3967579999999997</v>
      </c>
      <c r="H1967">
        <f t="shared" si="122"/>
        <v>0.7</v>
      </c>
      <c r="I1967">
        <f t="shared" si="123"/>
        <v>0</v>
      </c>
      <c r="J1967">
        <f>IF(I1966=0,0,C1966-I1966)</f>
        <v>0</v>
      </c>
    </row>
    <row r="1968" spans="1:10" x14ac:dyDescent="0.25">
      <c r="A1968" s="1">
        <v>41591</v>
      </c>
      <c r="B1968">
        <v>3.3863300000000001</v>
      </c>
      <c r="C1968">
        <v>4.2750000000000004</v>
      </c>
      <c r="D1968">
        <f>WEEKDAY(A1968,14)</f>
        <v>7</v>
      </c>
      <c r="E1968">
        <f t="shared" si="120"/>
        <v>0.25</v>
      </c>
      <c r="F1968">
        <f t="shared" si="121"/>
        <v>4</v>
      </c>
      <c r="G1968">
        <f>IF(F1968&gt;F1967,G1967+B1968*E1968,B1968*E1968)</f>
        <v>3.2433404999999995</v>
      </c>
      <c r="H1968">
        <f t="shared" si="122"/>
        <v>0.95</v>
      </c>
      <c r="I1968">
        <f t="shared" si="123"/>
        <v>3.4140426315789472</v>
      </c>
      <c r="J1968">
        <f>IF(I1967=0,0,C1967-I1967)</f>
        <v>0</v>
      </c>
    </row>
    <row r="1969" spans="1:10" x14ac:dyDescent="0.25">
      <c r="A1969" s="1">
        <v>41592</v>
      </c>
      <c r="B1969">
        <v>3.3344</v>
      </c>
      <c r="C1969">
        <v>4.1449999999999996</v>
      </c>
      <c r="D1969">
        <f>WEEKDAY(A1969,14)</f>
        <v>1</v>
      </c>
      <c r="E1969">
        <f t="shared" si="120"/>
        <v>0</v>
      </c>
      <c r="F1969">
        <f t="shared" si="121"/>
        <v>1</v>
      </c>
      <c r="G1969">
        <f>IF(F1969&gt;F1968,G1968+B1969*E1969,B1969*E1969)</f>
        <v>0</v>
      </c>
      <c r="H1969">
        <f t="shared" si="122"/>
        <v>0</v>
      </c>
      <c r="I1969">
        <f t="shared" si="123"/>
        <v>0</v>
      </c>
      <c r="J1969">
        <f>IF(I1968=0,0,C1968-I1968)</f>
        <v>0.86095736842105319</v>
      </c>
    </row>
    <row r="1970" spans="1:10" x14ac:dyDescent="0.25">
      <c r="A1970" s="1">
        <v>41593</v>
      </c>
      <c r="B1970">
        <v>3.3275000000000001</v>
      </c>
      <c r="C1970">
        <v>4.1449999999999996</v>
      </c>
      <c r="D1970">
        <f>WEEKDAY(A1970,14)</f>
        <v>2</v>
      </c>
      <c r="E1970">
        <f t="shared" si="120"/>
        <v>0</v>
      </c>
      <c r="F1970">
        <f t="shared" si="121"/>
        <v>2</v>
      </c>
      <c r="G1970">
        <f>IF(F1970&gt;F1969,G1969+B1970*E1970,B1970*E1970)</f>
        <v>0</v>
      </c>
      <c r="H1970">
        <f t="shared" si="122"/>
        <v>0</v>
      </c>
      <c r="I1970">
        <f t="shared" si="123"/>
        <v>0</v>
      </c>
      <c r="J1970">
        <f>IF(I1969=0,0,C1969-I1969)</f>
        <v>0</v>
      </c>
    </row>
    <row r="1971" spans="1:10" x14ac:dyDescent="0.25">
      <c r="A1971" s="1">
        <v>41596</v>
      </c>
      <c r="B1971">
        <v>3.2892199999999998</v>
      </c>
      <c r="C1971">
        <v>4.1449999999999996</v>
      </c>
      <c r="D1971">
        <f>WEEKDAY(A1971,14)</f>
        <v>5</v>
      </c>
      <c r="E1971">
        <f t="shared" si="120"/>
        <v>0.05</v>
      </c>
      <c r="F1971">
        <f t="shared" si="121"/>
        <v>3</v>
      </c>
      <c r="G1971">
        <f>IF(F1971&gt;F1970,G1970+B1971*E1971,B1971*E1971)</f>
        <v>0.164461</v>
      </c>
      <c r="H1971">
        <f t="shared" si="122"/>
        <v>0.05</v>
      </c>
      <c r="I1971">
        <f t="shared" si="123"/>
        <v>0</v>
      </c>
      <c r="J1971">
        <f>IF(I1970=0,0,C1970-I1970)</f>
        <v>0</v>
      </c>
    </row>
    <row r="1972" spans="1:10" x14ac:dyDescent="0.25">
      <c r="A1972" s="1">
        <v>41598</v>
      </c>
      <c r="B1972">
        <v>3.3953899999999999</v>
      </c>
      <c r="C1972">
        <v>4.1449999999999996</v>
      </c>
      <c r="D1972">
        <f>WEEKDAY(A1972,14)</f>
        <v>7</v>
      </c>
      <c r="E1972">
        <f t="shared" si="120"/>
        <v>0.25</v>
      </c>
      <c r="F1972">
        <f t="shared" si="121"/>
        <v>4</v>
      </c>
      <c r="G1972">
        <f>IF(F1972&gt;F1971,G1971+B1972*E1972,B1972*E1972)</f>
        <v>1.0133084999999999</v>
      </c>
      <c r="H1972">
        <f t="shared" si="122"/>
        <v>0.3</v>
      </c>
      <c r="I1972">
        <f t="shared" si="123"/>
        <v>3.3776950000000001</v>
      </c>
      <c r="J1972">
        <f>IF(I1971=0,0,C1971-I1971)</f>
        <v>0</v>
      </c>
    </row>
    <row r="1973" spans="1:10" x14ac:dyDescent="0.25">
      <c r="A1973" s="1">
        <v>41599</v>
      </c>
      <c r="B1973">
        <v>3.3902199999999998</v>
      </c>
      <c r="C1973">
        <v>4.2149999999999999</v>
      </c>
      <c r="D1973">
        <f>WEEKDAY(A1973,14)</f>
        <v>1</v>
      </c>
      <c r="E1973">
        <f t="shared" si="120"/>
        <v>0</v>
      </c>
      <c r="F1973">
        <f t="shared" si="121"/>
        <v>1</v>
      </c>
      <c r="G1973">
        <f>IF(F1973&gt;F1972,G1972+B1973*E1973,B1973*E1973)</f>
        <v>0</v>
      </c>
      <c r="H1973">
        <f t="shared" si="122"/>
        <v>0</v>
      </c>
      <c r="I1973">
        <f t="shared" si="123"/>
        <v>0</v>
      </c>
      <c r="J1973">
        <f>IF(I1972=0,0,C1972-I1972)</f>
        <v>0.76730499999999946</v>
      </c>
    </row>
    <row r="1974" spans="1:10" x14ac:dyDescent="0.25">
      <c r="A1974" s="1">
        <v>41600</v>
      </c>
      <c r="B1974">
        <v>3.3765700000000001</v>
      </c>
      <c r="C1974">
        <v>4.2149999999999999</v>
      </c>
      <c r="D1974">
        <f>WEEKDAY(A1974,14)</f>
        <v>2</v>
      </c>
      <c r="E1974">
        <f t="shared" si="120"/>
        <v>0</v>
      </c>
      <c r="F1974">
        <f t="shared" si="121"/>
        <v>2</v>
      </c>
      <c r="G1974">
        <f>IF(F1974&gt;F1973,G1973+B1974*E1974,B1974*E1974)</f>
        <v>0</v>
      </c>
      <c r="H1974">
        <f t="shared" si="122"/>
        <v>0</v>
      </c>
      <c r="I1974">
        <f t="shared" si="123"/>
        <v>0</v>
      </c>
      <c r="J1974">
        <f>IF(I1973=0,0,C1973-I1973)</f>
        <v>0</v>
      </c>
    </row>
    <row r="1975" spans="1:10" x14ac:dyDescent="0.25">
      <c r="A1975" s="1">
        <v>41611</v>
      </c>
      <c r="B1975">
        <v>3.4820099999999998</v>
      </c>
      <c r="C1975">
        <v>4.2149999999999999</v>
      </c>
      <c r="D1975">
        <f>WEEKDAY(A1975,14)</f>
        <v>6</v>
      </c>
      <c r="E1975">
        <f t="shared" si="120"/>
        <v>0.7</v>
      </c>
      <c r="F1975">
        <f t="shared" si="121"/>
        <v>3</v>
      </c>
      <c r="G1975">
        <f>IF(F1975&gt;F1974,G1974+B1975*E1975,B1975*E1975)</f>
        <v>2.4374069999999999</v>
      </c>
      <c r="H1975">
        <f t="shared" si="122"/>
        <v>0.7</v>
      </c>
      <c r="I1975">
        <f t="shared" si="123"/>
        <v>0</v>
      </c>
      <c r="J1975">
        <f>IF(I1974=0,0,C1974-I1974)</f>
        <v>0</v>
      </c>
    </row>
    <row r="1976" spans="1:10" x14ac:dyDescent="0.25">
      <c r="A1976" s="1">
        <v>41612</v>
      </c>
      <c r="B1976">
        <v>3.53796</v>
      </c>
      <c r="C1976">
        <v>4.2149999999999999</v>
      </c>
      <c r="D1976">
        <f>WEEKDAY(A1976,14)</f>
        <v>7</v>
      </c>
      <c r="E1976">
        <f t="shared" si="120"/>
        <v>0.25</v>
      </c>
      <c r="F1976">
        <f t="shared" si="121"/>
        <v>4</v>
      </c>
      <c r="G1976">
        <f>IF(F1976&gt;F1975,G1975+B1976*E1976,B1976*E1976)</f>
        <v>3.3218969999999999</v>
      </c>
      <c r="H1976">
        <f t="shared" si="122"/>
        <v>0.95</v>
      </c>
      <c r="I1976">
        <f t="shared" si="123"/>
        <v>3.4967336842105263</v>
      </c>
      <c r="J1976">
        <f>IF(I1975=0,0,C1975-I1975)</f>
        <v>0</v>
      </c>
    </row>
    <row r="1977" spans="1:10" x14ac:dyDescent="0.25">
      <c r="A1977" s="1">
        <v>41613</v>
      </c>
      <c r="B1977">
        <v>3.55213</v>
      </c>
      <c r="C1977">
        <v>4.3449999999999998</v>
      </c>
      <c r="D1977">
        <f>WEEKDAY(A1977,14)</f>
        <v>1</v>
      </c>
      <c r="E1977">
        <f t="shared" si="120"/>
        <v>0</v>
      </c>
      <c r="F1977">
        <f t="shared" si="121"/>
        <v>1</v>
      </c>
      <c r="G1977">
        <f>IF(F1977&gt;F1976,G1976+B1977*E1977,B1977*E1977)</f>
        <v>0</v>
      </c>
      <c r="H1977">
        <f t="shared" si="122"/>
        <v>0</v>
      </c>
      <c r="I1977">
        <f t="shared" si="123"/>
        <v>0</v>
      </c>
      <c r="J1977">
        <f>IF(I1976=0,0,C1976-I1976)</f>
        <v>0.71826631578947353</v>
      </c>
    </row>
    <row r="1978" spans="1:10" x14ac:dyDescent="0.25">
      <c r="A1978" s="1">
        <v>41614</v>
      </c>
      <c r="B1978">
        <v>3.5357699999999999</v>
      </c>
      <c r="C1978">
        <v>4.3449999999999998</v>
      </c>
      <c r="D1978">
        <f>WEEKDAY(A1978,14)</f>
        <v>2</v>
      </c>
      <c r="E1978">
        <f t="shared" si="120"/>
        <v>0</v>
      </c>
      <c r="F1978">
        <f t="shared" si="121"/>
        <v>2</v>
      </c>
      <c r="G1978">
        <f>IF(F1978&gt;F1977,G1977+B1978*E1978,B1978*E1978)</f>
        <v>0</v>
      </c>
      <c r="H1978">
        <f t="shared" si="122"/>
        <v>0</v>
      </c>
      <c r="I1978">
        <f t="shared" si="123"/>
        <v>0</v>
      </c>
      <c r="J1978">
        <f>IF(I1977=0,0,C1977-I1977)</f>
        <v>0</v>
      </c>
    </row>
    <row r="1979" spans="1:10" x14ac:dyDescent="0.25">
      <c r="A1979" s="1">
        <v>41617</v>
      </c>
      <c r="B1979">
        <v>3.5044900000000001</v>
      </c>
      <c r="C1979">
        <v>4.3449999999999998</v>
      </c>
      <c r="D1979">
        <f>WEEKDAY(A1979,14)</f>
        <v>5</v>
      </c>
      <c r="E1979">
        <f t="shared" si="120"/>
        <v>0.05</v>
      </c>
      <c r="F1979">
        <f t="shared" si="121"/>
        <v>3</v>
      </c>
      <c r="G1979">
        <f>IF(F1979&gt;F1978,G1978+B1979*E1979,B1979*E1979)</f>
        <v>0.17522450000000001</v>
      </c>
      <c r="H1979">
        <f t="shared" si="122"/>
        <v>0.05</v>
      </c>
      <c r="I1979">
        <f t="shared" si="123"/>
        <v>0</v>
      </c>
      <c r="J1979">
        <f>IF(I1978=0,0,C1978-I1978)</f>
        <v>0</v>
      </c>
    </row>
    <row r="1980" spans="1:10" x14ac:dyDescent="0.25">
      <c r="A1980" s="1">
        <v>41618</v>
      </c>
      <c r="B1980">
        <v>3.4647600000000001</v>
      </c>
      <c r="C1980">
        <v>4.3449999999999998</v>
      </c>
      <c r="D1980">
        <f>WEEKDAY(A1980,14)</f>
        <v>6</v>
      </c>
      <c r="E1980">
        <f t="shared" si="120"/>
        <v>0.7</v>
      </c>
      <c r="F1980">
        <f t="shared" si="121"/>
        <v>4</v>
      </c>
      <c r="G1980">
        <f>IF(F1980&gt;F1979,G1979+B1980*E1980,B1980*E1980)</f>
        <v>2.6005565000000002</v>
      </c>
      <c r="H1980">
        <f t="shared" si="122"/>
        <v>0.75</v>
      </c>
      <c r="I1980">
        <f t="shared" si="123"/>
        <v>0</v>
      </c>
      <c r="J1980">
        <f>IF(I1979=0,0,C1979-I1979)</f>
        <v>0</v>
      </c>
    </row>
    <row r="1981" spans="1:10" x14ac:dyDescent="0.25">
      <c r="A1981" s="1">
        <v>41619</v>
      </c>
      <c r="B1981">
        <v>3.5156900000000002</v>
      </c>
      <c r="C1981">
        <v>4.3449999999999998</v>
      </c>
      <c r="D1981">
        <f>WEEKDAY(A1981,14)</f>
        <v>7</v>
      </c>
      <c r="E1981">
        <f t="shared" si="120"/>
        <v>0.25</v>
      </c>
      <c r="F1981">
        <f t="shared" si="121"/>
        <v>5</v>
      </c>
      <c r="G1981">
        <f>IF(F1981&gt;F1980,G1980+B1981*E1981,B1981*E1981)</f>
        <v>3.4794790000000004</v>
      </c>
      <c r="H1981">
        <f t="shared" si="122"/>
        <v>1</v>
      </c>
      <c r="I1981">
        <f t="shared" si="123"/>
        <v>3.4794790000000004</v>
      </c>
      <c r="J1981">
        <f>IF(I1980=0,0,C1980-I1980)</f>
        <v>0</v>
      </c>
    </row>
    <row r="1982" spans="1:10" x14ac:dyDescent="0.25">
      <c r="A1982" s="1">
        <v>41620</v>
      </c>
      <c r="B1982">
        <v>3.5427499999999998</v>
      </c>
      <c r="C1982">
        <v>4.3949999999999996</v>
      </c>
      <c r="D1982">
        <f>WEEKDAY(A1982,14)</f>
        <v>1</v>
      </c>
      <c r="E1982">
        <f t="shared" si="120"/>
        <v>0</v>
      </c>
      <c r="F1982">
        <f t="shared" si="121"/>
        <v>1</v>
      </c>
      <c r="G1982">
        <f>IF(F1982&gt;F1981,G1981+B1982*E1982,B1982*E1982)</f>
        <v>0</v>
      </c>
      <c r="H1982">
        <f t="shared" si="122"/>
        <v>0</v>
      </c>
      <c r="I1982">
        <f t="shared" si="123"/>
        <v>0</v>
      </c>
      <c r="J1982">
        <f>IF(I1981=0,0,C1981-I1981)</f>
        <v>0.86552099999999932</v>
      </c>
    </row>
    <row r="1983" spans="1:10" x14ac:dyDescent="0.25">
      <c r="A1983" s="1">
        <v>41621</v>
      </c>
      <c r="B1983">
        <v>3.5291000000000001</v>
      </c>
      <c r="C1983">
        <v>4.3949999999999996</v>
      </c>
      <c r="D1983">
        <f>WEEKDAY(A1983,14)</f>
        <v>2</v>
      </c>
      <c r="E1983">
        <f t="shared" si="120"/>
        <v>0</v>
      </c>
      <c r="F1983">
        <f t="shared" si="121"/>
        <v>2</v>
      </c>
      <c r="G1983">
        <f>IF(F1983&gt;F1982,G1982+B1983*E1983,B1983*E1983)</f>
        <v>0</v>
      </c>
      <c r="H1983">
        <f t="shared" si="122"/>
        <v>0</v>
      </c>
      <c r="I1983">
        <f t="shared" si="123"/>
        <v>0</v>
      </c>
      <c r="J1983">
        <f>IF(I1982=0,0,C1982-I1982)</f>
        <v>0</v>
      </c>
    </row>
    <row r="1984" spans="1:10" x14ac:dyDescent="0.25">
      <c r="A1984" s="1">
        <v>41624</v>
      </c>
      <c r="B1984">
        <v>3.5307200000000001</v>
      </c>
      <c r="C1984">
        <v>4.3949999999999996</v>
      </c>
      <c r="D1984">
        <f>WEEKDAY(A1984,14)</f>
        <v>5</v>
      </c>
      <c r="E1984">
        <f t="shared" si="120"/>
        <v>0.05</v>
      </c>
      <c r="F1984">
        <f t="shared" si="121"/>
        <v>3</v>
      </c>
      <c r="G1984">
        <f>IF(F1984&gt;F1983,G1983+B1984*E1984,B1984*E1984)</f>
        <v>0.17653600000000003</v>
      </c>
      <c r="H1984">
        <f t="shared" si="122"/>
        <v>0.05</v>
      </c>
      <c r="I1984">
        <f t="shared" si="123"/>
        <v>0</v>
      </c>
      <c r="J1984">
        <f>IF(I1983=0,0,C1983-I1983)</f>
        <v>0</v>
      </c>
    </row>
    <row r="1985" spans="1:10" x14ac:dyDescent="0.25">
      <c r="A1985" s="1">
        <v>41625</v>
      </c>
      <c r="B1985">
        <v>3.4998900000000002</v>
      </c>
      <c r="C1985">
        <v>4.3949999999999996</v>
      </c>
      <c r="D1985">
        <f>WEEKDAY(A1985,14)</f>
        <v>6</v>
      </c>
      <c r="E1985">
        <f t="shared" si="120"/>
        <v>0.7</v>
      </c>
      <c r="F1985">
        <f t="shared" si="121"/>
        <v>4</v>
      </c>
      <c r="G1985">
        <f>IF(F1985&gt;F1984,G1984+B1985*E1985,B1985*E1985)</f>
        <v>2.6264590000000001</v>
      </c>
      <c r="H1985">
        <f t="shared" si="122"/>
        <v>0.75</v>
      </c>
      <c r="I1985">
        <f t="shared" si="123"/>
        <v>0</v>
      </c>
      <c r="J1985">
        <f>IF(I1984=0,0,C1984-I1984)</f>
        <v>0</v>
      </c>
    </row>
    <row r="1986" spans="1:10" x14ac:dyDescent="0.25">
      <c r="A1986" s="1">
        <v>41626</v>
      </c>
      <c r="B1986">
        <v>3.5422799999999999</v>
      </c>
      <c r="C1986">
        <v>4.3949999999999996</v>
      </c>
      <c r="D1986">
        <f>WEEKDAY(A1986,14)</f>
        <v>7</v>
      </c>
      <c r="E1986">
        <f t="shared" si="120"/>
        <v>0.25</v>
      </c>
      <c r="F1986">
        <f t="shared" si="121"/>
        <v>5</v>
      </c>
      <c r="G1986">
        <f>IF(F1986&gt;F1985,G1985+B1986*E1986,B1986*E1986)</f>
        <v>3.5120290000000001</v>
      </c>
      <c r="H1986">
        <f t="shared" si="122"/>
        <v>1</v>
      </c>
      <c r="I1986">
        <f t="shared" si="123"/>
        <v>3.5120290000000001</v>
      </c>
      <c r="J1986">
        <f>IF(I1985=0,0,C1985-I1985)</f>
        <v>0</v>
      </c>
    </row>
    <row r="1987" spans="1:10" x14ac:dyDescent="0.25">
      <c r="A1987" s="1">
        <v>41627</v>
      </c>
      <c r="B1987">
        <v>3.5894599999999999</v>
      </c>
      <c r="C1987">
        <v>4.4050000000000002</v>
      </c>
      <c r="D1987">
        <f>WEEKDAY(A1987,14)</f>
        <v>1</v>
      </c>
      <c r="E1987">
        <f t="shared" ref="E1987:E2050" si="124">VLOOKUP(D1987,M$2:N$8,2,FALSE)</f>
        <v>0</v>
      </c>
      <c r="F1987">
        <f t="shared" ref="F1987:F2050" si="125">IF(AND(D1987&gt;D1986,F1986&lt;6),F1986+1,1)</f>
        <v>1</v>
      </c>
      <c r="G1987">
        <f>IF(F1987&gt;F1986,G1986+B1987*E1987,B1987*E1987)</f>
        <v>0</v>
      </c>
      <c r="H1987">
        <f t="shared" si="122"/>
        <v>0</v>
      </c>
      <c r="I1987">
        <f t="shared" si="123"/>
        <v>0</v>
      </c>
      <c r="J1987">
        <f>IF(I1986=0,0,C1986-I1986)</f>
        <v>0.88297099999999951</v>
      </c>
    </row>
    <row r="1988" spans="1:10" x14ac:dyDescent="0.25">
      <c r="A1988" s="1">
        <v>41628</v>
      </c>
      <c r="B1988">
        <v>3.5207199999999998</v>
      </c>
      <c r="C1988">
        <v>4.4050000000000002</v>
      </c>
      <c r="D1988">
        <f>WEEKDAY(A1988,14)</f>
        <v>2</v>
      </c>
      <c r="E1988">
        <f t="shared" si="124"/>
        <v>0</v>
      </c>
      <c r="F1988">
        <f t="shared" si="125"/>
        <v>2</v>
      </c>
      <c r="G1988">
        <f>IF(F1988&gt;F1987,G1987+B1988*E1988,B1988*E1988)</f>
        <v>0</v>
      </c>
      <c r="H1988">
        <f t="shared" ref="H1988:H2051" si="126">IF(AND(F1988&lt;6,F1988&gt;F1987),E1988+H1987,E1988)</f>
        <v>0</v>
      </c>
      <c r="I1988">
        <f t="shared" ref="I1988:I2051" si="127">IF(F1988&gt;F1989,G1988/H1988,0)</f>
        <v>0</v>
      </c>
      <c r="J1988">
        <f>IF(I1987=0,0,C1987-I1987)</f>
        <v>0</v>
      </c>
    </row>
    <row r="1989" spans="1:10" x14ac:dyDescent="0.25">
      <c r="A1989" s="1">
        <v>41631</v>
      </c>
      <c r="B1989">
        <v>3.5422500000000001</v>
      </c>
      <c r="C1989">
        <v>4.4050000000000002</v>
      </c>
      <c r="D1989">
        <f>WEEKDAY(A1989,14)</f>
        <v>5</v>
      </c>
      <c r="E1989">
        <f t="shared" si="124"/>
        <v>0.05</v>
      </c>
      <c r="F1989">
        <f t="shared" si="125"/>
        <v>3</v>
      </c>
      <c r="G1989">
        <f>IF(F1989&gt;F1988,G1988+B1989*E1989,B1989*E1989)</f>
        <v>0.17711250000000001</v>
      </c>
      <c r="H1989">
        <f t="shared" si="126"/>
        <v>0.05</v>
      </c>
      <c r="I1989">
        <f t="shared" si="127"/>
        <v>0</v>
      </c>
      <c r="J1989">
        <f>IF(I1988=0,0,C1988-I1988)</f>
        <v>0</v>
      </c>
    </row>
    <row r="1990" spans="1:10" x14ac:dyDescent="0.25">
      <c r="A1990" s="1">
        <v>41632</v>
      </c>
      <c r="B1990">
        <v>3.6100599999999998</v>
      </c>
      <c r="C1990">
        <v>4.4050000000000002</v>
      </c>
      <c r="D1990">
        <f>WEEKDAY(A1990,14)</f>
        <v>6</v>
      </c>
      <c r="E1990">
        <f t="shared" si="124"/>
        <v>0.7</v>
      </c>
      <c r="F1990">
        <f t="shared" si="125"/>
        <v>4</v>
      </c>
      <c r="G1990">
        <f>IF(F1990&gt;F1989,G1989+B1990*E1990,B1990*E1990)</f>
        <v>2.7041544999999996</v>
      </c>
      <c r="H1990">
        <f t="shared" si="126"/>
        <v>0.75</v>
      </c>
      <c r="I1990">
        <f t="shared" si="127"/>
        <v>3.6055393333333328</v>
      </c>
      <c r="J1990">
        <f>IF(I1989=0,0,C1989-I1989)</f>
        <v>0</v>
      </c>
    </row>
    <row r="1991" spans="1:10" x14ac:dyDescent="0.25">
      <c r="A1991" s="1">
        <v>41634</v>
      </c>
      <c r="B1991">
        <v>3.6110799999999998</v>
      </c>
      <c r="C1991">
        <v>4.4800000000000004</v>
      </c>
      <c r="D1991">
        <f>WEEKDAY(A1991,14)</f>
        <v>1</v>
      </c>
      <c r="E1991">
        <f t="shared" si="124"/>
        <v>0</v>
      </c>
      <c r="F1991">
        <f t="shared" si="125"/>
        <v>1</v>
      </c>
      <c r="G1991">
        <f>IF(F1991&gt;F1990,G1990+B1991*E1991,B1991*E1991)</f>
        <v>0</v>
      </c>
      <c r="H1991">
        <f t="shared" si="126"/>
        <v>0</v>
      </c>
      <c r="I1991">
        <f t="shared" si="127"/>
        <v>0</v>
      </c>
      <c r="J1991">
        <f>IF(I1990=0,0,C1990-I1990)</f>
        <v>0.79946066666666749</v>
      </c>
    </row>
    <row r="1992" spans="1:10" x14ac:dyDescent="0.25">
      <c r="A1992" s="1">
        <v>41635</v>
      </c>
      <c r="B1992">
        <v>3.6093799999999998</v>
      </c>
      <c r="C1992">
        <v>4.4800000000000004</v>
      </c>
      <c r="D1992">
        <f>WEEKDAY(A1992,14)</f>
        <v>2</v>
      </c>
      <c r="E1992">
        <f t="shared" si="124"/>
        <v>0</v>
      </c>
      <c r="F1992">
        <f t="shared" si="125"/>
        <v>2</v>
      </c>
      <c r="G1992">
        <f>IF(F1992&gt;F1991,G1991+B1992*E1992,B1992*E1992)</f>
        <v>0</v>
      </c>
      <c r="H1992">
        <f t="shared" si="126"/>
        <v>0</v>
      </c>
      <c r="I1992">
        <f t="shared" si="127"/>
        <v>0</v>
      </c>
      <c r="J1992">
        <f>IF(I1991=0,0,C1991-I1991)</f>
        <v>0</v>
      </c>
    </row>
    <row r="1993" spans="1:10" x14ac:dyDescent="0.25">
      <c r="A1993" s="1">
        <v>41638</v>
      </c>
      <c r="B1993">
        <v>3.5746699999999998</v>
      </c>
      <c r="C1993">
        <v>4.4800000000000004</v>
      </c>
      <c r="D1993">
        <f>WEEKDAY(A1993,14)</f>
        <v>5</v>
      </c>
      <c r="E1993">
        <f t="shared" si="124"/>
        <v>0.05</v>
      </c>
      <c r="F1993">
        <f t="shared" si="125"/>
        <v>3</v>
      </c>
      <c r="G1993">
        <f>IF(F1993&gt;F1992,G1992+B1993*E1993,B1993*E1993)</f>
        <v>0.17873349999999999</v>
      </c>
      <c r="H1993">
        <f t="shared" si="126"/>
        <v>0.05</v>
      </c>
      <c r="I1993">
        <f t="shared" si="127"/>
        <v>3.5746699999999998</v>
      </c>
      <c r="J1993">
        <f>IF(I1992=0,0,C1992-I1992)</f>
        <v>0</v>
      </c>
    </row>
    <row r="1994" spans="1:10" x14ac:dyDescent="0.25">
      <c r="A1994" s="1">
        <v>41641</v>
      </c>
      <c r="B1994">
        <v>3.5996999999999999</v>
      </c>
      <c r="C1994">
        <v>4.4349999999999996</v>
      </c>
      <c r="D1994">
        <f>WEEKDAY(A1994,14)</f>
        <v>1</v>
      </c>
      <c r="E1994">
        <f t="shared" si="124"/>
        <v>0</v>
      </c>
      <c r="F1994">
        <f t="shared" si="125"/>
        <v>1</v>
      </c>
      <c r="G1994">
        <f>IF(F1994&gt;F1993,G1993+B1994*E1994,B1994*E1994)</f>
        <v>0</v>
      </c>
      <c r="H1994">
        <f t="shared" si="126"/>
        <v>0</v>
      </c>
      <c r="I1994">
        <f t="shared" si="127"/>
        <v>0</v>
      </c>
      <c r="J1994">
        <f>IF(I1993=0,0,C1993-I1993)</f>
        <v>0.90533000000000063</v>
      </c>
    </row>
    <row r="1995" spans="1:10" x14ac:dyDescent="0.25">
      <c r="A1995" s="1">
        <v>41642</v>
      </c>
      <c r="B1995">
        <v>3.6032600000000001</v>
      </c>
      <c r="C1995">
        <v>4.4349999999999996</v>
      </c>
      <c r="D1995">
        <f>WEEKDAY(A1995,14)</f>
        <v>2</v>
      </c>
      <c r="E1995">
        <f t="shared" si="124"/>
        <v>0</v>
      </c>
      <c r="F1995">
        <f t="shared" si="125"/>
        <v>2</v>
      </c>
      <c r="G1995">
        <f>IF(F1995&gt;F1994,G1994+B1995*E1995,B1995*E1995)</f>
        <v>0</v>
      </c>
      <c r="H1995">
        <f t="shared" si="126"/>
        <v>0</v>
      </c>
      <c r="I1995">
        <f t="shared" si="127"/>
        <v>0</v>
      </c>
      <c r="J1995">
        <f>IF(I1994=0,0,C1994-I1994)</f>
        <v>0</v>
      </c>
    </row>
    <row r="1996" spans="1:10" x14ac:dyDescent="0.25">
      <c r="A1996" s="1">
        <v>41645</v>
      </c>
      <c r="B1996">
        <v>3.5763500000000001</v>
      </c>
      <c r="C1996">
        <v>4.4349999999999996</v>
      </c>
      <c r="D1996">
        <f>WEEKDAY(A1996,14)</f>
        <v>5</v>
      </c>
      <c r="E1996">
        <f t="shared" si="124"/>
        <v>0.05</v>
      </c>
      <c r="F1996">
        <f t="shared" si="125"/>
        <v>3</v>
      </c>
      <c r="G1996">
        <f>IF(F1996&gt;F1995,G1995+B1996*E1996,B1996*E1996)</f>
        <v>0.17881750000000002</v>
      </c>
      <c r="H1996">
        <f t="shared" si="126"/>
        <v>0.05</v>
      </c>
      <c r="I1996">
        <f t="shared" si="127"/>
        <v>0</v>
      </c>
      <c r="J1996">
        <f>IF(I1995=0,0,C1995-I1995)</f>
        <v>0</v>
      </c>
    </row>
    <row r="1997" spans="1:10" x14ac:dyDescent="0.25">
      <c r="A1997" s="1">
        <v>41646</v>
      </c>
      <c r="B1997">
        <v>3.5428500000000001</v>
      </c>
      <c r="C1997">
        <v>4.4349999999999996</v>
      </c>
      <c r="D1997">
        <f>WEEKDAY(A1997,14)</f>
        <v>6</v>
      </c>
      <c r="E1997">
        <f t="shared" si="124"/>
        <v>0.7</v>
      </c>
      <c r="F1997">
        <f t="shared" si="125"/>
        <v>4</v>
      </c>
      <c r="G1997">
        <f>IF(F1997&gt;F1996,G1996+B1997*E1997,B1997*E1997)</f>
        <v>2.6588124999999998</v>
      </c>
      <c r="H1997">
        <f t="shared" si="126"/>
        <v>0.75</v>
      </c>
      <c r="I1997">
        <f t="shared" si="127"/>
        <v>0</v>
      </c>
      <c r="J1997">
        <f>IF(I1996=0,0,C1996-I1996)</f>
        <v>0</v>
      </c>
    </row>
    <row r="1998" spans="1:10" x14ac:dyDescent="0.25">
      <c r="A1998" s="1">
        <v>41647</v>
      </c>
      <c r="B1998">
        <v>3.5963699999999998</v>
      </c>
      <c r="C1998">
        <v>4.4349999999999996</v>
      </c>
      <c r="D1998">
        <f>WEEKDAY(A1998,14)</f>
        <v>7</v>
      </c>
      <c r="E1998">
        <f t="shared" si="124"/>
        <v>0.25</v>
      </c>
      <c r="F1998">
        <f t="shared" si="125"/>
        <v>5</v>
      </c>
      <c r="G1998">
        <f>IF(F1998&gt;F1997,G1997+B1998*E1998,B1998*E1998)</f>
        <v>3.5579049999999999</v>
      </c>
      <c r="H1998">
        <f t="shared" si="126"/>
        <v>1</v>
      </c>
      <c r="I1998">
        <f t="shared" si="127"/>
        <v>3.5579049999999999</v>
      </c>
      <c r="J1998">
        <f>IF(I1997=0,0,C1997-I1997)</f>
        <v>0</v>
      </c>
    </row>
    <row r="1999" spans="1:10" x14ac:dyDescent="0.25">
      <c r="A1999" s="1">
        <v>41648</v>
      </c>
      <c r="B1999">
        <v>3.5749399999999998</v>
      </c>
      <c r="C1999">
        <v>4.335</v>
      </c>
      <c r="D1999">
        <f>WEEKDAY(A1999,14)</f>
        <v>1</v>
      </c>
      <c r="E1999">
        <f t="shared" si="124"/>
        <v>0</v>
      </c>
      <c r="F1999">
        <f t="shared" si="125"/>
        <v>1</v>
      </c>
      <c r="G1999">
        <f>IF(F1999&gt;F1998,G1998+B1999*E1999,B1999*E1999)</f>
        <v>0</v>
      </c>
      <c r="H1999">
        <f t="shared" si="126"/>
        <v>0</v>
      </c>
      <c r="I1999">
        <f t="shared" si="127"/>
        <v>0</v>
      </c>
      <c r="J1999">
        <f>IF(I1998=0,0,C1998-I1998)</f>
        <v>0.87709499999999974</v>
      </c>
    </row>
    <row r="2000" spans="1:10" x14ac:dyDescent="0.25">
      <c r="A2000" s="1">
        <v>41649</v>
      </c>
      <c r="B2000">
        <v>3.4718399999999998</v>
      </c>
      <c r="C2000">
        <v>4.335</v>
      </c>
      <c r="D2000">
        <f>WEEKDAY(A2000,14)</f>
        <v>2</v>
      </c>
      <c r="E2000">
        <f t="shared" si="124"/>
        <v>0</v>
      </c>
      <c r="F2000">
        <f t="shared" si="125"/>
        <v>2</v>
      </c>
      <c r="G2000">
        <f>IF(F2000&gt;F1999,G1999+B2000*E2000,B2000*E2000)</f>
        <v>0</v>
      </c>
      <c r="H2000">
        <f t="shared" si="126"/>
        <v>0</v>
      </c>
      <c r="I2000">
        <f t="shared" si="127"/>
        <v>0</v>
      </c>
      <c r="J2000">
        <f>IF(I1999=0,0,C1999-I1999)</f>
        <v>0</v>
      </c>
    </row>
    <row r="2001" spans="1:10" x14ac:dyDescent="0.25">
      <c r="A2001" s="1">
        <v>41652</v>
      </c>
      <c r="B2001">
        <v>3.4264600000000001</v>
      </c>
      <c r="C2001">
        <v>4.335</v>
      </c>
      <c r="D2001">
        <f>WEEKDAY(A2001,14)</f>
        <v>5</v>
      </c>
      <c r="E2001">
        <f t="shared" si="124"/>
        <v>0.05</v>
      </c>
      <c r="F2001">
        <f t="shared" si="125"/>
        <v>3</v>
      </c>
      <c r="G2001">
        <f>IF(F2001&gt;F2000,G2000+B2001*E2001,B2001*E2001)</f>
        <v>0.171323</v>
      </c>
      <c r="H2001">
        <f t="shared" si="126"/>
        <v>0.05</v>
      </c>
      <c r="I2001">
        <f t="shared" si="127"/>
        <v>0</v>
      </c>
      <c r="J2001">
        <f>IF(I2000=0,0,C2000-I2000)</f>
        <v>0</v>
      </c>
    </row>
    <row r="2002" spans="1:10" x14ac:dyDescent="0.25">
      <c r="A2002" s="1">
        <v>41653</v>
      </c>
      <c r="B2002">
        <v>3.4834100000000001</v>
      </c>
      <c r="C2002">
        <v>4.335</v>
      </c>
      <c r="D2002">
        <f>WEEKDAY(A2002,14)</f>
        <v>6</v>
      </c>
      <c r="E2002">
        <f t="shared" si="124"/>
        <v>0.7</v>
      </c>
      <c r="F2002">
        <f t="shared" si="125"/>
        <v>4</v>
      </c>
      <c r="G2002">
        <f>IF(F2002&gt;F2001,G2001+B2002*E2002,B2002*E2002)</f>
        <v>2.6097100000000002</v>
      </c>
      <c r="H2002">
        <f t="shared" si="126"/>
        <v>0.75</v>
      </c>
      <c r="I2002">
        <f t="shared" si="127"/>
        <v>0</v>
      </c>
      <c r="J2002">
        <f>IF(I2001=0,0,C2001-I2001)</f>
        <v>0</v>
      </c>
    </row>
    <row r="2003" spans="1:10" x14ac:dyDescent="0.25">
      <c r="A2003" s="1">
        <v>41654</v>
      </c>
      <c r="B2003">
        <v>3.49478</v>
      </c>
      <c r="C2003">
        <v>4.335</v>
      </c>
      <c r="D2003">
        <f>WEEKDAY(A2003,14)</f>
        <v>7</v>
      </c>
      <c r="E2003">
        <f t="shared" si="124"/>
        <v>0.25</v>
      </c>
      <c r="F2003">
        <f t="shared" si="125"/>
        <v>5</v>
      </c>
      <c r="G2003">
        <f>IF(F2003&gt;F2002,G2002+B2003*E2003,B2003*E2003)</f>
        <v>3.4834050000000003</v>
      </c>
      <c r="H2003">
        <f t="shared" si="126"/>
        <v>1</v>
      </c>
      <c r="I2003">
        <f t="shared" si="127"/>
        <v>3.4834050000000003</v>
      </c>
      <c r="J2003">
        <f>IF(I2002=0,0,C2002-I2002)</f>
        <v>0</v>
      </c>
    </row>
    <row r="2004" spans="1:10" x14ac:dyDescent="0.25">
      <c r="A2004" s="1">
        <v>41655</v>
      </c>
      <c r="B2004">
        <v>3.4570599999999998</v>
      </c>
      <c r="C2004">
        <v>4.3150000000000004</v>
      </c>
      <c r="D2004">
        <f>WEEKDAY(A2004,14)</f>
        <v>1</v>
      </c>
      <c r="E2004">
        <f t="shared" si="124"/>
        <v>0</v>
      </c>
      <c r="F2004">
        <f t="shared" si="125"/>
        <v>1</v>
      </c>
      <c r="G2004">
        <f>IF(F2004&gt;F2003,G2003+B2004*E2004,B2004*E2004)</f>
        <v>0</v>
      </c>
      <c r="H2004">
        <f t="shared" si="126"/>
        <v>0</v>
      </c>
      <c r="I2004">
        <f t="shared" si="127"/>
        <v>0</v>
      </c>
      <c r="J2004">
        <f>IF(I2003=0,0,C2003-I2003)</f>
        <v>0.85159499999999966</v>
      </c>
    </row>
    <row r="2005" spans="1:10" x14ac:dyDescent="0.25">
      <c r="A2005" s="1">
        <v>41656</v>
      </c>
      <c r="B2005">
        <v>3.4370799999999999</v>
      </c>
      <c r="C2005">
        <v>4.3150000000000004</v>
      </c>
      <c r="D2005">
        <f>WEEKDAY(A2005,14)</f>
        <v>2</v>
      </c>
      <c r="E2005">
        <f t="shared" si="124"/>
        <v>0</v>
      </c>
      <c r="F2005">
        <f t="shared" si="125"/>
        <v>2</v>
      </c>
      <c r="G2005">
        <f>IF(F2005&gt;F2004,G2004+B2005*E2005,B2005*E2005)</f>
        <v>0</v>
      </c>
      <c r="H2005">
        <f t="shared" si="126"/>
        <v>0</v>
      </c>
      <c r="I2005">
        <f t="shared" si="127"/>
        <v>0</v>
      </c>
      <c r="J2005">
        <f>IF(I2004=0,0,C2004-I2004)</f>
        <v>0</v>
      </c>
    </row>
    <row r="2006" spans="1:10" x14ac:dyDescent="0.25">
      <c r="A2006" s="1">
        <v>41660</v>
      </c>
      <c r="B2006">
        <v>3.4306199999999998</v>
      </c>
      <c r="C2006">
        <v>4.3150000000000004</v>
      </c>
      <c r="D2006">
        <f>WEEKDAY(A2006,14)</f>
        <v>6</v>
      </c>
      <c r="E2006">
        <f t="shared" si="124"/>
        <v>0.7</v>
      </c>
      <c r="F2006">
        <f t="shared" si="125"/>
        <v>3</v>
      </c>
      <c r="G2006">
        <f>IF(F2006&gt;F2005,G2005+B2006*E2006,B2006*E2006)</f>
        <v>2.4014339999999996</v>
      </c>
      <c r="H2006">
        <f t="shared" si="126"/>
        <v>0.7</v>
      </c>
      <c r="I2006">
        <f t="shared" si="127"/>
        <v>0</v>
      </c>
      <c r="J2006">
        <f>IF(I2005=0,0,C2005-I2005)</f>
        <v>0</v>
      </c>
    </row>
    <row r="2007" spans="1:10" x14ac:dyDescent="0.25">
      <c r="A2007" s="1">
        <v>41661</v>
      </c>
      <c r="B2007">
        <v>3.4813000000000001</v>
      </c>
      <c r="C2007">
        <v>4.3150000000000004</v>
      </c>
      <c r="D2007">
        <f>WEEKDAY(A2007,14)</f>
        <v>7</v>
      </c>
      <c r="E2007">
        <f t="shared" si="124"/>
        <v>0.25</v>
      </c>
      <c r="F2007">
        <f t="shared" si="125"/>
        <v>4</v>
      </c>
      <c r="G2007">
        <f>IF(F2007&gt;F2006,G2006+B2007*E2007,B2007*E2007)</f>
        <v>3.2717589999999994</v>
      </c>
      <c r="H2007">
        <f t="shared" si="126"/>
        <v>0.95</v>
      </c>
      <c r="I2007">
        <f t="shared" si="127"/>
        <v>3.4439568421052629</v>
      </c>
      <c r="J2007">
        <f>IF(I2006=0,0,C2006-I2006)</f>
        <v>0</v>
      </c>
    </row>
    <row r="2008" spans="1:10" x14ac:dyDescent="0.25">
      <c r="A2008" s="1">
        <v>41662</v>
      </c>
      <c r="B2008">
        <v>3.42598</v>
      </c>
      <c r="C2008">
        <v>4.2450000000000001</v>
      </c>
      <c r="D2008">
        <f>WEEKDAY(A2008,14)</f>
        <v>1</v>
      </c>
      <c r="E2008">
        <f t="shared" si="124"/>
        <v>0</v>
      </c>
      <c r="F2008">
        <f t="shared" si="125"/>
        <v>1</v>
      </c>
      <c r="G2008">
        <f>IF(F2008&gt;F2007,G2007+B2008*E2008,B2008*E2008)</f>
        <v>0</v>
      </c>
      <c r="H2008">
        <f t="shared" si="126"/>
        <v>0</v>
      </c>
      <c r="I2008">
        <f t="shared" si="127"/>
        <v>0</v>
      </c>
      <c r="J2008">
        <f>IF(I2007=0,0,C2007-I2007)</f>
        <v>0.87104315789473752</v>
      </c>
    </row>
    <row r="2009" spans="1:10" x14ac:dyDescent="0.25">
      <c r="A2009" s="1">
        <v>41663</v>
      </c>
      <c r="B2009">
        <v>3.38218</v>
      </c>
      <c r="C2009">
        <v>4.2450000000000001</v>
      </c>
      <c r="D2009">
        <f>WEEKDAY(A2009,14)</f>
        <v>2</v>
      </c>
      <c r="E2009">
        <f t="shared" si="124"/>
        <v>0</v>
      </c>
      <c r="F2009">
        <f t="shared" si="125"/>
        <v>2</v>
      </c>
      <c r="G2009">
        <f>IF(F2009&gt;F2008,G2008+B2009*E2009,B2009*E2009)</f>
        <v>0</v>
      </c>
      <c r="H2009">
        <f t="shared" si="126"/>
        <v>0</v>
      </c>
      <c r="I2009">
        <f t="shared" si="127"/>
        <v>0</v>
      </c>
      <c r="J2009">
        <f>IF(I2008=0,0,C2008-I2008)</f>
        <v>0</v>
      </c>
    </row>
    <row r="2010" spans="1:10" x14ac:dyDescent="0.25">
      <c r="A2010" s="1">
        <v>41666</v>
      </c>
      <c r="B2010">
        <v>3.42489</v>
      </c>
      <c r="C2010">
        <v>4.2450000000000001</v>
      </c>
      <c r="D2010">
        <f>WEEKDAY(A2010,14)</f>
        <v>5</v>
      </c>
      <c r="E2010">
        <f t="shared" si="124"/>
        <v>0.05</v>
      </c>
      <c r="F2010">
        <f t="shared" si="125"/>
        <v>3</v>
      </c>
      <c r="G2010">
        <f>IF(F2010&gt;F2009,G2009+B2010*E2010,B2010*E2010)</f>
        <v>0.17124450000000002</v>
      </c>
      <c r="H2010">
        <f t="shared" si="126"/>
        <v>0.05</v>
      </c>
      <c r="I2010">
        <f t="shared" si="127"/>
        <v>0</v>
      </c>
      <c r="J2010">
        <f>IF(I2009=0,0,C2009-I2009)</f>
        <v>0</v>
      </c>
    </row>
    <row r="2011" spans="1:10" x14ac:dyDescent="0.25">
      <c r="A2011" s="1">
        <v>41667</v>
      </c>
      <c r="B2011">
        <v>3.4146700000000001</v>
      </c>
      <c r="C2011">
        <v>4.2450000000000001</v>
      </c>
      <c r="D2011">
        <f>WEEKDAY(A2011,14)</f>
        <v>6</v>
      </c>
      <c r="E2011">
        <f t="shared" si="124"/>
        <v>0.7</v>
      </c>
      <c r="F2011">
        <f t="shared" si="125"/>
        <v>4</v>
      </c>
      <c r="G2011">
        <f>IF(F2011&gt;F2010,G2010+B2011*E2011,B2011*E2011)</f>
        <v>2.5615135000000002</v>
      </c>
      <c r="H2011">
        <f t="shared" si="126"/>
        <v>0.75</v>
      </c>
      <c r="I2011">
        <f t="shared" si="127"/>
        <v>0</v>
      </c>
      <c r="J2011">
        <f>IF(I2010=0,0,C2010-I2010)</f>
        <v>0</v>
      </c>
    </row>
    <row r="2012" spans="1:10" x14ac:dyDescent="0.25">
      <c r="A2012" s="1">
        <v>41668</v>
      </c>
      <c r="B2012">
        <v>3.3611499999999999</v>
      </c>
      <c r="C2012">
        <v>4.2450000000000001</v>
      </c>
      <c r="D2012">
        <f>WEEKDAY(A2012,14)</f>
        <v>7</v>
      </c>
      <c r="E2012">
        <f t="shared" si="124"/>
        <v>0.25</v>
      </c>
      <c r="F2012">
        <f t="shared" si="125"/>
        <v>5</v>
      </c>
      <c r="G2012">
        <f>IF(F2012&gt;F2011,G2011+B2012*E2012,B2012*E2012)</f>
        <v>3.4018010000000003</v>
      </c>
      <c r="H2012">
        <f t="shared" si="126"/>
        <v>1</v>
      </c>
      <c r="I2012">
        <f t="shared" si="127"/>
        <v>3.4018010000000003</v>
      </c>
      <c r="J2012">
        <f>IF(I2011=0,0,C2011-I2011)</f>
        <v>0</v>
      </c>
    </row>
    <row r="2013" spans="1:10" x14ac:dyDescent="0.25">
      <c r="A2013" s="1">
        <v>41669</v>
      </c>
      <c r="B2013">
        <v>3.3710300000000002</v>
      </c>
      <c r="C2013">
        <v>4.1550000000000002</v>
      </c>
      <c r="D2013">
        <f>WEEKDAY(A2013,14)</f>
        <v>1</v>
      </c>
      <c r="E2013">
        <f t="shared" si="124"/>
        <v>0</v>
      </c>
      <c r="F2013">
        <f t="shared" si="125"/>
        <v>1</v>
      </c>
      <c r="G2013">
        <f>IF(F2013&gt;F2012,G2012+B2013*E2013,B2013*E2013)</f>
        <v>0</v>
      </c>
      <c r="H2013">
        <f t="shared" si="126"/>
        <v>0</v>
      </c>
      <c r="I2013">
        <f t="shared" si="127"/>
        <v>0</v>
      </c>
      <c r="J2013">
        <f>IF(I2012=0,0,C2012-I2012)</f>
        <v>0.84319899999999981</v>
      </c>
    </row>
    <row r="2014" spans="1:10" x14ac:dyDescent="0.25">
      <c r="A2014" s="1">
        <v>41670</v>
      </c>
      <c r="B2014">
        <v>3.3406799999999999</v>
      </c>
      <c r="C2014">
        <v>4.1550000000000002</v>
      </c>
      <c r="D2014">
        <f>WEEKDAY(A2014,14)</f>
        <v>2</v>
      </c>
      <c r="E2014">
        <f t="shared" si="124"/>
        <v>0</v>
      </c>
      <c r="F2014">
        <f t="shared" si="125"/>
        <v>2</v>
      </c>
      <c r="G2014">
        <f>IF(F2014&gt;F2013,G2013+B2014*E2014,B2014*E2014)</f>
        <v>0</v>
      </c>
      <c r="H2014">
        <f t="shared" si="126"/>
        <v>0</v>
      </c>
      <c r="I2014">
        <f t="shared" si="127"/>
        <v>0</v>
      </c>
      <c r="J2014">
        <f>IF(I2013=0,0,C2013-I2013)</f>
        <v>0</v>
      </c>
    </row>
    <row r="2015" spans="1:10" x14ac:dyDescent="0.25">
      <c r="A2015" s="1">
        <v>41673</v>
      </c>
      <c r="B2015">
        <v>3.2711000000000001</v>
      </c>
      <c r="C2015">
        <v>4.1550000000000002</v>
      </c>
      <c r="D2015">
        <f>WEEKDAY(A2015,14)</f>
        <v>5</v>
      </c>
      <c r="E2015">
        <f t="shared" si="124"/>
        <v>0.05</v>
      </c>
      <c r="F2015">
        <f t="shared" si="125"/>
        <v>3</v>
      </c>
      <c r="G2015">
        <f>IF(F2015&gt;F2014,G2014+B2015*E2015,B2015*E2015)</f>
        <v>0.16355500000000001</v>
      </c>
      <c r="H2015">
        <f t="shared" si="126"/>
        <v>0.05</v>
      </c>
      <c r="I2015">
        <f t="shared" si="127"/>
        <v>0</v>
      </c>
      <c r="J2015">
        <f>IF(I2014=0,0,C2014-I2014)</f>
        <v>0</v>
      </c>
    </row>
    <row r="2016" spans="1:10" x14ac:dyDescent="0.25">
      <c r="A2016" s="1">
        <v>41674</v>
      </c>
      <c r="B2016">
        <v>3.3111600000000001</v>
      </c>
      <c r="C2016">
        <v>4.1550000000000002</v>
      </c>
      <c r="D2016">
        <f>WEEKDAY(A2016,14)</f>
        <v>6</v>
      </c>
      <c r="E2016">
        <f t="shared" si="124"/>
        <v>0.7</v>
      </c>
      <c r="F2016">
        <f t="shared" si="125"/>
        <v>4</v>
      </c>
      <c r="G2016">
        <f>IF(F2016&gt;F2015,G2015+B2016*E2016,B2016*E2016)</f>
        <v>2.4813670000000001</v>
      </c>
      <c r="H2016">
        <f t="shared" si="126"/>
        <v>0.75</v>
      </c>
      <c r="I2016">
        <f t="shared" si="127"/>
        <v>0</v>
      </c>
      <c r="J2016">
        <f>IF(I2015=0,0,C2015-I2015)</f>
        <v>0</v>
      </c>
    </row>
    <row r="2017" spans="1:10" x14ac:dyDescent="0.25">
      <c r="A2017" s="1">
        <v>41675</v>
      </c>
      <c r="B2017">
        <v>3.3584100000000001</v>
      </c>
      <c r="C2017">
        <v>4.1550000000000002</v>
      </c>
      <c r="D2017">
        <f>WEEKDAY(A2017,14)</f>
        <v>7</v>
      </c>
      <c r="E2017">
        <f t="shared" si="124"/>
        <v>0.25</v>
      </c>
      <c r="F2017">
        <f t="shared" si="125"/>
        <v>5</v>
      </c>
      <c r="G2017">
        <f>IF(F2017&gt;F2016,G2016+B2017*E2017,B2017*E2017)</f>
        <v>3.3209695000000004</v>
      </c>
      <c r="H2017">
        <f t="shared" si="126"/>
        <v>1</v>
      </c>
      <c r="I2017">
        <f t="shared" si="127"/>
        <v>3.3209695000000004</v>
      </c>
      <c r="J2017">
        <f>IF(I2016=0,0,C2016-I2016)</f>
        <v>0</v>
      </c>
    </row>
    <row r="2018" spans="1:10" x14ac:dyDescent="0.25">
      <c r="A2018" s="1">
        <v>41676</v>
      </c>
      <c r="B2018">
        <v>3.3799299999999999</v>
      </c>
      <c r="C2018">
        <v>4.2050000000000001</v>
      </c>
      <c r="D2018">
        <f>WEEKDAY(A2018,14)</f>
        <v>1</v>
      </c>
      <c r="E2018">
        <f t="shared" si="124"/>
        <v>0</v>
      </c>
      <c r="F2018">
        <f t="shared" si="125"/>
        <v>1</v>
      </c>
      <c r="G2018">
        <f>IF(F2018&gt;F2017,G2017+B2018*E2018,B2018*E2018)</f>
        <v>0</v>
      </c>
      <c r="H2018">
        <f t="shared" si="126"/>
        <v>0</v>
      </c>
      <c r="I2018">
        <f t="shared" si="127"/>
        <v>0</v>
      </c>
      <c r="J2018">
        <f>IF(I2017=0,0,C2017-I2017)</f>
        <v>0.8340304999999999</v>
      </c>
    </row>
    <row r="2019" spans="1:10" x14ac:dyDescent="0.25">
      <c r="A2019" s="1">
        <v>41677</v>
      </c>
      <c r="B2019">
        <v>3.343</v>
      </c>
      <c r="C2019">
        <v>4.2050000000000001</v>
      </c>
      <c r="D2019">
        <f>WEEKDAY(A2019,14)</f>
        <v>2</v>
      </c>
      <c r="E2019">
        <f t="shared" si="124"/>
        <v>0</v>
      </c>
      <c r="F2019">
        <f t="shared" si="125"/>
        <v>2</v>
      </c>
      <c r="G2019">
        <f>IF(F2019&gt;F2018,G2018+B2019*E2019,B2019*E2019)</f>
        <v>0</v>
      </c>
      <c r="H2019">
        <f t="shared" si="126"/>
        <v>0</v>
      </c>
      <c r="I2019">
        <f t="shared" si="127"/>
        <v>0</v>
      </c>
      <c r="J2019">
        <f>IF(I2018=0,0,C2018-I2018)</f>
        <v>0</v>
      </c>
    </row>
    <row r="2020" spans="1:10" x14ac:dyDescent="0.25">
      <c r="A2020" s="1">
        <v>41680</v>
      </c>
      <c r="B2020">
        <v>3.34761</v>
      </c>
      <c r="C2020">
        <v>4.2050000000000001</v>
      </c>
      <c r="D2020">
        <f>WEEKDAY(A2020,14)</f>
        <v>5</v>
      </c>
      <c r="E2020">
        <f t="shared" si="124"/>
        <v>0.05</v>
      </c>
      <c r="F2020">
        <f t="shared" si="125"/>
        <v>3</v>
      </c>
      <c r="G2020">
        <f>IF(F2020&gt;F2019,G2019+B2020*E2020,B2020*E2020)</f>
        <v>0.16738050000000002</v>
      </c>
      <c r="H2020">
        <f t="shared" si="126"/>
        <v>0.05</v>
      </c>
      <c r="I2020">
        <f t="shared" si="127"/>
        <v>0</v>
      </c>
      <c r="J2020">
        <f>IF(I2019=0,0,C2019-I2019)</f>
        <v>0</v>
      </c>
    </row>
    <row r="2021" spans="1:10" x14ac:dyDescent="0.25">
      <c r="A2021" s="1">
        <v>41681</v>
      </c>
      <c r="B2021">
        <v>3.3874</v>
      </c>
      <c r="C2021">
        <v>4.2050000000000001</v>
      </c>
      <c r="D2021">
        <f>WEEKDAY(A2021,14)</f>
        <v>6</v>
      </c>
      <c r="E2021">
        <f t="shared" si="124"/>
        <v>0.7</v>
      </c>
      <c r="F2021">
        <f t="shared" si="125"/>
        <v>4</v>
      </c>
      <c r="G2021">
        <f>IF(F2021&gt;F2020,G2020+B2021*E2021,B2021*E2021)</f>
        <v>2.5385605</v>
      </c>
      <c r="H2021">
        <f t="shared" si="126"/>
        <v>0.75</v>
      </c>
      <c r="I2021">
        <f t="shared" si="127"/>
        <v>0</v>
      </c>
      <c r="J2021">
        <f>IF(I2020=0,0,C2020-I2020)</f>
        <v>0</v>
      </c>
    </row>
    <row r="2022" spans="1:10" x14ac:dyDescent="0.25">
      <c r="A2022" s="1">
        <v>41682</v>
      </c>
      <c r="B2022">
        <v>3.4367800000000002</v>
      </c>
      <c r="C2022">
        <v>4.2050000000000001</v>
      </c>
      <c r="D2022">
        <f>WEEKDAY(A2022,14)</f>
        <v>7</v>
      </c>
      <c r="E2022">
        <f t="shared" si="124"/>
        <v>0.25</v>
      </c>
      <c r="F2022">
        <f t="shared" si="125"/>
        <v>5</v>
      </c>
      <c r="G2022">
        <f>IF(F2022&gt;F2021,G2021+B2022*E2022,B2022*E2022)</f>
        <v>3.3977555000000002</v>
      </c>
      <c r="H2022">
        <f t="shared" si="126"/>
        <v>1</v>
      </c>
      <c r="I2022">
        <f t="shared" si="127"/>
        <v>3.3977555000000002</v>
      </c>
      <c r="J2022">
        <f>IF(I2021=0,0,C2021-I2021)</f>
        <v>0</v>
      </c>
    </row>
    <row r="2023" spans="1:10" x14ac:dyDescent="0.25">
      <c r="A2023" s="1">
        <v>41683</v>
      </c>
      <c r="B2023">
        <v>3.3963800000000002</v>
      </c>
      <c r="C2023">
        <v>4.2549999999999999</v>
      </c>
      <c r="D2023">
        <f>WEEKDAY(A2023,14)</f>
        <v>1</v>
      </c>
      <c r="E2023">
        <f t="shared" si="124"/>
        <v>0</v>
      </c>
      <c r="F2023">
        <f t="shared" si="125"/>
        <v>1</v>
      </c>
      <c r="G2023">
        <f>IF(F2023&gt;F2022,G2022+B2023*E2023,B2023*E2023)</f>
        <v>0</v>
      </c>
      <c r="H2023">
        <f t="shared" si="126"/>
        <v>0</v>
      </c>
      <c r="I2023">
        <f t="shared" si="127"/>
        <v>0</v>
      </c>
      <c r="J2023">
        <f>IF(I2022=0,0,C2022-I2022)</f>
        <v>0.80724449999999992</v>
      </c>
    </row>
    <row r="2024" spans="1:10" x14ac:dyDescent="0.25">
      <c r="A2024" s="1">
        <v>41684</v>
      </c>
      <c r="B2024">
        <v>3.4240499999999998</v>
      </c>
      <c r="C2024">
        <v>4.2549999999999999</v>
      </c>
      <c r="D2024">
        <f>WEEKDAY(A2024,14)</f>
        <v>2</v>
      </c>
      <c r="E2024">
        <f t="shared" si="124"/>
        <v>0</v>
      </c>
      <c r="F2024">
        <f t="shared" si="125"/>
        <v>2</v>
      </c>
      <c r="G2024">
        <f>IF(F2024&gt;F2023,G2023+B2024*E2024,B2024*E2024)</f>
        <v>0</v>
      </c>
      <c r="H2024">
        <f t="shared" si="126"/>
        <v>0</v>
      </c>
      <c r="I2024">
        <f t="shared" si="127"/>
        <v>0</v>
      </c>
      <c r="J2024">
        <f>IF(I2023=0,0,C2023-I2023)</f>
        <v>0</v>
      </c>
    </row>
    <row r="2025" spans="1:10" x14ac:dyDescent="0.25">
      <c r="A2025" s="1">
        <v>41688</v>
      </c>
      <c r="B2025">
        <v>3.40225</v>
      </c>
      <c r="C2025">
        <v>4.2549999999999999</v>
      </c>
      <c r="D2025">
        <f>WEEKDAY(A2025,14)</f>
        <v>6</v>
      </c>
      <c r="E2025">
        <f t="shared" si="124"/>
        <v>0.7</v>
      </c>
      <c r="F2025">
        <f t="shared" si="125"/>
        <v>3</v>
      </c>
      <c r="G2025">
        <f>IF(F2025&gt;F2024,G2024+B2025*E2025,B2025*E2025)</f>
        <v>2.3815749999999998</v>
      </c>
      <c r="H2025">
        <f t="shared" si="126"/>
        <v>0.7</v>
      </c>
      <c r="I2025">
        <f t="shared" si="127"/>
        <v>0</v>
      </c>
      <c r="J2025">
        <f>IF(I2024=0,0,C2024-I2024)</f>
        <v>0</v>
      </c>
    </row>
    <row r="2026" spans="1:10" x14ac:dyDescent="0.25">
      <c r="A2026" s="1">
        <v>41689</v>
      </c>
      <c r="B2026">
        <v>3.4208500000000002</v>
      </c>
      <c r="C2026">
        <v>4.2549999999999999</v>
      </c>
      <c r="D2026">
        <f>WEEKDAY(A2026,14)</f>
        <v>7</v>
      </c>
      <c r="E2026">
        <f t="shared" si="124"/>
        <v>0.25</v>
      </c>
      <c r="F2026">
        <f t="shared" si="125"/>
        <v>4</v>
      </c>
      <c r="G2026">
        <f>IF(F2026&gt;F2025,G2025+B2026*E2026,B2026*E2026)</f>
        <v>3.2367874999999997</v>
      </c>
      <c r="H2026">
        <f t="shared" si="126"/>
        <v>0.95</v>
      </c>
      <c r="I2026">
        <f t="shared" si="127"/>
        <v>3.4071447368421053</v>
      </c>
      <c r="J2026">
        <f>IF(I2025=0,0,C2025-I2025)</f>
        <v>0</v>
      </c>
    </row>
    <row r="2027" spans="1:10" x14ac:dyDescent="0.25">
      <c r="A2027" s="1">
        <v>41690</v>
      </c>
      <c r="B2027">
        <v>3.4409900000000002</v>
      </c>
      <c r="C2027">
        <v>4.2949999999999999</v>
      </c>
      <c r="D2027">
        <f>WEEKDAY(A2027,14)</f>
        <v>1</v>
      </c>
      <c r="E2027">
        <f t="shared" si="124"/>
        <v>0</v>
      </c>
      <c r="F2027">
        <f t="shared" si="125"/>
        <v>1</v>
      </c>
      <c r="G2027">
        <f>IF(F2027&gt;F2026,G2026+B2027*E2027,B2027*E2027)</f>
        <v>0</v>
      </c>
      <c r="H2027">
        <f t="shared" si="126"/>
        <v>0</v>
      </c>
      <c r="I2027">
        <f t="shared" si="127"/>
        <v>0</v>
      </c>
      <c r="J2027">
        <f>IF(I2026=0,0,C2026-I2026)</f>
        <v>0.84785526315789461</v>
      </c>
    </row>
    <row r="2028" spans="1:10" x14ac:dyDescent="0.25">
      <c r="A2028" s="1">
        <v>41691</v>
      </c>
      <c r="B2028">
        <v>3.4238200000000001</v>
      </c>
      <c r="C2028">
        <v>4.2949999999999999</v>
      </c>
      <c r="D2028">
        <f>WEEKDAY(A2028,14)</f>
        <v>2</v>
      </c>
      <c r="E2028">
        <f t="shared" si="124"/>
        <v>0</v>
      </c>
      <c r="F2028">
        <f t="shared" si="125"/>
        <v>2</v>
      </c>
      <c r="G2028">
        <f>IF(F2028&gt;F2027,G2027+B2028*E2028,B2028*E2028)</f>
        <v>0</v>
      </c>
      <c r="H2028">
        <f t="shared" si="126"/>
        <v>0</v>
      </c>
      <c r="I2028">
        <f t="shared" si="127"/>
        <v>0</v>
      </c>
      <c r="J2028">
        <f>IF(I2027=0,0,C2027-I2027)</f>
        <v>0</v>
      </c>
    </row>
    <row r="2029" spans="1:10" x14ac:dyDescent="0.25">
      <c r="A2029" s="1">
        <v>41694</v>
      </c>
      <c r="B2029">
        <v>3.4298799999999998</v>
      </c>
      <c r="C2029">
        <v>4.2949999999999999</v>
      </c>
      <c r="D2029">
        <f>WEEKDAY(A2029,14)</f>
        <v>5</v>
      </c>
      <c r="E2029">
        <f t="shared" si="124"/>
        <v>0.05</v>
      </c>
      <c r="F2029">
        <f t="shared" si="125"/>
        <v>3</v>
      </c>
      <c r="G2029">
        <f>IF(F2029&gt;F2028,G2028+B2029*E2029,B2029*E2029)</f>
        <v>0.17149400000000001</v>
      </c>
      <c r="H2029">
        <f t="shared" si="126"/>
        <v>0.05</v>
      </c>
      <c r="I2029">
        <f t="shared" si="127"/>
        <v>0</v>
      </c>
      <c r="J2029">
        <f>IF(I2028=0,0,C2028-I2028)</f>
        <v>0</v>
      </c>
    </row>
    <row r="2030" spans="1:10" x14ac:dyDescent="0.25">
      <c r="A2030" s="1">
        <v>41695</v>
      </c>
      <c r="B2030">
        <v>3.3762500000000002</v>
      </c>
      <c r="C2030">
        <v>4.2949999999999999</v>
      </c>
      <c r="D2030">
        <f>WEEKDAY(A2030,14)</f>
        <v>6</v>
      </c>
      <c r="E2030">
        <f t="shared" si="124"/>
        <v>0.7</v>
      </c>
      <c r="F2030">
        <f t="shared" si="125"/>
        <v>4</v>
      </c>
      <c r="G2030">
        <f>IF(F2030&gt;F2029,G2029+B2030*E2030,B2030*E2030)</f>
        <v>2.534869</v>
      </c>
      <c r="H2030">
        <f t="shared" si="126"/>
        <v>0.75</v>
      </c>
      <c r="I2030">
        <f t="shared" si="127"/>
        <v>0</v>
      </c>
      <c r="J2030">
        <f>IF(I2029=0,0,C2029-I2029)</f>
        <v>0</v>
      </c>
    </row>
    <row r="2031" spans="1:10" x14ac:dyDescent="0.25">
      <c r="A2031" s="1">
        <v>41696</v>
      </c>
      <c r="B2031">
        <v>3.3618600000000001</v>
      </c>
      <c r="C2031">
        <v>4.2949999999999999</v>
      </c>
      <c r="D2031">
        <f>WEEKDAY(A2031,14)</f>
        <v>7</v>
      </c>
      <c r="E2031">
        <f t="shared" si="124"/>
        <v>0.25</v>
      </c>
      <c r="F2031">
        <f t="shared" si="125"/>
        <v>5</v>
      </c>
      <c r="G2031">
        <f>IF(F2031&gt;F2030,G2030+B2031*E2031,B2031*E2031)</f>
        <v>3.3753340000000001</v>
      </c>
      <c r="H2031">
        <f t="shared" si="126"/>
        <v>1</v>
      </c>
      <c r="I2031">
        <f t="shared" si="127"/>
        <v>3.3753340000000001</v>
      </c>
      <c r="J2031">
        <f>IF(I2030=0,0,C2030-I2030)</f>
        <v>0</v>
      </c>
    </row>
    <row r="2032" spans="1:10" x14ac:dyDescent="0.25">
      <c r="A2032" s="1">
        <v>41697</v>
      </c>
      <c r="B2032">
        <v>3.3370199999999999</v>
      </c>
      <c r="C2032">
        <v>4.2050000000000001</v>
      </c>
      <c r="D2032">
        <f>WEEKDAY(A2032,14)</f>
        <v>1</v>
      </c>
      <c r="E2032">
        <f t="shared" si="124"/>
        <v>0</v>
      </c>
      <c r="F2032">
        <f t="shared" si="125"/>
        <v>1</v>
      </c>
      <c r="G2032">
        <f>IF(F2032&gt;F2031,G2031+B2032*E2032,B2032*E2032)</f>
        <v>0</v>
      </c>
      <c r="H2032">
        <f t="shared" si="126"/>
        <v>0</v>
      </c>
      <c r="I2032">
        <f t="shared" si="127"/>
        <v>0</v>
      </c>
      <c r="J2032">
        <f>IF(I2031=0,0,C2031-I2031)</f>
        <v>0.91966599999999987</v>
      </c>
    </row>
    <row r="2033" spans="1:10" x14ac:dyDescent="0.25">
      <c r="A2033" s="1">
        <v>41698</v>
      </c>
      <c r="B2033">
        <v>3.3514900000000001</v>
      </c>
      <c r="C2033">
        <v>4.2050000000000001</v>
      </c>
      <c r="D2033">
        <f>WEEKDAY(A2033,14)</f>
        <v>2</v>
      </c>
      <c r="E2033">
        <f t="shared" si="124"/>
        <v>0</v>
      </c>
      <c r="F2033">
        <f t="shared" si="125"/>
        <v>2</v>
      </c>
      <c r="G2033">
        <f>IF(F2033&gt;F2032,G2032+B2033*E2033,B2033*E2033)</f>
        <v>0</v>
      </c>
      <c r="H2033">
        <f t="shared" si="126"/>
        <v>0</v>
      </c>
      <c r="I2033">
        <f t="shared" si="127"/>
        <v>0</v>
      </c>
      <c r="J2033">
        <f>IF(I2032=0,0,C2032-I2032)</f>
        <v>0</v>
      </c>
    </row>
    <row r="2034" spans="1:10" x14ac:dyDescent="0.25">
      <c r="A2034" s="1">
        <v>41701</v>
      </c>
      <c r="B2034">
        <v>3.3252999999999999</v>
      </c>
      <c r="C2034">
        <v>4.2050000000000001</v>
      </c>
      <c r="D2034">
        <f>WEEKDAY(A2034,14)</f>
        <v>5</v>
      </c>
      <c r="E2034">
        <f t="shared" si="124"/>
        <v>0.05</v>
      </c>
      <c r="F2034">
        <f t="shared" si="125"/>
        <v>3</v>
      </c>
      <c r="G2034">
        <f>IF(F2034&gt;F2033,G2033+B2034*E2034,B2034*E2034)</f>
        <v>0.166265</v>
      </c>
      <c r="H2034">
        <f t="shared" si="126"/>
        <v>0.05</v>
      </c>
      <c r="I2034">
        <f t="shared" si="127"/>
        <v>0</v>
      </c>
      <c r="J2034">
        <f>IF(I2033=0,0,C2033-I2033)</f>
        <v>0</v>
      </c>
    </row>
    <row r="2035" spans="1:10" x14ac:dyDescent="0.25">
      <c r="A2035" s="1">
        <v>41702</v>
      </c>
      <c r="B2035">
        <v>3.3983099999999999</v>
      </c>
      <c r="C2035">
        <v>4.2050000000000001</v>
      </c>
      <c r="D2035">
        <f>WEEKDAY(A2035,14)</f>
        <v>6</v>
      </c>
      <c r="E2035">
        <f t="shared" si="124"/>
        <v>0.7</v>
      </c>
      <c r="F2035">
        <f t="shared" si="125"/>
        <v>4</v>
      </c>
      <c r="G2035">
        <f>IF(F2035&gt;F2034,G2034+B2035*E2035,B2035*E2035)</f>
        <v>2.5450819999999998</v>
      </c>
      <c r="H2035">
        <f t="shared" si="126"/>
        <v>0.75</v>
      </c>
      <c r="I2035">
        <f t="shared" si="127"/>
        <v>0</v>
      </c>
      <c r="J2035">
        <f>IF(I2034=0,0,C2034-I2034)</f>
        <v>0</v>
      </c>
    </row>
    <row r="2036" spans="1:10" x14ac:dyDescent="0.25">
      <c r="A2036" s="1">
        <v>41703</v>
      </c>
      <c r="B2036">
        <v>3.4015200000000001</v>
      </c>
      <c r="C2036">
        <v>4.2050000000000001</v>
      </c>
      <c r="D2036">
        <f>WEEKDAY(A2036,14)</f>
        <v>7</v>
      </c>
      <c r="E2036">
        <f t="shared" si="124"/>
        <v>0.25</v>
      </c>
      <c r="F2036">
        <f t="shared" si="125"/>
        <v>5</v>
      </c>
      <c r="G2036">
        <f>IF(F2036&gt;F2035,G2035+B2036*E2036,B2036*E2036)</f>
        <v>3.3954619999999998</v>
      </c>
      <c r="H2036">
        <f t="shared" si="126"/>
        <v>1</v>
      </c>
      <c r="I2036">
        <f t="shared" si="127"/>
        <v>3.3954619999999998</v>
      </c>
      <c r="J2036">
        <f>IF(I2035=0,0,C2035-I2035)</f>
        <v>0</v>
      </c>
    </row>
    <row r="2037" spans="1:10" x14ac:dyDescent="0.25">
      <c r="A2037" s="1">
        <v>41704</v>
      </c>
      <c r="B2037">
        <v>3.4237000000000002</v>
      </c>
      <c r="C2037">
        <v>4.2699999999999996</v>
      </c>
      <c r="D2037">
        <f>WEEKDAY(A2037,14)</f>
        <v>1</v>
      </c>
      <c r="E2037">
        <f t="shared" si="124"/>
        <v>0</v>
      </c>
      <c r="F2037">
        <f t="shared" si="125"/>
        <v>1</v>
      </c>
      <c r="G2037">
        <f>IF(F2037&gt;F2036,G2036+B2037*E2037,B2037*E2037)</f>
        <v>0</v>
      </c>
      <c r="H2037">
        <f t="shared" si="126"/>
        <v>0</v>
      </c>
      <c r="I2037">
        <f t="shared" si="127"/>
        <v>0</v>
      </c>
      <c r="J2037">
        <f>IF(I2036=0,0,C2036-I2036)</f>
        <v>0.80953800000000031</v>
      </c>
    </row>
    <row r="2038" spans="1:10" x14ac:dyDescent="0.25">
      <c r="A2038" s="1">
        <v>41705</v>
      </c>
      <c r="B2038">
        <v>3.4613700000000001</v>
      </c>
      <c r="C2038">
        <v>4.2699999999999996</v>
      </c>
      <c r="D2038">
        <f>WEEKDAY(A2038,14)</f>
        <v>2</v>
      </c>
      <c r="E2038">
        <f t="shared" si="124"/>
        <v>0</v>
      </c>
      <c r="F2038">
        <f t="shared" si="125"/>
        <v>2</v>
      </c>
      <c r="G2038">
        <f>IF(F2038&gt;F2037,G2037+B2038*E2038,B2038*E2038)</f>
        <v>0</v>
      </c>
      <c r="H2038">
        <f t="shared" si="126"/>
        <v>0</v>
      </c>
      <c r="I2038">
        <f t="shared" si="127"/>
        <v>0</v>
      </c>
      <c r="J2038">
        <f>IF(I2037=0,0,C2037-I2037)</f>
        <v>0</v>
      </c>
    </row>
    <row r="2039" spans="1:10" x14ac:dyDescent="0.25">
      <c r="A2039" s="1">
        <v>41708</v>
      </c>
      <c r="B2039">
        <v>3.4465699999999999</v>
      </c>
      <c r="C2039">
        <v>4.2699999999999996</v>
      </c>
      <c r="D2039">
        <f>WEEKDAY(A2039,14)</f>
        <v>5</v>
      </c>
      <c r="E2039">
        <f t="shared" si="124"/>
        <v>0.05</v>
      </c>
      <c r="F2039">
        <f t="shared" si="125"/>
        <v>3</v>
      </c>
      <c r="G2039">
        <f>IF(F2039&gt;F2038,G2038+B2039*E2039,B2039*E2039)</f>
        <v>0.1723285</v>
      </c>
      <c r="H2039">
        <f t="shared" si="126"/>
        <v>0.05</v>
      </c>
      <c r="I2039">
        <f t="shared" si="127"/>
        <v>0</v>
      </c>
      <c r="J2039">
        <f>IF(I2038=0,0,C2038-I2038)</f>
        <v>0</v>
      </c>
    </row>
    <row r="2040" spans="1:10" x14ac:dyDescent="0.25">
      <c r="A2040" s="1">
        <v>41709</v>
      </c>
      <c r="B2040">
        <v>3.4438499999999999</v>
      </c>
      <c r="C2040">
        <v>4.2699999999999996</v>
      </c>
      <c r="D2040">
        <f>WEEKDAY(A2040,14)</f>
        <v>6</v>
      </c>
      <c r="E2040">
        <f t="shared" si="124"/>
        <v>0.7</v>
      </c>
      <c r="F2040">
        <f t="shared" si="125"/>
        <v>4</v>
      </c>
      <c r="G2040">
        <f>IF(F2040&gt;F2039,G2039+B2040*E2040,B2040*E2040)</f>
        <v>2.5830234999999995</v>
      </c>
      <c r="H2040">
        <f t="shared" si="126"/>
        <v>0.75</v>
      </c>
      <c r="I2040">
        <f t="shared" si="127"/>
        <v>0</v>
      </c>
      <c r="J2040">
        <f>IF(I2039=0,0,C2039-I2039)</f>
        <v>0</v>
      </c>
    </row>
    <row r="2041" spans="1:10" x14ac:dyDescent="0.25">
      <c r="A2041" s="1">
        <v>41710</v>
      </c>
      <c r="B2041">
        <v>3.4085899999999998</v>
      </c>
      <c r="C2041">
        <v>4.2699999999999996</v>
      </c>
      <c r="D2041">
        <f>WEEKDAY(A2041,14)</f>
        <v>7</v>
      </c>
      <c r="E2041">
        <f t="shared" si="124"/>
        <v>0.25</v>
      </c>
      <c r="F2041">
        <f t="shared" si="125"/>
        <v>5</v>
      </c>
      <c r="G2041">
        <f>IF(F2041&gt;F2040,G2040+B2041*E2041,B2041*E2041)</f>
        <v>3.4351709999999995</v>
      </c>
      <c r="H2041">
        <f t="shared" si="126"/>
        <v>1</v>
      </c>
      <c r="I2041">
        <f t="shared" si="127"/>
        <v>3.4351709999999995</v>
      </c>
      <c r="J2041">
        <f>IF(I2040=0,0,C2040-I2040)</f>
        <v>0</v>
      </c>
    </row>
    <row r="2042" spans="1:10" x14ac:dyDescent="0.25">
      <c r="A2042" s="1">
        <v>41711</v>
      </c>
      <c r="B2042">
        <v>3.3484400000000001</v>
      </c>
      <c r="C2042">
        <v>4.22</v>
      </c>
      <c r="D2042">
        <f>WEEKDAY(A2042,14)</f>
        <v>1</v>
      </c>
      <c r="E2042">
        <f t="shared" si="124"/>
        <v>0</v>
      </c>
      <c r="F2042">
        <f t="shared" si="125"/>
        <v>1</v>
      </c>
      <c r="G2042">
        <f>IF(F2042&gt;F2041,G2041+B2042*E2042,B2042*E2042)</f>
        <v>0</v>
      </c>
      <c r="H2042">
        <f t="shared" si="126"/>
        <v>0</v>
      </c>
      <c r="I2042">
        <f t="shared" si="127"/>
        <v>0</v>
      </c>
      <c r="J2042">
        <f>IF(I2041=0,0,C2041-I2041)</f>
        <v>0.83482900000000004</v>
      </c>
    </row>
    <row r="2043" spans="1:10" x14ac:dyDescent="0.25">
      <c r="A2043" s="1">
        <v>41712</v>
      </c>
      <c r="B2043">
        <v>3.3634900000000001</v>
      </c>
      <c r="C2043">
        <v>4.22</v>
      </c>
      <c r="D2043">
        <f>WEEKDAY(A2043,14)</f>
        <v>2</v>
      </c>
      <c r="E2043">
        <f t="shared" si="124"/>
        <v>0</v>
      </c>
      <c r="F2043">
        <f t="shared" si="125"/>
        <v>2</v>
      </c>
      <c r="G2043">
        <f>IF(F2043&gt;F2042,G2042+B2043*E2043,B2043*E2043)</f>
        <v>0</v>
      </c>
      <c r="H2043">
        <f t="shared" si="126"/>
        <v>0</v>
      </c>
      <c r="I2043">
        <f t="shared" si="127"/>
        <v>0</v>
      </c>
      <c r="J2043">
        <f>IF(I2042=0,0,C2042-I2042)</f>
        <v>0</v>
      </c>
    </row>
    <row r="2044" spans="1:10" x14ac:dyDescent="0.25">
      <c r="A2044" s="1">
        <v>41715</v>
      </c>
      <c r="B2044">
        <v>3.4174600000000002</v>
      </c>
      <c r="C2044">
        <v>4.22</v>
      </c>
      <c r="D2044">
        <f>WEEKDAY(A2044,14)</f>
        <v>5</v>
      </c>
      <c r="E2044">
        <f t="shared" si="124"/>
        <v>0.05</v>
      </c>
      <c r="F2044">
        <f t="shared" si="125"/>
        <v>3</v>
      </c>
      <c r="G2044">
        <f>IF(F2044&gt;F2043,G2043+B2044*E2044,B2044*E2044)</f>
        <v>0.17087300000000002</v>
      </c>
      <c r="H2044">
        <f t="shared" si="126"/>
        <v>0.05</v>
      </c>
      <c r="I2044">
        <f t="shared" si="127"/>
        <v>0</v>
      </c>
      <c r="J2044">
        <f>IF(I2043=0,0,C2043-I2043)</f>
        <v>0</v>
      </c>
    </row>
    <row r="2045" spans="1:10" x14ac:dyDescent="0.25">
      <c r="A2045" s="1">
        <v>41716</v>
      </c>
      <c r="B2045">
        <v>3.3942299999999999</v>
      </c>
      <c r="C2045">
        <v>4.22</v>
      </c>
      <c r="D2045">
        <f>WEEKDAY(A2045,14)</f>
        <v>6</v>
      </c>
      <c r="E2045">
        <f t="shared" si="124"/>
        <v>0.7</v>
      </c>
      <c r="F2045">
        <f t="shared" si="125"/>
        <v>4</v>
      </c>
      <c r="G2045">
        <f>IF(F2045&gt;F2044,G2044+B2045*E2045,B2045*E2045)</f>
        <v>2.5468339999999996</v>
      </c>
      <c r="H2045">
        <f t="shared" si="126"/>
        <v>0.75</v>
      </c>
      <c r="I2045">
        <f t="shared" si="127"/>
        <v>0</v>
      </c>
      <c r="J2045">
        <f>IF(I2044=0,0,C2044-I2044)</f>
        <v>0</v>
      </c>
    </row>
    <row r="2046" spans="1:10" x14ac:dyDescent="0.25">
      <c r="A2046" s="1">
        <v>41717</v>
      </c>
      <c r="B2046">
        <v>3.47241</v>
      </c>
      <c r="C2046">
        <v>4.22</v>
      </c>
      <c r="D2046">
        <f>WEEKDAY(A2046,14)</f>
        <v>7</v>
      </c>
      <c r="E2046">
        <f t="shared" si="124"/>
        <v>0.25</v>
      </c>
      <c r="F2046">
        <f t="shared" si="125"/>
        <v>5</v>
      </c>
      <c r="G2046">
        <f>IF(F2046&gt;F2045,G2045+B2046*E2046,B2046*E2046)</f>
        <v>3.4149364999999996</v>
      </c>
      <c r="H2046">
        <f t="shared" si="126"/>
        <v>1</v>
      </c>
      <c r="I2046">
        <f t="shared" si="127"/>
        <v>3.4149364999999996</v>
      </c>
      <c r="J2046">
        <f>IF(I2045=0,0,C2045-I2045)</f>
        <v>0</v>
      </c>
    </row>
    <row r="2047" spans="1:10" x14ac:dyDescent="0.25">
      <c r="A2047" s="1">
        <v>41718</v>
      </c>
      <c r="B2047">
        <v>3.4858099999999999</v>
      </c>
      <c r="C2047">
        <v>4.3</v>
      </c>
      <c r="D2047">
        <f>WEEKDAY(A2047,14)</f>
        <v>1</v>
      </c>
      <c r="E2047">
        <f t="shared" si="124"/>
        <v>0</v>
      </c>
      <c r="F2047">
        <f t="shared" si="125"/>
        <v>1</v>
      </c>
      <c r="G2047">
        <f>IF(F2047&gt;F2046,G2046+B2047*E2047,B2047*E2047)</f>
        <v>0</v>
      </c>
      <c r="H2047">
        <f t="shared" si="126"/>
        <v>0</v>
      </c>
      <c r="I2047">
        <f t="shared" si="127"/>
        <v>0</v>
      </c>
      <c r="J2047">
        <f>IF(I2046=0,0,C2046-I2046)</f>
        <v>0.80506350000000015</v>
      </c>
    </row>
    <row r="2048" spans="1:10" x14ac:dyDescent="0.25">
      <c r="A2048" s="1">
        <v>41719</v>
      </c>
      <c r="B2048">
        <v>3.45235</v>
      </c>
      <c r="C2048">
        <v>4.3</v>
      </c>
      <c r="D2048">
        <f>WEEKDAY(A2048,14)</f>
        <v>2</v>
      </c>
      <c r="E2048">
        <f t="shared" si="124"/>
        <v>0</v>
      </c>
      <c r="F2048">
        <f t="shared" si="125"/>
        <v>2</v>
      </c>
      <c r="G2048">
        <f>IF(F2048&gt;F2047,G2047+B2048*E2048,B2048*E2048)</f>
        <v>0</v>
      </c>
      <c r="H2048">
        <f t="shared" si="126"/>
        <v>0</v>
      </c>
      <c r="I2048">
        <f t="shared" si="127"/>
        <v>0</v>
      </c>
      <c r="J2048">
        <f>IF(I2047=0,0,C2047-I2047)</f>
        <v>0</v>
      </c>
    </row>
    <row r="2049" spans="1:10" x14ac:dyDescent="0.25">
      <c r="A2049" s="1">
        <v>41722</v>
      </c>
      <c r="B2049">
        <v>3.4526699999999999</v>
      </c>
      <c r="C2049">
        <v>4.3</v>
      </c>
      <c r="D2049">
        <f>WEEKDAY(A2049,14)</f>
        <v>5</v>
      </c>
      <c r="E2049">
        <f t="shared" si="124"/>
        <v>0.05</v>
      </c>
      <c r="F2049">
        <f t="shared" si="125"/>
        <v>3</v>
      </c>
      <c r="G2049">
        <f>IF(F2049&gt;F2048,G2048+B2049*E2049,B2049*E2049)</f>
        <v>0.1726335</v>
      </c>
      <c r="H2049">
        <f t="shared" si="126"/>
        <v>0.05</v>
      </c>
      <c r="I2049">
        <f t="shared" si="127"/>
        <v>0</v>
      </c>
      <c r="J2049">
        <f>IF(I2048=0,0,C2048-I2048)</f>
        <v>0</v>
      </c>
    </row>
    <row r="2050" spans="1:10" x14ac:dyDescent="0.25">
      <c r="A2050" s="1">
        <v>41723</v>
      </c>
      <c r="B2050">
        <v>3.4519700000000002</v>
      </c>
      <c r="C2050">
        <v>4.3</v>
      </c>
      <c r="D2050">
        <f>WEEKDAY(A2050,14)</f>
        <v>6</v>
      </c>
      <c r="E2050">
        <f t="shared" si="124"/>
        <v>0.7</v>
      </c>
      <c r="F2050">
        <f t="shared" si="125"/>
        <v>4</v>
      </c>
      <c r="G2050">
        <f>IF(F2050&gt;F2049,G2049+B2050*E2050,B2050*E2050)</f>
        <v>2.5890124999999999</v>
      </c>
      <c r="H2050">
        <f t="shared" si="126"/>
        <v>0.75</v>
      </c>
      <c r="I2050">
        <f t="shared" si="127"/>
        <v>0</v>
      </c>
      <c r="J2050">
        <f>IF(I2049=0,0,C2049-I2049)</f>
        <v>0</v>
      </c>
    </row>
    <row r="2051" spans="1:10" x14ac:dyDescent="0.25">
      <c r="A2051" s="1">
        <v>41724</v>
      </c>
      <c r="B2051">
        <v>3.4217399999999998</v>
      </c>
      <c r="C2051">
        <v>4.3</v>
      </c>
      <c r="D2051">
        <f>WEEKDAY(A2051,14)</f>
        <v>7</v>
      </c>
      <c r="E2051">
        <f t="shared" ref="E2051:E2114" si="128">VLOOKUP(D2051,M$2:N$8,2,FALSE)</f>
        <v>0.25</v>
      </c>
      <c r="F2051">
        <f t="shared" ref="F2051:F2114" si="129">IF(AND(D2051&gt;D2050,F2050&lt;6),F2050+1,1)</f>
        <v>5</v>
      </c>
      <c r="G2051">
        <f>IF(F2051&gt;F2050,G2050+B2051*E2051,B2051*E2051)</f>
        <v>3.4444474999999999</v>
      </c>
      <c r="H2051">
        <f t="shared" si="126"/>
        <v>1</v>
      </c>
      <c r="I2051">
        <f t="shared" si="127"/>
        <v>3.4444474999999999</v>
      </c>
      <c r="J2051">
        <f>IF(I2050=0,0,C2050-I2050)</f>
        <v>0</v>
      </c>
    </row>
    <row r="2052" spans="1:10" x14ac:dyDescent="0.25">
      <c r="A2052" s="1">
        <v>41725</v>
      </c>
      <c r="B2052">
        <v>3.4052699999999998</v>
      </c>
      <c r="C2052">
        <v>4.335</v>
      </c>
      <c r="D2052">
        <f>WEEKDAY(A2052,14)</f>
        <v>1</v>
      </c>
      <c r="E2052">
        <f t="shared" si="128"/>
        <v>0</v>
      </c>
      <c r="F2052">
        <f t="shared" si="129"/>
        <v>1</v>
      </c>
      <c r="G2052">
        <f>IF(F2052&gt;F2051,G2051+B2052*E2052,B2052*E2052)</f>
        <v>0</v>
      </c>
      <c r="H2052">
        <f t="shared" ref="H2052:H2115" si="130">IF(AND(F2052&lt;6,F2052&gt;F2051),E2052+H2051,E2052)</f>
        <v>0</v>
      </c>
      <c r="I2052">
        <f t="shared" ref="I2052:I2115" si="131">IF(F2052&gt;F2053,G2052/H2052,0)</f>
        <v>0</v>
      </c>
      <c r="J2052">
        <f>IF(I2051=0,0,C2051-I2051)</f>
        <v>0.85555249999999994</v>
      </c>
    </row>
    <row r="2053" spans="1:10" x14ac:dyDescent="0.25">
      <c r="A2053" s="1">
        <v>41726</v>
      </c>
      <c r="B2053">
        <v>3.4306100000000002</v>
      </c>
      <c r="C2053">
        <v>4.335</v>
      </c>
      <c r="D2053">
        <f>WEEKDAY(A2053,14)</f>
        <v>2</v>
      </c>
      <c r="E2053">
        <f t="shared" si="128"/>
        <v>0</v>
      </c>
      <c r="F2053">
        <f t="shared" si="129"/>
        <v>2</v>
      </c>
      <c r="G2053">
        <f>IF(F2053&gt;F2052,G2052+B2053*E2053,B2053*E2053)</f>
        <v>0</v>
      </c>
      <c r="H2053">
        <f t="shared" si="130"/>
        <v>0</v>
      </c>
      <c r="I2053">
        <f t="shared" si="131"/>
        <v>0</v>
      </c>
      <c r="J2053">
        <f>IF(I2052=0,0,C2052-I2052)</f>
        <v>0</v>
      </c>
    </row>
    <row r="2054" spans="1:10" x14ac:dyDescent="0.25">
      <c r="A2054" s="1">
        <v>41729</v>
      </c>
      <c r="B2054">
        <v>3.44686</v>
      </c>
      <c r="C2054">
        <v>4.335</v>
      </c>
      <c r="D2054">
        <f>WEEKDAY(A2054,14)</f>
        <v>5</v>
      </c>
      <c r="E2054">
        <f t="shared" si="128"/>
        <v>0.05</v>
      </c>
      <c r="F2054">
        <f t="shared" si="129"/>
        <v>3</v>
      </c>
      <c r="G2054">
        <f>IF(F2054&gt;F2053,G2053+B2054*E2054,B2054*E2054)</f>
        <v>0.17234300000000002</v>
      </c>
      <c r="H2054">
        <f t="shared" si="130"/>
        <v>0.05</v>
      </c>
      <c r="I2054">
        <f t="shared" si="131"/>
        <v>0</v>
      </c>
      <c r="J2054">
        <f>IF(I2053=0,0,C2053-I2053)</f>
        <v>0</v>
      </c>
    </row>
    <row r="2055" spans="1:10" x14ac:dyDescent="0.25">
      <c r="A2055" s="1">
        <v>41730</v>
      </c>
      <c r="B2055">
        <v>3.4727000000000001</v>
      </c>
      <c r="C2055">
        <v>4.335</v>
      </c>
      <c r="D2055">
        <f>WEEKDAY(A2055,14)</f>
        <v>6</v>
      </c>
      <c r="E2055">
        <f t="shared" si="128"/>
        <v>0.7</v>
      </c>
      <c r="F2055">
        <f t="shared" si="129"/>
        <v>4</v>
      </c>
      <c r="G2055">
        <f>IF(F2055&gt;F2054,G2054+B2055*E2055,B2055*E2055)</f>
        <v>2.6032329999999999</v>
      </c>
      <c r="H2055">
        <f t="shared" si="130"/>
        <v>0.75</v>
      </c>
      <c r="I2055">
        <f t="shared" si="131"/>
        <v>0</v>
      </c>
      <c r="J2055">
        <f>IF(I2054=0,0,C2054-I2054)</f>
        <v>0</v>
      </c>
    </row>
    <row r="2056" spans="1:10" x14ac:dyDescent="0.25">
      <c r="A2056" s="1">
        <v>41731</v>
      </c>
      <c r="B2056">
        <v>3.5066299999999999</v>
      </c>
      <c r="C2056">
        <v>4.335</v>
      </c>
      <c r="D2056">
        <f>WEEKDAY(A2056,14)</f>
        <v>7</v>
      </c>
      <c r="E2056">
        <f t="shared" si="128"/>
        <v>0.25</v>
      </c>
      <c r="F2056">
        <f t="shared" si="129"/>
        <v>5</v>
      </c>
      <c r="G2056">
        <f>IF(F2056&gt;F2055,G2055+B2056*E2056,B2056*E2056)</f>
        <v>3.4798904999999998</v>
      </c>
      <c r="H2056">
        <f t="shared" si="130"/>
        <v>1</v>
      </c>
      <c r="I2056">
        <f t="shared" si="131"/>
        <v>3.4798904999999998</v>
      </c>
      <c r="J2056">
        <f>IF(I2055=0,0,C2055-I2055)</f>
        <v>0</v>
      </c>
    </row>
    <row r="2057" spans="1:10" x14ac:dyDescent="0.25">
      <c r="A2057" s="1">
        <v>41732</v>
      </c>
      <c r="B2057">
        <v>3.4840300000000002</v>
      </c>
      <c r="C2057">
        <v>4.2649999999999997</v>
      </c>
      <c r="D2057">
        <f>WEEKDAY(A2057,14)</f>
        <v>1</v>
      </c>
      <c r="E2057">
        <f t="shared" si="128"/>
        <v>0</v>
      </c>
      <c r="F2057">
        <f t="shared" si="129"/>
        <v>1</v>
      </c>
      <c r="G2057">
        <f>IF(F2057&gt;F2056,G2056+B2057*E2057,B2057*E2057)</f>
        <v>0</v>
      </c>
      <c r="H2057">
        <f t="shared" si="130"/>
        <v>0</v>
      </c>
      <c r="I2057">
        <f t="shared" si="131"/>
        <v>0</v>
      </c>
      <c r="J2057">
        <f>IF(I2056=0,0,C2056-I2056)</f>
        <v>0.85510950000000019</v>
      </c>
    </row>
    <row r="2058" spans="1:10" x14ac:dyDescent="0.25">
      <c r="A2058" s="1">
        <v>41733</v>
      </c>
      <c r="B2058">
        <v>3.4295599999999999</v>
      </c>
      <c r="C2058">
        <v>4.2649999999999997</v>
      </c>
      <c r="D2058">
        <f>WEEKDAY(A2058,14)</f>
        <v>2</v>
      </c>
      <c r="E2058">
        <f t="shared" si="128"/>
        <v>0</v>
      </c>
      <c r="F2058">
        <f t="shared" si="129"/>
        <v>2</v>
      </c>
      <c r="G2058">
        <f>IF(F2058&gt;F2057,G2057+B2058*E2058,B2058*E2058)</f>
        <v>0</v>
      </c>
      <c r="H2058">
        <f t="shared" si="130"/>
        <v>0</v>
      </c>
      <c r="I2058">
        <f t="shared" si="131"/>
        <v>0</v>
      </c>
      <c r="J2058">
        <f>IF(I2057=0,0,C2057-I2057)</f>
        <v>0</v>
      </c>
    </row>
    <row r="2059" spans="1:10" x14ac:dyDescent="0.25">
      <c r="A2059" s="1">
        <v>41736</v>
      </c>
      <c r="B2059">
        <v>3.3950999999999998</v>
      </c>
      <c r="C2059">
        <v>4.2649999999999997</v>
      </c>
      <c r="D2059">
        <f>WEEKDAY(A2059,14)</f>
        <v>5</v>
      </c>
      <c r="E2059">
        <f t="shared" si="128"/>
        <v>0.05</v>
      </c>
      <c r="F2059">
        <f t="shared" si="129"/>
        <v>3</v>
      </c>
      <c r="G2059">
        <f>IF(F2059&gt;F2058,G2058+B2059*E2059,B2059*E2059)</f>
        <v>0.16975499999999999</v>
      </c>
      <c r="H2059">
        <f t="shared" si="130"/>
        <v>0.05</v>
      </c>
      <c r="I2059">
        <f t="shared" si="131"/>
        <v>0</v>
      </c>
      <c r="J2059">
        <f>IF(I2058=0,0,C2058-I2058)</f>
        <v>0</v>
      </c>
    </row>
    <row r="2060" spans="1:10" x14ac:dyDescent="0.25">
      <c r="A2060" s="1">
        <v>41737</v>
      </c>
      <c r="B2060">
        <v>3.3731800000000001</v>
      </c>
      <c r="C2060">
        <v>4.2649999999999997</v>
      </c>
      <c r="D2060">
        <f>WEEKDAY(A2060,14)</f>
        <v>6</v>
      </c>
      <c r="E2060">
        <f t="shared" si="128"/>
        <v>0.7</v>
      </c>
      <c r="F2060">
        <f t="shared" si="129"/>
        <v>4</v>
      </c>
      <c r="G2060">
        <f>IF(F2060&gt;F2059,G2059+B2060*E2060,B2060*E2060)</f>
        <v>2.5309809999999997</v>
      </c>
      <c r="H2060">
        <f t="shared" si="130"/>
        <v>0.75</v>
      </c>
      <c r="I2060">
        <f t="shared" si="131"/>
        <v>0</v>
      </c>
      <c r="J2060">
        <f>IF(I2059=0,0,C2059-I2059)</f>
        <v>0</v>
      </c>
    </row>
    <row r="2061" spans="1:10" x14ac:dyDescent="0.25">
      <c r="A2061" s="1">
        <v>41738</v>
      </c>
      <c r="B2061">
        <v>3.3750900000000001</v>
      </c>
      <c r="C2061">
        <v>4.2649999999999997</v>
      </c>
      <c r="D2061">
        <f>WEEKDAY(A2061,14)</f>
        <v>7</v>
      </c>
      <c r="E2061">
        <f t="shared" si="128"/>
        <v>0.25</v>
      </c>
      <c r="F2061">
        <f t="shared" si="129"/>
        <v>5</v>
      </c>
      <c r="G2061">
        <f>IF(F2061&gt;F2060,G2060+B2061*E2061,B2061*E2061)</f>
        <v>3.3747534999999997</v>
      </c>
      <c r="H2061">
        <f t="shared" si="130"/>
        <v>1</v>
      </c>
      <c r="I2061">
        <f t="shared" si="131"/>
        <v>3.3747534999999997</v>
      </c>
      <c r="J2061">
        <f>IF(I2060=0,0,C2060-I2060)</f>
        <v>0</v>
      </c>
    </row>
    <row r="2062" spans="1:10" x14ac:dyDescent="0.25">
      <c r="A2062" s="1">
        <v>41739</v>
      </c>
      <c r="B2062">
        <v>3.3155199999999998</v>
      </c>
      <c r="C2062">
        <v>4.1950000000000003</v>
      </c>
      <c r="D2062">
        <f>WEEKDAY(A2062,14)</f>
        <v>1</v>
      </c>
      <c r="E2062">
        <f t="shared" si="128"/>
        <v>0</v>
      </c>
      <c r="F2062">
        <f t="shared" si="129"/>
        <v>1</v>
      </c>
      <c r="G2062">
        <f>IF(F2062&gt;F2061,G2061+B2062*E2062,B2062*E2062)</f>
        <v>0</v>
      </c>
      <c r="H2062">
        <f t="shared" si="130"/>
        <v>0</v>
      </c>
      <c r="I2062">
        <f t="shared" si="131"/>
        <v>0</v>
      </c>
      <c r="J2062">
        <f>IF(I2061=0,0,C2061-I2061)</f>
        <v>0.89024649999999994</v>
      </c>
    </row>
    <row r="2063" spans="1:10" x14ac:dyDescent="0.25">
      <c r="A2063" s="1">
        <v>41740</v>
      </c>
      <c r="B2063">
        <v>3.3161700000000001</v>
      </c>
      <c r="C2063">
        <v>4.1950000000000003</v>
      </c>
      <c r="D2063">
        <f>WEEKDAY(A2063,14)</f>
        <v>2</v>
      </c>
      <c r="E2063">
        <f t="shared" si="128"/>
        <v>0</v>
      </c>
      <c r="F2063">
        <f t="shared" si="129"/>
        <v>2</v>
      </c>
      <c r="G2063">
        <f>IF(F2063&gt;F2062,G2062+B2063*E2063,B2063*E2063)</f>
        <v>0</v>
      </c>
      <c r="H2063">
        <f t="shared" si="130"/>
        <v>0</v>
      </c>
      <c r="I2063">
        <f t="shared" si="131"/>
        <v>0</v>
      </c>
      <c r="J2063">
        <f>IF(I2062=0,0,C2062-I2062)</f>
        <v>0</v>
      </c>
    </row>
    <row r="2064" spans="1:10" x14ac:dyDescent="0.25">
      <c r="A2064" s="1">
        <v>41743</v>
      </c>
      <c r="B2064">
        <v>3.34083</v>
      </c>
      <c r="C2064">
        <v>4.1950000000000003</v>
      </c>
      <c r="D2064">
        <f>WEEKDAY(A2064,14)</f>
        <v>5</v>
      </c>
      <c r="E2064">
        <f t="shared" si="128"/>
        <v>0.05</v>
      </c>
      <c r="F2064">
        <f t="shared" si="129"/>
        <v>3</v>
      </c>
      <c r="G2064">
        <f>IF(F2064&gt;F2063,G2063+B2064*E2064,B2064*E2064)</f>
        <v>0.16704150000000001</v>
      </c>
      <c r="H2064">
        <f t="shared" si="130"/>
        <v>0.05</v>
      </c>
      <c r="I2064">
        <f t="shared" si="131"/>
        <v>0</v>
      </c>
      <c r="J2064">
        <f>IF(I2063=0,0,C2063-I2063)</f>
        <v>0</v>
      </c>
    </row>
    <row r="2065" spans="1:10" x14ac:dyDescent="0.25">
      <c r="A2065" s="1">
        <v>41744</v>
      </c>
      <c r="B2065">
        <v>3.3379300000000001</v>
      </c>
      <c r="C2065">
        <v>4.1950000000000003</v>
      </c>
      <c r="D2065">
        <f>WEEKDAY(A2065,14)</f>
        <v>6</v>
      </c>
      <c r="E2065">
        <f t="shared" si="128"/>
        <v>0.7</v>
      </c>
      <c r="F2065">
        <f t="shared" si="129"/>
        <v>4</v>
      </c>
      <c r="G2065">
        <f>IF(F2065&gt;F2064,G2064+B2065*E2065,B2065*E2065)</f>
        <v>2.5035924999999999</v>
      </c>
      <c r="H2065">
        <f t="shared" si="130"/>
        <v>0.75</v>
      </c>
      <c r="I2065">
        <f t="shared" si="131"/>
        <v>0</v>
      </c>
      <c r="J2065">
        <f>IF(I2064=0,0,C2064-I2064)</f>
        <v>0</v>
      </c>
    </row>
    <row r="2066" spans="1:10" x14ac:dyDescent="0.25">
      <c r="A2066" s="1">
        <v>41745</v>
      </c>
      <c r="B2066">
        <v>3.3508</v>
      </c>
      <c r="C2066">
        <v>4.1950000000000003</v>
      </c>
      <c r="D2066">
        <f>WEEKDAY(A2066,14)</f>
        <v>7</v>
      </c>
      <c r="E2066">
        <f t="shared" si="128"/>
        <v>0.25</v>
      </c>
      <c r="F2066">
        <f t="shared" si="129"/>
        <v>5</v>
      </c>
      <c r="G2066">
        <f>IF(F2066&gt;F2065,G2065+B2066*E2066,B2066*E2066)</f>
        <v>3.3412924999999998</v>
      </c>
      <c r="H2066">
        <f t="shared" si="130"/>
        <v>1</v>
      </c>
      <c r="I2066">
        <f t="shared" si="131"/>
        <v>3.3412924999999998</v>
      </c>
      <c r="J2066">
        <f>IF(I2065=0,0,C2065-I2065)</f>
        <v>0</v>
      </c>
    </row>
    <row r="2067" spans="1:10" x14ac:dyDescent="0.25">
      <c r="A2067" s="1">
        <v>41746</v>
      </c>
      <c r="B2067">
        <v>3.40802</v>
      </c>
      <c r="C2067">
        <v>4.2300000000000004</v>
      </c>
      <c r="D2067">
        <f>WEEKDAY(A2067,14)</f>
        <v>1</v>
      </c>
      <c r="E2067">
        <f t="shared" si="128"/>
        <v>0</v>
      </c>
      <c r="F2067">
        <f t="shared" si="129"/>
        <v>1</v>
      </c>
      <c r="G2067">
        <f>IF(F2067&gt;F2066,G2066+B2067*E2067,B2067*E2067)</f>
        <v>0</v>
      </c>
      <c r="H2067">
        <f t="shared" si="130"/>
        <v>0</v>
      </c>
      <c r="I2067">
        <f t="shared" si="131"/>
        <v>0</v>
      </c>
      <c r="J2067">
        <f>IF(I2066=0,0,C2066-I2066)</f>
        <v>0.85370750000000051</v>
      </c>
    </row>
    <row r="2068" spans="1:10" x14ac:dyDescent="0.25">
      <c r="A2068" s="1">
        <v>41750</v>
      </c>
      <c r="B2068">
        <v>3.4214899999999999</v>
      </c>
      <c r="C2068">
        <v>4.2300000000000004</v>
      </c>
      <c r="D2068">
        <f>WEEKDAY(A2068,14)</f>
        <v>5</v>
      </c>
      <c r="E2068">
        <f t="shared" si="128"/>
        <v>0.05</v>
      </c>
      <c r="F2068">
        <f t="shared" si="129"/>
        <v>2</v>
      </c>
      <c r="G2068">
        <f>IF(F2068&gt;F2067,G2067+B2068*E2068,B2068*E2068)</f>
        <v>0.17107450000000002</v>
      </c>
      <c r="H2068">
        <f t="shared" si="130"/>
        <v>0.05</v>
      </c>
      <c r="I2068">
        <f t="shared" si="131"/>
        <v>0</v>
      </c>
      <c r="J2068">
        <f>IF(I2067=0,0,C2067-I2067)</f>
        <v>0</v>
      </c>
    </row>
    <row r="2069" spans="1:10" x14ac:dyDescent="0.25">
      <c r="A2069" s="1">
        <v>41751</v>
      </c>
      <c r="B2069">
        <v>3.41581</v>
      </c>
      <c r="C2069">
        <v>4.2300000000000004</v>
      </c>
      <c r="D2069">
        <f>WEEKDAY(A2069,14)</f>
        <v>6</v>
      </c>
      <c r="E2069">
        <f t="shared" si="128"/>
        <v>0.7</v>
      </c>
      <c r="F2069">
        <f t="shared" si="129"/>
        <v>3</v>
      </c>
      <c r="G2069">
        <f>IF(F2069&gt;F2068,G2068+B2069*E2069,B2069*E2069)</f>
        <v>2.5621415000000001</v>
      </c>
      <c r="H2069">
        <f t="shared" si="130"/>
        <v>0.75</v>
      </c>
      <c r="I2069">
        <f t="shared" si="131"/>
        <v>0</v>
      </c>
      <c r="J2069">
        <f>IF(I2068=0,0,C2068-I2068)</f>
        <v>0</v>
      </c>
    </row>
    <row r="2070" spans="1:10" x14ac:dyDescent="0.25">
      <c r="A2070" s="1">
        <v>41752</v>
      </c>
      <c r="B2070">
        <v>3.3712599999999999</v>
      </c>
      <c r="C2070">
        <v>4.2300000000000004</v>
      </c>
      <c r="D2070">
        <f>WEEKDAY(A2070,14)</f>
        <v>7</v>
      </c>
      <c r="E2070">
        <f t="shared" si="128"/>
        <v>0.25</v>
      </c>
      <c r="F2070">
        <f t="shared" si="129"/>
        <v>4</v>
      </c>
      <c r="G2070">
        <f>IF(F2070&gt;F2069,G2069+B2070*E2070,B2070*E2070)</f>
        <v>3.4049564999999999</v>
      </c>
      <c r="H2070">
        <f t="shared" si="130"/>
        <v>1</v>
      </c>
      <c r="I2070">
        <f t="shared" si="131"/>
        <v>3.4049564999999999</v>
      </c>
      <c r="J2070">
        <f>IF(I2069=0,0,C2069-I2069)</f>
        <v>0</v>
      </c>
    </row>
    <row r="2071" spans="1:10" x14ac:dyDescent="0.25">
      <c r="A2071" s="1">
        <v>41753</v>
      </c>
      <c r="B2071">
        <v>3.36531</v>
      </c>
      <c r="C2071">
        <v>4.2149999999999999</v>
      </c>
      <c r="D2071">
        <f>WEEKDAY(A2071,14)</f>
        <v>1</v>
      </c>
      <c r="E2071">
        <f t="shared" si="128"/>
        <v>0</v>
      </c>
      <c r="F2071">
        <f t="shared" si="129"/>
        <v>1</v>
      </c>
      <c r="G2071">
        <f>IF(F2071&gt;F2070,G2070+B2071*E2071,B2071*E2071)</f>
        <v>0</v>
      </c>
      <c r="H2071">
        <f t="shared" si="130"/>
        <v>0</v>
      </c>
      <c r="I2071">
        <f t="shared" si="131"/>
        <v>0</v>
      </c>
      <c r="J2071">
        <f>IF(I2070=0,0,C2070-I2070)</f>
        <v>0.82504350000000048</v>
      </c>
    </row>
    <row r="2072" spans="1:10" x14ac:dyDescent="0.25">
      <c r="A2072" s="1">
        <v>41754</v>
      </c>
      <c r="B2072">
        <v>3.3440699999999999</v>
      </c>
      <c r="C2072">
        <v>4.2149999999999999</v>
      </c>
      <c r="D2072">
        <f>WEEKDAY(A2072,14)</f>
        <v>2</v>
      </c>
      <c r="E2072">
        <f t="shared" si="128"/>
        <v>0</v>
      </c>
      <c r="F2072">
        <f t="shared" si="129"/>
        <v>2</v>
      </c>
      <c r="G2072">
        <f>IF(F2072&gt;F2071,G2071+B2072*E2072,B2072*E2072)</f>
        <v>0</v>
      </c>
      <c r="H2072">
        <f t="shared" si="130"/>
        <v>0</v>
      </c>
      <c r="I2072">
        <f t="shared" si="131"/>
        <v>0</v>
      </c>
      <c r="J2072">
        <f>IF(I2071=0,0,C2071-I2071)</f>
        <v>0</v>
      </c>
    </row>
    <row r="2073" spans="1:10" x14ac:dyDescent="0.25">
      <c r="A2073" s="1">
        <v>41757</v>
      </c>
      <c r="B2073">
        <v>3.3514599999999999</v>
      </c>
      <c r="C2073">
        <v>4.2149999999999999</v>
      </c>
      <c r="D2073">
        <f>WEEKDAY(A2073,14)</f>
        <v>5</v>
      </c>
      <c r="E2073">
        <f t="shared" si="128"/>
        <v>0.05</v>
      </c>
      <c r="F2073">
        <f t="shared" si="129"/>
        <v>3</v>
      </c>
      <c r="G2073">
        <f>IF(F2073&gt;F2072,G2072+B2073*E2073,B2073*E2073)</f>
        <v>0.167573</v>
      </c>
      <c r="H2073">
        <f t="shared" si="130"/>
        <v>0.05</v>
      </c>
      <c r="I2073">
        <f t="shared" si="131"/>
        <v>0</v>
      </c>
      <c r="J2073">
        <f>IF(I2072=0,0,C2072-I2072)</f>
        <v>0</v>
      </c>
    </row>
    <row r="2074" spans="1:10" x14ac:dyDescent="0.25">
      <c r="A2074" s="1">
        <v>41758</v>
      </c>
      <c r="B2074">
        <v>3.37337</v>
      </c>
      <c r="C2074">
        <v>4.2149999999999999</v>
      </c>
      <c r="D2074">
        <f>WEEKDAY(A2074,14)</f>
        <v>6</v>
      </c>
      <c r="E2074">
        <f t="shared" si="128"/>
        <v>0.7</v>
      </c>
      <c r="F2074">
        <f t="shared" si="129"/>
        <v>4</v>
      </c>
      <c r="G2074">
        <f>IF(F2074&gt;F2073,G2073+B2074*E2074,B2074*E2074)</f>
        <v>2.5289319999999997</v>
      </c>
      <c r="H2074">
        <f t="shared" si="130"/>
        <v>0.75</v>
      </c>
      <c r="I2074">
        <f t="shared" si="131"/>
        <v>0</v>
      </c>
      <c r="J2074">
        <f>IF(I2073=0,0,C2073-I2073)</f>
        <v>0</v>
      </c>
    </row>
    <row r="2075" spans="1:10" x14ac:dyDescent="0.25">
      <c r="A2075" s="1">
        <v>41759</v>
      </c>
      <c r="B2075">
        <v>3.3274300000000001</v>
      </c>
      <c r="C2075">
        <v>4.2149999999999999</v>
      </c>
      <c r="D2075">
        <f>WEEKDAY(A2075,14)</f>
        <v>7</v>
      </c>
      <c r="E2075">
        <f t="shared" si="128"/>
        <v>0.25</v>
      </c>
      <c r="F2075">
        <f t="shared" si="129"/>
        <v>5</v>
      </c>
      <c r="G2075">
        <f>IF(F2075&gt;F2074,G2074+B2075*E2075,B2075*E2075)</f>
        <v>3.3607894999999997</v>
      </c>
      <c r="H2075">
        <f t="shared" si="130"/>
        <v>1</v>
      </c>
      <c r="I2075">
        <f t="shared" si="131"/>
        <v>3.3607894999999997</v>
      </c>
      <c r="J2075">
        <f>IF(I2074=0,0,C2074-I2074)</f>
        <v>0</v>
      </c>
    </row>
    <row r="2076" spans="1:10" x14ac:dyDescent="0.25">
      <c r="A2076" s="1">
        <v>41760</v>
      </c>
      <c r="B2076">
        <v>3.2875299999999998</v>
      </c>
      <c r="C2076">
        <v>4.1100000000000003</v>
      </c>
      <c r="D2076">
        <f>WEEKDAY(A2076,14)</f>
        <v>1</v>
      </c>
      <c r="E2076">
        <f t="shared" si="128"/>
        <v>0</v>
      </c>
      <c r="F2076">
        <f t="shared" si="129"/>
        <v>1</v>
      </c>
      <c r="G2076">
        <f>IF(F2076&gt;F2075,G2075+B2076*E2076,B2076*E2076)</f>
        <v>0</v>
      </c>
      <c r="H2076">
        <f t="shared" si="130"/>
        <v>0</v>
      </c>
      <c r="I2076">
        <f t="shared" si="131"/>
        <v>0</v>
      </c>
      <c r="J2076">
        <f>IF(I2075=0,0,C2075-I2075)</f>
        <v>0.85421050000000021</v>
      </c>
    </row>
    <row r="2077" spans="1:10" x14ac:dyDescent="0.25">
      <c r="A2077" s="1">
        <v>41761</v>
      </c>
      <c r="B2077">
        <v>3.27582</v>
      </c>
      <c r="C2077">
        <v>4.1100000000000003</v>
      </c>
      <c r="D2077">
        <f>WEEKDAY(A2077,14)</f>
        <v>2</v>
      </c>
      <c r="E2077">
        <f t="shared" si="128"/>
        <v>0</v>
      </c>
      <c r="F2077">
        <f t="shared" si="129"/>
        <v>2</v>
      </c>
      <c r="G2077">
        <f>IF(F2077&gt;F2076,G2076+B2077*E2077,B2077*E2077)</f>
        <v>0</v>
      </c>
      <c r="H2077">
        <f t="shared" si="130"/>
        <v>0</v>
      </c>
      <c r="I2077">
        <f t="shared" si="131"/>
        <v>0</v>
      </c>
      <c r="J2077">
        <f>IF(I2076=0,0,C2076-I2076)</f>
        <v>0</v>
      </c>
    </row>
    <row r="2078" spans="1:10" x14ac:dyDescent="0.25">
      <c r="A2078" s="1">
        <v>41764</v>
      </c>
      <c r="B2078">
        <v>3.2885</v>
      </c>
      <c r="C2078">
        <v>4.1100000000000003</v>
      </c>
      <c r="D2078">
        <f>WEEKDAY(A2078,14)</f>
        <v>5</v>
      </c>
      <c r="E2078">
        <f t="shared" si="128"/>
        <v>0.05</v>
      </c>
      <c r="F2078">
        <f t="shared" si="129"/>
        <v>3</v>
      </c>
      <c r="G2078">
        <f>IF(F2078&gt;F2077,G2077+B2078*E2078,B2078*E2078)</f>
        <v>0.16442500000000002</v>
      </c>
      <c r="H2078">
        <f t="shared" si="130"/>
        <v>0.05</v>
      </c>
      <c r="I2078">
        <f t="shared" si="131"/>
        <v>0</v>
      </c>
      <c r="J2078">
        <f>IF(I2077=0,0,C2077-I2077)</f>
        <v>0</v>
      </c>
    </row>
    <row r="2079" spans="1:10" x14ac:dyDescent="0.25">
      <c r="A2079" s="1">
        <v>41765</v>
      </c>
      <c r="B2079">
        <v>3.26769</v>
      </c>
      <c r="C2079">
        <v>4.1100000000000003</v>
      </c>
      <c r="D2079">
        <f>WEEKDAY(A2079,14)</f>
        <v>6</v>
      </c>
      <c r="E2079">
        <f t="shared" si="128"/>
        <v>0.7</v>
      </c>
      <c r="F2079">
        <f t="shared" si="129"/>
        <v>4</v>
      </c>
      <c r="G2079">
        <f>IF(F2079&gt;F2078,G2078+B2079*E2079,B2079*E2079)</f>
        <v>2.4518079999999998</v>
      </c>
      <c r="H2079">
        <f t="shared" si="130"/>
        <v>0.75</v>
      </c>
      <c r="I2079">
        <f t="shared" si="131"/>
        <v>0</v>
      </c>
      <c r="J2079">
        <f>IF(I2078=0,0,C2078-I2078)</f>
        <v>0</v>
      </c>
    </row>
    <row r="2080" spans="1:10" x14ac:dyDescent="0.25">
      <c r="A2080" s="1">
        <v>41766</v>
      </c>
      <c r="B2080">
        <v>3.2365599999999999</v>
      </c>
      <c r="C2080">
        <v>4.1100000000000003</v>
      </c>
      <c r="D2080">
        <f>WEEKDAY(A2080,14)</f>
        <v>7</v>
      </c>
      <c r="E2080">
        <f t="shared" si="128"/>
        <v>0.25</v>
      </c>
      <c r="F2080">
        <f t="shared" si="129"/>
        <v>5</v>
      </c>
      <c r="G2080">
        <f>IF(F2080&gt;F2079,G2079+B2080*E2080,B2080*E2080)</f>
        <v>3.260948</v>
      </c>
      <c r="H2080">
        <f t="shared" si="130"/>
        <v>1</v>
      </c>
      <c r="I2080">
        <f t="shared" si="131"/>
        <v>3.260948</v>
      </c>
      <c r="J2080">
        <f>IF(I2079=0,0,C2079-I2079)</f>
        <v>0</v>
      </c>
    </row>
    <row r="2081" spans="1:10" x14ac:dyDescent="0.25">
      <c r="A2081" s="1">
        <v>41767</v>
      </c>
      <c r="B2081">
        <v>3.2302</v>
      </c>
      <c r="C2081">
        <v>4.0999999999999996</v>
      </c>
      <c r="D2081">
        <f>WEEKDAY(A2081,14)</f>
        <v>1</v>
      </c>
      <c r="E2081">
        <f t="shared" si="128"/>
        <v>0</v>
      </c>
      <c r="F2081">
        <f t="shared" si="129"/>
        <v>1</v>
      </c>
      <c r="G2081">
        <f>IF(F2081&gt;F2080,G2080+B2081*E2081,B2081*E2081)</f>
        <v>0</v>
      </c>
      <c r="H2081">
        <f t="shared" si="130"/>
        <v>0</v>
      </c>
      <c r="I2081">
        <f t="shared" si="131"/>
        <v>0</v>
      </c>
      <c r="J2081">
        <f>IF(I2080=0,0,C2080-I2080)</f>
        <v>0.84905200000000036</v>
      </c>
    </row>
    <row r="2082" spans="1:10" x14ac:dyDescent="0.25">
      <c r="A2082" s="1">
        <v>41768</v>
      </c>
      <c r="B2082">
        <v>3.2679299999999998</v>
      </c>
      <c r="C2082">
        <v>4.0999999999999996</v>
      </c>
      <c r="D2082">
        <f>WEEKDAY(A2082,14)</f>
        <v>2</v>
      </c>
      <c r="E2082">
        <f t="shared" si="128"/>
        <v>0</v>
      </c>
      <c r="F2082">
        <f t="shared" si="129"/>
        <v>2</v>
      </c>
      <c r="G2082">
        <f>IF(F2082&gt;F2081,G2081+B2082*E2082,B2082*E2082)</f>
        <v>0</v>
      </c>
      <c r="H2082">
        <f t="shared" si="130"/>
        <v>0</v>
      </c>
      <c r="I2082">
        <f t="shared" si="131"/>
        <v>0</v>
      </c>
      <c r="J2082">
        <f>IF(I2081=0,0,C2081-I2081)</f>
        <v>0</v>
      </c>
    </row>
    <row r="2083" spans="1:10" x14ac:dyDescent="0.25">
      <c r="A2083" s="1">
        <v>41771</v>
      </c>
      <c r="B2083">
        <v>3.2957299999999998</v>
      </c>
      <c r="C2083">
        <v>4.0999999999999996</v>
      </c>
      <c r="D2083">
        <f>WEEKDAY(A2083,14)</f>
        <v>5</v>
      </c>
      <c r="E2083">
        <f t="shared" si="128"/>
        <v>0.05</v>
      </c>
      <c r="F2083">
        <f t="shared" si="129"/>
        <v>3</v>
      </c>
      <c r="G2083">
        <f>IF(F2083&gt;F2082,G2082+B2083*E2083,B2083*E2083)</f>
        <v>0.1647865</v>
      </c>
      <c r="H2083">
        <f t="shared" si="130"/>
        <v>0.05</v>
      </c>
      <c r="I2083">
        <f t="shared" si="131"/>
        <v>0</v>
      </c>
      <c r="J2083">
        <f>IF(I2082=0,0,C2082-I2082)</f>
        <v>0</v>
      </c>
    </row>
    <row r="2084" spans="1:10" x14ac:dyDescent="0.25">
      <c r="A2084" s="1">
        <v>41772</v>
      </c>
      <c r="B2084">
        <v>3.2728000000000002</v>
      </c>
      <c r="C2084">
        <v>4.0999999999999996</v>
      </c>
      <c r="D2084">
        <f>WEEKDAY(A2084,14)</f>
        <v>6</v>
      </c>
      <c r="E2084">
        <f t="shared" si="128"/>
        <v>0.7</v>
      </c>
      <c r="F2084">
        <f t="shared" si="129"/>
        <v>4</v>
      </c>
      <c r="G2084">
        <f>IF(F2084&gt;F2083,G2083+B2084*E2084,B2084*E2084)</f>
        <v>2.4557465000000001</v>
      </c>
      <c r="H2084">
        <f t="shared" si="130"/>
        <v>0.75</v>
      </c>
      <c r="I2084">
        <f t="shared" si="131"/>
        <v>0</v>
      </c>
      <c r="J2084">
        <f>IF(I2083=0,0,C2083-I2083)</f>
        <v>0</v>
      </c>
    </row>
    <row r="2085" spans="1:10" x14ac:dyDescent="0.25">
      <c r="A2085" s="1">
        <v>41773</v>
      </c>
      <c r="B2085">
        <v>3.1970900000000002</v>
      </c>
      <c r="C2085">
        <v>4.0999999999999996</v>
      </c>
      <c r="D2085">
        <f>WEEKDAY(A2085,14)</f>
        <v>7</v>
      </c>
      <c r="E2085">
        <f t="shared" si="128"/>
        <v>0.25</v>
      </c>
      <c r="F2085">
        <f t="shared" si="129"/>
        <v>5</v>
      </c>
      <c r="G2085">
        <f>IF(F2085&gt;F2084,G2084+B2085*E2085,B2085*E2085)</f>
        <v>3.2550189999999999</v>
      </c>
      <c r="H2085">
        <f t="shared" si="130"/>
        <v>1</v>
      </c>
      <c r="I2085">
        <f t="shared" si="131"/>
        <v>3.2550189999999999</v>
      </c>
      <c r="J2085">
        <f>IF(I2084=0,0,C2084-I2084)</f>
        <v>0</v>
      </c>
    </row>
    <row r="2086" spans="1:10" x14ac:dyDescent="0.25">
      <c r="A2086" s="1">
        <v>41774</v>
      </c>
      <c r="B2086">
        <v>3.1795100000000001</v>
      </c>
      <c r="C2086">
        <v>4.04</v>
      </c>
      <c r="D2086">
        <f>WEEKDAY(A2086,14)</f>
        <v>1</v>
      </c>
      <c r="E2086">
        <f t="shared" si="128"/>
        <v>0</v>
      </c>
      <c r="F2086">
        <f t="shared" si="129"/>
        <v>1</v>
      </c>
      <c r="G2086">
        <f>IF(F2086&gt;F2085,G2085+B2086*E2086,B2086*E2086)</f>
        <v>0</v>
      </c>
      <c r="H2086">
        <f t="shared" si="130"/>
        <v>0</v>
      </c>
      <c r="I2086">
        <f t="shared" si="131"/>
        <v>0</v>
      </c>
      <c r="J2086">
        <f>IF(I2085=0,0,C2085-I2085)</f>
        <v>0.84498099999999976</v>
      </c>
    </row>
    <row r="2087" spans="1:10" x14ac:dyDescent="0.25">
      <c r="A2087" s="1">
        <v>41775</v>
      </c>
      <c r="B2087">
        <v>3.2071700000000001</v>
      </c>
      <c r="C2087">
        <v>4.04</v>
      </c>
      <c r="D2087">
        <f>WEEKDAY(A2087,14)</f>
        <v>2</v>
      </c>
      <c r="E2087">
        <f t="shared" si="128"/>
        <v>0</v>
      </c>
      <c r="F2087">
        <f t="shared" si="129"/>
        <v>2</v>
      </c>
      <c r="G2087">
        <f>IF(F2087&gt;F2086,G2086+B2087*E2087,B2087*E2087)</f>
        <v>0</v>
      </c>
      <c r="H2087">
        <f t="shared" si="130"/>
        <v>0</v>
      </c>
      <c r="I2087">
        <f t="shared" si="131"/>
        <v>0</v>
      </c>
      <c r="J2087">
        <f>IF(I2086=0,0,C2086-I2086)</f>
        <v>0</v>
      </c>
    </row>
    <row r="2088" spans="1:10" x14ac:dyDescent="0.25">
      <c r="A2088" s="1">
        <v>41778</v>
      </c>
      <c r="B2088">
        <v>3.2249699999999999</v>
      </c>
      <c r="C2088">
        <v>4.04</v>
      </c>
      <c r="D2088">
        <f>WEEKDAY(A2088,14)</f>
        <v>5</v>
      </c>
      <c r="E2088">
        <f t="shared" si="128"/>
        <v>0.05</v>
      </c>
      <c r="F2088">
        <f t="shared" si="129"/>
        <v>3</v>
      </c>
      <c r="G2088">
        <f>IF(F2088&gt;F2087,G2087+B2088*E2088,B2088*E2088)</f>
        <v>0.16124850000000002</v>
      </c>
      <c r="H2088">
        <f t="shared" si="130"/>
        <v>0.05</v>
      </c>
      <c r="I2088">
        <f t="shared" si="131"/>
        <v>0</v>
      </c>
      <c r="J2088">
        <f>IF(I2087=0,0,C2087-I2087)</f>
        <v>0</v>
      </c>
    </row>
    <row r="2089" spans="1:10" x14ac:dyDescent="0.25">
      <c r="A2089" s="1">
        <v>41779</v>
      </c>
      <c r="B2089">
        <v>3.19062</v>
      </c>
      <c r="C2089">
        <v>4.04</v>
      </c>
      <c r="D2089">
        <f>WEEKDAY(A2089,14)</f>
        <v>6</v>
      </c>
      <c r="E2089">
        <f t="shared" si="128"/>
        <v>0.7</v>
      </c>
      <c r="F2089">
        <f t="shared" si="129"/>
        <v>4</v>
      </c>
      <c r="G2089">
        <f>IF(F2089&gt;F2088,G2088+B2089*E2089,B2089*E2089)</f>
        <v>2.3946825</v>
      </c>
      <c r="H2089">
        <f t="shared" si="130"/>
        <v>0.75</v>
      </c>
      <c r="I2089">
        <f t="shared" si="131"/>
        <v>0</v>
      </c>
      <c r="J2089">
        <f>IF(I2088=0,0,C2088-I2088)</f>
        <v>0</v>
      </c>
    </row>
    <row r="2090" spans="1:10" x14ac:dyDescent="0.25">
      <c r="A2090" s="1">
        <v>41780</v>
      </c>
      <c r="B2090">
        <v>3.2003699999999999</v>
      </c>
      <c r="C2090">
        <v>4.04</v>
      </c>
      <c r="D2090">
        <f>WEEKDAY(A2090,14)</f>
        <v>7</v>
      </c>
      <c r="E2090">
        <f t="shared" si="128"/>
        <v>0.25</v>
      </c>
      <c r="F2090">
        <f t="shared" si="129"/>
        <v>5</v>
      </c>
      <c r="G2090">
        <f>IF(F2090&gt;F2089,G2089+B2090*E2090,B2090*E2090)</f>
        <v>3.1947749999999999</v>
      </c>
      <c r="H2090">
        <f t="shared" si="130"/>
        <v>1</v>
      </c>
      <c r="I2090">
        <f t="shared" si="131"/>
        <v>3.1947749999999999</v>
      </c>
      <c r="J2090">
        <f>IF(I2089=0,0,C2089-I2089)</f>
        <v>0</v>
      </c>
    </row>
    <row r="2091" spans="1:10" x14ac:dyDescent="0.25">
      <c r="A2091" s="1">
        <v>41781</v>
      </c>
      <c r="B2091">
        <v>3.2144300000000001</v>
      </c>
      <c r="C2091">
        <v>4.0199999999999996</v>
      </c>
      <c r="D2091">
        <f>WEEKDAY(A2091,14)</f>
        <v>1</v>
      </c>
      <c r="E2091">
        <f t="shared" si="128"/>
        <v>0</v>
      </c>
      <c r="F2091">
        <f t="shared" si="129"/>
        <v>1</v>
      </c>
      <c r="G2091">
        <f>IF(F2091&gt;F2090,G2090+B2091*E2091,B2091*E2091)</f>
        <v>0</v>
      </c>
      <c r="H2091">
        <f t="shared" si="130"/>
        <v>0</v>
      </c>
      <c r="I2091">
        <f t="shared" si="131"/>
        <v>0</v>
      </c>
      <c r="J2091">
        <f>IF(I2090=0,0,C2090-I2090)</f>
        <v>0.84522500000000012</v>
      </c>
    </row>
    <row r="2092" spans="1:10" x14ac:dyDescent="0.25">
      <c r="A2092" s="1">
        <v>41782</v>
      </c>
      <c r="B2092">
        <v>3.2062900000000001</v>
      </c>
      <c r="C2092">
        <v>4.0199999999999996</v>
      </c>
      <c r="D2092">
        <f>WEEKDAY(A2092,14)</f>
        <v>2</v>
      </c>
      <c r="E2092">
        <f t="shared" si="128"/>
        <v>0</v>
      </c>
      <c r="F2092">
        <f t="shared" si="129"/>
        <v>2</v>
      </c>
      <c r="G2092">
        <f>IF(F2092&gt;F2091,G2091+B2092*E2092,B2092*E2092)</f>
        <v>0</v>
      </c>
      <c r="H2092">
        <f t="shared" si="130"/>
        <v>0</v>
      </c>
      <c r="I2092">
        <f t="shared" si="131"/>
        <v>0</v>
      </c>
      <c r="J2092">
        <f>IF(I2091=0,0,C2091-I2091)</f>
        <v>0</v>
      </c>
    </row>
    <row r="2093" spans="1:10" x14ac:dyDescent="0.25">
      <c r="A2093" s="1">
        <v>41786</v>
      </c>
      <c r="B2093">
        <v>3.18634</v>
      </c>
      <c r="C2093">
        <v>4.0199999999999996</v>
      </c>
      <c r="D2093">
        <f>WEEKDAY(A2093,14)</f>
        <v>6</v>
      </c>
      <c r="E2093">
        <f t="shared" si="128"/>
        <v>0.7</v>
      </c>
      <c r="F2093">
        <f t="shared" si="129"/>
        <v>3</v>
      </c>
      <c r="G2093">
        <f>IF(F2093&gt;F2092,G2092+B2093*E2093,B2093*E2093)</f>
        <v>2.2304379999999999</v>
      </c>
      <c r="H2093">
        <f t="shared" si="130"/>
        <v>0.7</v>
      </c>
      <c r="I2093">
        <f t="shared" si="131"/>
        <v>0</v>
      </c>
      <c r="J2093">
        <f>IF(I2092=0,0,C2092-I2092)</f>
        <v>0</v>
      </c>
    </row>
    <row r="2094" spans="1:10" x14ac:dyDescent="0.25">
      <c r="A2094" s="1">
        <v>41787</v>
      </c>
      <c r="B2094">
        <v>3.0965799999999999</v>
      </c>
      <c r="C2094">
        <v>4.0199999999999996</v>
      </c>
      <c r="D2094">
        <f>WEEKDAY(A2094,14)</f>
        <v>7</v>
      </c>
      <c r="E2094">
        <f t="shared" si="128"/>
        <v>0.25</v>
      </c>
      <c r="F2094">
        <f t="shared" si="129"/>
        <v>4</v>
      </c>
      <c r="G2094">
        <f>IF(F2094&gt;F2093,G2093+B2094*E2094,B2094*E2094)</f>
        <v>3.0045829999999998</v>
      </c>
      <c r="H2094">
        <f t="shared" si="130"/>
        <v>0.95</v>
      </c>
      <c r="I2094">
        <f t="shared" si="131"/>
        <v>3.162718947368421</v>
      </c>
      <c r="J2094">
        <f>IF(I2093=0,0,C2093-I2093)</f>
        <v>0</v>
      </c>
    </row>
    <row r="2095" spans="1:10" x14ac:dyDescent="0.25">
      <c r="A2095" s="1">
        <v>41788</v>
      </c>
      <c r="B2095">
        <v>3.1236000000000002</v>
      </c>
      <c r="C2095">
        <v>4.0149999999999997</v>
      </c>
      <c r="D2095">
        <f>WEEKDAY(A2095,14)</f>
        <v>1</v>
      </c>
      <c r="E2095">
        <f t="shared" si="128"/>
        <v>0</v>
      </c>
      <c r="F2095">
        <f t="shared" si="129"/>
        <v>1</v>
      </c>
      <c r="G2095">
        <f>IF(F2095&gt;F2094,G2094+B2095*E2095,B2095*E2095)</f>
        <v>0</v>
      </c>
      <c r="H2095">
        <f t="shared" si="130"/>
        <v>0</v>
      </c>
      <c r="I2095">
        <f t="shared" si="131"/>
        <v>0</v>
      </c>
      <c r="J2095">
        <f>IF(I2094=0,0,C2094-I2094)</f>
        <v>0.85728105263157861</v>
      </c>
    </row>
    <row r="2096" spans="1:10" x14ac:dyDescent="0.25">
      <c r="A2096" s="1">
        <v>41789</v>
      </c>
      <c r="B2096">
        <v>3.1327199999999999</v>
      </c>
      <c r="C2096">
        <v>4.0149999999999997</v>
      </c>
      <c r="D2096">
        <f>WEEKDAY(A2096,14)</f>
        <v>2</v>
      </c>
      <c r="E2096">
        <f t="shared" si="128"/>
        <v>0</v>
      </c>
      <c r="F2096">
        <f t="shared" si="129"/>
        <v>2</v>
      </c>
      <c r="G2096">
        <f>IF(F2096&gt;F2095,G2095+B2096*E2096,B2096*E2096)</f>
        <v>0</v>
      </c>
      <c r="H2096">
        <f t="shared" si="130"/>
        <v>0</v>
      </c>
      <c r="I2096">
        <f t="shared" si="131"/>
        <v>0</v>
      </c>
      <c r="J2096">
        <f>IF(I2095=0,0,C2095-I2095)</f>
        <v>0</v>
      </c>
    </row>
    <row r="2097" spans="1:10" x14ac:dyDescent="0.25">
      <c r="A2097" s="1">
        <v>41792</v>
      </c>
      <c r="B2097">
        <v>3.2077399999999998</v>
      </c>
      <c r="C2097">
        <v>4.0149999999999997</v>
      </c>
      <c r="D2097">
        <f>WEEKDAY(A2097,14)</f>
        <v>5</v>
      </c>
      <c r="E2097">
        <f t="shared" si="128"/>
        <v>0.05</v>
      </c>
      <c r="F2097">
        <f t="shared" si="129"/>
        <v>3</v>
      </c>
      <c r="G2097">
        <f>IF(F2097&gt;F2096,G2096+B2097*E2097,B2097*E2097)</f>
        <v>0.160387</v>
      </c>
      <c r="H2097">
        <f t="shared" si="130"/>
        <v>0.05</v>
      </c>
      <c r="I2097">
        <f t="shared" si="131"/>
        <v>0</v>
      </c>
      <c r="J2097">
        <f>IF(I2096=0,0,C2096-I2096)</f>
        <v>0</v>
      </c>
    </row>
    <row r="2098" spans="1:10" x14ac:dyDescent="0.25">
      <c r="A2098" s="1">
        <v>41793</v>
      </c>
      <c r="B2098">
        <v>3.2594599999999998</v>
      </c>
      <c r="C2098">
        <v>4.0149999999999997</v>
      </c>
      <c r="D2098">
        <f>WEEKDAY(A2098,14)</f>
        <v>6</v>
      </c>
      <c r="E2098">
        <f t="shared" si="128"/>
        <v>0.7</v>
      </c>
      <c r="F2098">
        <f t="shared" si="129"/>
        <v>4</v>
      </c>
      <c r="G2098">
        <f>IF(F2098&gt;F2097,G2097+B2098*E2098,B2098*E2098)</f>
        <v>2.4420089999999997</v>
      </c>
      <c r="H2098">
        <f t="shared" si="130"/>
        <v>0.75</v>
      </c>
      <c r="I2098">
        <f t="shared" si="131"/>
        <v>0</v>
      </c>
      <c r="J2098">
        <f>IF(I2097=0,0,C2097-I2097)</f>
        <v>0</v>
      </c>
    </row>
    <row r="2099" spans="1:10" x14ac:dyDescent="0.25">
      <c r="A2099" s="1">
        <v>41794</v>
      </c>
      <c r="B2099">
        <v>3.2635299999999998</v>
      </c>
      <c r="C2099">
        <v>4.0149999999999997</v>
      </c>
      <c r="D2099">
        <f>WEEKDAY(A2099,14)</f>
        <v>7</v>
      </c>
      <c r="E2099">
        <f t="shared" si="128"/>
        <v>0.25</v>
      </c>
      <c r="F2099">
        <f t="shared" si="129"/>
        <v>5</v>
      </c>
      <c r="G2099">
        <f>IF(F2099&gt;F2098,G2098+B2099*E2099,B2099*E2099)</f>
        <v>3.2578914999999995</v>
      </c>
      <c r="H2099">
        <f t="shared" si="130"/>
        <v>1</v>
      </c>
      <c r="I2099">
        <f t="shared" si="131"/>
        <v>3.2578914999999995</v>
      </c>
      <c r="J2099">
        <f>IF(I2098=0,0,C2098-I2098)</f>
        <v>0</v>
      </c>
    </row>
    <row r="2100" spans="1:10" x14ac:dyDescent="0.25">
      <c r="A2100" s="1">
        <v>41795</v>
      </c>
      <c r="B2100">
        <v>3.2377600000000002</v>
      </c>
      <c r="C2100">
        <v>4.0999999999999996</v>
      </c>
      <c r="D2100">
        <f>WEEKDAY(A2100,14)</f>
        <v>1</v>
      </c>
      <c r="E2100">
        <f t="shared" si="128"/>
        <v>0</v>
      </c>
      <c r="F2100">
        <f t="shared" si="129"/>
        <v>1</v>
      </c>
      <c r="G2100">
        <f>IF(F2100&gt;F2099,G2099+B2100*E2100,B2100*E2100)</f>
        <v>0</v>
      </c>
      <c r="H2100">
        <f t="shared" si="130"/>
        <v>0</v>
      </c>
      <c r="I2100">
        <f t="shared" si="131"/>
        <v>0</v>
      </c>
      <c r="J2100">
        <f>IF(I2099=0,0,C2099-I2099)</f>
        <v>0.75710850000000018</v>
      </c>
    </row>
    <row r="2101" spans="1:10" x14ac:dyDescent="0.25">
      <c r="A2101" s="1">
        <v>41796</v>
      </c>
      <c r="B2101">
        <v>3.24953</v>
      </c>
      <c r="C2101">
        <v>4.0999999999999996</v>
      </c>
      <c r="D2101">
        <f>WEEKDAY(A2101,14)</f>
        <v>2</v>
      </c>
      <c r="E2101">
        <f t="shared" si="128"/>
        <v>0</v>
      </c>
      <c r="F2101">
        <f t="shared" si="129"/>
        <v>2</v>
      </c>
      <c r="G2101">
        <f>IF(F2101&gt;F2100,G2100+B2101*E2101,B2101*E2101)</f>
        <v>0</v>
      </c>
      <c r="H2101">
        <f t="shared" si="130"/>
        <v>0</v>
      </c>
      <c r="I2101">
        <f t="shared" si="131"/>
        <v>0</v>
      </c>
      <c r="J2101">
        <f>IF(I2100=0,0,C2100-I2100)</f>
        <v>0</v>
      </c>
    </row>
    <row r="2102" spans="1:10" x14ac:dyDescent="0.25">
      <c r="A2102" s="1">
        <v>41799</v>
      </c>
      <c r="B2102">
        <v>3.26478</v>
      </c>
      <c r="C2102">
        <v>4.0999999999999996</v>
      </c>
      <c r="D2102">
        <f>WEEKDAY(A2102,14)</f>
        <v>5</v>
      </c>
      <c r="E2102">
        <f t="shared" si="128"/>
        <v>0.05</v>
      </c>
      <c r="F2102">
        <f t="shared" si="129"/>
        <v>3</v>
      </c>
      <c r="G2102">
        <f>IF(F2102&gt;F2101,G2101+B2102*E2102,B2102*E2102)</f>
        <v>0.16323900000000002</v>
      </c>
      <c r="H2102">
        <f t="shared" si="130"/>
        <v>0.05</v>
      </c>
      <c r="I2102">
        <f t="shared" si="131"/>
        <v>0</v>
      </c>
      <c r="J2102">
        <f>IF(I2101=0,0,C2101-I2101)</f>
        <v>0</v>
      </c>
    </row>
    <row r="2103" spans="1:10" x14ac:dyDescent="0.25">
      <c r="A2103" s="1">
        <v>41800</v>
      </c>
      <c r="B2103">
        <v>3.2863699999999998</v>
      </c>
      <c r="C2103">
        <v>4.0999999999999996</v>
      </c>
      <c r="D2103">
        <f>WEEKDAY(A2103,14)</f>
        <v>6</v>
      </c>
      <c r="E2103">
        <f t="shared" si="128"/>
        <v>0.7</v>
      </c>
      <c r="F2103">
        <f t="shared" si="129"/>
        <v>4</v>
      </c>
      <c r="G2103">
        <f>IF(F2103&gt;F2102,G2102+B2103*E2103,B2103*E2103)</f>
        <v>2.4636979999999995</v>
      </c>
      <c r="H2103">
        <f t="shared" si="130"/>
        <v>0.75</v>
      </c>
      <c r="I2103">
        <f t="shared" si="131"/>
        <v>0</v>
      </c>
      <c r="J2103">
        <f>IF(I2102=0,0,C2102-I2102)</f>
        <v>0</v>
      </c>
    </row>
    <row r="2104" spans="1:10" x14ac:dyDescent="0.25">
      <c r="A2104" s="1">
        <v>41801</v>
      </c>
      <c r="B2104">
        <v>3.2835999999999999</v>
      </c>
      <c r="C2104">
        <v>4.0999999999999996</v>
      </c>
      <c r="D2104">
        <f>WEEKDAY(A2104,14)</f>
        <v>7</v>
      </c>
      <c r="E2104">
        <f t="shared" si="128"/>
        <v>0.25</v>
      </c>
      <c r="F2104">
        <f t="shared" si="129"/>
        <v>5</v>
      </c>
      <c r="G2104">
        <f>IF(F2104&gt;F2103,G2103+B2104*E2104,B2104*E2104)</f>
        <v>3.2845979999999995</v>
      </c>
      <c r="H2104">
        <f t="shared" si="130"/>
        <v>1</v>
      </c>
      <c r="I2104">
        <f t="shared" si="131"/>
        <v>3.2845979999999995</v>
      </c>
      <c r="J2104">
        <f>IF(I2103=0,0,C2103-I2103)</f>
        <v>0</v>
      </c>
    </row>
    <row r="2105" spans="1:10" x14ac:dyDescent="0.25">
      <c r="A2105" s="1">
        <v>41802</v>
      </c>
      <c r="B2105">
        <v>3.2368299999999999</v>
      </c>
      <c r="C2105">
        <v>4.07</v>
      </c>
      <c r="D2105">
        <f>WEEKDAY(A2105,14)</f>
        <v>1</v>
      </c>
      <c r="E2105">
        <f t="shared" si="128"/>
        <v>0</v>
      </c>
      <c r="F2105">
        <f t="shared" si="129"/>
        <v>1</v>
      </c>
      <c r="G2105">
        <f>IF(F2105&gt;F2104,G2104+B2105*E2105,B2105*E2105)</f>
        <v>0</v>
      </c>
      <c r="H2105">
        <f t="shared" si="130"/>
        <v>0</v>
      </c>
      <c r="I2105">
        <f t="shared" si="131"/>
        <v>0</v>
      </c>
      <c r="J2105">
        <f>IF(I2104=0,0,C2104-I2104)</f>
        <v>0.81540200000000018</v>
      </c>
    </row>
    <row r="2106" spans="1:10" x14ac:dyDescent="0.25">
      <c r="A2106" s="1">
        <v>41803</v>
      </c>
      <c r="B2106">
        <v>3.2532100000000002</v>
      </c>
      <c r="C2106">
        <v>4.07</v>
      </c>
      <c r="D2106">
        <f>WEEKDAY(A2106,14)</f>
        <v>2</v>
      </c>
      <c r="E2106">
        <f t="shared" si="128"/>
        <v>0</v>
      </c>
      <c r="F2106">
        <f t="shared" si="129"/>
        <v>2</v>
      </c>
      <c r="G2106">
        <f>IF(F2106&gt;F2105,G2105+B2106*E2106,B2106*E2106)</f>
        <v>0</v>
      </c>
      <c r="H2106">
        <f t="shared" si="130"/>
        <v>0</v>
      </c>
      <c r="I2106">
        <f t="shared" si="131"/>
        <v>0</v>
      </c>
      <c r="J2106">
        <f>IF(I2105=0,0,C2105-I2105)</f>
        <v>0</v>
      </c>
    </row>
    <row r="2107" spans="1:10" x14ac:dyDescent="0.25">
      <c r="A2107" s="1">
        <v>41806</v>
      </c>
      <c r="B2107">
        <v>3.2402000000000002</v>
      </c>
      <c r="C2107">
        <v>4.07</v>
      </c>
      <c r="D2107">
        <f>WEEKDAY(A2107,14)</f>
        <v>5</v>
      </c>
      <c r="E2107">
        <f t="shared" si="128"/>
        <v>0.05</v>
      </c>
      <c r="F2107">
        <f t="shared" si="129"/>
        <v>3</v>
      </c>
      <c r="G2107">
        <f>IF(F2107&gt;F2106,G2106+B2107*E2107,B2107*E2107)</f>
        <v>0.16201000000000002</v>
      </c>
      <c r="H2107">
        <f t="shared" si="130"/>
        <v>0.05</v>
      </c>
      <c r="I2107">
        <f t="shared" si="131"/>
        <v>0</v>
      </c>
      <c r="J2107">
        <f>IF(I2106=0,0,C2106-I2106)</f>
        <v>0</v>
      </c>
    </row>
    <row r="2108" spans="1:10" x14ac:dyDescent="0.25">
      <c r="A2108" s="1">
        <v>41807</v>
      </c>
      <c r="B2108">
        <v>3.2955199999999998</v>
      </c>
      <c r="C2108">
        <v>4.07</v>
      </c>
      <c r="D2108">
        <f>WEEKDAY(A2108,14)</f>
        <v>6</v>
      </c>
      <c r="E2108">
        <f t="shared" si="128"/>
        <v>0.7</v>
      </c>
      <c r="F2108">
        <f t="shared" si="129"/>
        <v>4</v>
      </c>
      <c r="G2108">
        <f>IF(F2108&gt;F2107,G2107+B2108*E2108,B2108*E2108)</f>
        <v>2.4688739999999996</v>
      </c>
      <c r="H2108">
        <f t="shared" si="130"/>
        <v>0.75</v>
      </c>
      <c r="I2108">
        <f t="shared" si="131"/>
        <v>0</v>
      </c>
      <c r="J2108">
        <f>IF(I2107=0,0,C2107-I2107)</f>
        <v>0</v>
      </c>
    </row>
    <row r="2109" spans="1:10" x14ac:dyDescent="0.25">
      <c r="A2109" s="1">
        <v>41808</v>
      </c>
      <c r="B2109">
        <v>3.2554500000000002</v>
      </c>
      <c r="C2109">
        <v>4.07</v>
      </c>
      <c r="D2109">
        <f>WEEKDAY(A2109,14)</f>
        <v>7</v>
      </c>
      <c r="E2109">
        <f t="shared" si="128"/>
        <v>0.25</v>
      </c>
      <c r="F2109">
        <f t="shared" si="129"/>
        <v>5</v>
      </c>
      <c r="G2109">
        <f>IF(F2109&gt;F2108,G2108+B2109*E2109,B2109*E2109)</f>
        <v>3.2827364999999995</v>
      </c>
      <c r="H2109">
        <f t="shared" si="130"/>
        <v>1</v>
      </c>
      <c r="I2109">
        <f t="shared" si="131"/>
        <v>3.2827364999999995</v>
      </c>
      <c r="J2109">
        <f>IF(I2108=0,0,C2108-I2108)</f>
        <v>0</v>
      </c>
    </row>
    <row r="2110" spans="1:10" x14ac:dyDescent="0.25">
      <c r="A2110" s="1">
        <v>41809</v>
      </c>
      <c r="B2110">
        <v>3.2406999999999999</v>
      </c>
      <c r="C2110">
        <v>4.0149999999999997</v>
      </c>
      <c r="D2110">
        <f>WEEKDAY(A2110,14)</f>
        <v>1</v>
      </c>
      <c r="E2110">
        <f t="shared" si="128"/>
        <v>0</v>
      </c>
      <c r="F2110">
        <f t="shared" si="129"/>
        <v>1</v>
      </c>
      <c r="G2110">
        <f>IF(F2110&gt;F2109,G2109+B2110*E2110,B2110*E2110)</f>
        <v>0</v>
      </c>
      <c r="H2110">
        <f t="shared" si="130"/>
        <v>0</v>
      </c>
      <c r="I2110">
        <f t="shared" si="131"/>
        <v>0</v>
      </c>
      <c r="J2110">
        <f>IF(I2109=0,0,C2109-I2109)</f>
        <v>0.78726350000000078</v>
      </c>
    </row>
    <row r="2111" spans="1:10" x14ac:dyDescent="0.25">
      <c r="A2111" s="1">
        <v>41810</v>
      </c>
      <c r="B2111">
        <v>3.2387100000000002</v>
      </c>
      <c r="C2111">
        <v>4.0149999999999997</v>
      </c>
      <c r="D2111">
        <f>WEEKDAY(A2111,14)</f>
        <v>2</v>
      </c>
      <c r="E2111">
        <f t="shared" si="128"/>
        <v>0</v>
      </c>
      <c r="F2111">
        <f t="shared" si="129"/>
        <v>2</v>
      </c>
      <c r="G2111">
        <f>IF(F2111&gt;F2110,G2110+B2111*E2111,B2111*E2111)</f>
        <v>0</v>
      </c>
      <c r="H2111">
        <f t="shared" si="130"/>
        <v>0</v>
      </c>
      <c r="I2111">
        <f t="shared" si="131"/>
        <v>0</v>
      </c>
      <c r="J2111">
        <f>IF(I2110=0,0,C2110-I2110)</f>
        <v>0</v>
      </c>
    </row>
    <row r="2112" spans="1:10" x14ac:dyDescent="0.25">
      <c r="A2112" s="1">
        <v>41813</v>
      </c>
      <c r="B2112">
        <v>3.2420100000000001</v>
      </c>
      <c r="C2112">
        <v>4.0149999999999997</v>
      </c>
      <c r="D2112">
        <f>WEEKDAY(A2112,14)</f>
        <v>5</v>
      </c>
      <c r="E2112">
        <f t="shared" si="128"/>
        <v>0.05</v>
      </c>
      <c r="F2112">
        <f t="shared" si="129"/>
        <v>3</v>
      </c>
      <c r="G2112">
        <f>IF(F2112&gt;F2111,G2111+B2112*E2112,B2112*E2112)</f>
        <v>0.16210050000000001</v>
      </c>
      <c r="H2112">
        <f t="shared" si="130"/>
        <v>0.05</v>
      </c>
      <c r="I2112">
        <f t="shared" si="131"/>
        <v>0</v>
      </c>
      <c r="J2112">
        <f>IF(I2111=0,0,C2111-I2111)</f>
        <v>0</v>
      </c>
    </row>
    <row r="2113" spans="1:10" x14ac:dyDescent="0.25">
      <c r="A2113" s="1">
        <v>41814</v>
      </c>
      <c r="B2113">
        <v>3.2180499999999999</v>
      </c>
      <c r="C2113">
        <v>4.0149999999999997</v>
      </c>
      <c r="D2113">
        <f>WEEKDAY(A2113,14)</f>
        <v>6</v>
      </c>
      <c r="E2113">
        <f t="shared" si="128"/>
        <v>0.7</v>
      </c>
      <c r="F2113">
        <f t="shared" si="129"/>
        <v>4</v>
      </c>
      <c r="G2113">
        <f>IF(F2113&gt;F2112,G2112+B2113*E2113,B2113*E2113)</f>
        <v>2.4147354999999999</v>
      </c>
      <c r="H2113">
        <f t="shared" si="130"/>
        <v>0.75</v>
      </c>
      <c r="I2113">
        <f t="shared" si="131"/>
        <v>0</v>
      </c>
      <c r="J2113">
        <f>IF(I2112=0,0,C2112-I2112)</f>
        <v>0</v>
      </c>
    </row>
    <row r="2114" spans="1:10" x14ac:dyDescent="0.25">
      <c r="A2114" s="1">
        <v>41815</v>
      </c>
      <c r="B2114">
        <v>3.1949000000000001</v>
      </c>
      <c r="C2114">
        <v>4.0149999999999997</v>
      </c>
      <c r="D2114">
        <f>WEEKDAY(A2114,14)</f>
        <v>7</v>
      </c>
      <c r="E2114">
        <f t="shared" si="128"/>
        <v>0.25</v>
      </c>
      <c r="F2114">
        <f t="shared" si="129"/>
        <v>5</v>
      </c>
      <c r="G2114">
        <f>IF(F2114&gt;F2113,G2113+B2114*E2114,B2114*E2114)</f>
        <v>3.2134605000000001</v>
      </c>
      <c r="H2114">
        <f t="shared" si="130"/>
        <v>1</v>
      </c>
      <c r="I2114">
        <f t="shared" si="131"/>
        <v>3.2134605000000001</v>
      </c>
      <c r="J2114">
        <f>IF(I2113=0,0,C2113-I2113)</f>
        <v>0</v>
      </c>
    </row>
    <row r="2115" spans="1:10" x14ac:dyDescent="0.25">
      <c r="A2115" s="1">
        <v>41816</v>
      </c>
      <c r="B2115">
        <v>3.1705000000000001</v>
      </c>
      <c r="C2115">
        <v>3.9950000000000001</v>
      </c>
      <c r="D2115">
        <f>WEEKDAY(A2115,14)</f>
        <v>1</v>
      </c>
      <c r="E2115">
        <f t="shared" ref="E2115:E2178" si="132">VLOOKUP(D2115,M$2:N$8,2,FALSE)</f>
        <v>0</v>
      </c>
      <c r="F2115">
        <f t="shared" ref="F2115:F2178" si="133">IF(AND(D2115&gt;D2114,F2114&lt;6),F2114+1,1)</f>
        <v>1</v>
      </c>
      <c r="G2115">
        <f>IF(F2115&gt;F2114,G2114+B2115*E2115,B2115*E2115)</f>
        <v>0</v>
      </c>
      <c r="H2115">
        <f t="shared" si="130"/>
        <v>0</v>
      </c>
      <c r="I2115">
        <f t="shared" si="131"/>
        <v>0</v>
      </c>
      <c r="J2115">
        <f>IF(I2114=0,0,C2114-I2114)</f>
        <v>0.80153949999999963</v>
      </c>
    </row>
    <row r="2116" spans="1:10" x14ac:dyDescent="0.25">
      <c r="A2116" s="1">
        <v>41817</v>
      </c>
      <c r="B2116">
        <v>3.17238</v>
      </c>
      <c r="C2116">
        <v>3.9950000000000001</v>
      </c>
      <c r="D2116">
        <f>WEEKDAY(A2116,14)</f>
        <v>2</v>
      </c>
      <c r="E2116">
        <f t="shared" si="132"/>
        <v>0</v>
      </c>
      <c r="F2116">
        <f t="shared" si="133"/>
        <v>2</v>
      </c>
      <c r="G2116">
        <f>IF(F2116&gt;F2115,G2115+B2116*E2116,B2116*E2116)</f>
        <v>0</v>
      </c>
      <c r="H2116">
        <f t="shared" ref="H2116:H2179" si="134">IF(AND(F2116&lt;6,F2116&gt;F2115),E2116+H2115,E2116)</f>
        <v>0</v>
      </c>
      <c r="I2116">
        <f t="shared" ref="I2116:I2179" si="135">IF(F2116&gt;F2117,G2116/H2116,0)</f>
        <v>0</v>
      </c>
      <c r="J2116">
        <f>IF(I2115=0,0,C2115-I2115)</f>
        <v>0</v>
      </c>
    </row>
    <row r="2117" spans="1:10" x14ac:dyDescent="0.25">
      <c r="A2117" s="1">
        <v>41820</v>
      </c>
      <c r="B2117">
        <v>3.1600600000000001</v>
      </c>
      <c r="C2117">
        <v>3.9950000000000001</v>
      </c>
      <c r="D2117">
        <f>WEEKDAY(A2117,14)</f>
        <v>5</v>
      </c>
      <c r="E2117">
        <f t="shared" si="132"/>
        <v>0.05</v>
      </c>
      <c r="F2117">
        <f t="shared" si="133"/>
        <v>3</v>
      </c>
      <c r="G2117">
        <f>IF(F2117&gt;F2116,G2116+B2117*E2117,B2117*E2117)</f>
        <v>0.158003</v>
      </c>
      <c r="H2117">
        <f t="shared" si="134"/>
        <v>0.05</v>
      </c>
      <c r="I2117">
        <f t="shared" si="135"/>
        <v>0</v>
      </c>
      <c r="J2117">
        <f>IF(I2116=0,0,C2116-I2116)</f>
        <v>0</v>
      </c>
    </row>
    <row r="2118" spans="1:10" x14ac:dyDescent="0.25">
      <c r="A2118" s="1">
        <v>41821</v>
      </c>
      <c r="B2118">
        <v>3.2107800000000002</v>
      </c>
      <c r="C2118">
        <v>3.9950000000000001</v>
      </c>
      <c r="D2118">
        <f>WEEKDAY(A2118,14)</f>
        <v>6</v>
      </c>
      <c r="E2118">
        <f t="shared" si="132"/>
        <v>0.7</v>
      </c>
      <c r="F2118">
        <f t="shared" si="133"/>
        <v>4</v>
      </c>
      <c r="G2118">
        <f>IF(F2118&gt;F2117,G2117+B2118*E2118,B2118*E2118)</f>
        <v>2.4055489999999997</v>
      </c>
      <c r="H2118">
        <f t="shared" si="134"/>
        <v>0.75</v>
      </c>
      <c r="I2118">
        <f t="shared" si="135"/>
        <v>0</v>
      </c>
      <c r="J2118">
        <f>IF(I2117=0,0,C2117-I2117)</f>
        <v>0</v>
      </c>
    </row>
    <row r="2119" spans="1:10" x14ac:dyDescent="0.25">
      <c r="A2119" s="1">
        <v>41822</v>
      </c>
      <c r="B2119">
        <v>3.2580499999999999</v>
      </c>
      <c r="C2119">
        <v>3.9950000000000001</v>
      </c>
      <c r="D2119">
        <f>WEEKDAY(A2119,14)</f>
        <v>7</v>
      </c>
      <c r="E2119">
        <f t="shared" si="132"/>
        <v>0.25</v>
      </c>
      <c r="F2119">
        <f t="shared" si="133"/>
        <v>5</v>
      </c>
      <c r="G2119">
        <f>IF(F2119&gt;F2118,G2118+B2119*E2119,B2119*E2119)</f>
        <v>3.2200614999999999</v>
      </c>
      <c r="H2119">
        <f t="shared" si="134"/>
        <v>1</v>
      </c>
      <c r="I2119">
        <f t="shared" si="135"/>
        <v>3.2200614999999999</v>
      </c>
      <c r="J2119">
        <f>IF(I2118=0,0,C2118-I2118)</f>
        <v>0</v>
      </c>
    </row>
    <row r="2120" spans="1:10" x14ac:dyDescent="0.25">
      <c r="A2120" s="1">
        <v>41823</v>
      </c>
      <c r="B2120">
        <v>3.2816999999999998</v>
      </c>
      <c r="C2120">
        <v>4.0750000000000002</v>
      </c>
      <c r="D2120">
        <f>WEEKDAY(A2120,14)</f>
        <v>1</v>
      </c>
      <c r="E2120">
        <f t="shared" si="132"/>
        <v>0</v>
      </c>
      <c r="F2120">
        <f t="shared" si="133"/>
        <v>1</v>
      </c>
      <c r="G2120">
        <f>IF(F2120&gt;F2119,G2119+B2120*E2120,B2120*E2120)</f>
        <v>0</v>
      </c>
      <c r="H2120">
        <f t="shared" si="134"/>
        <v>0</v>
      </c>
      <c r="I2120">
        <f t="shared" si="135"/>
        <v>0</v>
      </c>
      <c r="J2120">
        <f>IF(I2119=0,0,C2119-I2119)</f>
        <v>0.7749385000000002</v>
      </c>
    </row>
    <row r="2121" spans="1:10" x14ac:dyDescent="0.25">
      <c r="A2121" s="1">
        <v>41827</v>
      </c>
      <c r="B2121">
        <v>3.2664800000000001</v>
      </c>
      <c r="C2121">
        <v>4.0750000000000002</v>
      </c>
      <c r="D2121">
        <f>WEEKDAY(A2121,14)</f>
        <v>5</v>
      </c>
      <c r="E2121">
        <f t="shared" si="132"/>
        <v>0.05</v>
      </c>
      <c r="F2121">
        <f t="shared" si="133"/>
        <v>2</v>
      </c>
      <c r="G2121">
        <f>IF(F2121&gt;F2120,G2120+B2121*E2121,B2121*E2121)</f>
        <v>0.16332400000000002</v>
      </c>
      <c r="H2121">
        <f t="shared" si="134"/>
        <v>0.05</v>
      </c>
      <c r="I2121">
        <f t="shared" si="135"/>
        <v>0</v>
      </c>
      <c r="J2121">
        <f>IF(I2120=0,0,C2120-I2120)</f>
        <v>0</v>
      </c>
    </row>
    <row r="2122" spans="1:10" x14ac:dyDescent="0.25">
      <c r="A2122" s="1">
        <v>41828</v>
      </c>
      <c r="B2122">
        <v>3.2329400000000001</v>
      </c>
      <c r="C2122">
        <v>4.0750000000000002</v>
      </c>
      <c r="D2122">
        <f>WEEKDAY(A2122,14)</f>
        <v>6</v>
      </c>
      <c r="E2122">
        <f t="shared" si="132"/>
        <v>0.7</v>
      </c>
      <c r="F2122">
        <f t="shared" si="133"/>
        <v>3</v>
      </c>
      <c r="G2122">
        <f>IF(F2122&gt;F2121,G2121+B2122*E2122,B2122*E2122)</f>
        <v>2.4263820000000003</v>
      </c>
      <c r="H2122">
        <f t="shared" si="134"/>
        <v>0.75</v>
      </c>
      <c r="I2122">
        <f t="shared" si="135"/>
        <v>0</v>
      </c>
      <c r="J2122">
        <f>IF(I2121=0,0,C2121-I2121)</f>
        <v>0</v>
      </c>
    </row>
    <row r="2123" spans="1:10" x14ac:dyDescent="0.25">
      <c r="A2123" s="1">
        <v>41829</v>
      </c>
      <c r="B2123">
        <v>3.2185100000000002</v>
      </c>
      <c r="C2123">
        <v>4.0750000000000002</v>
      </c>
      <c r="D2123">
        <f>WEEKDAY(A2123,14)</f>
        <v>7</v>
      </c>
      <c r="E2123">
        <f t="shared" si="132"/>
        <v>0.25</v>
      </c>
      <c r="F2123">
        <f t="shared" si="133"/>
        <v>4</v>
      </c>
      <c r="G2123">
        <f>IF(F2123&gt;F2122,G2122+B2123*E2123,B2123*E2123)</f>
        <v>3.2310095000000003</v>
      </c>
      <c r="H2123">
        <f t="shared" si="134"/>
        <v>1</v>
      </c>
      <c r="I2123">
        <f t="shared" si="135"/>
        <v>3.2310095000000003</v>
      </c>
      <c r="J2123">
        <f>IF(I2122=0,0,C2122-I2122)</f>
        <v>0</v>
      </c>
    </row>
    <row r="2124" spans="1:10" x14ac:dyDescent="0.25">
      <c r="A2124" s="1">
        <v>41830</v>
      </c>
      <c r="B2124">
        <v>3.20099</v>
      </c>
      <c r="C2124">
        <v>4.03</v>
      </c>
      <c r="D2124">
        <f>WEEKDAY(A2124,14)</f>
        <v>1</v>
      </c>
      <c r="E2124">
        <f t="shared" si="132"/>
        <v>0</v>
      </c>
      <c r="F2124">
        <f t="shared" si="133"/>
        <v>1</v>
      </c>
      <c r="G2124">
        <f>IF(F2124&gt;F2123,G2123+B2124*E2124,B2124*E2124)</f>
        <v>0</v>
      </c>
      <c r="H2124">
        <f t="shared" si="134"/>
        <v>0</v>
      </c>
      <c r="I2124">
        <f t="shared" si="135"/>
        <v>0</v>
      </c>
      <c r="J2124">
        <f>IF(I2123=0,0,C2123-I2123)</f>
        <v>0.84399049999999987</v>
      </c>
    </row>
    <row r="2125" spans="1:10" x14ac:dyDescent="0.25">
      <c r="A2125" s="1">
        <v>41831</v>
      </c>
      <c r="B2125">
        <v>3.1873999999999998</v>
      </c>
      <c r="C2125">
        <v>4.03</v>
      </c>
      <c r="D2125">
        <f>WEEKDAY(A2125,14)</f>
        <v>2</v>
      </c>
      <c r="E2125">
        <f t="shared" si="132"/>
        <v>0</v>
      </c>
      <c r="F2125">
        <f t="shared" si="133"/>
        <v>2</v>
      </c>
      <c r="G2125">
        <f>IF(F2125&gt;F2124,G2124+B2125*E2125,B2125*E2125)</f>
        <v>0</v>
      </c>
      <c r="H2125">
        <f t="shared" si="134"/>
        <v>0</v>
      </c>
      <c r="I2125">
        <f t="shared" si="135"/>
        <v>0</v>
      </c>
      <c r="J2125">
        <f>IF(I2124=0,0,C2124-I2124)</f>
        <v>0</v>
      </c>
    </row>
    <row r="2126" spans="1:10" x14ac:dyDescent="0.25">
      <c r="A2126" s="1">
        <v>41834</v>
      </c>
      <c r="B2126">
        <v>3.2238099999999998</v>
      </c>
      <c r="C2126">
        <v>4.03</v>
      </c>
      <c r="D2126">
        <f>WEEKDAY(A2126,14)</f>
        <v>5</v>
      </c>
      <c r="E2126">
        <f t="shared" si="132"/>
        <v>0.05</v>
      </c>
      <c r="F2126">
        <f t="shared" si="133"/>
        <v>3</v>
      </c>
      <c r="G2126">
        <f>IF(F2126&gt;F2125,G2125+B2126*E2126,B2126*E2126)</f>
        <v>0.16119050000000001</v>
      </c>
      <c r="H2126">
        <f t="shared" si="134"/>
        <v>0.05</v>
      </c>
      <c r="I2126">
        <f t="shared" si="135"/>
        <v>0</v>
      </c>
      <c r="J2126">
        <f>IF(I2125=0,0,C2125-I2125)</f>
        <v>0</v>
      </c>
    </row>
    <row r="2127" spans="1:10" x14ac:dyDescent="0.25">
      <c r="A2127" s="1">
        <v>41835</v>
      </c>
      <c r="B2127">
        <v>3.2327599999999999</v>
      </c>
      <c r="C2127">
        <v>4.03</v>
      </c>
      <c r="D2127">
        <f>WEEKDAY(A2127,14)</f>
        <v>6</v>
      </c>
      <c r="E2127">
        <f t="shared" si="132"/>
        <v>0.7</v>
      </c>
      <c r="F2127">
        <f t="shared" si="133"/>
        <v>4</v>
      </c>
      <c r="G2127">
        <f>IF(F2127&gt;F2126,G2126+B2127*E2127,B2127*E2127)</f>
        <v>2.4241224999999997</v>
      </c>
      <c r="H2127">
        <f t="shared" si="134"/>
        <v>0.75</v>
      </c>
      <c r="I2127">
        <f t="shared" si="135"/>
        <v>0</v>
      </c>
      <c r="J2127">
        <f>IF(I2126=0,0,C2126-I2126)</f>
        <v>0</v>
      </c>
    </row>
    <row r="2128" spans="1:10" x14ac:dyDescent="0.25">
      <c r="A2128" s="1">
        <v>41836</v>
      </c>
      <c r="B2128">
        <v>3.2358799999999999</v>
      </c>
      <c r="C2128">
        <v>4.03</v>
      </c>
      <c r="D2128">
        <f>WEEKDAY(A2128,14)</f>
        <v>7</v>
      </c>
      <c r="E2128">
        <f t="shared" si="132"/>
        <v>0.25</v>
      </c>
      <c r="F2128">
        <f t="shared" si="133"/>
        <v>5</v>
      </c>
      <c r="G2128">
        <f>IF(F2128&gt;F2127,G2127+B2128*E2128,B2128*E2128)</f>
        <v>3.2330924999999997</v>
      </c>
      <c r="H2128">
        <f t="shared" si="134"/>
        <v>1</v>
      </c>
      <c r="I2128">
        <f t="shared" si="135"/>
        <v>3.2330924999999997</v>
      </c>
      <c r="J2128">
        <f>IF(I2127=0,0,C2127-I2127)</f>
        <v>0</v>
      </c>
    </row>
    <row r="2129" spans="1:10" x14ac:dyDescent="0.25">
      <c r="A2129" s="1">
        <v>41837</v>
      </c>
      <c r="B2129">
        <v>3.1840000000000002</v>
      </c>
      <c r="C2129">
        <v>4.03</v>
      </c>
      <c r="D2129">
        <f>WEEKDAY(A2129,14)</f>
        <v>1</v>
      </c>
      <c r="E2129">
        <f t="shared" si="132"/>
        <v>0</v>
      </c>
      <c r="F2129">
        <f t="shared" si="133"/>
        <v>1</v>
      </c>
      <c r="G2129">
        <f>IF(F2129&gt;F2128,G2128+B2129*E2129,B2129*E2129)</f>
        <v>0</v>
      </c>
      <c r="H2129">
        <f t="shared" si="134"/>
        <v>0</v>
      </c>
      <c r="I2129">
        <f t="shared" si="135"/>
        <v>0</v>
      </c>
      <c r="J2129">
        <f>IF(I2128=0,0,C2128-I2128)</f>
        <v>0.79690750000000055</v>
      </c>
    </row>
    <row r="2130" spans="1:10" x14ac:dyDescent="0.25">
      <c r="A2130" s="1">
        <v>41838</v>
      </c>
      <c r="B2130">
        <v>3.1834600000000002</v>
      </c>
      <c r="C2130">
        <v>4.03</v>
      </c>
      <c r="D2130">
        <f>WEEKDAY(A2130,14)</f>
        <v>2</v>
      </c>
      <c r="E2130">
        <f t="shared" si="132"/>
        <v>0</v>
      </c>
      <c r="F2130">
        <f t="shared" si="133"/>
        <v>2</v>
      </c>
      <c r="G2130">
        <f>IF(F2130&gt;F2129,G2129+B2130*E2130,B2130*E2130)</f>
        <v>0</v>
      </c>
      <c r="H2130">
        <f t="shared" si="134"/>
        <v>0</v>
      </c>
      <c r="I2130">
        <f t="shared" si="135"/>
        <v>0</v>
      </c>
      <c r="J2130">
        <f>IF(I2129=0,0,C2129-I2129)</f>
        <v>0</v>
      </c>
    </row>
    <row r="2131" spans="1:10" x14ac:dyDescent="0.25">
      <c r="A2131" s="1">
        <v>41841</v>
      </c>
      <c r="B2131">
        <v>3.1797300000000002</v>
      </c>
      <c r="C2131">
        <v>4.03</v>
      </c>
      <c r="D2131">
        <f>WEEKDAY(A2131,14)</f>
        <v>5</v>
      </c>
      <c r="E2131">
        <f t="shared" si="132"/>
        <v>0.05</v>
      </c>
      <c r="F2131">
        <f t="shared" si="133"/>
        <v>3</v>
      </c>
      <c r="G2131">
        <f>IF(F2131&gt;F2130,G2130+B2131*E2131,B2131*E2131)</f>
        <v>0.15898650000000003</v>
      </c>
      <c r="H2131">
        <f t="shared" si="134"/>
        <v>0.05</v>
      </c>
      <c r="I2131">
        <f t="shared" si="135"/>
        <v>0</v>
      </c>
      <c r="J2131">
        <f>IF(I2130=0,0,C2130-I2130)</f>
        <v>0</v>
      </c>
    </row>
    <row r="2132" spans="1:10" x14ac:dyDescent="0.25">
      <c r="A2132" s="1">
        <v>41842</v>
      </c>
      <c r="B2132">
        <v>3.1713399999999998</v>
      </c>
      <c r="C2132">
        <v>4.03</v>
      </c>
      <c r="D2132">
        <f>WEEKDAY(A2132,14)</f>
        <v>6</v>
      </c>
      <c r="E2132">
        <f t="shared" si="132"/>
        <v>0.7</v>
      </c>
      <c r="F2132">
        <f t="shared" si="133"/>
        <v>4</v>
      </c>
      <c r="G2132">
        <f>IF(F2132&gt;F2131,G2131+B2132*E2132,B2132*E2132)</f>
        <v>2.3789244999999997</v>
      </c>
      <c r="H2132">
        <f t="shared" si="134"/>
        <v>0.75</v>
      </c>
      <c r="I2132">
        <f t="shared" si="135"/>
        <v>0</v>
      </c>
      <c r="J2132">
        <f>IF(I2131=0,0,C2131-I2131)</f>
        <v>0</v>
      </c>
    </row>
    <row r="2133" spans="1:10" x14ac:dyDescent="0.25">
      <c r="A2133" s="1">
        <v>41843</v>
      </c>
      <c r="B2133">
        <v>3.1844299999999999</v>
      </c>
      <c r="C2133">
        <v>4.03</v>
      </c>
      <c r="D2133">
        <f>WEEKDAY(A2133,14)</f>
        <v>7</v>
      </c>
      <c r="E2133">
        <f t="shared" si="132"/>
        <v>0.25</v>
      </c>
      <c r="F2133">
        <f t="shared" si="133"/>
        <v>5</v>
      </c>
      <c r="G2133">
        <f>IF(F2133&gt;F2132,G2132+B2133*E2133,B2133*E2133)</f>
        <v>3.1750319999999999</v>
      </c>
      <c r="H2133">
        <f t="shared" si="134"/>
        <v>1</v>
      </c>
      <c r="I2133">
        <f t="shared" si="135"/>
        <v>3.1750319999999999</v>
      </c>
      <c r="J2133">
        <f>IF(I2132=0,0,C2132-I2132)</f>
        <v>0</v>
      </c>
    </row>
    <row r="2134" spans="1:10" x14ac:dyDescent="0.25">
      <c r="A2134" s="1">
        <v>41844</v>
      </c>
      <c r="B2134">
        <v>3.2359300000000002</v>
      </c>
      <c r="C2134">
        <v>4.0199999999999996</v>
      </c>
      <c r="D2134">
        <f>WEEKDAY(A2134,14)</f>
        <v>1</v>
      </c>
      <c r="E2134">
        <f t="shared" si="132"/>
        <v>0</v>
      </c>
      <c r="F2134">
        <f t="shared" si="133"/>
        <v>1</v>
      </c>
      <c r="G2134">
        <f>IF(F2134&gt;F2133,G2133+B2134*E2134,B2134*E2134)</f>
        <v>0</v>
      </c>
      <c r="H2134">
        <f t="shared" si="134"/>
        <v>0</v>
      </c>
      <c r="I2134">
        <f t="shared" si="135"/>
        <v>0</v>
      </c>
      <c r="J2134">
        <f>IF(I2133=0,0,C2133-I2133)</f>
        <v>0.85496800000000039</v>
      </c>
    </row>
    <row r="2135" spans="1:10" x14ac:dyDescent="0.25">
      <c r="A2135" s="1">
        <v>41845</v>
      </c>
      <c r="B2135">
        <v>3.1915300000000002</v>
      </c>
      <c r="C2135">
        <v>4.0199999999999996</v>
      </c>
      <c r="D2135">
        <f>WEEKDAY(A2135,14)</f>
        <v>2</v>
      </c>
      <c r="E2135">
        <f t="shared" si="132"/>
        <v>0</v>
      </c>
      <c r="F2135">
        <f t="shared" si="133"/>
        <v>2</v>
      </c>
      <c r="G2135">
        <f>IF(F2135&gt;F2134,G2134+B2135*E2135,B2135*E2135)</f>
        <v>0</v>
      </c>
      <c r="H2135">
        <f t="shared" si="134"/>
        <v>0</v>
      </c>
      <c r="I2135">
        <f t="shared" si="135"/>
        <v>0</v>
      </c>
      <c r="J2135">
        <f>IF(I2134=0,0,C2134-I2134)</f>
        <v>0</v>
      </c>
    </row>
    <row r="2136" spans="1:10" x14ac:dyDescent="0.25">
      <c r="A2136" s="1">
        <v>41848</v>
      </c>
      <c r="B2136">
        <v>3.2049599999999998</v>
      </c>
      <c r="C2136">
        <v>4.0199999999999996</v>
      </c>
      <c r="D2136">
        <f>WEEKDAY(A2136,14)</f>
        <v>5</v>
      </c>
      <c r="E2136">
        <f t="shared" si="132"/>
        <v>0.05</v>
      </c>
      <c r="F2136">
        <f t="shared" si="133"/>
        <v>3</v>
      </c>
      <c r="G2136">
        <f>IF(F2136&gt;F2135,G2135+B2136*E2136,B2136*E2136)</f>
        <v>0.160248</v>
      </c>
      <c r="H2136">
        <f t="shared" si="134"/>
        <v>0.05</v>
      </c>
      <c r="I2136">
        <f t="shared" si="135"/>
        <v>0</v>
      </c>
      <c r="J2136">
        <f>IF(I2135=0,0,C2135-I2135)</f>
        <v>0</v>
      </c>
    </row>
    <row r="2137" spans="1:10" x14ac:dyDescent="0.25">
      <c r="A2137" s="1">
        <v>41849</v>
      </c>
      <c r="B2137">
        <v>3.1823800000000002</v>
      </c>
      <c r="C2137">
        <v>4.0199999999999996</v>
      </c>
      <c r="D2137">
        <f>WEEKDAY(A2137,14)</f>
        <v>6</v>
      </c>
      <c r="E2137">
        <f t="shared" si="132"/>
        <v>0.7</v>
      </c>
      <c r="F2137">
        <f t="shared" si="133"/>
        <v>4</v>
      </c>
      <c r="G2137">
        <f>IF(F2137&gt;F2136,G2136+B2137*E2137,B2137*E2137)</f>
        <v>2.3879140000000003</v>
      </c>
      <c r="H2137">
        <f t="shared" si="134"/>
        <v>0.75</v>
      </c>
      <c r="I2137">
        <f t="shared" si="135"/>
        <v>0</v>
      </c>
      <c r="J2137">
        <f>IF(I2136=0,0,C2136-I2136)</f>
        <v>0</v>
      </c>
    </row>
    <row r="2138" spans="1:10" x14ac:dyDescent="0.25">
      <c r="A2138" s="1">
        <v>41850</v>
      </c>
      <c r="B2138">
        <v>3.26579</v>
      </c>
      <c r="C2138">
        <v>4.0199999999999996</v>
      </c>
      <c r="D2138">
        <f>WEEKDAY(A2138,14)</f>
        <v>7</v>
      </c>
      <c r="E2138">
        <f t="shared" si="132"/>
        <v>0.25</v>
      </c>
      <c r="F2138">
        <f t="shared" si="133"/>
        <v>5</v>
      </c>
      <c r="G2138">
        <f>IF(F2138&gt;F2137,G2137+B2138*E2138,B2138*E2138)</f>
        <v>3.2043615000000001</v>
      </c>
      <c r="H2138">
        <f t="shared" si="134"/>
        <v>1</v>
      </c>
      <c r="I2138">
        <f t="shared" si="135"/>
        <v>3.2043615000000001</v>
      </c>
      <c r="J2138">
        <f>IF(I2137=0,0,C2137-I2137)</f>
        <v>0</v>
      </c>
    </row>
    <row r="2139" spans="1:10" x14ac:dyDescent="0.25">
      <c r="A2139" s="1">
        <v>41851</v>
      </c>
      <c r="B2139">
        <v>3.2761100000000001</v>
      </c>
      <c r="C2139">
        <v>4.0650000000000004</v>
      </c>
      <c r="D2139">
        <f>WEEKDAY(A2139,14)</f>
        <v>1</v>
      </c>
      <c r="E2139">
        <f t="shared" si="132"/>
        <v>0</v>
      </c>
      <c r="F2139">
        <f t="shared" si="133"/>
        <v>1</v>
      </c>
      <c r="G2139">
        <f>IF(F2139&gt;F2138,G2138+B2139*E2139,B2139*E2139)</f>
        <v>0</v>
      </c>
      <c r="H2139">
        <f t="shared" si="134"/>
        <v>0</v>
      </c>
      <c r="I2139">
        <f t="shared" si="135"/>
        <v>0</v>
      </c>
      <c r="J2139">
        <f>IF(I2138=0,0,C2138-I2138)</f>
        <v>0.81563849999999949</v>
      </c>
    </row>
    <row r="2140" spans="1:10" x14ac:dyDescent="0.25">
      <c r="A2140" s="1">
        <v>41852</v>
      </c>
      <c r="B2140">
        <v>3.2284199999999998</v>
      </c>
      <c r="C2140">
        <v>4.0650000000000004</v>
      </c>
      <c r="D2140">
        <f>WEEKDAY(A2140,14)</f>
        <v>2</v>
      </c>
      <c r="E2140">
        <f t="shared" si="132"/>
        <v>0</v>
      </c>
      <c r="F2140">
        <f t="shared" si="133"/>
        <v>2</v>
      </c>
      <c r="G2140">
        <f>IF(F2140&gt;F2139,G2139+B2140*E2140,B2140*E2140)</f>
        <v>0</v>
      </c>
      <c r="H2140">
        <f t="shared" si="134"/>
        <v>0</v>
      </c>
      <c r="I2140">
        <f t="shared" si="135"/>
        <v>0</v>
      </c>
      <c r="J2140">
        <f>IF(I2139=0,0,C2139-I2139)</f>
        <v>0</v>
      </c>
    </row>
    <row r="2141" spans="1:10" x14ac:dyDescent="0.25">
      <c r="A2141" s="1">
        <v>41855</v>
      </c>
      <c r="B2141">
        <v>3.2178200000000001</v>
      </c>
      <c r="C2141">
        <v>4.0650000000000004</v>
      </c>
      <c r="D2141">
        <f>WEEKDAY(A2141,14)</f>
        <v>5</v>
      </c>
      <c r="E2141">
        <f t="shared" si="132"/>
        <v>0.05</v>
      </c>
      <c r="F2141">
        <f t="shared" si="133"/>
        <v>3</v>
      </c>
      <c r="G2141">
        <f>IF(F2141&gt;F2140,G2140+B2141*E2141,B2141*E2141)</f>
        <v>0.16089100000000001</v>
      </c>
      <c r="H2141">
        <f t="shared" si="134"/>
        <v>0.05</v>
      </c>
      <c r="I2141">
        <f t="shared" si="135"/>
        <v>0</v>
      </c>
      <c r="J2141">
        <f>IF(I2140=0,0,C2140-I2140)</f>
        <v>0</v>
      </c>
    </row>
    <row r="2142" spans="1:10" x14ac:dyDescent="0.25">
      <c r="A2142" s="1">
        <v>41856</v>
      </c>
      <c r="B2142">
        <v>3.2163200000000001</v>
      </c>
      <c r="C2142">
        <v>4.0650000000000004</v>
      </c>
      <c r="D2142">
        <f>WEEKDAY(A2142,14)</f>
        <v>6</v>
      </c>
      <c r="E2142">
        <f t="shared" si="132"/>
        <v>0.7</v>
      </c>
      <c r="F2142">
        <f t="shared" si="133"/>
        <v>4</v>
      </c>
      <c r="G2142">
        <f>IF(F2142&gt;F2141,G2141+B2142*E2142,B2142*E2142)</f>
        <v>2.412315</v>
      </c>
      <c r="H2142">
        <f t="shared" si="134"/>
        <v>0.75</v>
      </c>
      <c r="I2142">
        <f t="shared" si="135"/>
        <v>0</v>
      </c>
      <c r="J2142">
        <f>IF(I2141=0,0,C2141-I2141)</f>
        <v>0</v>
      </c>
    </row>
    <row r="2143" spans="1:10" x14ac:dyDescent="0.25">
      <c r="A2143" s="1">
        <v>41857</v>
      </c>
      <c r="B2143">
        <v>3.2168000000000001</v>
      </c>
      <c r="C2143">
        <v>4.0650000000000004</v>
      </c>
      <c r="D2143">
        <f>WEEKDAY(A2143,14)</f>
        <v>7</v>
      </c>
      <c r="E2143">
        <f t="shared" si="132"/>
        <v>0.25</v>
      </c>
      <c r="F2143">
        <f t="shared" si="133"/>
        <v>5</v>
      </c>
      <c r="G2143">
        <f>IF(F2143&gt;F2142,G2142+B2143*E2143,B2143*E2143)</f>
        <v>3.2165150000000002</v>
      </c>
      <c r="H2143">
        <f t="shared" si="134"/>
        <v>1</v>
      </c>
      <c r="I2143">
        <f t="shared" si="135"/>
        <v>3.2165150000000002</v>
      </c>
      <c r="J2143">
        <f>IF(I2142=0,0,C2142-I2142)</f>
        <v>0</v>
      </c>
    </row>
    <row r="2144" spans="1:10" x14ac:dyDescent="0.25">
      <c r="A2144" s="1">
        <v>41858</v>
      </c>
      <c r="B2144">
        <v>3.1812999999999998</v>
      </c>
      <c r="C2144">
        <v>4.0199999999999996</v>
      </c>
      <c r="D2144">
        <f>WEEKDAY(A2144,14)</f>
        <v>1</v>
      </c>
      <c r="E2144">
        <f t="shared" si="132"/>
        <v>0</v>
      </c>
      <c r="F2144">
        <f t="shared" si="133"/>
        <v>1</v>
      </c>
      <c r="G2144">
        <f>IF(F2144&gt;F2143,G2143+B2144*E2144,B2144*E2144)</f>
        <v>0</v>
      </c>
      <c r="H2144">
        <f t="shared" si="134"/>
        <v>0</v>
      </c>
      <c r="I2144">
        <f t="shared" si="135"/>
        <v>0</v>
      </c>
      <c r="J2144">
        <f>IF(I2143=0,0,C2143-I2143)</f>
        <v>0.84848500000000016</v>
      </c>
    </row>
    <row r="2145" spans="1:10" x14ac:dyDescent="0.25">
      <c r="A2145" s="1">
        <v>41859</v>
      </c>
      <c r="B2145">
        <v>3.17218</v>
      </c>
      <c r="C2145">
        <v>4.0199999999999996</v>
      </c>
      <c r="D2145">
        <f>WEEKDAY(A2145,14)</f>
        <v>2</v>
      </c>
      <c r="E2145">
        <f t="shared" si="132"/>
        <v>0</v>
      </c>
      <c r="F2145">
        <f t="shared" si="133"/>
        <v>2</v>
      </c>
      <c r="G2145">
        <f>IF(F2145&gt;F2144,G2144+B2145*E2145,B2145*E2145)</f>
        <v>0</v>
      </c>
      <c r="H2145">
        <f t="shared" si="134"/>
        <v>0</v>
      </c>
      <c r="I2145">
        <f t="shared" si="135"/>
        <v>0</v>
      </c>
      <c r="J2145">
        <f>IF(I2144=0,0,C2144-I2144)</f>
        <v>0</v>
      </c>
    </row>
    <row r="2146" spans="1:10" x14ac:dyDescent="0.25">
      <c r="A2146" s="1">
        <v>41862</v>
      </c>
      <c r="B2146">
        <v>3.1826400000000001</v>
      </c>
      <c r="C2146">
        <v>4.0199999999999996</v>
      </c>
      <c r="D2146">
        <f>WEEKDAY(A2146,14)</f>
        <v>5</v>
      </c>
      <c r="E2146">
        <f t="shared" si="132"/>
        <v>0.05</v>
      </c>
      <c r="F2146">
        <f t="shared" si="133"/>
        <v>3</v>
      </c>
      <c r="G2146">
        <f>IF(F2146&gt;F2145,G2145+B2146*E2146,B2146*E2146)</f>
        <v>0.15913200000000002</v>
      </c>
      <c r="H2146">
        <f t="shared" si="134"/>
        <v>0.05</v>
      </c>
      <c r="I2146">
        <f t="shared" si="135"/>
        <v>0</v>
      </c>
      <c r="J2146">
        <f>IF(I2145=0,0,C2145-I2145)</f>
        <v>0</v>
      </c>
    </row>
    <row r="2147" spans="1:10" x14ac:dyDescent="0.25">
      <c r="A2147" s="1">
        <v>41863</v>
      </c>
      <c r="B2147">
        <v>3.1921200000000001</v>
      </c>
      <c r="C2147">
        <v>4.0199999999999996</v>
      </c>
      <c r="D2147">
        <f>WEEKDAY(A2147,14)</f>
        <v>6</v>
      </c>
      <c r="E2147">
        <f t="shared" si="132"/>
        <v>0.7</v>
      </c>
      <c r="F2147">
        <f t="shared" si="133"/>
        <v>4</v>
      </c>
      <c r="G2147">
        <f>IF(F2147&gt;F2146,G2146+B2147*E2147,B2147*E2147)</f>
        <v>2.3936159999999997</v>
      </c>
      <c r="H2147">
        <f t="shared" si="134"/>
        <v>0.75</v>
      </c>
      <c r="I2147">
        <f t="shared" si="135"/>
        <v>0</v>
      </c>
      <c r="J2147">
        <f>IF(I2146=0,0,C2146-I2146)</f>
        <v>0</v>
      </c>
    </row>
    <row r="2148" spans="1:10" x14ac:dyDescent="0.25">
      <c r="A2148" s="1">
        <v>41864</v>
      </c>
      <c r="B2148">
        <v>3.1611600000000002</v>
      </c>
      <c r="C2148">
        <v>4.0199999999999996</v>
      </c>
      <c r="D2148">
        <f>WEEKDAY(A2148,14)</f>
        <v>7</v>
      </c>
      <c r="E2148">
        <f t="shared" si="132"/>
        <v>0.25</v>
      </c>
      <c r="F2148">
        <f t="shared" si="133"/>
        <v>5</v>
      </c>
      <c r="G2148">
        <f>IF(F2148&gt;F2147,G2147+B2148*E2148,B2148*E2148)</f>
        <v>3.1839059999999999</v>
      </c>
      <c r="H2148">
        <f t="shared" si="134"/>
        <v>1</v>
      </c>
      <c r="I2148">
        <f t="shared" si="135"/>
        <v>3.1839059999999999</v>
      </c>
      <c r="J2148">
        <f>IF(I2147=0,0,C2147-I2147)</f>
        <v>0</v>
      </c>
    </row>
    <row r="2149" spans="1:10" x14ac:dyDescent="0.25">
      <c r="A2149" s="1">
        <v>41865</v>
      </c>
      <c r="B2149">
        <v>3.1399599999999999</v>
      </c>
      <c r="C2149">
        <v>3.9750000000000001</v>
      </c>
      <c r="D2149">
        <f>WEEKDAY(A2149,14)</f>
        <v>1</v>
      </c>
      <c r="E2149">
        <f t="shared" si="132"/>
        <v>0</v>
      </c>
      <c r="F2149">
        <f t="shared" si="133"/>
        <v>1</v>
      </c>
      <c r="G2149">
        <f>IF(F2149&gt;F2148,G2148+B2149*E2149,B2149*E2149)</f>
        <v>0</v>
      </c>
      <c r="H2149">
        <f t="shared" si="134"/>
        <v>0</v>
      </c>
      <c r="I2149">
        <f t="shared" si="135"/>
        <v>0</v>
      </c>
      <c r="J2149">
        <f>IF(I2148=0,0,C2148-I2148)</f>
        <v>0.83609399999999967</v>
      </c>
    </row>
    <row r="2150" spans="1:10" x14ac:dyDescent="0.25">
      <c r="A2150" s="1">
        <v>41866</v>
      </c>
      <c r="B2150">
        <v>3.0935800000000002</v>
      </c>
      <c r="C2150">
        <v>3.9750000000000001</v>
      </c>
      <c r="D2150">
        <f>WEEKDAY(A2150,14)</f>
        <v>2</v>
      </c>
      <c r="E2150">
        <f t="shared" si="132"/>
        <v>0</v>
      </c>
      <c r="F2150">
        <f t="shared" si="133"/>
        <v>2</v>
      </c>
      <c r="G2150">
        <f>IF(F2150&gt;F2149,G2149+B2150*E2150,B2150*E2150)</f>
        <v>0</v>
      </c>
      <c r="H2150">
        <f t="shared" si="134"/>
        <v>0</v>
      </c>
      <c r="I2150">
        <f t="shared" si="135"/>
        <v>0</v>
      </c>
      <c r="J2150">
        <f>IF(I2149=0,0,C2149-I2149)</f>
        <v>0</v>
      </c>
    </row>
    <row r="2151" spans="1:10" x14ac:dyDescent="0.25">
      <c r="A2151" s="1">
        <v>41869</v>
      </c>
      <c r="B2151">
        <v>3.13998</v>
      </c>
      <c r="C2151">
        <v>3.9750000000000001</v>
      </c>
      <c r="D2151">
        <f>WEEKDAY(A2151,14)</f>
        <v>5</v>
      </c>
      <c r="E2151">
        <f t="shared" si="132"/>
        <v>0.05</v>
      </c>
      <c r="F2151">
        <f t="shared" si="133"/>
        <v>3</v>
      </c>
      <c r="G2151">
        <f>IF(F2151&gt;F2150,G2150+B2151*E2151,B2151*E2151)</f>
        <v>0.156999</v>
      </c>
      <c r="H2151">
        <f t="shared" si="134"/>
        <v>0.05</v>
      </c>
      <c r="I2151">
        <f t="shared" si="135"/>
        <v>0</v>
      </c>
      <c r="J2151">
        <f>IF(I2150=0,0,C2150-I2150)</f>
        <v>0</v>
      </c>
    </row>
    <row r="2152" spans="1:10" x14ac:dyDescent="0.25">
      <c r="A2152" s="1">
        <v>41870</v>
      </c>
      <c r="B2152">
        <v>3.1648399999999999</v>
      </c>
      <c r="C2152">
        <v>3.9750000000000001</v>
      </c>
      <c r="D2152">
        <f>WEEKDAY(A2152,14)</f>
        <v>6</v>
      </c>
      <c r="E2152">
        <f t="shared" si="132"/>
        <v>0.7</v>
      </c>
      <c r="F2152">
        <f t="shared" si="133"/>
        <v>4</v>
      </c>
      <c r="G2152">
        <f>IF(F2152&gt;F2151,G2151+B2152*E2152,B2152*E2152)</f>
        <v>2.3723869999999998</v>
      </c>
      <c r="H2152">
        <f t="shared" si="134"/>
        <v>0.75</v>
      </c>
      <c r="I2152">
        <f t="shared" si="135"/>
        <v>0</v>
      </c>
      <c r="J2152">
        <f>IF(I2151=0,0,C2151-I2151)</f>
        <v>0</v>
      </c>
    </row>
    <row r="2153" spans="1:10" x14ac:dyDescent="0.25">
      <c r="A2153" s="1">
        <v>41871</v>
      </c>
      <c r="B2153">
        <v>3.1828799999999999</v>
      </c>
      <c r="C2153">
        <v>3.9750000000000001</v>
      </c>
      <c r="D2153">
        <f>WEEKDAY(A2153,14)</f>
        <v>7</v>
      </c>
      <c r="E2153">
        <f t="shared" si="132"/>
        <v>0.25</v>
      </c>
      <c r="F2153">
        <f t="shared" si="133"/>
        <v>5</v>
      </c>
      <c r="G2153">
        <f>IF(F2153&gt;F2152,G2152+B2153*E2153,B2153*E2153)</f>
        <v>3.168107</v>
      </c>
      <c r="H2153">
        <f t="shared" si="134"/>
        <v>1</v>
      </c>
      <c r="I2153">
        <f t="shared" si="135"/>
        <v>3.168107</v>
      </c>
      <c r="J2153">
        <f>IF(I2152=0,0,C2152-I2152)</f>
        <v>0</v>
      </c>
    </row>
    <row r="2154" spans="1:10" x14ac:dyDescent="0.25">
      <c r="A2154" s="1">
        <v>41872</v>
      </c>
      <c r="B2154">
        <v>3.1567799999999999</v>
      </c>
      <c r="C2154">
        <v>3.9750000000000001</v>
      </c>
      <c r="D2154">
        <f>WEEKDAY(A2154,14)</f>
        <v>1</v>
      </c>
      <c r="E2154">
        <f t="shared" si="132"/>
        <v>0</v>
      </c>
      <c r="F2154">
        <f t="shared" si="133"/>
        <v>1</v>
      </c>
      <c r="G2154">
        <f>IF(F2154&gt;F2153,G2153+B2154*E2154,B2154*E2154)</f>
        <v>0</v>
      </c>
      <c r="H2154">
        <f t="shared" si="134"/>
        <v>0</v>
      </c>
      <c r="I2154">
        <f t="shared" si="135"/>
        <v>0</v>
      </c>
      <c r="J2154">
        <f>IF(I2153=0,0,C2153-I2153)</f>
        <v>0.80689300000000008</v>
      </c>
    </row>
    <row r="2155" spans="1:10" x14ac:dyDescent="0.25">
      <c r="A2155" s="1">
        <v>41873</v>
      </c>
      <c r="B2155">
        <v>3.15082</v>
      </c>
      <c r="C2155">
        <v>3.9750000000000001</v>
      </c>
      <c r="D2155">
        <f>WEEKDAY(A2155,14)</f>
        <v>2</v>
      </c>
      <c r="E2155">
        <f t="shared" si="132"/>
        <v>0</v>
      </c>
      <c r="F2155">
        <f t="shared" si="133"/>
        <v>2</v>
      </c>
      <c r="G2155">
        <f>IF(F2155&gt;F2154,G2154+B2155*E2155,B2155*E2155)</f>
        <v>0</v>
      </c>
      <c r="H2155">
        <f t="shared" si="134"/>
        <v>0</v>
      </c>
      <c r="I2155">
        <f t="shared" si="135"/>
        <v>0</v>
      </c>
      <c r="J2155">
        <f>IF(I2154=0,0,C2154-I2154)</f>
        <v>0</v>
      </c>
    </row>
    <row r="2156" spans="1:10" x14ac:dyDescent="0.25">
      <c r="A2156" s="1">
        <v>41876</v>
      </c>
      <c r="B2156">
        <v>3.13856</v>
      </c>
      <c r="C2156">
        <v>3.9750000000000001</v>
      </c>
      <c r="D2156">
        <f>WEEKDAY(A2156,14)</f>
        <v>5</v>
      </c>
      <c r="E2156">
        <f t="shared" si="132"/>
        <v>0.05</v>
      </c>
      <c r="F2156">
        <f t="shared" si="133"/>
        <v>3</v>
      </c>
      <c r="G2156">
        <f>IF(F2156&gt;F2155,G2155+B2156*E2156,B2156*E2156)</f>
        <v>0.15692800000000001</v>
      </c>
      <c r="H2156">
        <f t="shared" si="134"/>
        <v>0.05</v>
      </c>
      <c r="I2156">
        <f t="shared" si="135"/>
        <v>0</v>
      </c>
      <c r="J2156">
        <f>IF(I2155=0,0,C2155-I2155)</f>
        <v>0</v>
      </c>
    </row>
    <row r="2157" spans="1:10" x14ac:dyDescent="0.25">
      <c r="A2157" s="1">
        <v>41877</v>
      </c>
      <c r="B2157">
        <v>3.1294400000000002</v>
      </c>
      <c r="C2157">
        <v>3.9750000000000001</v>
      </c>
      <c r="D2157">
        <f>WEEKDAY(A2157,14)</f>
        <v>6</v>
      </c>
      <c r="E2157">
        <f t="shared" si="132"/>
        <v>0.7</v>
      </c>
      <c r="F2157">
        <f t="shared" si="133"/>
        <v>4</v>
      </c>
      <c r="G2157">
        <f>IF(F2157&gt;F2156,G2156+B2157*E2157,B2157*E2157)</f>
        <v>2.3475360000000003</v>
      </c>
      <c r="H2157">
        <f t="shared" si="134"/>
        <v>0.75</v>
      </c>
      <c r="I2157">
        <f t="shared" si="135"/>
        <v>0</v>
      </c>
      <c r="J2157">
        <f>IF(I2156=0,0,C2156-I2156)</f>
        <v>0</v>
      </c>
    </row>
    <row r="2158" spans="1:10" x14ac:dyDescent="0.25">
      <c r="A2158" s="1">
        <v>41878</v>
      </c>
      <c r="B2158">
        <v>3.0988699999999998</v>
      </c>
      <c r="C2158">
        <v>3.9750000000000001</v>
      </c>
      <c r="D2158">
        <f>WEEKDAY(A2158,14)</f>
        <v>7</v>
      </c>
      <c r="E2158">
        <f t="shared" si="132"/>
        <v>0.25</v>
      </c>
      <c r="F2158">
        <f t="shared" si="133"/>
        <v>5</v>
      </c>
      <c r="G2158">
        <f>IF(F2158&gt;F2157,G2157+B2158*E2158,B2158*E2158)</f>
        <v>3.1222535000000002</v>
      </c>
      <c r="H2158">
        <f t="shared" si="134"/>
        <v>1</v>
      </c>
      <c r="I2158">
        <f t="shared" si="135"/>
        <v>3.1222535000000002</v>
      </c>
      <c r="J2158">
        <f>IF(I2157=0,0,C2157-I2157)</f>
        <v>0</v>
      </c>
    </row>
    <row r="2159" spans="1:10" x14ac:dyDescent="0.25">
      <c r="A2159" s="1">
        <v>41879</v>
      </c>
      <c r="B2159">
        <v>3.0781200000000002</v>
      </c>
      <c r="C2159">
        <v>3.9750000000000001</v>
      </c>
      <c r="D2159">
        <f>WEEKDAY(A2159,14)</f>
        <v>1</v>
      </c>
      <c r="E2159">
        <f t="shared" si="132"/>
        <v>0</v>
      </c>
      <c r="F2159">
        <f t="shared" si="133"/>
        <v>1</v>
      </c>
      <c r="G2159">
        <f>IF(F2159&gt;F2158,G2158+B2159*E2159,B2159*E2159)</f>
        <v>0</v>
      </c>
      <c r="H2159">
        <f t="shared" si="134"/>
        <v>0</v>
      </c>
      <c r="I2159">
        <f t="shared" si="135"/>
        <v>0</v>
      </c>
      <c r="J2159">
        <f>IF(I2158=0,0,C2158-I2158)</f>
        <v>0.85274649999999985</v>
      </c>
    </row>
    <row r="2160" spans="1:10" x14ac:dyDescent="0.25">
      <c r="A2160" s="1">
        <v>41880</v>
      </c>
      <c r="B2160">
        <v>3.0803400000000001</v>
      </c>
      <c r="C2160">
        <v>3.9750000000000001</v>
      </c>
      <c r="D2160">
        <f>WEEKDAY(A2160,14)</f>
        <v>2</v>
      </c>
      <c r="E2160">
        <f t="shared" si="132"/>
        <v>0</v>
      </c>
      <c r="F2160">
        <f t="shared" si="133"/>
        <v>2</v>
      </c>
      <c r="G2160">
        <f>IF(F2160&gt;F2159,G2159+B2160*E2160,B2160*E2160)</f>
        <v>0</v>
      </c>
      <c r="H2160">
        <f t="shared" si="134"/>
        <v>0</v>
      </c>
      <c r="I2160">
        <f t="shared" si="135"/>
        <v>0</v>
      </c>
      <c r="J2160">
        <f>IF(I2159=0,0,C2159-I2159)</f>
        <v>0</v>
      </c>
    </row>
    <row r="2161" spans="1:10" x14ac:dyDescent="0.25">
      <c r="A2161" s="1">
        <v>41884</v>
      </c>
      <c r="B2161">
        <v>3.13347</v>
      </c>
      <c r="C2161">
        <v>3.9750000000000001</v>
      </c>
      <c r="D2161">
        <f>WEEKDAY(A2161,14)</f>
        <v>6</v>
      </c>
      <c r="E2161">
        <f t="shared" si="132"/>
        <v>0.7</v>
      </c>
      <c r="F2161">
        <f t="shared" si="133"/>
        <v>3</v>
      </c>
      <c r="G2161">
        <f>IF(F2161&gt;F2160,G2160+B2161*E2161,B2161*E2161)</f>
        <v>2.1934289999999996</v>
      </c>
      <c r="H2161">
        <f t="shared" si="134"/>
        <v>0.7</v>
      </c>
      <c r="I2161">
        <f t="shared" si="135"/>
        <v>0</v>
      </c>
      <c r="J2161">
        <f>IF(I2160=0,0,C2160-I2160)</f>
        <v>0</v>
      </c>
    </row>
    <row r="2162" spans="1:10" x14ac:dyDescent="0.25">
      <c r="A2162" s="1">
        <v>41885</v>
      </c>
      <c r="B2162">
        <v>3.1253600000000001</v>
      </c>
      <c r="C2162">
        <v>3.9750000000000001</v>
      </c>
      <c r="D2162">
        <f>WEEKDAY(A2162,14)</f>
        <v>7</v>
      </c>
      <c r="E2162">
        <f t="shared" si="132"/>
        <v>0.25</v>
      </c>
      <c r="F2162">
        <f t="shared" si="133"/>
        <v>4</v>
      </c>
      <c r="G2162">
        <f>IF(F2162&gt;F2161,G2161+B2162*E2162,B2162*E2162)</f>
        <v>2.9747689999999998</v>
      </c>
      <c r="H2162">
        <f t="shared" si="134"/>
        <v>0.95</v>
      </c>
      <c r="I2162">
        <f t="shared" si="135"/>
        <v>3.1313357894736842</v>
      </c>
      <c r="J2162">
        <f>IF(I2161=0,0,C2161-I2161)</f>
        <v>0</v>
      </c>
    </row>
    <row r="2163" spans="1:10" x14ac:dyDescent="0.25">
      <c r="A2163" s="1">
        <v>41886</v>
      </c>
      <c r="B2163">
        <v>3.1528299999999998</v>
      </c>
      <c r="C2163">
        <v>3.9950000000000001</v>
      </c>
      <c r="D2163">
        <f>WEEKDAY(A2163,14)</f>
        <v>1</v>
      </c>
      <c r="E2163">
        <f t="shared" si="132"/>
        <v>0</v>
      </c>
      <c r="F2163">
        <f t="shared" si="133"/>
        <v>1</v>
      </c>
      <c r="G2163">
        <f>IF(F2163&gt;F2162,G2162+B2163*E2163,B2163*E2163)</f>
        <v>0</v>
      </c>
      <c r="H2163">
        <f t="shared" si="134"/>
        <v>0</v>
      </c>
      <c r="I2163">
        <f t="shared" si="135"/>
        <v>0</v>
      </c>
      <c r="J2163">
        <f>IF(I2162=0,0,C2162-I2162)</f>
        <v>0.84366421052631591</v>
      </c>
    </row>
    <row r="2164" spans="1:10" x14ac:dyDescent="0.25">
      <c r="A2164" s="1">
        <v>41887</v>
      </c>
      <c r="B2164">
        <v>3.16818</v>
      </c>
      <c r="C2164">
        <v>3.9950000000000001</v>
      </c>
      <c r="D2164">
        <f>WEEKDAY(A2164,14)</f>
        <v>2</v>
      </c>
      <c r="E2164">
        <f t="shared" si="132"/>
        <v>0</v>
      </c>
      <c r="F2164">
        <f t="shared" si="133"/>
        <v>2</v>
      </c>
      <c r="G2164">
        <f>IF(F2164&gt;F2163,G2163+B2164*E2164,B2164*E2164)</f>
        <v>0</v>
      </c>
      <c r="H2164">
        <f t="shared" si="134"/>
        <v>0</v>
      </c>
      <c r="I2164">
        <f t="shared" si="135"/>
        <v>0</v>
      </c>
      <c r="J2164">
        <f>IF(I2163=0,0,C2163-I2163)</f>
        <v>0</v>
      </c>
    </row>
    <row r="2165" spans="1:10" x14ac:dyDescent="0.25">
      <c r="A2165" s="1">
        <v>41890</v>
      </c>
      <c r="B2165">
        <v>3.1760799999999998</v>
      </c>
      <c r="C2165">
        <v>3.9950000000000001</v>
      </c>
      <c r="D2165">
        <f>WEEKDAY(A2165,14)</f>
        <v>5</v>
      </c>
      <c r="E2165">
        <f t="shared" si="132"/>
        <v>0.05</v>
      </c>
      <c r="F2165">
        <f t="shared" si="133"/>
        <v>3</v>
      </c>
      <c r="G2165">
        <f>IF(F2165&gt;F2164,G2164+B2165*E2165,B2165*E2165)</f>
        <v>0.158804</v>
      </c>
      <c r="H2165">
        <f t="shared" si="134"/>
        <v>0.05</v>
      </c>
      <c r="I2165">
        <f t="shared" si="135"/>
        <v>0</v>
      </c>
      <c r="J2165">
        <f>IF(I2164=0,0,C2164-I2164)</f>
        <v>0</v>
      </c>
    </row>
    <row r="2166" spans="1:10" x14ac:dyDescent="0.25">
      <c r="A2166" s="1">
        <v>41891</v>
      </c>
      <c r="B2166">
        <v>3.2042600000000001</v>
      </c>
      <c r="C2166">
        <v>3.9950000000000001</v>
      </c>
      <c r="D2166">
        <f>WEEKDAY(A2166,14)</f>
        <v>6</v>
      </c>
      <c r="E2166">
        <f t="shared" si="132"/>
        <v>0.7</v>
      </c>
      <c r="F2166">
        <f t="shared" si="133"/>
        <v>4</v>
      </c>
      <c r="G2166">
        <f>IF(F2166&gt;F2165,G2165+B2166*E2166,B2166*E2166)</f>
        <v>2.401786</v>
      </c>
      <c r="H2166">
        <f t="shared" si="134"/>
        <v>0.75</v>
      </c>
      <c r="I2166">
        <f t="shared" si="135"/>
        <v>0</v>
      </c>
      <c r="J2166">
        <f>IF(I2165=0,0,C2165-I2165)</f>
        <v>0</v>
      </c>
    </row>
    <row r="2167" spans="1:10" x14ac:dyDescent="0.25">
      <c r="A2167" s="1">
        <v>41892</v>
      </c>
      <c r="B2167">
        <v>3.2396699999999998</v>
      </c>
      <c r="C2167">
        <v>3.9950000000000001</v>
      </c>
      <c r="D2167">
        <f>WEEKDAY(A2167,14)</f>
        <v>7</v>
      </c>
      <c r="E2167">
        <f t="shared" si="132"/>
        <v>0.25</v>
      </c>
      <c r="F2167">
        <f t="shared" si="133"/>
        <v>5</v>
      </c>
      <c r="G2167">
        <f>IF(F2167&gt;F2166,G2166+B2167*E2167,B2167*E2167)</f>
        <v>3.2117035</v>
      </c>
      <c r="H2167">
        <f t="shared" si="134"/>
        <v>1</v>
      </c>
      <c r="I2167">
        <f t="shared" si="135"/>
        <v>3.2117035</v>
      </c>
      <c r="J2167">
        <f>IF(I2166=0,0,C2166-I2166)</f>
        <v>0</v>
      </c>
    </row>
    <row r="2168" spans="1:10" x14ac:dyDescent="0.25">
      <c r="A2168" s="1">
        <v>41893</v>
      </c>
      <c r="B2168">
        <v>3.23854</v>
      </c>
      <c r="C2168">
        <v>4.1050000000000004</v>
      </c>
      <c r="D2168">
        <f>WEEKDAY(A2168,14)</f>
        <v>1</v>
      </c>
      <c r="E2168">
        <f t="shared" si="132"/>
        <v>0</v>
      </c>
      <c r="F2168">
        <f t="shared" si="133"/>
        <v>1</v>
      </c>
      <c r="G2168">
        <f>IF(F2168&gt;F2167,G2167+B2168*E2168,B2168*E2168)</f>
        <v>0</v>
      </c>
      <c r="H2168">
        <f t="shared" si="134"/>
        <v>0</v>
      </c>
      <c r="I2168">
        <f t="shared" si="135"/>
        <v>0</v>
      </c>
      <c r="J2168">
        <f>IF(I2167=0,0,C2167-I2167)</f>
        <v>0.78329650000000006</v>
      </c>
    </row>
    <row r="2169" spans="1:10" x14ac:dyDescent="0.25">
      <c r="A2169" s="1">
        <v>41894</v>
      </c>
      <c r="B2169">
        <v>3.30131</v>
      </c>
      <c r="C2169">
        <v>4.1050000000000004</v>
      </c>
      <c r="D2169">
        <f>WEEKDAY(A2169,14)</f>
        <v>2</v>
      </c>
      <c r="E2169">
        <f t="shared" si="132"/>
        <v>0</v>
      </c>
      <c r="F2169">
        <f t="shared" si="133"/>
        <v>2</v>
      </c>
      <c r="G2169">
        <f>IF(F2169&gt;F2168,G2168+B2169*E2169,B2169*E2169)</f>
        <v>0</v>
      </c>
      <c r="H2169">
        <f t="shared" si="134"/>
        <v>0</v>
      </c>
      <c r="I2169">
        <f t="shared" si="135"/>
        <v>0</v>
      </c>
      <c r="J2169">
        <f>IF(I2168=0,0,C2168-I2168)</f>
        <v>0</v>
      </c>
    </row>
    <row r="2170" spans="1:10" x14ac:dyDescent="0.25">
      <c r="A2170" s="1">
        <v>41897</v>
      </c>
      <c r="B2170">
        <v>3.2813400000000001</v>
      </c>
      <c r="C2170">
        <v>4.1050000000000004</v>
      </c>
      <c r="D2170">
        <f>WEEKDAY(A2170,14)</f>
        <v>5</v>
      </c>
      <c r="E2170">
        <f t="shared" si="132"/>
        <v>0.05</v>
      </c>
      <c r="F2170">
        <f t="shared" si="133"/>
        <v>3</v>
      </c>
      <c r="G2170">
        <f>IF(F2170&gt;F2169,G2169+B2170*E2170,B2170*E2170)</f>
        <v>0.16406700000000002</v>
      </c>
      <c r="H2170">
        <f t="shared" si="134"/>
        <v>0.05</v>
      </c>
      <c r="I2170">
        <f t="shared" si="135"/>
        <v>0</v>
      </c>
      <c r="J2170">
        <f>IF(I2169=0,0,C2169-I2169)</f>
        <v>0</v>
      </c>
    </row>
    <row r="2171" spans="1:10" x14ac:dyDescent="0.25">
      <c r="A2171" s="1">
        <v>41898</v>
      </c>
      <c r="B2171">
        <v>3.2840799999999999</v>
      </c>
      <c r="C2171">
        <v>4.1050000000000004</v>
      </c>
      <c r="D2171">
        <f>WEEKDAY(A2171,14)</f>
        <v>6</v>
      </c>
      <c r="E2171">
        <f t="shared" si="132"/>
        <v>0.7</v>
      </c>
      <c r="F2171">
        <f t="shared" si="133"/>
        <v>4</v>
      </c>
      <c r="G2171">
        <f>IF(F2171&gt;F2170,G2170+B2171*E2171,B2171*E2171)</f>
        <v>2.462923</v>
      </c>
      <c r="H2171">
        <f t="shared" si="134"/>
        <v>0.75</v>
      </c>
      <c r="I2171">
        <f t="shared" si="135"/>
        <v>0</v>
      </c>
      <c r="J2171">
        <f>IF(I2170=0,0,C2170-I2170)</f>
        <v>0</v>
      </c>
    </row>
    <row r="2172" spans="1:10" x14ac:dyDescent="0.25">
      <c r="A2172" s="1">
        <v>41899</v>
      </c>
      <c r="B2172">
        <v>3.2889499999999998</v>
      </c>
      <c r="C2172">
        <v>4.1050000000000004</v>
      </c>
      <c r="D2172">
        <f>WEEKDAY(A2172,14)</f>
        <v>7</v>
      </c>
      <c r="E2172">
        <f t="shared" si="132"/>
        <v>0.25</v>
      </c>
      <c r="F2172">
        <f t="shared" si="133"/>
        <v>5</v>
      </c>
      <c r="G2172">
        <f>IF(F2172&gt;F2171,G2171+B2172*E2172,B2172*E2172)</f>
        <v>3.2851604999999999</v>
      </c>
      <c r="H2172">
        <f t="shared" si="134"/>
        <v>1</v>
      </c>
      <c r="I2172">
        <f t="shared" si="135"/>
        <v>3.2851604999999999</v>
      </c>
      <c r="J2172">
        <f>IF(I2171=0,0,C2171-I2171)</f>
        <v>0</v>
      </c>
    </row>
    <row r="2173" spans="1:10" x14ac:dyDescent="0.25">
      <c r="A2173" s="1">
        <v>41900</v>
      </c>
      <c r="B2173">
        <v>3.30017</v>
      </c>
      <c r="C2173">
        <v>4.0750000000000002</v>
      </c>
      <c r="D2173">
        <f>WEEKDAY(A2173,14)</f>
        <v>1</v>
      </c>
      <c r="E2173">
        <f t="shared" si="132"/>
        <v>0</v>
      </c>
      <c r="F2173">
        <f t="shared" si="133"/>
        <v>1</v>
      </c>
      <c r="G2173">
        <f>IF(F2173&gt;F2172,G2172+B2173*E2173,B2173*E2173)</f>
        <v>0</v>
      </c>
      <c r="H2173">
        <f t="shared" si="134"/>
        <v>0</v>
      </c>
      <c r="I2173">
        <f t="shared" si="135"/>
        <v>0</v>
      </c>
      <c r="J2173">
        <f>IF(I2172=0,0,C2172-I2172)</f>
        <v>0.8198395000000005</v>
      </c>
    </row>
    <row r="2174" spans="1:10" x14ac:dyDescent="0.25">
      <c r="A2174" s="1">
        <v>41901</v>
      </c>
      <c r="B2174">
        <v>3.2565</v>
      </c>
      <c r="C2174">
        <v>4.0750000000000002</v>
      </c>
      <c r="D2174">
        <f>WEEKDAY(A2174,14)</f>
        <v>2</v>
      </c>
      <c r="E2174">
        <f t="shared" si="132"/>
        <v>0</v>
      </c>
      <c r="F2174">
        <f t="shared" si="133"/>
        <v>2</v>
      </c>
      <c r="G2174">
        <f>IF(F2174&gt;F2173,G2173+B2174*E2174,B2174*E2174)</f>
        <v>0</v>
      </c>
      <c r="H2174">
        <f t="shared" si="134"/>
        <v>0</v>
      </c>
      <c r="I2174">
        <f t="shared" si="135"/>
        <v>0</v>
      </c>
      <c r="J2174">
        <f>IF(I2173=0,0,C2173-I2173)</f>
        <v>0</v>
      </c>
    </row>
    <row r="2175" spans="1:10" x14ac:dyDescent="0.25">
      <c r="A2175" s="1">
        <v>41904</v>
      </c>
      <c r="B2175">
        <v>3.23976</v>
      </c>
      <c r="C2175">
        <v>4.0750000000000002</v>
      </c>
      <c r="D2175">
        <f>WEEKDAY(A2175,14)</f>
        <v>5</v>
      </c>
      <c r="E2175">
        <f t="shared" si="132"/>
        <v>0.05</v>
      </c>
      <c r="F2175">
        <f t="shared" si="133"/>
        <v>3</v>
      </c>
      <c r="G2175">
        <f>IF(F2175&gt;F2174,G2174+B2175*E2175,B2175*E2175)</f>
        <v>0.16198800000000002</v>
      </c>
      <c r="H2175">
        <f t="shared" si="134"/>
        <v>0.05</v>
      </c>
      <c r="I2175">
        <f t="shared" si="135"/>
        <v>0</v>
      </c>
      <c r="J2175">
        <f>IF(I2174=0,0,C2174-I2174)</f>
        <v>0</v>
      </c>
    </row>
    <row r="2176" spans="1:10" x14ac:dyDescent="0.25">
      <c r="A2176" s="1">
        <v>41905</v>
      </c>
      <c r="B2176">
        <v>3.2147100000000002</v>
      </c>
      <c r="C2176">
        <v>4.0750000000000002</v>
      </c>
      <c r="D2176">
        <f>WEEKDAY(A2176,14)</f>
        <v>6</v>
      </c>
      <c r="E2176">
        <f t="shared" si="132"/>
        <v>0.7</v>
      </c>
      <c r="F2176">
        <f t="shared" si="133"/>
        <v>4</v>
      </c>
      <c r="G2176">
        <f>IF(F2176&gt;F2175,G2175+B2176*E2176,B2176*E2176)</f>
        <v>2.4122849999999998</v>
      </c>
      <c r="H2176">
        <f t="shared" si="134"/>
        <v>0.75</v>
      </c>
      <c r="I2176">
        <f t="shared" si="135"/>
        <v>0</v>
      </c>
      <c r="J2176">
        <f>IF(I2175=0,0,C2175-I2175)</f>
        <v>0</v>
      </c>
    </row>
    <row r="2177" spans="1:10" x14ac:dyDescent="0.25">
      <c r="A2177" s="1">
        <v>41906</v>
      </c>
      <c r="B2177">
        <v>3.2402000000000002</v>
      </c>
      <c r="C2177">
        <v>4.0750000000000002</v>
      </c>
      <c r="D2177">
        <f>WEEKDAY(A2177,14)</f>
        <v>7</v>
      </c>
      <c r="E2177">
        <f t="shared" si="132"/>
        <v>0.25</v>
      </c>
      <c r="F2177">
        <f t="shared" si="133"/>
        <v>5</v>
      </c>
      <c r="G2177">
        <f>IF(F2177&gt;F2176,G2176+B2177*E2177,B2177*E2177)</f>
        <v>3.2223349999999997</v>
      </c>
      <c r="H2177">
        <f t="shared" si="134"/>
        <v>1</v>
      </c>
      <c r="I2177">
        <f t="shared" si="135"/>
        <v>3.2223349999999997</v>
      </c>
      <c r="J2177">
        <f>IF(I2176=0,0,C2176-I2176)</f>
        <v>0</v>
      </c>
    </row>
    <row r="2178" spans="1:10" x14ac:dyDescent="0.25">
      <c r="A2178" s="1">
        <v>41907</v>
      </c>
      <c r="B2178">
        <v>3.1966700000000001</v>
      </c>
      <c r="C2178">
        <v>4.04</v>
      </c>
      <c r="D2178">
        <f>WEEKDAY(A2178,14)</f>
        <v>1</v>
      </c>
      <c r="E2178">
        <f t="shared" si="132"/>
        <v>0</v>
      </c>
      <c r="F2178">
        <f t="shared" si="133"/>
        <v>1</v>
      </c>
      <c r="G2178">
        <f>IF(F2178&gt;F2177,G2177+B2178*E2178,B2178*E2178)</f>
        <v>0</v>
      </c>
      <c r="H2178">
        <f t="shared" si="134"/>
        <v>0</v>
      </c>
      <c r="I2178">
        <f t="shared" si="135"/>
        <v>0</v>
      </c>
      <c r="J2178">
        <f>IF(I2177=0,0,C2177-I2177)</f>
        <v>0.85266500000000045</v>
      </c>
    </row>
    <row r="2179" spans="1:10" x14ac:dyDescent="0.25">
      <c r="A2179" s="1">
        <v>41908</v>
      </c>
      <c r="B2179">
        <v>3.2151700000000001</v>
      </c>
      <c r="C2179">
        <v>4.04</v>
      </c>
      <c r="D2179">
        <f>WEEKDAY(A2179,14)</f>
        <v>2</v>
      </c>
      <c r="E2179">
        <f t="shared" ref="E2179:E2242" si="136">VLOOKUP(D2179,M$2:N$8,2,FALSE)</f>
        <v>0</v>
      </c>
      <c r="F2179">
        <f t="shared" ref="F2179:F2242" si="137">IF(AND(D2179&gt;D2178,F2178&lt;6),F2178+1,1)</f>
        <v>2</v>
      </c>
      <c r="G2179">
        <f>IF(F2179&gt;F2178,G2178+B2179*E2179,B2179*E2179)</f>
        <v>0</v>
      </c>
      <c r="H2179">
        <f t="shared" si="134"/>
        <v>0</v>
      </c>
      <c r="I2179">
        <f t="shared" si="135"/>
        <v>0</v>
      </c>
      <c r="J2179">
        <f>IF(I2178=0,0,C2178-I2178)</f>
        <v>0</v>
      </c>
    </row>
    <row r="2180" spans="1:10" x14ac:dyDescent="0.25">
      <c r="A2180" s="1">
        <v>41911</v>
      </c>
      <c r="B2180">
        <v>3.1926800000000002</v>
      </c>
      <c r="C2180">
        <v>4.04</v>
      </c>
      <c r="D2180">
        <f>WEEKDAY(A2180,14)</f>
        <v>5</v>
      </c>
      <c r="E2180">
        <f t="shared" si="136"/>
        <v>0.05</v>
      </c>
      <c r="F2180">
        <f t="shared" si="137"/>
        <v>3</v>
      </c>
      <c r="G2180">
        <f>IF(F2180&gt;F2179,G2179+B2180*E2180,B2180*E2180)</f>
        <v>0.15963400000000003</v>
      </c>
      <c r="H2180">
        <f t="shared" ref="H2180:H2242" si="138">IF(AND(F2180&lt;6,F2180&gt;F2179),E2180+H2179,E2180)</f>
        <v>0.05</v>
      </c>
      <c r="I2180">
        <f t="shared" ref="I2180:I2242" si="139">IF(F2180&gt;F2181,G2180/H2180,0)</f>
        <v>0</v>
      </c>
      <c r="J2180">
        <f>IF(I2179=0,0,C2179-I2179)</f>
        <v>0</v>
      </c>
    </row>
    <row r="2181" spans="1:10" x14ac:dyDescent="0.25">
      <c r="A2181" s="1">
        <v>41912</v>
      </c>
      <c r="B2181">
        <v>3.2079</v>
      </c>
      <c r="C2181">
        <v>4.04</v>
      </c>
      <c r="D2181">
        <f>WEEKDAY(A2181,14)</f>
        <v>6</v>
      </c>
      <c r="E2181">
        <f t="shared" si="136"/>
        <v>0.7</v>
      </c>
      <c r="F2181">
        <f t="shared" si="137"/>
        <v>4</v>
      </c>
      <c r="G2181">
        <f>IF(F2181&gt;F2180,G2180+B2181*E2181,B2181*E2181)</f>
        <v>2.4051640000000001</v>
      </c>
      <c r="H2181">
        <f t="shared" si="138"/>
        <v>0.75</v>
      </c>
      <c r="I2181">
        <f t="shared" si="139"/>
        <v>0</v>
      </c>
      <c r="J2181">
        <f>IF(I2180=0,0,C2180-I2180)</f>
        <v>0</v>
      </c>
    </row>
    <row r="2182" spans="1:10" x14ac:dyDescent="0.25">
      <c r="A2182" s="1">
        <v>41913</v>
      </c>
      <c r="B2182">
        <v>3.1187900000000002</v>
      </c>
      <c r="C2182">
        <v>4.04</v>
      </c>
      <c r="D2182">
        <f>WEEKDAY(A2182,14)</f>
        <v>7</v>
      </c>
      <c r="E2182">
        <f t="shared" si="136"/>
        <v>0.25</v>
      </c>
      <c r="F2182">
        <f t="shared" si="137"/>
        <v>5</v>
      </c>
      <c r="G2182">
        <f>IF(F2182&gt;F2181,G2181+B2182*E2182,B2182*E2182)</f>
        <v>3.1848615000000002</v>
      </c>
      <c r="H2182">
        <f t="shared" si="138"/>
        <v>1</v>
      </c>
      <c r="I2182">
        <f t="shared" si="139"/>
        <v>3.1848615000000002</v>
      </c>
      <c r="J2182">
        <f>IF(I2181=0,0,C2181-I2181)</f>
        <v>0</v>
      </c>
    </row>
    <row r="2183" spans="1:10" x14ac:dyDescent="0.25">
      <c r="A2183" s="1">
        <v>41914</v>
      </c>
      <c r="B2183">
        <v>3.1360999999999999</v>
      </c>
      <c r="C2183">
        <v>3.9950000000000001</v>
      </c>
      <c r="D2183">
        <f>WEEKDAY(A2183,14)</f>
        <v>1</v>
      </c>
      <c r="E2183">
        <f t="shared" si="136"/>
        <v>0</v>
      </c>
      <c r="F2183">
        <f t="shared" si="137"/>
        <v>1</v>
      </c>
      <c r="G2183">
        <f>IF(F2183&gt;F2182,G2182+B2183*E2183,B2183*E2183)</f>
        <v>0</v>
      </c>
      <c r="H2183">
        <f t="shared" si="138"/>
        <v>0</v>
      </c>
      <c r="I2183">
        <f t="shared" si="139"/>
        <v>0</v>
      </c>
      <c r="J2183">
        <f>IF(I2182=0,0,C2182-I2182)</f>
        <v>0.8551384999999998</v>
      </c>
    </row>
    <row r="2184" spans="1:10" x14ac:dyDescent="0.25">
      <c r="A2184" s="1">
        <v>41915</v>
      </c>
      <c r="B2184">
        <v>3.1408</v>
      </c>
      <c r="C2184">
        <v>3.9950000000000001</v>
      </c>
      <c r="D2184">
        <f>WEEKDAY(A2184,14)</f>
        <v>2</v>
      </c>
      <c r="E2184">
        <f t="shared" si="136"/>
        <v>0</v>
      </c>
      <c r="F2184">
        <f t="shared" si="137"/>
        <v>2</v>
      </c>
      <c r="G2184">
        <f>IF(F2184&gt;F2183,G2183+B2184*E2184,B2184*E2184)</f>
        <v>0</v>
      </c>
      <c r="H2184">
        <f t="shared" si="138"/>
        <v>0</v>
      </c>
      <c r="I2184">
        <f t="shared" si="139"/>
        <v>0</v>
      </c>
      <c r="J2184">
        <f>IF(I2183=0,0,C2183-I2183)</f>
        <v>0</v>
      </c>
    </row>
    <row r="2185" spans="1:10" x14ac:dyDescent="0.25">
      <c r="A2185" s="1">
        <v>41918</v>
      </c>
      <c r="B2185">
        <v>3.1229800000000001</v>
      </c>
      <c r="C2185">
        <v>3.9950000000000001</v>
      </c>
      <c r="D2185">
        <f>WEEKDAY(A2185,14)</f>
        <v>5</v>
      </c>
      <c r="E2185">
        <f t="shared" si="136"/>
        <v>0.05</v>
      </c>
      <c r="F2185">
        <f t="shared" si="137"/>
        <v>3</v>
      </c>
      <c r="G2185">
        <f>IF(F2185&gt;F2184,G2184+B2185*E2185,B2185*E2185)</f>
        <v>0.15614900000000001</v>
      </c>
      <c r="H2185">
        <f t="shared" si="138"/>
        <v>0.05</v>
      </c>
      <c r="I2185">
        <f t="shared" si="139"/>
        <v>0</v>
      </c>
      <c r="J2185">
        <f>IF(I2184=0,0,C2184-I2184)</f>
        <v>0</v>
      </c>
    </row>
    <row r="2186" spans="1:10" x14ac:dyDescent="0.25">
      <c r="A2186" s="1">
        <v>41919</v>
      </c>
      <c r="B2186">
        <v>3.0571700000000002</v>
      </c>
      <c r="C2186">
        <v>3.9950000000000001</v>
      </c>
      <c r="D2186">
        <f>WEEKDAY(A2186,14)</f>
        <v>6</v>
      </c>
      <c r="E2186">
        <f t="shared" si="136"/>
        <v>0.7</v>
      </c>
      <c r="F2186">
        <f t="shared" si="137"/>
        <v>4</v>
      </c>
      <c r="G2186">
        <f>IF(F2186&gt;F2185,G2185+B2186*E2186,B2186*E2186)</f>
        <v>2.2961680000000002</v>
      </c>
      <c r="H2186">
        <f t="shared" si="138"/>
        <v>0.75</v>
      </c>
      <c r="I2186">
        <f t="shared" si="139"/>
        <v>0</v>
      </c>
      <c r="J2186">
        <f>IF(I2185=0,0,C2185-I2185)</f>
        <v>0</v>
      </c>
    </row>
    <row r="2187" spans="1:10" x14ac:dyDescent="0.25">
      <c r="A2187" s="1">
        <v>41920</v>
      </c>
      <c r="B2187">
        <v>3.0069599999999999</v>
      </c>
      <c r="C2187">
        <v>3.9950000000000001</v>
      </c>
      <c r="D2187">
        <f>WEEKDAY(A2187,14)</f>
        <v>7</v>
      </c>
      <c r="E2187">
        <f t="shared" si="136"/>
        <v>0.25</v>
      </c>
      <c r="F2187">
        <f t="shared" si="137"/>
        <v>5</v>
      </c>
      <c r="G2187">
        <f>IF(F2187&gt;F2186,G2186+B2187*E2187,B2187*E2187)</f>
        <v>3.0479080000000001</v>
      </c>
      <c r="H2187">
        <f t="shared" si="138"/>
        <v>1</v>
      </c>
      <c r="I2187">
        <f t="shared" si="139"/>
        <v>3.0479080000000001</v>
      </c>
      <c r="J2187">
        <f>IF(I2186=0,0,C2186-I2186)</f>
        <v>0</v>
      </c>
    </row>
    <row r="2188" spans="1:10" x14ac:dyDescent="0.25">
      <c r="A2188" s="1">
        <v>41921</v>
      </c>
      <c r="B2188">
        <v>3.00935</v>
      </c>
      <c r="C2188">
        <v>3.8450000000000002</v>
      </c>
      <c r="D2188">
        <f>WEEKDAY(A2188,14)</f>
        <v>1</v>
      </c>
      <c r="E2188">
        <f t="shared" si="136"/>
        <v>0</v>
      </c>
      <c r="F2188">
        <f t="shared" si="137"/>
        <v>1</v>
      </c>
      <c r="G2188">
        <f>IF(F2188&gt;F2187,G2187+B2188*E2188,B2188*E2188)</f>
        <v>0</v>
      </c>
      <c r="H2188">
        <f t="shared" si="138"/>
        <v>0</v>
      </c>
      <c r="I2188">
        <f t="shared" si="139"/>
        <v>0</v>
      </c>
      <c r="J2188">
        <f>IF(I2187=0,0,C2187-I2187)</f>
        <v>0.94709200000000004</v>
      </c>
    </row>
    <row r="2189" spans="1:10" x14ac:dyDescent="0.25">
      <c r="A2189" s="1">
        <v>41922</v>
      </c>
      <c r="B2189">
        <v>3.0064700000000002</v>
      </c>
      <c r="C2189">
        <v>3.8450000000000002</v>
      </c>
      <c r="D2189">
        <f>WEEKDAY(A2189,14)</f>
        <v>2</v>
      </c>
      <c r="E2189">
        <f t="shared" si="136"/>
        <v>0</v>
      </c>
      <c r="F2189">
        <f t="shared" si="137"/>
        <v>2</v>
      </c>
      <c r="G2189">
        <f>IF(F2189&gt;F2188,G2188+B2189*E2189,B2189*E2189)</f>
        <v>0</v>
      </c>
      <c r="H2189">
        <f t="shared" si="138"/>
        <v>0</v>
      </c>
      <c r="I2189">
        <f t="shared" si="139"/>
        <v>0</v>
      </c>
      <c r="J2189">
        <f>IF(I2188=0,0,C2188-I2188)</f>
        <v>0</v>
      </c>
    </row>
    <row r="2190" spans="1:10" x14ac:dyDescent="0.25">
      <c r="A2190" s="1">
        <v>41926</v>
      </c>
      <c r="B2190">
        <v>2.91567</v>
      </c>
      <c r="C2190">
        <v>3.8450000000000002</v>
      </c>
      <c r="D2190">
        <f>WEEKDAY(A2190,14)</f>
        <v>6</v>
      </c>
      <c r="E2190">
        <f t="shared" si="136"/>
        <v>0.7</v>
      </c>
      <c r="F2190">
        <f t="shared" si="137"/>
        <v>3</v>
      </c>
      <c r="G2190">
        <f>IF(F2190&gt;F2189,G2189+B2190*E2190,B2190*E2190)</f>
        <v>2.040969</v>
      </c>
      <c r="H2190">
        <f t="shared" si="138"/>
        <v>0.7</v>
      </c>
      <c r="I2190">
        <f t="shared" si="139"/>
        <v>0</v>
      </c>
      <c r="J2190">
        <f>IF(I2189=0,0,C2189-I2189)</f>
        <v>0</v>
      </c>
    </row>
    <row r="2191" spans="1:10" x14ac:dyDescent="0.25">
      <c r="A2191" s="1">
        <v>41927</v>
      </c>
      <c r="B2191">
        <v>2.8012800000000002</v>
      </c>
      <c r="C2191">
        <v>3.8450000000000002</v>
      </c>
      <c r="D2191">
        <f>WEEKDAY(A2191,14)</f>
        <v>7</v>
      </c>
      <c r="E2191">
        <f t="shared" si="136"/>
        <v>0.25</v>
      </c>
      <c r="F2191">
        <f t="shared" si="137"/>
        <v>4</v>
      </c>
      <c r="G2191">
        <f>IF(F2191&gt;F2190,G2190+B2191*E2191,B2191*E2191)</f>
        <v>2.7412890000000001</v>
      </c>
      <c r="H2191">
        <f t="shared" si="138"/>
        <v>0.95</v>
      </c>
      <c r="I2191">
        <f t="shared" si="139"/>
        <v>2.8855673684210528</v>
      </c>
      <c r="J2191">
        <f>IF(I2190=0,0,C2190-I2190)</f>
        <v>0</v>
      </c>
    </row>
    <row r="2192" spans="1:10" x14ac:dyDescent="0.25">
      <c r="A2192" s="1">
        <v>41928</v>
      </c>
      <c r="B2192">
        <v>2.88998</v>
      </c>
      <c r="C2192">
        <v>3.7949999999999999</v>
      </c>
      <c r="D2192">
        <f>WEEKDAY(A2192,14)</f>
        <v>1</v>
      </c>
      <c r="E2192">
        <f t="shared" si="136"/>
        <v>0</v>
      </c>
      <c r="F2192">
        <f t="shared" si="137"/>
        <v>1</v>
      </c>
      <c r="G2192">
        <f>IF(F2192&gt;F2191,G2191+B2192*E2192,B2192*E2192)</f>
        <v>0</v>
      </c>
      <c r="H2192">
        <f t="shared" si="138"/>
        <v>0</v>
      </c>
      <c r="I2192">
        <f t="shared" si="139"/>
        <v>0</v>
      </c>
      <c r="J2192">
        <f>IF(I2191=0,0,C2191-I2191)</f>
        <v>0.95943263157894743</v>
      </c>
    </row>
    <row r="2193" spans="1:10" x14ac:dyDescent="0.25">
      <c r="A2193" s="1">
        <v>41929</v>
      </c>
      <c r="B2193">
        <v>2.9089700000000001</v>
      </c>
      <c r="C2193">
        <v>3.7949999999999999</v>
      </c>
      <c r="D2193">
        <f>WEEKDAY(A2193,14)</f>
        <v>2</v>
      </c>
      <c r="E2193">
        <f t="shared" si="136"/>
        <v>0</v>
      </c>
      <c r="F2193">
        <f t="shared" si="137"/>
        <v>2</v>
      </c>
      <c r="G2193">
        <f>IF(F2193&gt;F2192,G2192+B2193*E2193,B2193*E2193)</f>
        <v>0</v>
      </c>
      <c r="H2193">
        <f t="shared" si="138"/>
        <v>0</v>
      </c>
      <c r="I2193">
        <f t="shared" si="139"/>
        <v>0</v>
      </c>
      <c r="J2193">
        <f>IF(I2192=0,0,C2192-I2192)</f>
        <v>0</v>
      </c>
    </row>
    <row r="2194" spans="1:10" x14ac:dyDescent="0.25">
      <c r="A2194" s="1">
        <v>41932</v>
      </c>
      <c r="B2194">
        <v>2.8822800000000002</v>
      </c>
      <c r="C2194">
        <v>3.7949999999999999</v>
      </c>
      <c r="D2194">
        <f>WEEKDAY(A2194,14)</f>
        <v>5</v>
      </c>
      <c r="E2194">
        <f t="shared" si="136"/>
        <v>0.05</v>
      </c>
      <c r="F2194">
        <f t="shared" si="137"/>
        <v>3</v>
      </c>
      <c r="G2194">
        <f>IF(F2194&gt;F2193,G2193+B2194*E2194,B2194*E2194)</f>
        <v>0.14411400000000002</v>
      </c>
      <c r="H2194">
        <f t="shared" si="138"/>
        <v>0.05</v>
      </c>
      <c r="I2194">
        <f t="shared" si="139"/>
        <v>0</v>
      </c>
      <c r="J2194">
        <f>IF(I2193=0,0,C2193-I2193)</f>
        <v>0</v>
      </c>
    </row>
    <row r="2195" spans="1:10" x14ac:dyDescent="0.25">
      <c r="A2195" s="1">
        <v>41933</v>
      </c>
      <c r="B2195">
        <v>2.9026100000000001</v>
      </c>
      <c r="C2195">
        <v>3.7949999999999999</v>
      </c>
      <c r="D2195">
        <f>WEEKDAY(A2195,14)</f>
        <v>6</v>
      </c>
      <c r="E2195">
        <f t="shared" si="136"/>
        <v>0.7</v>
      </c>
      <c r="F2195">
        <f t="shared" si="137"/>
        <v>4</v>
      </c>
      <c r="G2195">
        <f>IF(F2195&gt;F2194,G2194+B2195*E2195,B2195*E2195)</f>
        <v>2.1759409999999999</v>
      </c>
      <c r="H2195">
        <f t="shared" si="138"/>
        <v>0.75</v>
      </c>
      <c r="I2195">
        <f t="shared" si="139"/>
        <v>0</v>
      </c>
      <c r="J2195">
        <f>IF(I2194=0,0,C2194-I2194)</f>
        <v>0</v>
      </c>
    </row>
    <row r="2196" spans="1:10" x14ac:dyDescent="0.25">
      <c r="A2196" s="1">
        <v>41934</v>
      </c>
      <c r="B2196">
        <v>2.91561</v>
      </c>
      <c r="C2196">
        <v>3.7949999999999999</v>
      </c>
      <c r="D2196">
        <f>WEEKDAY(A2196,14)</f>
        <v>7</v>
      </c>
      <c r="E2196">
        <f t="shared" si="136"/>
        <v>0.25</v>
      </c>
      <c r="F2196">
        <f t="shared" si="137"/>
        <v>5</v>
      </c>
      <c r="G2196">
        <f>IF(F2196&gt;F2195,G2195+B2196*E2196,B2196*E2196)</f>
        <v>2.9048435000000001</v>
      </c>
      <c r="H2196">
        <f t="shared" si="138"/>
        <v>1</v>
      </c>
      <c r="I2196">
        <f t="shared" si="139"/>
        <v>2.9048435000000001</v>
      </c>
      <c r="J2196">
        <f>IF(I2195=0,0,C2195-I2195)</f>
        <v>0</v>
      </c>
    </row>
    <row r="2197" spans="1:10" x14ac:dyDescent="0.25">
      <c r="A2197" s="1">
        <v>41935</v>
      </c>
      <c r="B2197">
        <v>2.9569700000000001</v>
      </c>
      <c r="C2197">
        <v>3.855</v>
      </c>
      <c r="D2197">
        <f>WEEKDAY(A2197,14)</f>
        <v>1</v>
      </c>
      <c r="E2197">
        <f t="shared" si="136"/>
        <v>0</v>
      </c>
      <c r="F2197">
        <f t="shared" si="137"/>
        <v>1</v>
      </c>
      <c r="G2197">
        <f>IF(F2197&gt;F2196,G2196+B2197*E2197,B2197*E2197)</f>
        <v>0</v>
      </c>
      <c r="H2197">
        <f t="shared" si="138"/>
        <v>0</v>
      </c>
      <c r="I2197">
        <f t="shared" si="139"/>
        <v>0</v>
      </c>
      <c r="J2197">
        <f>IF(I2196=0,0,C2196-I2196)</f>
        <v>0.8901564999999998</v>
      </c>
    </row>
    <row r="2198" spans="1:10" x14ac:dyDescent="0.25">
      <c r="A2198" s="1">
        <v>41936</v>
      </c>
      <c r="B2198">
        <v>2.96706</v>
      </c>
      <c r="C2198">
        <v>3.855</v>
      </c>
      <c r="D2198">
        <f>WEEKDAY(A2198,14)</f>
        <v>2</v>
      </c>
      <c r="E2198">
        <f t="shared" si="136"/>
        <v>0</v>
      </c>
      <c r="F2198">
        <f t="shared" si="137"/>
        <v>2</v>
      </c>
      <c r="G2198">
        <f>IF(F2198&gt;F2197,G2197+B2198*E2198,B2198*E2198)</f>
        <v>0</v>
      </c>
      <c r="H2198">
        <f t="shared" si="138"/>
        <v>0</v>
      </c>
      <c r="I2198">
        <f t="shared" si="139"/>
        <v>0</v>
      </c>
      <c r="J2198">
        <f>IF(I2197=0,0,C2197-I2197)</f>
        <v>0</v>
      </c>
    </row>
    <row r="2199" spans="1:10" x14ac:dyDescent="0.25">
      <c r="A2199" s="1">
        <v>41939</v>
      </c>
      <c r="B2199">
        <v>2.9506299999999999</v>
      </c>
      <c r="C2199">
        <v>3.855</v>
      </c>
      <c r="D2199">
        <f>WEEKDAY(A2199,14)</f>
        <v>5</v>
      </c>
      <c r="E2199">
        <f t="shared" si="136"/>
        <v>0.05</v>
      </c>
      <c r="F2199">
        <f t="shared" si="137"/>
        <v>3</v>
      </c>
      <c r="G2199">
        <f>IF(F2199&gt;F2198,G2198+B2199*E2199,B2199*E2199)</f>
        <v>0.14753150000000001</v>
      </c>
      <c r="H2199">
        <f t="shared" si="138"/>
        <v>0.05</v>
      </c>
      <c r="I2199">
        <f t="shared" si="139"/>
        <v>0</v>
      </c>
      <c r="J2199">
        <f>IF(I2198=0,0,C2198-I2198)</f>
        <v>0</v>
      </c>
    </row>
    <row r="2200" spans="1:10" x14ac:dyDescent="0.25">
      <c r="A2200" s="1">
        <v>41940</v>
      </c>
      <c r="B2200">
        <v>2.9732599999999998</v>
      </c>
      <c r="C2200">
        <v>3.855</v>
      </c>
      <c r="D2200">
        <f>WEEKDAY(A2200,14)</f>
        <v>6</v>
      </c>
      <c r="E2200">
        <f t="shared" si="136"/>
        <v>0.7</v>
      </c>
      <c r="F2200">
        <f t="shared" si="137"/>
        <v>4</v>
      </c>
      <c r="G2200">
        <f>IF(F2200&gt;F2199,G2199+B2200*E2200,B2200*E2200)</f>
        <v>2.2288134999999998</v>
      </c>
      <c r="H2200">
        <f t="shared" si="138"/>
        <v>0.75</v>
      </c>
      <c r="I2200">
        <f t="shared" si="139"/>
        <v>0</v>
      </c>
      <c r="J2200">
        <f>IF(I2199=0,0,C2199-I2199)</f>
        <v>0</v>
      </c>
    </row>
    <row r="2201" spans="1:10" x14ac:dyDescent="0.25">
      <c r="A2201" s="1">
        <v>41941</v>
      </c>
      <c r="B2201">
        <v>3.0091000000000001</v>
      </c>
      <c r="C2201">
        <v>3.855</v>
      </c>
      <c r="D2201">
        <f>WEEKDAY(A2201,14)</f>
        <v>7</v>
      </c>
      <c r="E2201">
        <f t="shared" si="136"/>
        <v>0.25</v>
      </c>
      <c r="F2201">
        <f t="shared" si="137"/>
        <v>5</v>
      </c>
      <c r="G2201">
        <f>IF(F2201&gt;F2200,G2200+B2201*E2201,B2201*E2201)</f>
        <v>2.9810884999999998</v>
      </c>
      <c r="H2201">
        <f t="shared" si="138"/>
        <v>1</v>
      </c>
      <c r="I2201">
        <f t="shared" si="139"/>
        <v>2.9810884999999998</v>
      </c>
      <c r="J2201">
        <f>IF(I2200=0,0,C2200-I2200)</f>
        <v>0</v>
      </c>
    </row>
    <row r="2202" spans="1:10" x14ac:dyDescent="0.25">
      <c r="A2202" s="1">
        <v>41942</v>
      </c>
      <c r="B2202">
        <v>2.98841</v>
      </c>
      <c r="C2202">
        <v>3.895</v>
      </c>
      <c r="D2202">
        <f>WEEKDAY(A2202,14)</f>
        <v>1</v>
      </c>
      <c r="E2202">
        <f t="shared" si="136"/>
        <v>0</v>
      </c>
      <c r="F2202">
        <f t="shared" si="137"/>
        <v>1</v>
      </c>
      <c r="G2202">
        <f>IF(F2202&gt;F2201,G2201+B2202*E2202,B2202*E2202)</f>
        <v>0</v>
      </c>
      <c r="H2202">
        <f t="shared" si="138"/>
        <v>0</v>
      </c>
      <c r="I2202">
        <f t="shared" si="139"/>
        <v>0</v>
      </c>
      <c r="J2202">
        <f>IF(I2201=0,0,C2201-I2201)</f>
        <v>0.87391150000000017</v>
      </c>
    </row>
    <row r="2203" spans="1:10" x14ac:dyDescent="0.25">
      <c r="A2203" s="1">
        <v>41943</v>
      </c>
      <c r="B2203">
        <v>3.0097399999999999</v>
      </c>
      <c r="C2203">
        <v>3.895</v>
      </c>
      <c r="D2203">
        <f>WEEKDAY(A2203,14)</f>
        <v>2</v>
      </c>
      <c r="E2203">
        <f t="shared" si="136"/>
        <v>0</v>
      </c>
      <c r="F2203">
        <f t="shared" si="137"/>
        <v>2</v>
      </c>
      <c r="G2203">
        <f>IF(F2203&gt;F2202,G2202+B2203*E2203,B2203*E2203)</f>
        <v>0</v>
      </c>
      <c r="H2203">
        <f t="shared" si="138"/>
        <v>0</v>
      </c>
      <c r="I2203">
        <f t="shared" si="139"/>
        <v>0</v>
      </c>
      <c r="J2203">
        <f>IF(I2202=0,0,C2202-I2202)</f>
        <v>0</v>
      </c>
    </row>
    <row r="2204" spans="1:10" x14ac:dyDescent="0.25">
      <c r="A2204" s="1">
        <v>41946</v>
      </c>
      <c r="B2204">
        <v>3.0472800000000002</v>
      </c>
      <c r="C2204">
        <v>3.895</v>
      </c>
      <c r="D2204">
        <f>WEEKDAY(A2204,14)</f>
        <v>5</v>
      </c>
      <c r="E2204">
        <f t="shared" si="136"/>
        <v>0.05</v>
      </c>
      <c r="F2204">
        <f t="shared" si="137"/>
        <v>3</v>
      </c>
      <c r="G2204">
        <f>IF(F2204&gt;F2203,G2203+B2204*E2204,B2204*E2204)</f>
        <v>0.15236400000000003</v>
      </c>
      <c r="H2204">
        <f t="shared" si="138"/>
        <v>0.05</v>
      </c>
      <c r="I2204">
        <f t="shared" si="139"/>
        <v>0</v>
      </c>
      <c r="J2204">
        <f>IF(I2203=0,0,C2203-I2203)</f>
        <v>0</v>
      </c>
    </row>
    <row r="2205" spans="1:10" x14ac:dyDescent="0.25">
      <c r="A2205" s="1">
        <v>41947</v>
      </c>
      <c r="B2205">
        <v>3.0442399999999998</v>
      </c>
      <c r="C2205">
        <v>3.895</v>
      </c>
      <c r="D2205">
        <f>WEEKDAY(A2205,14)</f>
        <v>6</v>
      </c>
      <c r="E2205">
        <f t="shared" si="136"/>
        <v>0.7</v>
      </c>
      <c r="F2205">
        <f t="shared" si="137"/>
        <v>4</v>
      </c>
      <c r="G2205">
        <f>IF(F2205&gt;F2204,G2204+B2205*E2205,B2205*E2205)</f>
        <v>2.2833319999999997</v>
      </c>
      <c r="H2205">
        <f t="shared" si="138"/>
        <v>0.75</v>
      </c>
      <c r="I2205">
        <f t="shared" si="139"/>
        <v>0</v>
      </c>
      <c r="J2205">
        <f>IF(I2204=0,0,C2204-I2204)</f>
        <v>0</v>
      </c>
    </row>
    <row r="2206" spans="1:10" x14ac:dyDescent="0.25">
      <c r="A2206" s="1">
        <v>41948</v>
      </c>
      <c r="B2206">
        <v>3.0444499999999999</v>
      </c>
      <c r="C2206">
        <v>3.895</v>
      </c>
      <c r="D2206">
        <f>WEEKDAY(A2206,14)</f>
        <v>7</v>
      </c>
      <c r="E2206">
        <f t="shared" si="136"/>
        <v>0.25</v>
      </c>
      <c r="F2206">
        <f t="shared" si="137"/>
        <v>5</v>
      </c>
      <c r="G2206">
        <f>IF(F2206&gt;F2205,G2205+B2206*E2206,B2206*E2206)</f>
        <v>3.0444444999999996</v>
      </c>
      <c r="H2206">
        <f t="shared" si="138"/>
        <v>1</v>
      </c>
      <c r="I2206">
        <f t="shared" si="139"/>
        <v>3.0444444999999996</v>
      </c>
      <c r="J2206">
        <f>IF(I2205=0,0,C2205-I2205)</f>
        <v>0</v>
      </c>
    </row>
    <row r="2207" spans="1:10" x14ac:dyDescent="0.25">
      <c r="A2207" s="1">
        <v>41949</v>
      </c>
      <c r="B2207">
        <v>3.0520100000000001</v>
      </c>
      <c r="C2207">
        <v>3.8849999999999998</v>
      </c>
      <c r="D2207">
        <f>WEEKDAY(A2207,14)</f>
        <v>1</v>
      </c>
      <c r="E2207">
        <f t="shared" si="136"/>
        <v>0</v>
      </c>
      <c r="F2207">
        <f t="shared" si="137"/>
        <v>1</v>
      </c>
      <c r="G2207">
        <f>IF(F2207&gt;F2206,G2206+B2207*E2207,B2207*E2207)</f>
        <v>0</v>
      </c>
      <c r="H2207">
        <f t="shared" si="138"/>
        <v>0</v>
      </c>
      <c r="I2207">
        <f t="shared" si="139"/>
        <v>0</v>
      </c>
      <c r="J2207">
        <f>IF(I2206=0,0,C2206-I2206)</f>
        <v>0.85055550000000046</v>
      </c>
    </row>
    <row r="2208" spans="1:10" x14ac:dyDescent="0.25">
      <c r="A2208" s="1">
        <v>41950</v>
      </c>
      <c r="B2208">
        <v>3.00136</v>
      </c>
      <c r="C2208">
        <v>3.8849999999999998</v>
      </c>
      <c r="D2208">
        <f>WEEKDAY(A2208,14)</f>
        <v>2</v>
      </c>
      <c r="E2208">
        <f t="shared" si="136"/>
        <v>0</v>
      </c>
      <c r="F2208">
        <f t="shared" si="137"/>
        <v>2</v>
      </c>
      <c r="G2208">
        <f>IF(F2208&gt;F2207,G2207+B2208*E2208,B2208*E2208)</f>
        <v>0</v>
      </c>
      <c r="H2208">
        <f t="shared" si="138"/>
        <v>0</v>
      </c>
      <c r="I2208">
        <f t="shared" si="139"/>
        <v>0</v>
      </c>
      <c r="J2208">
        <f>IF(I2207=0,0,C2207-I2207)</f>
        <v>0</v>
      </c>
    </row>
    <row r="2209" spans="1:10" x14ac:dyDescent="0.25">
      <c r="A2209" s="1">
        <v>41953</v>
      </c>
      <c r="B2209">
        <v>3.03634</v>
      </c>
      <c r="C2209">
        <v>3.8849999999999998</v>
      </c>
      <c r="D2209">
        <f>WEEKDAY(A2209,14)</f>
        <v>5</v>
      </c>
      <c r="E2209">
        <f t="shared" si="136"/>
        <v>0.05</v>
      </c>
      <c r="F2209">
        <f t="shared" si="137"/>
        <v>3</v>
      </c>
      <c r="G2209">
        <f>IF(F2209&gt;F2208,G2208+B2209*E2209,B2209*E2209)</f>
        <v>0.15181700000000001</v>
      </c>
      <c r="H2209">
        <f t="shared" si="138"/>
        <v>0.05</v>
      </c>
      <c r="I2209">
        <f t="shared" si="139"/>
        <v>0</v>
      </c>
      <c r="J2209">
        <f>IF(I2208=0,0,C2208-I2208)</f>
        <v>0</v>
      </c>
    </row>
    <row r="2210" spans="1:10" x14ac:dyDescent="0.25">
      <c r="A2210" s="1">
        <v>41955</v>
      </c>
      <c r="B2210">
        <v>3.0364800000000001</v>
      </c>
      <c r="C2210">
        <v>3.8849999999999998</v>
      </c>
      <c r="D2210">
        <f>WEEKDAY(A2210,14)</f>
        <v>7</v>
      </c>
      <c r="E2210">
        <f t="shared" si="136"/>
        <v>0.25</v>
      </c>
      <c r="F2210">
        <f t="shared" si="137"/>
        <v>4</v>
      </c>
      <c r="G2210">
        <f>IF(F2210&gt;F2209,G2209+B2210*E2210,B2210*E2210)</f>
        <v>0.910937</v>
      </c>
      <c r="H2210">
        <f t="shared" si="138"/>
        <v>0.3</v>
      </c>
      <c r="I2210">
        <f t="shared" si="139"/>
        <v>3.0364566666666666</v>
      </c>
      <c r="J2210">
        <f>IF(I2209=0,0,C2209-I2209)</f>
        <v>0</v>
      </c>
    </row>
    <row r="2211" spans="1:10" x14ac:dyDescent="0.25">
      <c r="A2211" s="1">
        <v>41956</v>
      </c>
      <c r="B2211">
        <v>3.0240900000000002</v>
      </c>
      <c r="C2211">
        <v>3.8650000000000002</v>
      </c>
      <c r="D2211">
        <f>WEEKDAY(A2211,14)</f>
        <v>1</v>
      </c>
      <c r="E2211">
        <f t="shared" si="136"/>
        <v>0</v>
      </c>
      <c r="F2211">
        <f t="shared" si="137"/>
        <v>1</v>
      </c>
      <c r="G2211">
        <f>IF(F2211&gt;F2210,G2210+B2211*E2211,B2211*E2211)</f>
        <v>0</v>
      </c>
      <c r="H2211">
        <f t="shared" si="138"/>
        <v>0</v>
      </c>
      <c r="I2211">
        <f t="shared" si="139"/>
        <v>0</v>
      </c>
      <c r="J2211">
        <f>IF(I2210=0,0,C2210-I2210)</f>
        <v>0.84854333333333321</v>
      </c>
    </row>
    <row r="2212" spans="1:10" x14ac:dyDescent="0.25">
      <c r="A2212" s="1">
        <v>41957</v>
      </c>
      <c r="B2212">
        <v>2.9883099999999998</v>
      </c>
      <c r="C2212">
        <v>3.8650000000000002</v>
      </c>
      <c r="D2212">
        <f>WEEKDAY(A2212,14)</f>
        <v>2</v>
      </c>
      <c r="E2212">
        <f t="shared" si="136"/>
        <v>0</v>
      </c>
      <c r="F2212">
        <f t="shared" si="137"/>
        <v>2</v>
      </c>
      <c r="G2212">
        <f>IF(F2212&gt;F2211,G2211+B2212*E2212,B2212*E2212)</f>
        <v>0</v>
      </c>
      <c r="H2212">
        <f t="shared" si="138"/>
        <v>0</v>
      </c>
      <c r="I2212">
        <f t="shared" si="139"/>
        <v>0</v>
      </c>
      <c r="J2212">
        <f>IF(I2211=0,0,C2211-I2211)</f>
        <v>0</v>
      </c>
    </row>
    <row r="2213" spans="1:10" x14ac:dyDescent="0.25">
      <c r="A2213" s="1">
        <v>41960</v>
      </c>
      <c r="B2213">
        <v>2.9941</v>
      </c>
      <c r="C2213">
        <v>3.8650000000000002</v>
      </c>
      <c r="D2213">
        <f>WEEKDAY(A2213,14)</f>
        <v>5</v>
      </c>
      <c r="E2213">
        <f t="shared" si="136"/>
        <v>0.05</v>
      </c>
      <c r="F2213">
        <f t="shared" si="137"/>
        <v>3</v>
      </c>
      <c r="G2213">
        <f>IF(F2213&gt;F2212,G2212+B2213*E2213,B2213*E2213)</f>
        <v>0.149705</v>
      </c>
      <c r="H2213">
        <f t="shared" si="138"/>
        <v>0.05</v>
      </c>
      <c r="I2213">
        <f t="shared" si="139"/>
        <v>0</v>
      </c>
      <c r="J2213">
        <f>IF(I2212=0,0,C2212-I2212)</f>
        <v>0</v>
      </c>
    </row>
    <row r="2214" spans="1:10" x14ac:dyDescent="0.25">
      <c r="A2214" s="1">
        <v>41961</v>
      </c>
      <c r="B2214">
        <v>2.9822600000000001</v>
      </c>
      <c r="C2214">
        <v>3.8650000000000002</v>
      </c>
      <c r="D2214">
        <f>WEEKDAY(A2214,14)</f>
        <v>6</v>
      </c>
      <c r="E2214">
        <f t="shared" si="136"/>
        <v>0.7</v>
      </c>
      <c r="F2214">
        <f t="shared" si="137"/>
        <v>4</v>
      </c>
      <c r="G2214">
        <f>IF(F2214&gt;F2213,G2213+B2214*E2214,B2214*E2214)</f>
        <v>2.2372869999999998</v>
      </c>
      <c r="H2214">
        <f t="shared" si="138"/>
        <v>0.75</v>
      </c>
      <c r="I2214">
        <f t="shared" si="139"/>
        <v>0</v>
      </c>
      <c r="J2214">
        <f>IF(I2213=0,0,C2213-I2213)</f>
        <v>0</v>
      </c>
    </row>
    <row r="2215" spans="1:10" x14ac:dyDescent="0.25">
      <c r="A2215" s="1">
        <v>41962</v>
      </c>
      <c r="B2215">
        <v>3.0039500000000001</v>
      </c>
      <c r="C2215">
        <v>3.8450000000000002</v>
      </c>
      <c r="D2215">
        <f>WEEKDAY(A2215,14)</f>
        <v>7</v>
      </c>
      <c r="E2215">
        <f t="shared" si="136"/>
        <v>0.25</v>
      </c>
      <c r="F2215">
        <f t="shared" si="137"/>
        <v>5</v>
      </c>
      <c r="G2215">
        <f>IF(F2215&gt;F2214,G2214+B2215*E2215,B2215*E2215)</f>
        <v>2.9882744999999997</v>
      </c>
      <c r="H2215">
        <f t="shared" si="138"/>
        <v>1</v>
      </c>
      <c r="I2215">
        <f t="shared" si="139"/>
        <v>2.9882744999999997</v>
      </c>
      <c r="J2215">
        <f>IF(I2214=0,0,C2214-I2214)</f>
        <v>0</v>
      </c>
    </row>
    <row r="2216" spans="1:10" x14ac:dyDescent="0.25">
      <c r="A2216" s="1">
        <v>41963</v>
      </c>
      <c r="B2216">
        <v>2.98245</v>
      </c>
      <c r="C2216">
        <v>3.8450000000000002</v>
      </c>
      <c r="D2216">
        <f>WEEKDAY(A2216,14)</f>
        <v>1</v>
      </c>
      <c r="E2216">
        <f t="shared" si="136"/>
        <v>0</v>
      </c>
      <c r="F2216">
        <f t="shared" si="137"/>
        <v>1</v>
      </c>
      <c r="G2216">
        <f>IF(F2216&gt;F2215,G2215+B2216*E2216,B2216*E2216)</f>
        <v>0</v>
      </c>
      <c r="H2216">
        <f t="shared" si="138"/>
        <v>0</v>
      </c>
      <c r="I2216">
        <f t="shared" si="139"/>
        <v>0</v>
      </c>
      <c r="J2216">
        <f>IF(I2215=0,0,C2215-I2215)</f>
        <v>0.85672550000000047</v>
      </c>
    </row>
    <row r="2217" spans="1:10" x14ac:dyDescent="0.25">
      <c r="A2217" s="1">
        <v>41964</v>
      </c>
      <c r="B2217">
        <v>2.9650300000000001</v>
      </c>
      <c r="C2217">
        <v>3.8450000000000002</v>
      </c>
      <c r="D2217">
        <f>WEEKDAY(A2217,14)</f>
        <v>2</v>
      </c>
      <c r="E2217">
        <f t="shared" si="136"/>
        <v>0</v>
      </c>
      <c r="F2217">
        <f t="shared" si="137"/>
        <v>2</v>
      </c>
      <c r="G2217">
        <f>IF(F2217&gt;F2216,G2216+B2217*E2217,B2217*E2217)</f>
        <v>0</v>
      </c>
      <c r="H2217">
        <f t="shared" si="138"/>
        <v>0</v>
      </c>
      <c r="I2217">
        <f t="shared" si="139"/>
        <v>0</v>
      </c>
      <c r="J2217">
        <f>IF(I2216=0,0,C2216-I2216)</f>
        <v>0</v>
      </c>
    </row>
    <row r="2218" spans="1:10" x14ac:dyDescent="0.25">
      <c r="A2218" s="1">
        <v>41967</v>
      </c>
      <c r="B2218">
        <v>2.9533800000000001</v>
      </c>
      <c r="C2218">
        <v>3.8450000000000002</v>
      </c>
      <c r="D2218">
        <f>WEEKDAY(A2218,14)</f>
        <v>5</v>
      </c>
      <c r="E2218">
        <f t="shared" si="136"/>
        <v>0.05</v>
      </c>
      <c r="F2218">
        <f t="shared" si="137"/>
        <v>3</v>
      </c>
      <c r="G2218">
        <f>IF(F2218&gt;F2217,G2217+B2218*E2218,B2218*E2218)</f>
        <v>0.14766900000000002</v>
      </c>
      <c r="H2218">
        <f t="shared" si="138"/>
        <v>0.05</v>
      </c>
      <c r="I2218">
        <f t="shared" si="139"/>
        <v>0</v>
      </c>
      <c r="J2218">
        <f>IF(I2217=0,0,C2217-I2217)</f>
        <v>0</v>
      </c>
    </row>
    <row r="2219" spans="1:10" x14ac:dyDescent="0.25">
      <c r="A2219" s="1">
        <v>41968</v>
      </c>
      <c r="B2219">
        <v>2.89872</v>
      </c>
      <c r="C2219">
        <v>3.8450000000000002</v>
      </c>
      <c r="D2219">
        <f>WEEKDAY(A2219,14)</f>
        <v>6</v>
      </c>
      <c r="E2219">
        <f t="shared" si="136"/>
        <v>0.7</v>
      </c>
      <c r="F2219">
        <f t="shared" si="137"/>
        <v>4</v>
      </c>
      <c r="G2219">
        <f>IF(F2219&gt;F2218,G2218+B2219*E2219,B2219*E2219)</f>
        <v>2.1767729999999998</v>
      </c>
      <c r="H2219">
        <f t="shared" si="138"/>
        <v>0.75</v>
      </c>
      <c r="I2219">
        <f t="shared" si="139"/>
        <v>0</v>
      </c>
      <c r="J2219">
        <f>IF(I2218=0,0,C2218-I2218)</f>
        <v>0</v>
      </c>
    </row>
    <row r="2220" spans="1:10" x14ac:dyDescent="0.25">
      <c r="A2220" s="1">
        <v>41969</v>
      </c>
      <c r="B2220">
        <v>2.8841000000000001</v>
      </c>
      <c r="C2220">
        <v>3.8450000000000002</v>
      </c>
      <c r="D2220">
        <f>WEEKDAY(A2220,14)</f>
        <v>7</v>
      </c>
      <c r="E2220">
        <f t="shared" si="136"/>
        <v>0.25</v>
      </c>
      <c r="F2220">
        <f t="shared" si="137"/>
        <v>5</v>
      </c>
      <c r="G2220">
        <f>IF(F2220&gt;F2219,G2219+B2220*E2220,B2220*E2220)</f>
        <v>2.8977979999999999</v>
      </c>
      <c r="H2220">
        <f t="shared" si="138"/>
        <v>1</v>
      </c>
      <c r="I2220">
        <f t="shared" si="139"/>
        <v>2.8977979999999999</v>
      </c>
      <c r="J2220">
        <f>IF(I2219=0,0,C2219-I2219)</f>
        <v>0</v>
      </c>
    </row>
    <row r="2221" spans="1:10" x14ac:dyDescent="0.25">
      <c r="A2221" s="1">
        <v>41971</v>
      </c>
      <c r="B2221">
        <v>2.8456899999999998</v>
      </c>
      <c r="C2221">
        <v>3.7650000000000001</v>
      </c>
      <c r="D2221">
        <f>WEEKDAY(A2221,14)</f>
        <v>2</v>
      </c>
      <c r="E2221">
        <f t="shared" si="136"/>
        <v>0</v>
      </c>
      <c r="F2221">
        <f t="shared" si="137"/>
        <v>1</v>
      </c>
      <c r="G2221">
        <f>IF(F2221&gt;F2220,G2220+B2221*E2221,B2221*E2221)</f>
        <v>0</v>
      </c>
      <c r="H2221">
        <f t="shared" si="138"/>
        <v>0</v>
      </c>
      <c r="I2221">
        <f t="shared" si="139"/>
        <v>0</v>
      </c>
      <c r="J2221">
        <f>IF(I2220=0,0,C2220-I2220)</f>
        <v>0.94720200000000032</v>
      </c>
    </row>
    <row r="2222" spans="1:10" x14ac:dyDescent="0.25">
      <c r="A2222" s="1">
        <v>41974</v>
      </c>
      <c r="B2222">
        <v>2.8622800000000002</v>
      </c>
      <c r="C2222">
        <v>3.7650000000000001</v>
      </c>
      <c r="D2222">
        <f>WEEKDAY(A2222,14)</f>
        <v>5</v>
      </c>
      <c r="E2222">
        <f t="shared" si="136"/>
        <v>0.05</v>
      </c>
      <c r="F2222">
        <f t="shared" si="137"/>
        <v>2</v>
      </c>
      <c r="G2222">
        <f>IF(F2222&gt;F2221,G2221+B2222*E2222,B2222*E2222)</f>
        <v>0.14311400000000002</v>
      </c>
      <c r="H2222">
        <f t="shared" si="138"/>
        <v>0.05</v>
      </c>
      <c r="I2222">
        <f t="shared" si="139"/>
        <v>0</v>
      </c>
      <c r="J2222">
        <f>IF(I2221=0,0,C2221-I2221)</f>
        <v>0</v>
      </c>
    </row>
    <row r="2223" spans="1:10" x14ac:dyDescent="0.25">
      <c r="A2223" s="1">
        <v>41975</v>
      </c>
      <c r="B2223">
        <v>2.9250400000000001</v>
      </c>
      <c r="C2223">
        <v>3.7650000000000001</v>
      </c>
      <c r="D2223">
        <f>WEEKDAY(A2223,14)</f>
        <v>6</v>
      </c>
      <c r="E2223">
        <f t="shared" si="136"/>
        <v>0.7</v>
      </c>
      <c r="F2223">
        <f t="shared" si="137"/>
        <v>3</v>
      </c>
      <c r="G2223">
        <f>IF(F2223&gt;F2222,G2222+B2223*E2223,B2223*E2223)</f>
        <v>2.190642</v>
      </c>
      <c r="H2223">
        <f t="shared" si="138"/>
        <v>0.75</v>
      </c>
      <c r="I2223">
        <f t="shared" si="139"/>
        <v>0</v>
      </c>
      <c r="J2223">
        <f>IF(I2222=0,0,C2222-I2222)</f>
        <v>0</v>
      </c>
    </row>
    <row r="2224" spans="1:10" x14ac:dyDescent="0.25">
      <c r="A2224" s="1">
        <v>41976</v>
      </c>
      <c r="B2224">
        <v>2.9323199999999998</v>
      </c>
      <c r="C2224">
        <v>3.7650000000000001</v>
      </c>
      <c r="D2224">
        <f>WEEKDAY(A2224,14)</f>
        <v>7</v>
      </c>
      <c r="E2224">
        <f t="shared" si="136"/>
        <v>0.25</v>
      </c>
      <c r="F2224">
        <f t="shared" si="137"/>
        <v>4</v>
      </c>
      <c r="G2224">
        <f>IF(F2224&gt;F2223,G2223+B2224*E2224,B2224*E2224)</f>
        <v>2.9237219999999997</v>
      </c>
      <c r="H2224">
        <f t="shared" si="138"/>
        <v>1</v>
      </c>
      <c r="I2224">
        <f t="shared" si="139"/>
        <v>2.9237219999999997</v>
      </c>
      <c r="J2224">
        <f>IF(I2223=0,0,C2223-I2223)</f>
        <v>0</v>
      </c>
    </row>
    <row r="2225" spans="1:10" x14ac:dyDescent="0.25">
      <c r="A2225" s="1">
        <v>41977</v>
      </c>
      <c r="B2225">
        <v>2.9025099999999999</v>
      </c>
      <c r="C2225">
        <v>3.8050000000000002</v>
      </c>
      <c r="D2225">
        <f>WEEKDAY(A2225,14)</f>
        <v>1</v>
      </c>
      <c r="E2225">
        <f t="shared" si="136"/>
        <v>0</v>
      </c>
      <c r="F2225">
        <f t="shared" si="137"/>
        <v>1</v>
      </c>
      <c r="G2225">
        <f>IF(F2225&gt;F2224,G2224+B2225*E2225,B2225*E2225)</f>
        <v>0</v>
      </c>
      <c r="H2225">
        <f t="shared" si="138"/>
        <v>0</v>
      </c>
      <c r="I2225">
        <f t="shared" si="139"/>
        <v>0</v>
      </c>
      <c r="J2225">
        <f>IF(I2224=0,0,C2224-I2224)</f>
        <v>0.84127800000000041</v>
      </c>
    </row>
    <row r="2226" spans="1:10" x14ac:dyDescent="0.25">
      <c r="A2226" s="1">
        <v>41978</v>
      </c>
      <c r="B2226">
        <v>2.9546299999999999</v>
      </c>
      <c r="C2226">
        <v>3.8050000000000002</v>
      </c>
      <c r="D2226">
        <f>WEEKDAY(A2226,14)</f>
        <v>2</v>
      </c>
      <c r="E2226">
        <f t="shared" si="136"/>
        <v>0</v>
      </c>
      <c r="F2226">
        <f t="shared" si="137"/>
        <v>2</v>
      </c>
      <c r="G2226">
        <f>IF(F2226&gt;F2225,G2225+B2226*E2226,B2226*E2226)</f>
        <v>0</v>
      </c>
      <c r="H2226">
        <f t="shared" si="138"/>
        <v>0</v>
      </c>
      <c r="I2226">
        <f t="shared" si="139"/>
        <v>0</v>
      </c>
      <c r="J2226">
        <f>IF(I2225=0,0,C2225-I2225)</f>
        <v>0</v>
      </c>
    </row>
    <row r="2227" spans="1:10" x14ac:dyDescent="0.25">
      <c r="A2227" s="1">
        <v>41981</v>
      </c>
      <c r="B2227">
        <v>2.90876</v>
      </c>
      <c r="C2227">
        <v>3.8050000000000002</v>
      </c>
      <c r="D2227">
        <f>WEEKDAY(A2227,14)</f>
        <v>5</v>
      </c>
      <c r="E2227">
        <f t="shared" si="136"/>
        <v>0.05</v>
      </c>
      <c r="F2227">
        <f t="shared" si="137"/>
        <v>3</v>
      </c>
      <c r="G2227">
        <f>IF(F2227&gt;F2226,G2226+B2227*E2227,B2227*E2227)</f>
        <v>0.14543800000000001</v>
      </c>
      <c r="H2227">
        <f t="shared" si="138"/>
        <v>0.05</v>
      </c>
      <c r="I2227">
        <f t="shared" si="139"/>
        <v>0</v>
      </c>
      <c r="J2227">
        <f>IF(I2226=0,0,C2226-I2226)</f>
        <v>0</v>
      </c>
    </row>
    <row r="2228" spans="1:10" x14ac:dyDescent="0.25">
      <c r="A2228" s="1">
        <v>41982</v>
      </c>
      <c r="B2228">
        <v>2.8860199999999998</v>
      </c>
      <c r="C2228">
        <v>3.8050000000000002</v>
      </c>
      <c r="D2228">
        <f>WEEKDAY(A2228,14)</f>
        <v>6</v>
      </c>
      <c r="E2228">
        <f t="shared" si="136"/>
        <v>0.7</v>
      </c>
      <c r="F2228">
        <f t="shared" si="137"/>
        <v>4</v>
      </c>
      <c r="G2228">
        <f>IF(F2228&gt;F2227,G2227+B2228*E2228,B2228*E2228)</f>
        <v>2.1656519999999997</v>
      </c>
      <c r="H2228">
        <f t="shared" si="138"/>
        <v>0.75</v>
      </c>
      <c r="I2228">
        <f t="shared" si="139"/>
        <v>0</v>
      </c>
      <c r="J2228">
        <f>IF(I2227=0,0,C2227-I2227)</f>
        <v>0</v>
      </c>
    </row>
    <row r="2229" spans="1:10" x14ac:dyDescent="0.25">
      <c r="A2229" s="1">
        <v>41983</v>
      </c>
      <c r="B2229">
        <v>2.8515100000000002</v>
      </c>
      <c r="C2229">
        <v>3.8050000000000002</v>
      </c>
      <c r="D2229">
        <f>WEEKDAY(A2229,14)</f>
        <v>7</v>
      </c>
      <c r="E2229">
        <f t="shared" si="136"/>
        <v>0.25</v>
      </c>
      <c r="F2229">
        <f t="shared" si="137"/>
        <v>5</v>
      </c>
      <c r="G2229">
        <f>IF(F2229&gt;F2228,G2228+B2229*E2229,B2229*E2229)</f>
        <v>2.8785295</v>
      </c>
      <c r="H2229">
        <f t="shared" si="138"/>
        <v>1</v>
      </c>
      <c r="I2229">
        <f t="shared" si="139"/>
        <v>2.8785295</v>
      </c>
      <c r="J2229">
        <f>IF(I2228=0,0,C2228-I2228)</f>
        <v>0</v>
      </c>
    </row>
    <row r="2230" spans="1:10" x14ac:dyDescent="0.25">
      <c r="A2230" s="1">
        <v>41984</v>
      </c>
      <c r="B2230">
        <v>2.8634300000000001</v>
      </c>
      <c r="C2230">
        <v>3.7</v>
      </c>
      <c r="D2230">
        <f>WEEKDAY(A2230,14)</f>
        <v>1</v>
      </c>
      <c r="E2230">
        <f t="shared" si="136"/>
        <v>0</v>
      </c>
      <c r="F2230">
        <f t="shared" si="137"/>
        <v>1</v>
      </c>
      <c r="G2230">
        <f>IF(F2230&gt;F2229,G2229+B2230*E2230,B2230*E2230)</f>
        <v>0</v>
      </c>
      <c r="H2230">
        <f t="shared" si="138"/>
        <v>0</v>
      </c>
      <c r="I2230">
        <f t="shared" si="139"/>
        <v>0</v>
      </c>
      <c r="J2230">
        <f>IF(I2229=0,0,C2229-I2229)</f>
        <v>0.9264705000000002</v>
      </c>
    </row>
    <row r="2231" spans="1:10" x14ac:dyDescent="0.25">
      <c r="A2231" s="1">
        <v>41985</v>
      </c>
      <c r="B2231">
        <v>2.8005800000000001</v>
      </c>
      <c r="C2231">
        <v>3.7</v>
      </c>
      <c r="D2231">
        <f>WEEKDAY(A2231,14)</f>
        <v>2</v>
      </c>
      <c r="E2231">
        <f t="shared" si="136"/>
        <v>0</v>
      </c>
      <c r="F2231">
        <f t="shared" si="137"/>
        <v>2</v>
      </c>
      <c r="G2231">
        <f>IF(F2231&gt;F2230,G2230+B2231*E2231,B2231*E2231)</f>
        <v>0</v>
      </c>
      <c r="H2231">
        <f t="shared" si="138"/>
        <v>0</v>
      </c>
      <c r="I2231">
        <f t="shared" si="139"/>
        <v>0</v>
      </c>
      <c r="J2231">
        <f>IF(I2230=0,0,C2230-I2230)</f>
        <v>0</v>
      </c>
    </row>
    <row r="2232" spans="1:10" x14ac:dyDescent="0.25">
      <c r="A2232" s="1">
        <v>41988</v>
      </c>
      <c r="B2232">
        <v>2.82917</v>
      </c>
      <c r="C2232">
        <v>3.7</v>
      </c>
      <c r="D2232">
        <f>WEEKDAY(A2232,14)</f>
        <v>5</v>
      </c>
      <c r="E2232">
        <f t="shared" si="136"/>
        <v>0.05</v>
      </c>
      <c r="F2232">
        <f t="shared" si="137"/>
        <v>3</v>
      </c>
      <c r="G2232">
        <f>IF(F2232&gt;F2231,G2231+B2232*E2232,B2232*E2232)</f>
        <v>0.14145850000000001</v>
      </c>
      <c r="H2232">
        <f t="shared" si="138"/>
        <v>0.05</v>
      </c>
      <c r="I2232">
        <f t="shared" si="139"/>
        <v>0</v>
      </c>
      <c r="J2232">
        <f>IF(I2231=0,0,C2231-I2231)</f>
        <v>0</v>
      </c>
    </row>
    <row r="2233" spans="1:10" x14ac:dyDescent="0.25">
      <c r="A2233" s="1">
        <v>41989</v>
      </c>
      <c r="B2233">
        <v>2.7872499999999998</v>
      </c>
      <c r="C2233">
        <v>3.7</v>
      </c>
      <c r="D2233">
        <f>WEEKDAY(A2233,14)</f>
        <v>6</v>
      </c>
      <c r="E2233">
        <f t="shared" si="136"/>
        <v>0.7</v>
      </c>
      <c r="F2233">
        <f t="shared" si="137"/>
        <v>4</v>
      </c>
      <c r="G2233">
        <f>IF(F2233&gt;F2232,G2232+B2233*E2233,B2233*E2233)</f>
        <v>2.0925334999999996</v>
      </c>
      <c r="H2233">
        <f t="shared" si="138"/>
        <v>0.75</v>
      </c>
      <c r="I2233">
        <f t="shared" si="139"/>
        <v>0</v>
      </c>
      <c r="J2233">
        <f>IF(I2232=0,0,C2232-I2232)</f>
        <v>0</v>
      </c>
    </row>
    <row r="2234" spans="1:10" x14ac:dyDescent="0.25">
      <c r="A2234" s="1">
        <v>41990</v>
      </c>
      <c r="B2234">
        <v>2.8371499999999998</v>
      </c>
      <c r="C2234">
        <v>3.7</v>
      </c>
      <c r="D2234">
        <f>WEEKDAY(A2234,14)</f>
        <v>7</v>
      </c>
      <c r="E2234">
        <f t="shared" si="136"/>
        <v>0.25</v>
      </c>
      <c r="F2234">
        <f t="shared" si="137"/>
        <v>5</v>
      </c>
      <c r="G2234">
        <f>IF(F2234&gt;F2233,G2233+B2234*E2234,B2234*E2234)</f>
        <v>2.8018209999999995</v>
      </c>
      <c r="H2234">
        <f t="shared" si="138"/>
        <v>1</v>
      </c>
      <c r="I2234">
        <f t="shared" si="139"/>
        <v>2.8018209999999995</v>
      </c>
      <c r="J2234">
        <f>IF(I2233=0,0,C2233-I2233)</f>
        <v>0</v>
      </c>
    </row>
    <row r="2235" spans="1:10" x14ac:dyDescent="0.25">
      <c r="A2235" s="1">
        <v>41991</v>
      </c>
      <c r="B2235">
        <v>2.8582299999999998</v>
      </c>
      <c r="C2235">
        <v>3.73</v>
      </c>
      <c r="D2235">
        <f>WEEKDAY(A2235,14)</f>
        <v>1</v>
      </c>
      <c r="E2235">
        <f t="shared" si="136"/>
        <v>0</v>
      </c>
      <c r="F2235">
        <f t="shared" si="137"/>
        <v>1</v>
      </c>
      <c r="G2235">
        <f>IF(F2235&gt;F2234,G2234+B2235*E2235,B2235*E2235)</f>
        <v>0</v>
      </c>
      <c r="H2235">
        <f t="shared" si="138"/>
        <v>0</v>
      </c>
      <c r="I2235">
        <f t="shared" si="139"/>
        <v>0</v>
      </c>
      <c r="J2235">
        <f>IF(I2234=0,0,C2234-I2234)</f>
        <v>0.89817900000000073</v>
      </c>
    </row>
    <row r="2236" spans="1:10" x14ac:dyDescent="0.25">
      <c r="A2236" s="1">
        <v>41992</v>
      </c>
      <c r="B2236">
        <v>2.8337400000000001</v>
      </c>
      <c r="C2236">
        <v>3.73</v>
      </c>
      <c r="D2236">
        <f>WEEKDAY(A2236,14)</f>
        <v>2</v>
      </c>
      <c r="E2236">
        <f t="shared" si="136"/>
        <v>0</v>
      </c>
      <c r="F2236">
        <f t="shared" si="137"/>
        <v>2</v>
      </c>
      <c r="G2236">
        <f>IF(F2236&gt;F2235,G2235+B2236*E2236,B2236*E2236)</f>
        <v>0</v>
      </c>
      <c r="H2236">
        <f t="shared" si="138"/>
        <v>0</v>
      </c>
      <c r="I2236">
        <f t="shared" si="139"/>
        <v>0</v>
      </c>
      <c r="J2236">
        <f>IF(I2235=0,0,C2235-I2235)</f>
        <v>0</v>
      </c>
    </row>
    <row r="2237" spans="1:10" x14ac:dyDescent="0.25">
      <c r="A2237" s="1">
        <v>41995</v>
      </c>
      <c r="B2237">
        <v>2.8256399999999999</v>
      </c>
      <c r="C2237">
        <v>3.73</v>
      </c>
      <c r="D2237">
        <f>WEEKDAY(A2237,14)</f>
        <v>5</v>
      </c>
      <c r="E2237">
        <f t="shared" si="136"/>
        <v>0.05</v>
      </c>
      <c r="F2237">
        <f t="shared" si="137"/>
        <v>3</v>
      </c>
      <c r="G2237">
        <f>IF(F2237&gt;F2236,G2236+B2237*E2237,B2237*E2237)</f>
        <v>0.14128199999999999</v>
      </c>
      <c r="H2237">
        <f t="shared" si="138"/>
        <v>0.05</v>
      </c>
      <c r="I2237">
        <f t="shared" si="139"/>
        <v>0</v>
      </c>
      <c r="J2237">
        <f>IF(I2236=0,0,C2236-I2236)</f>
        <v>0</v>
      </c>
    </row>
    <row r="2238" spans="1:10" x14ac:dyDescent="0.25">
      <c r="A2238" s="1">
        <v>41996</v>
      </c>
      <c r="B2238">
        <v>2.91032</v>
      </c>
      <c r="C2238">
        <v>3.73</v>
      </c>
      <c r="D2238">
        <f>WEEKDAY(A2238,14)</f>
        <v>6</v>
      </c>
      <c r="E2238">
        <f t="shared" si="136"/>
        <v>0.7</v>
      </c>
      <c r="F2238">
        <f t="shared" si="137"/>
        <v>4</v>
      </c>
      <c r="G2238">
        <f>IF(F2238&gt;F2237,G2237+B2238*E2238,B2238*E2238)</f>
        <v>2.1785059999999996</v>
      </c>
      <c r="H2238">
        <f t="shared" si="138"/>
        <v>0.75</v>
      </c>
      <c r="I2238">
        <f t="shared" si="139"/>
        <v>0</v>
      </c>
      <c r="J2238">
        <f>IF(I2237=0,0,C2237-I2237)</f>
        <v>0</v>
      </c>
    </row>
    <row r="2239" spans="1:10" x14ac:dyDescent="0.25">
      <c r="A2239" s="1">
        <v>41997</v>
      </c>
      <c r="B2239">
        <v>2.9097499999999998</v>
      </c>
      <c r="C2239">
        <v>3.77</v>
      </c>
      <c r="D2239">
        <f>WEEKDAY(A2239,14)</f>
        <v>7</v>
      </c>
      <c r="E2239">
        <f t="shared" si="136"/>
        <v>0.25</v>
      </c>
      <c r="F2239">
        <f t="shared" si="137"/>
        <v>5</v>
      </c>
      <c r="G2239">
        <f>IF(F2239&gt;F2238,G2238+B2239*E2239,B2239*E2239)</f>
        <v>2.9059434999999993</v>
      </c>
      <c r="H2239">
        <f t="shared" si="138"/>
        <v>1</v>
      </c>
      <c r="I2239">
        <f t="shared" si="139"/>
        <v>2.9059434999999993</v>
      </c>
      <c r="J2239">
        <f>IF(I2238=0,0,C2238-I2238)</f>
        <v>0</v>
      </c>
    </row>
    <row r="2240" spans="1:10" x14ac:dyDescent="0.25">
      <c r="A2240" s="1">
        <v>41999</v>
      </c>
      <c r="B2240">
        <v>2.8912399999999998</v>
      </c>
      <c r="C2240">
        <v>3.77</v>
      </c>
      <c r="D2240">
        <f>WEEKDAY(A2240,14)</f>
        <v>2</v>
      </c>
      <c r="E2240">
        <f t="shared" si="136"/>
        <v>0</v>
      </c>
      <c r="F2240">
        <f t="shared" si="137"/>
        <v>1</v>
      </c>
      <c r="G2240">
        <f>IF(F2240&gt;F2239,G2239+B2240*E2240,B2240*E2240)</f>
        <v>0</v>
      </c>
      <c r="H2240">
        <f t="shared" si="138"/>
        <v>0</v>
      </c>
      <c r="I2240">
        <f t="shared" si="139"/>
        <v>0</v>
      </c>
      <c r="J2240">
        <f>IF(I2239=0,0,C2239-I2239)</f>
        <v>0.86405650000000067</v>
      </c>
    </row>
    <row r="2241" spans="1:13" x14ac:dyDescent="0.25">
      <c r="A2241" s="1">
        <v>42002</v>
      </c>
      <c r="B2241">
        <v>2.8609800000000001</v>
      </c>
      <c r="C2241">
        <v>3.77</v>
      </c>
      <c r="D2241">
        <f>WEEKDAY(A2241,14)</f>
        <v>5</v>
      </c>
      <c r="E2241">
        <f t="shared" si="136"/>
        <v>0.05</v>
      </c>
      <c r="F2241">
        <f t="shared" si="137"/>
        <v>2</v>
      </c>
      <c r="G2241">
        <f>IF(F2241&gt;F2240,G2240+B2241*E2241,B2241*E2241)</f>
        <v>0.14304900000000001</v>
      </c>
      <c r="H2241">
        <f t="shared" si="138"/>
        <v>0.05</v>
      </c>
      <c r="I2241">
        <f t="shared" si="139"/>
        <v>0</v>
      </c>
      <c r="J2241">
        <f>IF(I2240=0,0,C2240-I2240)</f>
        <v>0</v>
      </c>
    </row>
    <row r="2242" spans="1:13" x14ac:dyDescent="0.25">
      <c r="A2242" s="1">
        <v>42003</v>
      </c>
      <c r="B2242">
        <v>2.8519999999999999</v>
      </c>
      <c r="C2242">
        <v>3.77</v>
      </c>
      <c r="D2242">
        <f>WEEKDAY(A2242,14)</f>
        <v>6</v>
      </c>
      <c r="E2242">
        <f t="shared" si="136"/>
        <v>0.7</v>
      </c>
      <c r="F2242">
        <f t="shared" si="137"/>
        <v>3</v>
      </c>
      <c r="G2242">
        <f>IF(F2242&gt;F2241,G2241+B2242*E2242,B2242*E2242)</f>
        <v>2.1394489999999999</v>
      </c>
      <c r="H2242">
        <f t="shared" si="138"/>
        <v>0.75</v>
      </c>
      <c r="I2242">
        <f t="shared" si="139"/>
        <v>0</v>
      </c>
      <c r="J2242">
        <f>IF(I2241=0,0,C2241-I2241)</f>
        <v>0</v>
      </c>
    </row>
    <row r="2243" spans="1:13" x14ac:dyDescent="0.25">
      <c r="A2243" s="1">
        <v>42004</v>
      </c>
      <c r="B2243">
        <v>2.8338700000000001</v>
      </c>
      <c r="C2243">
        <v>3.77</v>
      </c>
      <c r="D2243">
        <f>WEEKDAY(A2243,14)</f>
        <v>7</v>
      </c>
      <c r="E2243">
        <f t="shared" ref="E2243:E2269" si="140">VLOOKUP(D2243,M$2:N$8,2,FALSE)</f>
        <v>0.25</v>
      </c>
      <c r="F2243">
        <f t="shared" ref="F2243:F2269" si="141">IF(AND(D2243&gt;D2242,F2242&lt;6),F2242+1,1)</f>
        <v>4</v>
      </c>
      <c r="G2243">
        <f>IF(F2243&gt;F2242,G2242+B2243*E2243,B2243*E2243)</f>
        <v>2.8479165000000002</v>
      </c>
      <c r="H2243">
        <f t="shared" ref="H2243:H2269" si="142">IF(AND(F2243&lt;6,F2243&gt;F2242),E2243+H2242,E2243)</f>
        <v>1</v>
      </c>
      <c r="I2243">
        <f t="shared" ref="I2243:I2269" si="143">IF(F2243&gt;F2244,G2243/H2243,0)</f>
        <v>2.8479165000000002</v>
      </c>
      <c r="J2243">
        <f>IF(I2242=0,0,C2242-I2242)</f>
        <v>0</v>
      </c>
      <c r="M2243" s="1"/>
    </row>
    <row r="2244" spans="1:13" x14ac:dyDescent="0.25">
      <c r="A2244" s="1">
        <v>42006</v>
      </c>
      <c r="B2244">
        <v>2.78545</v>
      </c>
      <c r="C2244">
        <v>3.77</v>
      </c>
      <c r="D2244">
        <f>WEEKDAY(A2244,14)</f>
        <v>2</v>
      </c>
      <c r="E2244">
        <f t="shared" si="140"/>
        <v>0</v>
      </c>
      <c r="F2244">
        <f t="shared" si="141"/>
        <v>1</v>
      </c>
      <c r="G2244">
        <f>IF(F2244&gt;F2243,G2243+B2244*E2244,B2244*E2244)</f>
        <v>0</v>
      </c>
      <c r="H2244">
        <f t="shared" si="142"/>
        <v>0</v>
      </c>
      <c r="I2244">
        <f t="shared" si="143"/>
        <v>0</v>
      </c>
      <c r="J2244">
        <f>IF(I2243=0,0,C2243-I2243)</f>
        <v>0.92208349999999983</v>
      </c>
      <c r="M2244" s="1"/>
    </row>
    <row r="2245" spans="1:13" x14ac:dyDescent="0.25">
      <c r="A2245" s="1">
        <v>42009</v>
      </c>
      <c r="B2245">
        <v>2.6962700000000002</v>
      </c>
      <c r="C2245">
        <v>3.77</v>
      </c>
      <c r="D2245">
        <f>WEEKDAY(A2245,14)</f>
        <v>5</v>
      </c>
      <c r="E2245">
        <f t="shared" si="140"/>
        <v>0.05</v>
      </c>
      <c r="F2245">
        <f t="shared" si="141"/>
        <v>2</v>
      </c>
      <c r="G2245">
        <f>IF(F2245&gt;F2244,G2244+B2245*E2245,B2245*E2245)</f>
        <v>0.1348135</v>
      </c>
      <c r="H2245">
        <f t="shared" si="142"/>
        <v>0.05</v>
      </c>
      <c r="I2245">
        <f t="shared" si="143"/>
        <v>0</v>
      </c>
      <c r="J2245">
        <f>IF(I2244=0,0,C2244-I2244)</f>
        <v>0</v>
      </c>
      <c r="M2245" s="1"/>
    </row>
    <row r="2246" spans="1:13" x14ac:dyDescent="0.25">
      <c r="A2246" s="1">
        <v>42010</v>
      </c>
      <c r="B2246">
        <v>2.6163599999999998</v>
      </c>
      <c r="C2246">
        <v>3.77</v>
      </c>
      <c r="D2246">
        <f>WEEKDAY(A2246,14)</f>
        <v>6</v>
      </c>
      <c r="E2246">
        <f t="shared" si="140"/>
        <v>0.7</v>
      </c>
      <c r="F2246">
        <f t="shared" si="141"/>
        <v>3</v>
      </c>
      <c r="G2246">
        <f>IF(F2246&gt;F2245,G2245+B2246*E2246,B2246*E2246)</f>
        <v>1.9662654999999996</v>
      </c>
      <c r="H2246">
        <f t="shared" si="142"/>
        <v>0.75</v>
      </c>
      <c r="I2246">
        <f t="shared" si="143"/>
        <v>2.6216873333333326</v>
      </c>
      <c r="J2246">
        <f>IF(I2245=0,0,C2245-I2245)</f>
        <v>0</v>
      </c>
      <c r="M2246" s="1"/>
    </row>
    <row r="2247" spans="1:13" x14ac:dyDescent="0.25">
      <c r="A2247" s="1">
        <v>42013</v>
      </c>
      <c r="B2247">
        <v>2.64629</v>
      </c>
      <c r="C2247">
        <v>3.56</v>
      </c>
      <c r="D2247">
        <f>WEEKDAY(A2247,14)</f>
        <v>2</v>
      </c>
      <c r="E2247">
        <f t="shared" si="140"/>
        <v>0</v>
      </c>
      <c r="F2247">
        <f t="shared" si="141"/>
        <v>1</v>
      </c>
      <c r="G2247">
        <f>IF(F2247&gt;F2246,G2246+B2247*E2247,B2247*E2247)</f>
        <v>0</v>
      </c>
      <c r="H2247">
        <f t="shared" si="142"/>
        <v>0</v>
      </c>
      <c r="I2247">
        <f t="shared" si="143"/>
        <v>0</v>
      </c>
      <c r="J2247">
        <f>IF(I2246=0,0,C2246-I2246)</f>
        <v>1.1483126666666674</v>
      </c>
      <c r="M2247" s="1"/>
    </row>
    <row r="2248" spans="1:13" x14ac:dyDescent="0.25">
      <c r="A2248" s="1">
        <v>42016</v>
      </c>
      <c r="B2248">
        <v>2.59362</v>
      </c>
      <c r="C2248">
        <v>3.56</v>
      </c>
      <c r="D2248">
        <f>WEEKDAY(A2248,14)</f>
        <v>5</v>
      </c>
      <c r="E2248">
        <f t="shared" si="140"/>
        <v>0.05</v>
      </c>
      <c r="F2248">
        <f t="shared" si="141"/>
        <v>2</v>
      </c>
      <c r="G2248">
        <f>IF(F2248&gt;F2247,G2247+B2248*E2248,B2248*E2248)</f>
        <v>0.12968100000000002</v>
      </c>
      <c r="H2248">
        <f t="shared" si="142"/>
        <v>0.05</v>
      </c>
      <c r="I2248">
        <f t="shared" si="143"/>
        <v>0</v>
      </c>
      <c r="J2248">
        <f>IF(I2247=0,0,C2247-I2247)</f>
        <v>0</v>
      </c>
      <c r="M2248" s="1"/>
    </row>
    <row r="2249" spans="1:13" x14ac:dyDescent="0.25">
      <c r="A2249" s="1">
        <v>42017</v>
      </c>
      <c r="B2249">
        <v>2.5795400000000002</v>
      </c>
      <c r="C2249">
        <v>3.56</v>
      </c>
      <c r="D2249">
        <f>WEEKDAY(A2249,14)</f>
        <v>6</v>
      </c>
      <c r="E2249">
        <f t="shared" si="140"/>
        <v>0.7</v>
      </c>
      <c r="F2249">
        <f t="shared" si="141"/>
        <v>3</v>
      </c>
      <c r="G2249">
        <f>IF(F2249&gt;F2248,G2248+B2249*E2249,B2249*E2249)</f>
        <v>1.9353589999999998</v>
      </c>
      <c r="H2249">
        <f t="shared" si="142"/>
        <v>0.75</v>
      </c>
      <c r="I2249">
        <f t="shared" si="143"/>
        <v>0</v>
      </c>
      <c r="J2249">
        <f>IF(I2248=0,0,C2248-I2248)</f>
        <v>0</v>
      </c>
    </row>
    <row r="2250" spans="1:13" x14ac:dyDescent="0.25">
      <c r="A2250" s="1">
        <v>42018</v>
      </c>
      <c r="B2250">
        <v>2.4910700000000001</v>
      </c>
      <c r="C2250">
        <v>3.56</v>
      </c>
      <c r="D2250">
        <f>WEEKDAY(A2250,14)</f>
        <v>7</v>
      </c>
      <c r="E2250">
        <f t="shared" si="140"/>
        <v>0.25</v>
      </c>
      <c r="F2250">
        <f t="shared" si="141"/>
        <v>4</v>
      </c>
      <c r="G2250">
        <f>IF(F2250&gt;F2249,G2249+B2250*E2250,B2250*E2250)</f>
        <v>2.5581264999999997</v>
      </c>
      <c r="H2250">
        <f t="shared" si="142"/>
        <v>1</v>
      </c>
      <c r="I2250">
        <f t="shared" si="143"/>
        <v>2.5581264999999997</v>
      </c>
      <c r="J2250">
        <f>IF(I2249=0,0,C2249-I2249)</f>
        <v>0</v>
      </c>
    </row>
    <row r="2251" spans="1:13" x14ac:dyDescent="0.25">
      <c r="A2251" s="1">
        <v>42019</v>
      </c>
      <c r="B2251">
        <v>2.45533</v>
      </c>
      <c r="C2251">
        <v>3.5550000000000002</v>
      </c>
      <c r="D2251">
        <f>WEEKDAY(A2251,14)</f>
        <v>1</v>
      </c>
      <c r="E2251">
        <f t="shared" si="140"/>
        <v>0</v>
      </c>
      <c r="F2251">
        <f t="shared" si="141"/>
        <v>1</v>
      </c>
      <c r="G2251">
        <f>IF(F2251&gt;F2250,G2250+B2251*E2251,B2251*E2251)</f>
        <v>0</v>
      </c>
      <c r="H2251">
        <f t="shared" si="142"/>
        <v>0</v>
      </c>
      <c r="I2251">
        <f t="shared" si="143"/>
        <v>0</v>
      </c>
      <c r="J2251">
        <f>IF(I2250=0,0,C2250-I2250)</f>
        <v>1.0018735000000003</v>
      </c>
    </row>
    <row r="2252" spans="1:13" x14ac:dyDescent="0.25">
      <c r="A2252" s="1">
        <v>42020</v>
      </c>
      <c r="B2252">
        <v>2.54548</v>
      </c>
      <c r="C2252">
        <v>3.5550000000000002</v>
      </c>
      <c r="D2252">
        <f>WEEKDAY(A2252,14)</f>
        <v>2</v>
      </c>
      <c r="E2252">
        <f t="shared" si="140"/>
        <v>0</v>
      </c>
      <c r="F2252">
        <f t="shared" si="141"/>
        <v>2</v>
      </c>
      <c r="G2252">
        <f>IF(F2252&gt;F2251,G2251+B2252*E2252,B2252*E2252)</f>
        <v>0</v>
      </c>
      <c r="H2252">
        <f t="shared" si="142"/>
        <v>0</v>
      </c>
      <c r="I2252">
        <f t="shared" si="143"/>
        <v>0</v>
      </c>
      <c r="J2252">
        <f>IF(I2251=0,0,C2251-I2251)</f>
        <v>0</v>
      </c>
    </row>
    <row r="2253" spans="1:13" x14ac:dyDescent="0.25">
      <c r="A2253" s="1">
        <v>42024</v>
      </c>
      <c r="B2253">
        <v>2.5573700000000001</v>
      </c>
      <c r="C2253">
        <v>3.5550000000000002</v>
      </c>
      <c r="D2253">
        <f>WEEKDAY(A2253,14)</f>
        <v>6</v>
      </c>
      <c r="E2253">
        <f t="shared" si="140"/>
        <v>0.7</v>
      </c>
      <c r="F2253">
        <f t="shared" si="141"/>
        <v>3</v>
      </c>
      <c r="G2253">
        <f>IF(F2253&gt;F2252,G2252+B2253*E2253,B2253*E2253)</f>
        <v>1.7901590000000001</v>
      </c>
      <c r="H2253">
        <f t="shared" si="142"/>
        <v>0.7</v>
      </c>
      <c r="I2253">
        <f t="shared" si="143"/>
        <v>0</v>
      </c>
      <c r="J2253">
        <f>IF(I2252=0,0,C2252-I2252)</f>
        <v>0</v>
      </c>
    </row>
    <row r="2254" spans="1:13" x14ac:dyDescent="0.25">
      <c r="A2254" s="1">
        <v>42025</v>
      </c>
      <c r="B2254">
        <v>2.6084900000000002</v>
      </c>
      <c r="C2254">
        <v>3.5550000000000002</v>
      </c>
      <c r="D2254">
        <f>WEEKDAY(A2254,14)</f>
        <v>7</v>
      </c>
      <c r="E2254">
        <f t="shared" si="140"/>
        <v>0.25</v>
      </c>
      <c r="F2254">
        <f t="shared" si="141"/>
        <v>4</v>
      </c>
      <c r="G2254">
        <f>IF(F2254&gt;F2253,G2253+B2254*E2254,B2254*E2254)</f>
        <v>2.4422815</v>
      </c>
      <c r="H2254">
        <f t="shared" si="142"/>
        <v>0.95</v>
      </c>
      <c r="I2254">
        <f t="shared" si="143"/>
        <v>2.5708226315789475</v>
      </c>
      <c r="J2254">
        <f>IF(I2253=0,0,C2253-I2253)</f>
        <v>0</v>
      </c>
    </row>
    <row r="2255" spans="1:13" x14ac:dyDescent="0.25">
      <c r="A2255" s="1">
        <v>42026</v>
      </c>
      <c r="B2255">
        <v>2.6170200000000001</v>
      </c>
      <c r="C2255">
        <v>3.56</v>
      </c>
      <c r="D2255">
        <f>WEEKDAY(A2255,14)</f>
        <v>1</v>
      </c>
      <c r="E2255">
        <f t="shared" si="140"/>
        <v>0</v>
      </c>
      <c r="F2255">
        <f t="shared" si="141"/>
        <v>1</v>
      </c>
      <c r="G2255">
        <f>IF(F2255&gt;F2254,G2254+B2255*E2255,B2255*E2255)</f>
        <v>0</v>
      </c>
      <c r="H2255">
        <f t="shared" si="142"/>
        <v>0</v>
      </c>
      <c r="I2255">
        <f t="shared" si="143"/>
        <v>0</v>
      </c>
      <c r="J2255">
        <f>IF(I2254=0,0,C2254-I2254)</f>
        <v>0.98417736842105263</v>
      </c>
    </row>
    <row r="2256" spans="1:13" x14ac:dyDescent="0.25">
      <c r="A2256" s="1">
        <v>42031</v>
      </c>
      <c r="B2256">
        <v>2.5856699999999999</v>
      </c>
      <c r="C2256">
        <v>3.56</v>
      </c>
      <c r="D2256">
        <f>WEEKDAY(A2256,14)</f>
        <v>6</v>
      </c>
      <c r="E2256">
        <f t="shared" si="140"/>
        <v>0.7</v>
      </c>
      <c r="F2256">
        <f t="shared" si="141"/>
        <v>2</v>
      </c>
      <c r="G2256">
        <f>IF(F2256&gt;F2255,G2255+B2256*E2256,B2256*E2256)</f>
        <v>1.8099689999999997</v>
      </c>
      <c r="H2256">
        <f t="shared" si="142"/>
        <v>0.7</v>
      </c>
      <c r="I2256">
        <f t="shared" si="143"/>
        <v>0</v>
      </c>
      <c r="J2256">
        <f>IF(I2255=0,0,C2255-I2255)</f>
        <v>0</v>
      </c>
    </row>
    <row r="2257" spans="1:10" x14ac:dyDescent="0.25">
      <c r="A2257" s="1">
        <v>42032</v>
      </c>
      <c r="B2257">
        <v>2.50759</v>
      </c>
      <c r="C2257">
        <v>3.56</v>
      </c>
      <c r="D2257">
        <f>WEEKDAY(A2257,14)</f>
        <v>7</v>
      </c>
      <c r="E2257">
        <f t="shared" si="140"/>
        <v>0.25</v>
      </c>
      <c r="F2257">
        <f t="shared" si="141"/>
        <v>3</v>
      </c>
      <c r="G2257">
        <f>IF(F2257&gt;F2256,G2256+B2257*E2257,B2257*E2257)</f>
        <v>2.4368664999999998</v>
      </c>
      <c r="H2257">
        <f t="shared" si="142"/>
        <v>0.95</v>
      </c>
      <c r="I2257">
        <f t="shared" si="143"/>
        <v>2.5651226315789475</v>
      </c>
      <c r="J2257">
        <f>IF(I2256=0,0,C2256-I2256)</f>
        <v>0</v>
      </c>
    </row>
    <row r="2258" spans="1:10" x14ac:dyDescent="0.25">
      <c r="A2258" s="1">
        <v>42033</v>
      </c>
      <c r="B2258">
        <v>2.51336</v>
      </c>
      <c r="C2258">
        <v>3.5150000000000001</v>
      </c>
      <c r="D2258">
        <f>WEEKDAY(A2258,14)</f>
        <v>1</v>
      </c>
      <c r="E2258">
        <f t="shared" si="140"/>
        <v>0</v>
      </c>
      <c r="F2258">
        <f t="shared" si="141"/>
        <v>1</v>
      </c>
      <c r="G2258">
        <f>IF(F2258&gt;F2257,G2257+B2258*E2258,B2258*E2258)</f>
        <v>0</v>
      </c>
      <c r="H2258">
        <f t="shared" si="142"/>
        <v>0</v>
      </c>
      <c r="I2258">
        <f t="shared" si="143"/>
        <v>0</v>
      </c>
      <c r="J2258">
        <f>IF(I2257=0,0,C2257-I2257)</f>
        <v>0.99487736842105257</v>
      </c>
    </row>
    <row r="2259" spans="1:10" x14ac:dyDescent="0.25">
      <c r="A2259" s="1">
        <v>42034</v>
      </c>
      <c r="B2259">
        <v>2.4526699999999999</v>
      </c>
      <c r="C2259">
        <v>3.5150000000000001</v>
      </c>
      <c r="D2259">
        <f>WEEKDAY(A2259,14)</f>
        <v>2</v>
      </c>
      <c r="E2259">
        <f t="shared" si="140"/>
        <v>0</v>
      </c>
      <c r="F2259">
        <f t="shared" si="141"/>
        <v>2</v>
      </c>
      <c r="G2259">
        <f>IF(F2259&gt;F2258,G2258+B2259*E2259,B2259*E2259)</f>
        <v>0</v>
      </c>
      <c r="H2259">
        <f t="shared" si="142"/>
        <v>0</v>
      </c>
      <c r="I2259">
        <f t="shared" si="143"/>
        <v>0</v>
      </c>
      <c r="J2259">
        <f>IF(I2258=0,0,C2258-I2258)</f>
        <v>0</v>
      </c>
    </row>
    <row r="2260" spans="1:10" x14ac:dyDescent="0.25">
      <c r="A2260" s="1">
        <v>42037</v>
      </c>
      <c r="B2260">
        <v>2.4482400000000002</v>
      </c>
      <c r="C2260">
        <v>3.5150000000000001</v>
      </c>
      <c r="D2260">
        <f>WEEKDAY(A2260,14)</f>
        <v>5</v>
      </c>
      <c r="E2260">
        <f t="shared" si="140"/>
        <v>0.05</v>
      </c>
      <c r="F2260">
        <f t="shared" si="141"/>
        <v>3</v>
      </c>
      <c r="G2260">
        <f>IF(F2260&gt;F2259,G2259+B2260*E2260,B2260*E2260)</f>
        <v>0.12241200000000002</v>
      </c>
      <c r="H2260">
        <f t="shared" si="142"/>
        <v>0.05</v>
      </c>
      <c r="I2260">
        <f t="shared" si="143"/>
        <v>0</v>
      </c>
      <c r="J2260">
        <f>IF(I2259=0,0,C2259-I2259)</f>
        <v>0</v>
      </c>
    </row>
    <row r="2261" spans="1:10" x14ac:dyDescent="0.25">
      <c r="A2261" s="1">
        <v>42038</v>
      </c>
      <c r="B2261">
        <v>2.5386099999999998</v>
      </c>
      <c r="C2261">
        <v>3.5150000000000001</v>
      </c>
      <c r="D2261">
        <f>WEEKDAY(A2261,14)</f>
        <v>6</v>
      </c>
      <c r="E2261">
        <f t="shared" si="140"/>
        <v>0.7</v>
      </c>
      <c r="F2261">
        <f t="shared" si="141"/>
        <v>4</v>
      </c>
      <c r="G2261">
        <f>IF(F2261&gt;F2260,G2260+B2261*E2261,B2261*E2261)</f>
        <v>1.8994389999999997</v>
      </c>
      <c r="H2261">
        <f t="shared" si="142"/>
        <v>0.75</v>
      </c>
      <c r="I2261">
        <f t="shared" si="143"/>
        <v>0</v>
      </c>
      <c r="J2261">
        <f>IF(I2260=0,0,C2260-I2260)</f>
        <v>0</v>
      </c>
    </row>
    <row r="2262" spans="1:10" x14ac:dyDescent="0.25">
      <c r="A2262" s="1">
        <v>42039</v>
      </c>
      <c r="B2262">
        <v>2.5661999999999998</v>
      </c>
      <c r="C2262">
        <v>3.5150000000000001</v>
      </c>
      <c r="D2262">
        <f>WEEKDAY(A2262,14)</f>
        <v>7</v>
      </c>
      <c r="E2262">
        <f t="shared" si="140"/>
        <v>0.25</v>
      </c>
      <c r="F2262">
        <f t="shared" si="141"/>
        <v>5</v>
      </c>
      <c r="G2262">
        <f>IF(F2262&gt;F2261,G2261+B2262*E2262,B2262*E2262)</f>
        <v>2.5409889999999997</v>
      </c>
      <c r="H2262">
        <f t="shared" si="142"/>
        <v>1</v>
      </c>
      <c r="I2262">
        <f t="shared" si="143"/>
        <v>2.5409889999999997</v>
      </c>
      <c r="J2262">
        <f>IF(I2261=0,0,C2261-I2261)</f>
        <v>0</v>
      </c>
    </row>
    <row r="2263" spans="1:10" x14ac:dyDescent="0.25">
      <c r="A2263" s="1">
        <v>42040</v>
      </c>
      <c r="B2263">
        <v>2.5588899999999999</v>
      </c>
      <c r="C2263">
        <v>3.59</v>
      </c>
      <c r="D2263">
        <f>WEEKDAY(A2263,14)</f>
        <v>1</v>
      </c>
      <c r="E2263">
        <f t="shared" si="140"/>
        <v>0</v>
      </c>
      <c r="F2263">
        <f t="shared" si="141"/>
        <v>1</v>
      </c>
      <c r="G2263">
        <f>IF(F2263&gt;F2262,G2262+B2263*E2263,B2263*E2263)</f>
        <v>0</v>
      </c>
      <c r="H2263">
        <f t="shared" si="142"/>
        <v>0</v>
      </c>
      <c r="I2263">
        <f t="shared" si="143"/>
        <v>0</v>
      </c>
      <c r="J2263">
        <f>IF(I2262=0,0,C2262-I2262)</f>
        <v>0.9740110000000004</v>
      </c>
    </row>
    <row r="2264" spans="1:10" x14ac:dyDescent="0.25">
      <c r="A2264" s="1">
        <v>42041</v>
      </c>
      <c r="B2264">
        <v>2.6748599999999998</v>
      </c>
      <c r="C2264">
        <v>3.59</v>
      </c>
      <c r="D2264">
        <f>WEEKDAY(A2264,14)</f>
        <v>2</v>
      </c>
      <c r="E2264">
        <f t="shared" si="140"/>
        <v>0</v>
      </c>
      <c r="F2264">
        <f t="shared" si="141"/>
        <v>2</v>
      </c>
      <c r="G2264">
        <f>IF(F2264&gt;F2263,G2263+B2264*E2264,B2264*E2264)</f>
        <v>0</v>
      </c>
      <c r="H2264">
        <f t="shared" si="142"/>
        <v>0</v>
      </c>
      <c r="I2264">
        <f t="shared" si="143"/>
        <v>0</v>
      </c>
      <c r="J2264">
        <f>IF(I2263=0,0,C2263-I2263)</f>
        <v>0</v>
      </c>
    </row>
    <row r="2265" spans="1:10" x14ac:dyDescent="0.25">
      <c r="A2265" s="1">
        <v>42044</v>
      </c>
      <c r="B2265">
        <v>2.6856599999999999</v>
      </c>
      <c r="C2265">
        <v>3.59</v>
      </c>
      <c r="D2265">
        <f>WEEKDAY(A2265,14)</f>
        <v>5</v>
      </c>
      <c r="E2265">
        <f t="shared" si="140"/>
        <v>0.05</v>
      </c>
      <c r="F2265">
        <f t="shared" si="141"/>
        <v>3</v>
      </c>
      <c r="G2265">
        <f>IF(F2265&gt;F2264,G2264+B2265*E2265,B2265*E2265)</f>
        <v>0.13428300000000001</v>
      </c>
      <c r="H2265">
        <f t="shared" si="142"/>
        <v>0.05</v>
      </c>
      <c r="I2265">
        <f t="shared" si="143"/>
        <v>0</v>
      </c>
      <c r="J2265">
        <f>IF(I2264=0,0,C2264-I2264)</f>
        <v>0</v>
      </c>
    </row>
    <row r="2266" spans="1:10" x14ac:dyDescent="0.25">
      <c r="A2266" s="1">
        <v>42045</v>
      </c>
      <c r="B2266">
        <v>2.7450600000000001</v>
      </c>
      <c r="C2266">
        <v>3.59</v>
      </c>
      <c r="D2266">
        <f>WEEKDAY(A2266,14)</f>
        <v>6</v>
      </c>
      <c r="E2266">
        <f t="shared" si="140"/>
        <v>0.7</v>
      </c>
      <c r="F2266">
        <f t="shared" si="141"/>
        <v>4</v>
      </c>
      <c r="G2266">
        <f>IF(F2266&gt;F2265,G2265+B2266*E2266,B2266*E2266)</f>
        <v>2.055825</v>
      </c>
      <c r="H2266">
        <f t="shared" si="142"/>
        <v>0.75</v>
      </c>
      <c r="I2266">
        <f t="shared" si="143"/>
        <v>0</v>
      </c>
      <c r="J2266">
        <f>IF(I2265=0,0,C2265-I2265)</f>
        <v>0</v>
      </c>
    </row>
    <row r="2267" spans="1:10" x14ac:dyDescent="0.25">
      <c r="A2267" s="1">
        <v>42046</v>
      </c>
      <c r="B2267">
        <v>2.73909</v>
      </c>
      <c r="C2267">
        <v>3.59</v>
      </c>
      <c r="D2267">
        <f>WEEKDAY(A2267,14)</f>
        <v>7</v>
      </c>
      <c r="E2267">
        <f t="shared" si="140"/>
        <v>0.25</v>
      </c>
      <c r="F2267">
        <f t="shared" si="141"/>
        <v>5</v>
      </c>
      <c r="G2267">
        <f>IF(F2267&gt;F2266,G2266+B2267*E2267,B2267*E2267)</f>
        <v>2.7405974999999998</v>
      </c>
      <c r="H2267">
        <f t="shared" si="142"/>
        <v>1</v>
      </c>
      <c r="I2267">
        <f t="shared" si="143"/>
        <v>2.7405974999999998</v>
      </c>
      <c r="J2267">
        <f>IF(I2266=0,0,C2266-I2266)</f>
        <v>0</v>
      </c>
    </row>
    <row r="2268" spans="1:10" x14ac:dyDescent="0.25">
      <c r="A2268" s="1">
        <v>42047</v>
      </c>
      <c r="B2268">
        <v>2.7217500000000001</v>
      </c>
      <c r="C2268">
        <v>3.59</v>
      </c>
      <c r="D2268">
        <f>WEEKDAY(A2268,14)</f>
        <v>1</v>
      </c>
      <c r="E2268">
        <f t="shared" si="140"/>
        <v>0</v>
      </c>
      <c r="F2268">
        <f t="shared" si="141"/>
        <v>1</v>
      </c>
      <c r="G2268">
        <f>IF(F2268&gt;F2267,G2267+B2268*E2268,B2268*E2268)</f>
        <v>0</v>
      </c>
      <c r="H2268">
        <f t="shared" si="142"/>
        <v>0</v>
      </c>
      <c r="I2268">
        <f t="shared" si="143"/>
        <v>0</v>
      </c>
      <c r="J2268">
        <f>IF(I2267=0,0,C2267-I2267)</f>
        <v>0.84940250000000006</v>
      </c>
    </row>
    <row r="2269" spans="1:10" x14ac:dyDescent="0.25">
      <c r="A2269" s="1">
        <v>42048</v>
      </c>
      <c r="B2269">
        <v>2.7439499999999999</v>
      </c>
      <c r="C2269">
        <v>3.59</v>
      </c>
      <c r="D2269">
        <f>WEEKDAY(A2269,14)</f>
        <v>2</v>
      </c>
      <c r="E2269">
        <f t="shared" si="140"/>
        <v>0</v>
      </c>
      <c r="F2269">
        <f t="shared" si="141"/>
        <v>2</v>
      </c>
      <c r="G2269">
        <f>IF(F2269&gt;F2268,G2268+B2269*E2269,B2269*E2269)</f>
        <v>0</v>
      </c>
      <c r="H2269">
        <f t="shared" si="142"/>
        <v>0</v>
      </c>
      <c r="I2269" t="e">
        <f t="shared" si="143"/>
        <v>#DIV/0!</v>
      </c>
      <c r="J2269">
        <f>IF(I2268=0,0,C2268-I2268)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ServicingSpreadCalculationProce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2015-02-17T16:09:54Z</dcterms:created>
  <dcterms:modified xsi:type="dcterms:W3CDTF">2015-03-10T20:24:29Z</dcterms:modified>
</cp:coreProperties>
</file>