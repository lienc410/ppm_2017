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Name">Report!$T$3</definedName>
    <definedName name="_xlnm.Print_Area" localSheetId="0">Report!$C$7:$P$59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Query'!$A$4:$C$737</definedName>
    <definedName name="SaveRatesToDB">Report!$V$1</definedName>
  </definedNames>
  <calcPr calcId="145621"/>
  <pivotCaches>
    <pivotCache cacheId="37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E69" i="5" s="1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E252" i="5" s="1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E325" i="5" s="1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E7" i="5"/>
  <c r="E8" i="5"/>
  <c r="E9" i="5"/>
  <c r="E11" i="5"/>
  <c r="E15" i="5"/>
  <c r="E16" i="5"/>
  <c r="E17" i="5"/>
  <c r="E19" i="5"/>
  <c r="E23" i="5"/>
  <c r="E24" i="5"/>
  <c r="E25" i="5"/>
  <c r="E27" i="5"/>
  <c r="E31" i="5"/>
  <c r="E32" i="5"/>
  <c r="E33" i="5"/>
  <c r="E35" i="5"/>
  <c r="E39" i="5"/>
  <c r="E40" i="5"/>
  <c r="E41" i="5"/>
  <c r="E43" i="5"/>
  <c r="E47" i="5"/>
  <c r="E48" i="5"/>
  <c r="E49" i="5"/>
  <c r="E51" i="5"/>
  <c r="E55" i="5"/>
  <c r="E56" i="5"/>
  <c r="E57" i="5"/>
  <c r="E59" i="5"/>
  <c r="E63" i="5"/>
  <c r="E64" i="5"/>
  <c r="E65" i="5"/>
  <c r="E67" i="5"/>
  <c r="E71" i="5"/>
  <c r="E72" i="5"/>
  <c r="E73" i="5"/>
  <c r="E75" i="5"/>
  <c r="E79" i="5"/>
  <c r="E80" i="5"/>
  <c r="E81" i="5"/>
  <c r="E83" i="5"/>
  <c r="E87" i="5"/>
  <c r="E88" i="5"/>
  <c r="E89" i="5"/>
  <c r="E91" i="5"/>
  <c r="E95" i="5"/>
  <c r="E96" i="5"/>
  <c r="E97" i="5"/>
  <c r="E99" i="5"/>
  <c r="E103" i="5"/>
  <c r="E104" i="5"/>
  <c r="E105" i="5"/>
  <c r="E107" i="5"/>
  <c r="E111" i="5"/>
  <c r="E112" i="5"/>
  <c r="E113" i="5"/>
  <c r="E115" i="5"/>
  <c r="E119" i="5"/>
  <c r="E120" i="5"/>
  <c r="E121" i="5"/>
  <c r="E123" i="5"/>
  <c r="E127" i="5"/>
  <c r="E128" i="5"/>
  <c r="E129" i="5"/>
  <c r="E131" i="5"/>
  <c r="E135" i="5"/>
  <c r="E136" i="5"/>
  <c r="E137" i="5"/>
  <c r="E139" i="5"/>
  <c r="E143" i="5"/>
  <c r="E144" i="5"/>
  <c r="E145" i="5"/>
  <c r="E147" i="5"/>
  <c r="E151" i="5"/>
  <c r="E152" i="5"/>
  <c r="E153" i="5"/>
  <c r="E155" i="5"/>
  <c r="E159" i="5"/>
  <c r="E160" i="5"/>
  <c r="E161" i="5"/>
  <c r="E163" i="5"/>
  <c r="E167" i="5"/>
  <c r="E168" i="5"/>
  <c r="E169" i="5"/>
  <c r="E171" i="5"/>
  <c r="E175" i="5"/>
  <c r="E176" i="5"/>
  <c r="E177" i="5"/>
  <c r="E179" i="5"/>
  <c r="E183" i="5"/>
  <c r="E184" i="5"/>
  <c r="E185" i="5"/>
  <c r="E187" i="5"/>
  <c r="E191" i="5"/>
  <c r="E192" i="5"/>
  <c r="E193" i="5"/>
  <c r="E195" i="5"/>
  <c r="E199" i="5"/>
  <c r="E200" i="5"/>
  <c r="E201" i="5"/>
  <c r="E203" i="5"/>
  <c r="E207" i="5"/>
  <c r="E208" i="5"/>
  <c r="E209" i="5"/>
  <c r="E211" i="5"/>
  <c r="E215" i="5"/>
  <c r="E216" i="5"/>
  <c r="E217" i="5"/>
  <c r="E219" i="5"/>
  <c r="E223" i="5"/>
  <c r="E224" i="5"/>
  <c r="E225" i="5"/>
  <c r="E227" i="5"/>
  <c r="E231" i="5"/>
  <c r="E232" i="5"/>
  <c r="E233" i="5"/>
  <c r="E235" i="5"/>
  <c r="E239" i="5"/>
  <c r="E240" i="5"/>
  <c r="E241" i="5"/>
  <c r="E243" i="5"/>
  <c r="E247" i="5"/>
  <c r="E248" i="5"/>
  <c r="E249" i="5"/>
  <c r="E251" i="5"/>
  <c r="E255" i="5"/>
  <c r="E256" i="5"/>
  <c r="E257" i="5"/>
  <c r="E259" i="5"/>
  <c r="E263" i="5"/>
  <c r="E264" i="5"/>
  <c r="E265" i="5"/>
  <c r="E267" i="5"/>
  <c r="E271" i="5"/>
  <c r="E272" i="5"/>
  <c r="E273" i="5"/>
  <c r="E275" i="5"/>
  <c r="E279" i="5"/>
  <c r="E280" i="5"/>
  <c r="E281" i="5"/>
  <c r="E283" i="5"/>
  <c r="E287" i="5"/>
  <c r="E288" i="5"/>
  <c r="E289" i="5"/>
  <c r="E291" i="5"/>
  <c r="E295" i="5"/>
  <c r="E296" i="5"/>
  <c r="E297" i="5"/>
  <c r="E299" i="5"/>
  <c r="E303" i="5"/>
  <c r="E304" i="5"/>
  <c r="E305" i="5"/>
  <c r="E307" i="5"/>
  <c r="E311" i="5"/>
  <c r="E312" i="5"/>
  <c r="E313" i="5"/>
  <c r="E315" i="5"/>
  <c r="E319" i="5"/>
  <c r="E320" i="5"/>
  <c r="E321" i="5"/>
  <c r="E323" i="5"/>
  <c r="E327" i="5"/>
  <c r="E328" i="5"/>
  <c r="E329" i="5"/>
  <c r="E331" i="5"/>
  <c r="E335" i="5"/>
  <c r="E336" i="5"/>
  <c r="E337" i="5"/>
  <c r="E339" i="5"/>
  <c r="E343" i="5"/>
  <c r="E344" i="5"/>
  <c r="E345" i="5"/>
  <c r="E347" i="5"/>
  <c r="E351" i="5"/>
  <c r="E352" i="5"/>
  <c r="E353" i="5"/>
  <c r="E355" i="5"/>
  <c r="E359" i="5"/>
  <c r="E360" i="5"/>
  <c r="E361" i="5"/>
  <c r="E363" i="5"/>
  <c r="E367" i="5"/>
  <c r="E368" i="5"/>
  <c r="E369" i="5"/>
  <c r="E371" i="5"/>
  <c r="E375" i="5"/>
  <c r="E376" i="5"/>
  <c r="E377" i="5"/>
  <c r="E379" i="5"/>
  <c r="E383" i="5"/>
  <c r="E384" i="5"/>
  <c r="E385" i="5"/>
  <c r="E387" i="5"/>
  <c r="E391" i="5"/>
  <c r="E392" i="5"/>
  <c r="E393" i="5"/>
  <c r="E395" i="5"/>
  <c r="E399" i="5"/>
  <c r="E400" i="5"/>
  <c r="E401" i="5"/>
  <c r="E403" i="5"/>
  <c r="E407" i="5"/>
  <c r="E408" i="5"/>
  <c r="E409" i="5"/>
  <c r="E411" i="5"/>
  <c r="E415" i="5"/>
  <c r="E416" i="5"/>
  <c r="E417" i="5"/>
  <c r="E419" i="5"/>
  <c r="E423" i="5"/>
  <c r="E424" i="5"/>
  <c r="E425" i="5"/>
  <c r="E427" i="5"/>
  <c r="E431" i="5"/>
  <c r="E432" i="5"/>
  <c r="E433" i="5"/>
  <c r="E435" i="5"/>
  <c r="E439" i="5"/>
  <c r="E440" i="5"/>
  <c r="E441" i="5"/>
  <c r="E443" i="5"/>
  <c r="E447" i="5"/>
  <c r="E448" i="5"/>
  <c r="E449" i="5"/>
  <c r="E451" i="5"/>
  <c r="E455" i="5"/>
  <c r="E456" i="5"/>
  <c r="E457" i="5"/>
  <c r="E459" i="5"/>
  <c r="E463" i="5"/>
  <c r="E464" i="5"/>
  <c r="E465" i="5"/>
  <c r="E467" i="5"/>
  <c r="E471" i="5"/>
  <c r="E472" i="5"/>
  <c r="E473" i="5"/>
  <c r="E475" i="5"/>
  <c r="E479" i="5"/>
  <c r="E480" i="5"/>
  <c r="E481" i="5"/>
  <c r="E483" i="5"/>
  <c r="E487" i="5"/>
  <c r="E488" i="5"/>
  <c r="E489" i="5"/>
  <c r="E491" i="5"/>
  <c r="E495" i="5"/>
  <c r="E496" i="5"/>
  <c r="E497" i="5"/>
  <c r="E499" i="5"/>
  <c r="E503" i="5"/>
  <c r="E504" i="5"/>
  <c r="E505" i="5"/>
  <c r="E507" i="5"/>
  <c r="E511" i="5"/>
  <c r="E512" i="5"/>
  <c r="E513" i="5"/>
  <c r="E515" i="5"/>
  <c r="E519" i="5"/>
  <c r="E520" i="5"/>
  <c r="E521" i="5"/>
  <c r="E523" i="5"/>
  <c r="E527" i="5"/>
  <c r="E528" i="5"/>
  <c r="E529" i="5"/>
  <c r="E531" i="5"/>
  <c r="E535" i="5"/>
  <c r="E536" i="5"/>
  <c r="E537" i="5"/>
  <c r="E539" i="5"/>
  <c r="E543" i="5"/>
  <c r="E544" i="5"/>
  <c r="E545" i="5"/>
  <c r="E547" i="5"/>
  <c r="E551" i="5"/>
  <c r="E552" i="5"/>
  <c r="E553" i="5"/>
  <c r="E555" i="5"/>
  <c r="E559" i="5"/>
  <c r="E560" i="5"/>
  <c r="E561" i="5"/>
  <c r="E563" i="5"/>
  <c r="E567" i="5"/>
  <c r="E568" i="5"/>
  <c r="E569" i="5"/>
  <c r="E571" i="5"/>
  <c r="E575" i="5"/>
  <c r="E576" i="5"/>
  <c r="E577" i="5"/>
  <c r="E579" i="5"/>
  <c r="E583" i="5"/>
  <c r="E584" i="5"/>
  <c r="E585" i="5"/>
  <c r="E587" i="5"/>
  <c r="E591" i="5"/>
  <c r="E592" i="5"/>
  <c r="E593" i="5"/>
  <c r="E595" i="5"/>
  <c r="E599" i="5"/>
  <c r="E600" i="5"/>
  <c r="E601" i="5"/>
  <c r="E603" i="5"/>
  <c r="E607" i="5"/>
  <c r="E608" i="5"/>
  <c r="E609" i="5"/>
  <c r="E611" i="5"/>
  <c r="E615" i="5"/>
  <c r="E616" i="5"/>
  <c r="E617" i="5"/>
  <c r="E619" i="5"/>
  <c r="E623" i="5"/>
  <c r="E624" i="5"/>
  <c r="E625" i="5"/>
  <c r="E627" i="5"/>
  <c r="E631" i="5"/>
  <c r="E632" i="5"/>
  <c r="E633" i="5"/>
  <c r="E635" i="5"/>
  <c r="E639" i="5"/>
  <c r="E640" i="5"/>
  <c r="E641" i="5"/>
  <c r="E643" i="5"/>
  <c r="E647" i="5"/>
  <c r="E648" i="5"/>
  <c r="E649" i="5"/>
  <c r="E651" i="5"/>
  <c r="E655" i="5"/>
  <c r="E656" i="5"/>
  <c r="E657" i="5"/>
  <c r="E659" i="5"/>
  <c r="E663" i="5"/>
  <c r="E664" i="5"/>
  <c r="E665" i="5"/>
  <c r="E667" i="5"/>
  <c r="E671" i="5"/>
  <c r="E672" i="5"/>
  <c r="E673" i="5"/>
  <c r="E675" i="5"/>
  <c r="E679" i="5"/>
  <c r="E680" i="5"/>
  <c r="E681" i="5"/>
  <c r="E683" i="5"/>
  <c r="E687" i="5"/>
  <c r="E688" i="5"/>
  <c r="E689" i="5"/>
  <c r="E691" i="5"/>
  <c r="E695" i="5"/>
  <c r="E696" i="5"/>
  <c r="E697" i="5"/>
  <c r="E699" i="5"/>
  <c r="E703" i="5"/>
  <c r="E704" i="5"/>
  <c r="E705" i="5"/>
  <c r="E707" i="5"/>
  <c r="E711" i="5"/>
  <c r="E712" i="5"/>
  <c r="E713" i="5"/>
  <c r="E715" i="5"/>
  <c r="E719" i="5"/>
  <c r="E720" i="5"/>
  <c r="E721" i="5"/>
  <c r="E723" i="5"/>
  <c r="E727" i="5"/>
  <c r="E728" i="5"/>
  <c r="E729" i="5"/>
  <c r="E731" i="5"/>
  <c r="E735" i="5"/>
  <c r="E736" i="5"/>
  <c r="E737" i="5"/>
  <c r="E726" i="5" l="1"/>
  <c r="E694" i="5"/>
  <c r="E662" i="5"/>
  <c r="E638" i="5"/>
  <c r="E598" i="5"/>
  <c r="E566" i="5"/>
  <c r="E534" i="5"/>
  <c r="E502" i="5"/>
  <c r="E462" i="5"/>
  <c r="E430" i="5"/>
  <c r="E398" i="5"/>
  <c r="E366" i="5"/>
  <c r="E334" i="5"/>
  <c r="E302" i="5"/>
  <c r="E270" i="5"/>
  <c r="E238" i="5"/>
  <c r="E206" i="5"/>
  <c r="E182" i="5"/>
  <c r="E150" i="5"/>
  <c r="E110" i="5"/>
  <c r="E70" i="5"/>
  <c r="E38" i="5"/>
  <c r="E14" i="5"/>
  <c r="E709" i="5"/>
  <c r="E677" i="5"/>
  <c r="E645" i="5"/>
  <c r="E613" i="5"/>
  <c r="E581" i="5"/>
  <c r="E549" i="5"/>
  <c r="E517" i="5"/>
  <c r="E485" i="5"/>
  <c r="E453" i="5"/>
  <c r="E421" i="5"/>
  <c r="E389" i="5"/>
  <c r="E357" i="5"/>
  <c r="E333" i="5"/>
  <c r="E301" i="5"/>
  <c r="E269" i="5"/>
  <c r="E237" i="5"/>
  <c r="E205" i="5"/>
  <c r="E173" i="5"/>
  <c r="E149" i="5"/>
  <c r="E117" i="5"/>
  <c r="E93" i="5"/>
  <c r="E61" i="5"/>
  <c r="E29" i="5"/>
  <c r="E732" i="5"/>
  <c r="E700" i="5"/>
  <c r="E668" i="5"/>
  <c r="E636" i="5"/>
  <c r="E604" i="5"/>
  <c r="E572" i="5"/>
  <c r="E540" i="5"/>
  <c r="E516" i="5"/>
  <c r="E484" i="5"/>
  <c r="E444" i="5"/>
  <c r="E412" i="5"/>
  <c r="E380" i="5"/>
  <c r="E348" i="5"/>
  <c r="E316" i="5"/>
  <c r="E228" i="5"/>
  <c r="E204" i="5"/>
  <c r="E180" i="5"/>
  <c r="E172" i="5"/>
  <c r="E164" i="5"/>
  <c r="E156" i="5"/>
  <c r="E148" i="5"/>
  <c r="E116" i="5"/>
  <c r="E108" i="5"/>
  <c r="E100" i="5"/>
  <c r="E92" i="5"/>
  <c r="E84" i="5"/>
  <c r="E76" i="5"/>
  <c r="E68" i="5"/>
  <c r="E60" i="5"/>
  <c r="E52" i="5"/>
  <c r="E44" i="5"/>
  <c r="E36" i="5"/>
  <c r="E28" i="5"/>
  <c r="E20" i="5"/>
  <c r="E12" i="5"/>
  <c r="E734" i="5"/>
  <c r="E702" i="5"/>
  <c r="E670" i="5"/>
  <c r="E630" i="5"/>
  <c r="E606" i="5"/>
  <c r="E574" i="5"/>
  <c r="E542" i="5"/>
  <c r="E510" i="5"/>
  <c r="E478" i="5"/>
  <c r="E446" i="5"/>
  <c r="E414" i="5"/>
  <c r="E382" i="5"/>
  <c r="E350" i="5"/>
  <c r="E318" i="5"/>
  <c r="E286" i="5"/>
  <c r="E254" i="5"/>
  <c r="E222" i="5"/>
  <c r="E190" i="5"/>
  <c r="E158" i="5"/>
  <c r="E126" i="5"/>
  <c r="E94" i="5"/>
  <c r="E62" i="5"/>
  <c r="E6" i="5"/>
  <c r="F6" i="5"/>
  <c r="F7" i="5" s="1"/>
  <c r="E725" i="5"/>
  <c r="E693" i="5"/>
  <c r="E661" i="5"/>
  <c r="E629" i="5"/>
  <c r="E597" i="5"/>
  <c r="E565" i="5"/>
  <c r="E533" i="5"/>
  <c r="E501" i="5"/>
  <c r="E469" i="5"/>
  <c r="E437" i="5"/>
  <c r="E405" i="5"/>
  <c r="E373" i="5"/>
  <c r="E349" i="5"/>
  <c r="E317" i="5"/>
  <c r="E277" i="5"/>
  <c r="E245" i="5"/>
  <c r="E213" i="5"/>
  <c r="E181" i="5"/>
  <c r="E133" i="5"/>
  <c r="E37" i="5"/>
  <c r="E21" i="5"/>
  <c r="E724" i="5"/>
  <c r="E692" i="5"/>
  <c r="E660" i="5"/>
  <c r="E628" i="5"/>
  <c r="E596" i="5"/>
  <c r="E564" i="5"/>
  <c r="E532" i="5"/>
  <c r="E500" i="5"/>
  <c r="E468" i="5"/>
  <c r="E436" i="5"/>
  <c r="E396" i="5"/>
  <c r="E364" i="5"/>
  <c r="E332" i="5"/>
  <c r="E300" i="5"/>
  <c r="E276" i="5"/>
  <c r="E236" i="5"/>
  <c r="E132" i="5"/>
  <c r="E710" i="5"/>
  <c r="E678" i="5"/>
  <c r="E646" i="5"/>
  <c r="E614" i="5"/>
  <c r="E582" i="5"/>
  <c r="E550" i="5"/>
  <c r="E518" i="5"/>
  <c r="E486" i="5"/>
  <c r="E454" i="5"/>
  <c r="E422" i="5"/>
  <c r="E390" i="5"/>
  <c r="E358" i="5"/>
  <c r="E326" i="5"/>
  <c r="E294" i="5"/>
  <c r="E262" i="5"/>
  <c r="E230" i="5"/>
  <c r="E198" i="5"/>
  <c r="E166" i="5"/>
  <c r="E134" i="5"/>
  <c r="E102" i="5"/>
  <c r="E78" i="5"/>
  <c r="E46" i="5"/>
  <c r="E30" i="5"/>
  <c r="E733" i="5"/>
  <c r="E701" i="5"/>
  <c r="E669" i="5"/>
  <c r="E637" i="5"/>
  <c r="E605" i="5"/>
  <c r="E573" i="5"/>
  <c r="E541" i="5"/>
  <c r="E509" i="5"/>
  <c r="E477" i="5"/>
  <c r="E445" i="5"/>
  <c r="E413" i="5"/>
  <c r="E381" i="5"/>
  <c r="E293" i="5"/>
  <c r="E261" i="5"/>
  <c r="E229" i="5"/>
  <c r="E197" i="5"/>
  <c r="E165" i="5"/>
  <c r="E141" i="5"/>
  <c r="E109" i="5"/>
  <c r="E85" i="5"/>
  <c r="E53" i="5"/>
  <c r="F5" i="5"/>
  <c r="E5" i="5"/>
  <c r="E708" i="5"/>
  <c r="E676" i="5"/>
  <c r="E644" i="5"/>
  <c r="E612" i="5"/>
  <c r="E580" i="5"/>
  <c r="E548" i="5"/>
  <c r="E508" i="5"/>
  <c r="E476" i="5"/>
  <c r="E452" i="5"/>
  <c r="E420" i="5"/>
  <c r="E388" i="5"/>
  <c r="E356" i="5"/>
  <c r="E324" i="5"/>
  <c r="E292" i="5"/>
  <c r="E268" i="5"/>
  <c r="E244" i="5"/>
  <c r="E212" i="5"/>
  <c r="E188" i="5"/>
  <c r="E140" i="5"/>
  <c r="E718" i="5"/>
  <c r="E686" i="5"/>
  <c r="E654" i="5"/>
  <c r="E622" i="5"/>
  <c r="E590" i="5"/>
  <c r="E558" i="5"/>
  <c r="E526" i="5"/>
  <c r="E494" i="5"/>
  <c r="E470" i="5"/>
  <c r="E438" i="5"/>
  <c r="E406" i="5"/>
  <c r="E374" i="5"/>
  <c r="E342" i="5"/>
  <c r="E310" i="5"/>
  <c r="E278" i="5"/>
  <c r="E246" i="5"/>
  <c r="E214" i="5"/>
  <c r="E174" i="5"/>
  <c r="E142" i="5"/>
  <c r="E118" i="5"/>
  <c r="E86" i="5"/>
  <c r="E54" i="5"/>
  <c r="E22" i="5"/>
  <c r="E717" i="5"/>
  <c r="E685" i="5"/>
  <c r="E653" i="5"/>
  <c r="E621" i="5"/>
  <c r="E589" i="5"/>
  <c r="E557" i="5"/>
  <c r="E525" i="5"/>
  <c r="E493" i="5"/>
  <c r="E461" i="5"/>
  <c r="E429" i="5"/>
  <c r="E397" i="5"/>
  <c r="E365" i="5"/>
  <c r="E341" i="5"/>
  <c r="E309" i="5"/>
  <c r="E285" i="5"/>
  <c r="E253" i="5"/>
  <c r="E221" i="5"/>
  <c r="E189" i="5"/>
  <c r="E157" i="5"/>
  <c r="E125" i="5"/>
  <c r="E101" i="5"/>
  <c r="E77" i="5"/>
  <c r="E45" i="5"/>
  <c r="E13" i="5"/>
  <c r="E716" i="5"/>
  <c r="E684" i="5"/>
  <c r="E652" i="5"/>
  <c r="E620" i="5"/>
  <c r="E588" i="5"/>
  <c r="E556" i="5"/>
  <c r="E524" i="5"/>
  <c r="E492" i="5"/>
  <c r="E460" i="5"/>
  <c r="E428" i="5"/>
  <c r="E404" i="5"/>
  <c r="E372" i="5"/>
  <c r="E340" i="5"/>
  <c r="E308" i="5"/>
  <c r="E284" i="5"/>
  <c r="E260" i="5"/>
  <c r="E220" i="5"/>
  <c r="E196" i="5"/>
  <c r="E124" i="5"/>
  <c r="E730" i="5"/>
  <c r="E698" i="5"/>
  <c r="E666" i="5"/>
  <c r="E634" i="5"/>
  <c r="E602" i="5"/>
  <c r="E570" i="5"/>
  <c r="E546" i="5"/>
  <c r="E522" i="5"/>
  <c r="E506" i="5"/>
  <c r="E490" i="5"/>
  <c r="E474" i="5"/>
  <c r="E458" i="5"/>
  <c r="E442" i="5"/>
  <c r="E426" i="5"/>
  <c r="E410" i="5"/>
  <c r="E394" i="5"/>
  <c r="E378" i="5"/>
  <c r="E362" i="5"/>
  <c r="E346" i="5"/>
  <c r="E330" i="5"/>
  <c r="E314" i="5"/>
  <c r="E282" i="5"/>
  <c r="E266" i="5"/>
  <c r="E250" i="5"/>
  <c r="E242" i="5"/>
  <c r="E234" i="5"/>
  <c r="E226" i="5"/>
  <c r="E218" i="5"/>
  <c r="E210" i="5"/>
  <c r="E202" i="5"/>
  <c r="E194" i="5"/>
  <c r="E186" i="5"/>
  <c r="E178" i="5"/>
  <c r="E170" i="5"/>
  <c r="E162" i="5"/>
  <c r="E154" i="5"/>
  <c r="E138" i="5"/>
  <c r="E130" i="5"/>
  <c r="E122" i="5"/>
  <c r="E114" i="5"/>
  <c r="E106" i="5"/>
  <c r="E98" i="5"/>
  <c r="E90" i="5"/>
  <c r="E82" i="5"/>
  <c r="E74" i="5"/>
  <c r="E66" i="5"/>
  <c r="E58" i="5"/>
  <c r="E50" i="5"/>
  <c r="E42" i="5"/>
  <c r="E34" i="5"/>
  <c r="E26" i="5"/>
  <c r="E18" i="5"/>
  <c r="E10" i="5"/>
  <c r="E714" i="5"/>
  <c r="E682" i="5"/>
  <c r="E658" i="5"/>
  <c r="E626" i="5"/>
  <c r="E594" i="5"/>
  <c r="E562" i="5"/>
  <c r="E530" i="5"/>
  <c r="E514" i="5"/>
  <c r="E498" i="5"/>
  <c r="E482" i="5"/>
  <c r="E466" i="5"/>
  <c r="E450" i="5"/>
  <c r="E434" i="5"/>
  <c r="E418" i="5"/>
  <c r="E402" i="5"/>
  <c r="E386" i="5"/>
  <c r="E370" i="5"/>
  <c r="E354" i="5"/>
  <c r="E338" i="5"/>
  <c r="E322" i="5"/>
  <c r="E306" i="5"/>
  <c r="E274" i="5"/>
  <c r="E258" i="5"/>
  <c r="E146" i="5"/>
  <c r="E706" i="5"/>
  <c r="E674" i="5"/>
  <c r="E642" i="5"/>
  <c r="E610" i="5"/>
  <c r="E578" i="5"/>
  <c r="E538" i="5"/>
  <c r="E298" i="5"/>
  <c r="E722" i="5"/>
  <c r="E690" i="5"/>
  <c r="E650" i="5"/>
  <c r="E618" i="5"/>
  <c r="E586" i="5"/>
  <c r="E554" i="5"/>
  <c r="E290" i="5"/>
  <c r="T8" i="4"/>
  <c r="F8" i="5" l="1"/>
  <c r="I8" i="5" s="1"/>
  <c r="J8" i="5" s="1"/>
  <c r="H7" i="5"/>
  <c r="G6" i="5"/>
  <c r="G7" i="5" s="1"/>
  <c r="H6" i="5"/>
  <c r="I7" i="5"/>
  <c r="J7" i="5" s="1"/>
  <c r="G5" i="5"/>
  <c r="H5" i="5"/>
  <c r="I5" i="5"/>
  <c r="J5" i="5" s="1"/>
  <c r="K5" i="5" s="1"/>
  <c r="I6" i="5"/>
  <c r="J6" i="5" s="1"/>
  <c r="T3" i="4"/>
  <c r="T9" i="4"/>
  <c r="K7" i="5" l="1"/>
  <c r="K8" i="5" s="1"/>
  <c r="F9" i="5"/>
  <c r="G8" i="5"/>
  <c r="I9" i="5"/>
  <c r="J9" i="5" s="1"/>
  <c r="H8" i="5"/>
  <c r="K6" i="5"/>
  <c r="G54" i="4"/>
  <c r="I2" i="12"/>
  <c r="I4" i="12" s="1"/>
  <c r="F2" i="12"/>
  <c r="H2" i="12"/>
  <c r="H4" i="12" s="1"/>
  <c r="G2" i="12"/>
  <c r="C4" i="12"/>
  <c r="G56" i="4" s="1"/>
  <c r="E2" i="12"/>
  <c r="D2" i="12"/>
  <c r="D4" i="12" s="1"/>
  <c r="K9" i="5" l="1"/>
  <c r="G9" i="5"/>
  <c r="I10" i="5"/>
  <c r="J10" i="5" s="1"/>
  <c r="H9" i="5"/>
  <c r="F10" i="5"/>
  <c r="G4" i="12"/>
  <c r="J56" i="4" s="1"/>
  <c r="E4" i="12"/>
  <c r="H56" i="4" s="1"/>
  <c r="F4" i="12"/>
  <c r="I56" i="4" s="1"/>
  <c r="L56" i="4"/>
  <c r="K56" i="4"/>
  <c r="H10" i="5" l="1"/>
  <c r="G10" i="5"/>
  <c r="F11" i="5"/>
  <c r="K10" i="5"/>
  <c r="G11" i="5" l="1"/>
  <c r="H11" i="5"/>
  <c r="F12" i="5"/>
  <c r="I11" i="5"/>
  <c r="J11" i="5" s="1"/>
  <c r="K11" i="5" s="1"/>
  <c r="G12" i="5" l="1"/>
  <c r="H12" i="5"/>
  <c r="F13" i="5"/>
  <c r="I12" i="5"/>
  <c r="J12" i="5" s="1"/>
  <c r="K12" i="5" s="1"/>
  <c r="G13" i="5" l="1"/>
  <c r="H13" i="5"/>
  <c r="F14" i="5"/>
  <c r="I13" i="5"/>
  <c r="J13" i="5" s="1"/>
  <c r="K13" i="5" s="1"/>
  <c r="H14" i="5" l="1"/>
  <c r="G14" i="5"/>
  <c r="F15" i="5"/>
  <c r="I14" i="5"/>
  <c r="J14" i="5" s="1"/>
  <c r="K14" i="5" s="1"/>
  <c r="F16" i="5" l="1"/>
  <c r="I16" i="5" s="1"/>
  <c r="J16" i="5" s="1"/>
  <c r="K16" i="5" s="1"/>
  <c r="H15" i="5"/>
  <c r="G15" i="5"/>
  <c r="I15" i="5"/>
  <c r="J15" i="5" s="1"/>
  <c r="K15" i="5" s="1"/>
  <c r="F17" i="5" l="1"/>
  <c r="I17" i="5" s="1"/>
  <c r="J17" i="5" s="1"/>
  <c r="K17" i="5" s="1"/>
  <c r="G16" i="5"/>
  <c r="H16" i="5"/>
  <c r="G17" i="5" l="1"/>
  <c r="H17" i="5"/>
  <c r="F18" i="5"/>
  <c r="G18" i="5" l="1"/>
  <c r="H18" i="5"/>
  <c r="F19" i="5"/>
  <c r="I18" i="5"/>
  <c r="J18" i="5" s="1"/>
  <c r="K18" i="5" s="1"/>
  <c r="G19" i="5" l="1"/>
  <c r="H19" i="5"/>
  <c r="F20" i="5"/>
  <c r="I19" i="5"/>
  <c r="J19" i="5" s="1"/>
  <c r="K19" i="5" s="1"/>
  <c r="H20" i="5" l="1"/>
  <c r="G20" i="5"/>
  <c r="F21" i="5"/>
  <c r="I20" i="5"/>
  <c r="J20" i="5" s="1"/>
  <c r="K20" i="5" s="1"/>
  <c r="G21" i="5" l="1"/>
  <c r="H21" i="5"/>
  <c r="F22" i="5"/>
  <c r="I21" i="5"/>
  <c r="J21" i="5" s="1"/>
  <c r="K21" i="5" s="1"/>
  <c r="G22" i="5" l="1"/>
  <c r="H22" i="5"/>
  <c r="F23" i="5"/>
  <c r="I22" i="5"/>
  <c r="J22" i="5" s="1"/>
  <c r="K22" i="5" s="1"/>
  <c r="F24" i="5" l="1"/>
  <c r="I24" i="5" s="1"/>
  <c r="J24" i="5" s="1"/>
  <c r="K24" i="5" s="1"/>
  <c r="H23" i="5"/>
  <c r="G23" i="5"/>
  <c r="I23" i="5"/>
  <c r="J23" i="5" s="1"/>
  <c r="K23" i="5" s="1"/>
  <c r="F25" i="5" l="1"/>
  <c r="I25" i="5" s="1"/>
  <c r="J25" i="5" s="1"/>
  <c r="K25" i="5" s="1"/>
  <c r="H24" i="5"/>
  <c r="G24" i="5"/>
  <c r="G25" i="5" l="1"/>
  <c r="H25" i="5"/>
  <c r="F26" i="5"/>
  <c r="G26" i="5" l="1"/>
  <c r="H26" i="5"/>
  <c r="F27" i="5"/>
  <c r="I26" i="5"/>
  <c r="J26" i="5" s="1"/>
  <c r="K26" i="5" s="1"/>
  <c r="G27" i="5" l="1"/>
  <c r="H27" i="5"/>
  <c r="F28" i="5"/>
  <c r="I27" i="5"/>
  <c r="J27" i="5" s="1"/>
  <c r="K27" i="5" s="1"/>
  <c r="G28" i="5" l="1"/>
  <c r="H28" i="5"/>
  <c r="F29" i="5"/>
  <c r="I28" i="5"/>
  <c r="J28" i="5" s="1"/>
  <c r="K28" i="5" s="1"/>
  <c r="G29" i="5" l="1"/>
  <c r="H29" i="5"/>
  <c r="F30" i="5"/>
  <c r="I29" i="5"/>
  <c r="J29" i="5" s="1"/>
  <c r="K29" i="5" s="1"/>
  <c r="G30" i="5" l="1"/>
  <c r="H30" i="5"/>
  <c r="F31" i="5"/>
  <c r="I30" i="5"/>
  <c r="J30" i="5" s="1"/>
  <c r="K30" i="5" s="1"/>
  <c r="H31" i="5" l="1"/>
  <c r="F32" i="5"/>
  <c r="G31" i="5"/>
  <c r="I31" i="5"/>
  <c r="J31" i="5" s="1"/>
  <c r="K31" i="5" s="1"/>
  <c r="F33" i="5" l="1"/>
  <c r="I33" i="5" s="1"/>
  <c r="J33" i="5" s="1"/>
  <c r="K33" i="5" s="1"/>
  <c r="G32" i="5"/>
  <c r="H32" i="5"/>
  <c r="I32" i="5"/>
  <c r="J32" i="5" s="1"/>
  <c r="K32" i="5" s="1"/>
  <c r="H33" i="5" l="1"/>
  <c r="G33" i="5"/>
  <c r="F34" i="5"/>
  <c r="G34" i="5" l="1"/>
  <c r="H34" i="5"/>
  <c r="F35" i="5"/>
  <c r="I34" i="5"/>
  <c r="J34" i="5" s="1"/>
  <c r="K34" i="5" s="1"/>
  <c r="G35" i="5" l="1"/>
  <c r="H35" i="5"/>
  <c r="F36" i="5"/>
  <c r="I35" i="5"/>
  <c r="J35" i="5" s="1"/>
  <c r="K35" i="5" s="1"/>
  <c r="G36" i="5" l="1"/>
  <c r="H36" i="5"/>
  <c r="F37" i="5"/>
  <c r="I36" i="5"/>
  <c r="J36" i="5" s="1"/>
  <c r="K36" i="5" s="1"/>
  <c r="G37" i="5" l="1"/>
  <c r="H37" i="5"/>
  <c r="F38" i="5"/>
  <c r="I37" i="5"/>
  <c r="J37" i="5" s="1"/>
  <c r="K37" i="5" s="1"/>
  <c r="G38" i="5" l="1"/>
  <c r="H38" i="5"/>
  <c r="F39" i="5"/>
  <c r="I38" i="5"/>
  <c r="J38" i="5" s="1"/>
  <c r="K38" i="5" s="1"/>
  <c r="H39" i="5" l="1"/>
  <c r="G39" i="5"/>
  <c r="F40" i="5"/>
  <c r="I39" i="5"/>
  <c r="J39" i="5" s="1"/>
  <c r="K39" i="5" s="1"/>
  <c r="G40" i="5" l="1"/>
  <c r="F41" i="5"/>
  <c r="I41" i="5" s="1"/>
  <c r="J41" i="5" s="1"/>
  <c r="K41" i="5" s="1"/>
  <c r="H40" i="5"/>
  <c r="I40" i="5"/>
  <c r="J40" i="5" s="1"/>
  <c r="K40" i="5" s="1"/>
  <c r="G41" i="5" l="1"/>
  <c r="H41" i="5"/>
  <c r="F42" i="5"/>
  <c r="G42" i="5" l="1"/>
  <c r="H42" i="5"/>
  <c r="F43" i="5"/>
  <c r="I42" i="5"/>
  <c r="J42" i="5" s="1"/>
  <c r="K42" i="5" s="1"/>
  <c r="H43" i="5" l="1"/>
  <c r="G43" i="5"/>
  <c r="F44" i="5"/>
  <c r="I43" i="5"/>
  <c r="J43" i="5" s="1"/>
  <c r="K43" i="5" s="1"/>
  <c r="H44" i="5" l="1"/>
  <c r="G44" i="5"/>
  <c r="F45" i="5"/>
  <c r="I44" i="5"/>
  <c r="J44" i="5" s="1"/>
  <c r="K44" i="5" s="1"/>
  <c r="G45" i="5" l="1"/>
  <c r="H45" i="5"/>
  <c r="F46" i="5"/>
  <c r="I45" i="5"/>
  <c r="J45" i="5" s="1"/>
  <c r="K45" i="5" s="1"/>
  <c r="G46" i="5" l="1"/>
  <c r="H46" i="5"/>
  <c r="F47" i="5"/>
  <c r="I46" i="5"/>
  <c r="J46" i="5" s="1"/>
  <c r="K46" i="5" s="1"/>
  <c r="H47" i="5" l="1"/>
  <c r="F48" i="5"/>
  <c r="I48" i="5" s="1"/>
  <c r="J48" i="5" s="1"/>
  <c r="K48" i="5" s="1"/>
  <c r="G47" i="5"/>
  <c r="I47" i="5"/>
  <c r="J47" i="5" s="1"/>
  <c r="K47" i="5" s="1"/>
  <c r="G48" i="5" l="1"/>
  <c r="F49" i="5"/>
  <c r="I49" i="5" s="1"/>
  <c r="J49" i="5" s="1"/>
  <c r="K49" i="5" s="1"/>
  <c r="H48" i="5"/>
  <c r="G49" i="5" l="1"/>
  <c r="H49" i="5"/>
  <c r="F50" i="5"/>
  <c r="G50" i="5" l="1"/>
  <c r="H50" i="5"/>
  <c r="F51" i="5"/>
  <c r="I50" i="5"/>
  <c r="J50" i="5" s="1"/>
  <c r="K50" i="5" s="1"/>
  <c r="H51" i="5" l="1"/>
  <c r="G51" i="5"/>
  <c r="F52" i="5"/>
  <c r="I51" i="5"/>
  <c r="J51" i="5" s="1"/>
  <c r="K51" i="5" s="1"/>
  <c r="G52" i="5" l="1"/>
  <c r="H52" i="5"/>
  <c r="F53" i="5"/>
  <c r="I52" i="5"/>
  <c r="J52" i="5" s="1"/>
  <c r="K52" i="5" s="1"/>
  <c r="G53" i="5" l="1"/>
  <c r="H53" i="5"/>
  <c r="F54" i="5"/>
  <c r="I53" i="5"/>
  <c r="J53" i="5" s="1"/>
  <c r="K53" i="5" s="1"/>
  <c r="G54" i="5" l="1"/>
  <c r="H54" i="5"/>
  <c r="F55" i="5"/>
  <c r="I54" i="5"/>
  <c r="J54" i="5" s="1"/>
  <c r="K54" i="5" s="1"/>
  <c r="F56" i="5" l="1"/>
  <c r="I56" i="5" s="1"/>
  <c r="J56" i="5" s="1"/>
  <c r="K56" i="5" s="1"/>
  <c r="G55" i="5"/>
  <c r="H55" i="5"/>
  <c r="I55" i="5"/>
  <c r="J55" i="5" s="1"/>
  <c r="K55" i="5" s="1"/>
  <c r="G56" i="5" l="1"/>
  <c r="F57" i="5"/>
  <c r="I57" i="5" s="1"/>
  <c r="J57" i="5" s="1"/>
  <c r="K57" i="5" s="1"/>
  <c r="H56" i="5"/>
  <c r="G57" i="5" l="1"/>
  <c r="H57" i="5"/>
  <c r="F58" i="5"/>
  <c r="G58" i="5" l="1"/>
  <c r="H58" i="5"/>
  <c r="F59" i="5"/>
  <c r="I58" i="5"/>
  <c r="J58" i="5" s="1"/>
  <c r="K58" i="5" s="1"/>
  <c r="G59" i="5" l="1"/>
  <c r="H59" i="5"/>
  <c r="F60" i="5"/>
  <c r="I59" i="5"/>
  <c r="J59" i="5" s="1"/>
  <c r="K59" i="5" s="1"/>
  <c r="G60" i="5" l="1"/>
  <c r="H60" i="5"/>
  <c r="F61" i="5"/>
  <c r="I60" i="5"/>
  <c r="J60" i="5" s="1"/>
  <c r="K60" i="5" s="1"/>
  <c r="G61" i="5" l="1"/>
  <c r="H61" i="5"/>
  <c r="F62" i="5"/>
  <c r="I61" i="5"/>
  <c r="J61" i="5" s="1"/>
  <c r="K61" i="5" s="1"/>
  <c r="G62" i="5" l="1"/>
  <c r="H62" i="5"/>
  <c r="F63" i="5"/>
  <c r="I62" i="5"/>
  <c r="J62" i="5" s="1"/>
  <c r="K62" i="5" s="1"/>
  <c r="H63" i="5" l="1"/>
  <c r="F64" i="5"/>
  <c r="I64" i="5" s="1"/>
  <c r="J64" i="5" s="1"/>
  <c r="K64" i="5" s="1"/>
  <c r="G63" i="5"/>
  <c r="I63" i="5"/>
  <c r="J63" i="5" s="1"/>
  <c r="K63" i="5" s="1"/>
  <c r="F65" i="5" l="1"/>
  <c r="I65" i="5" s="1"/>
  <c r="J65" i="5" s="1"/>
  <c r="K65" i="5" s="1"/>
  <c r="G64" i="5"/>
  <c r="H64" i="5"/>
  <c r="G65" i="5" l="1"/>
  <c r="H65" i="5"/>
  <c r="F66" i="5"/>
  <c r="G66" i="5" l="1"/>
  <c r="H66" i="5"/>
  <c r="F67" i="5"/>
  <c r="I66" i="5"/>
  <c r="J66" i="5" s="1"/>
  <c r="K66" i="5" s="1"/>
  <c r="H67" i="5" l="1"/>
  <c r="G67" i="5"/>
  <c r="F68" i="5"/>
  <c r="I67" i="5"/>
  <c r="J67" i="5" s="1"/>
  <c r="K67" i="5" s="1"/>
  <c r="G68" i="5" l="1"/>
  <c r="H68" i="5"/>
  <c r="F69" i="5"/>
  <c r="I68" i="5"/>
  <c r="J68" i="5" s="1"/>
  <c r="K68" i="5" s="1"/>
  <c r="G69" i="5" l="1"/>
  <c r="H69" i="5"/>
  <c r="F70" i="5"/>
  <c r="I69" i="5"/>
  <c r="J69" i="5" s="1"/>
  <c r="K69" i="5" s="1"/>
  <c r="G70" i="5" l="1"/>
  <c r="H70" i="5"/>
  <c r="F71" i="5"/>
  <c r="I70" i="5"/>
  <c r="J70" i="5" s="1"/>
  <c r="K70" i="5" s="1"/>
  <c r="F72" i="5" l="1"/>
  <c r="I72" i="5" s="1"/>
  <c r="J72" i="5" s="1"/>
  <c r="K72" i="5" s="1"/>
  <c r="H71" i="5"/>
  <c r="G71" i="5"/>
  <c r="I71" i="5"/>
  <c r="J71" i="5" s="1"/>
  <c r="K71" i="5" s="1"/>
  <c r="F73" i="5" l="1"/>
  <c r="I73" i="5" s="1"/>
  <c r="J73" i="5" s="1"/>
  <c r="K73" i="5" s="1"/>
  <c r="H72" i="5"/>
  <c r="G72" i="5"/>
  <c r="G73" i="5" l="1"/>
  <c r="H73" i="5"/>
  <c r="F74" i="5"/>
  <c r="G74" i="5" l="1"/>
  <c r="H74" i="5"/>
  <c r="F75" i="5"/>
  <c r="I74" i="5"/>
  <c r="J74" i="5" s="1"/>
  <c r="K74" i="5" s="1"/>
  <c r="G75" i="5" l="1"/>
  <c r="H75" i="5"/>
  <c r="F76" i="5"/>
  <c r="I75" i="5"/>
  <c r="J75" i="5" s="1"/>
  <c r="K75" i="5" s="1"/>
  <c r="G76" i="5" l="1"/>
  <c r="H76" i="5"/>
  <c r="F77" i="5"/>
  <c r="I76" i="5"/>
  <c r="J76" i="5" s="1"/>
  <c r="K76" i="5" s="1"/>
  <c r="G77" i="5" l="1"/>
  <c r="H77" i="5"/>
  <c r="F78" i="5"/>
  <c r="I77" i="5"/>
  <c r="J77" i="5" s="1"/>
  <c r="K77" i="5" s="1"/>
  <c r="H78" i="5" l="1"/>
  <c r="G78" i="5"/>
  <c r="F79" i="5"/>
  <c r="I78" i="5"/>
  <c r="J78" i="5" s="1"/>
  <c r="K78" i="5" s="1"/>
  <c r="F80" i="5" l="1"/>
  <c r="I80" i="5" s="1"/>
  <c r="J80" i="5" s="1"/>
  <c r="K80" i="5" s="1"/>
  <c r="H79" i="5"/>
  <c r="G79" i="5"/>
  <c r="I79" i="5"/>
  <c r="J79" i="5" s="1"/>
  <c r="K79" i="5" s="1"/>
  <c r="F81" i="5" l="1"/>
  <c r="I81" i="5" s="1"/>
  <c r="J81" i="5" s="1"/>
  <c r="K81" i="5" s="1"/>
  <c r="G80" i="5"/>
  <c r="H80" i="5"/>
  <c r="G81" i="5" l="1"/>
  <c r="H81" i="5"/>
  <c r="F82" i="5"/>
  <c r="G82" i="5" l="1"/>
  <c r="H82" i="5"/>
  <c r="F83" i="5"/>
  <c r="I82" i="5"/>
  <c r="J82" i="5" s="1"/>
  <c r="K82" i="5" s="1"/>
  <c r="G83" i="5" l="1"/>
  <c r="H83" i="5"/>
  <c r="F84" i="5"/>
  <c r="I83" i="5"/>
  <c r="J83" i="5" s="1"/>
  <c r="K83" i="5" s="1"/>
  <c r="G84" i="5" l="1"/>
  <c r="H84" i="5"/>
  <c r="F85" i="5"/>
  <c r="I84" i="5"/>
  <c r="J84" i="5" s="1"/>
  <c r="K84" i="5" s="1"/>
  <c r="G85" i="5" l="1"/>
  <c r="H85" i="5"/>
  <c r="F86" i="5"/>
  <c r="I85" i="5"/>
  <c r="J85" i="5" s="1"/>
  <c r="K85" i="5" s="1"/>
  <c r="G86" i="5" l="1"/>
  <c r="H86" i="5"/>
  <c r="F87" i="5"/>
  <c r="I86" i="5"/>
  <c r="J86" i="5" s="1"/>
  <c r="K86" i="5" s="1"/>
  <c r="F88" i="5" l="1"/>
  <c r="I88" i="5" s="1"/>
  <c r="J88" i="5" s="1"/>
  <c r="K88" i="5" s="1"/>
  <c r="H87" i="5"/>
  <c r="G87" i="5"/>
  <c r="I87" i="5"/>
  <c r="J87" i="5" s="1"/>
  <c r="K87" i="5" s="1"/>
  <c r="F89" i="5" l="1"/>
  <c r="I89" i="5" s="1"/>
  <c r="J89" i="5" s="1"/>
  <c r="K89" i="5" s="1"/>
  <c r="H88" i="5"/>
  <c r="G88" i="5"/>
  <c r="G89" i="5" l="1"/>
  <c r="H89" i="5"/>
  <c r="F90" i="5"/>
  <c r="G90" i="5" l="1"/>
  <c r="H90" i="5"/>
  <c r="F91" i="5"/>
  <c r="I90" i="5"/>
  <c r="J90" i="5" s="1"/>
  <c r="K90" i="5" s="1"/>
  <c r="G91" i="5" l="1"/>
  <c r="H91" i="5"/>
  <c r="F92" i="5"/>
  <c r="I91" i="5"/>
  <c r="J91" i="5" s="1"/>
  <c r="K91" i="5" s="1"/>
  <c r="G92" i="5" l="1"/>
  <c r="H92" i="5"/>
  <c r="F93" i="5"/>
  <c r="I92" i="5"/>
  <c r="J92" i="5" s="1"/>
  <c r="K92" i="5" s="1"/>
  <c r="G93" i="5" l="1"/>
  <c r="H93" i="5"/>
  <c r="F94" i="5"/>
  <c r="I93" i="5"/>
  <c r="J93" i="5" s="1"/>
  <c r="K93" i="5" s="1"/>
  <c r="G94" i="5" l="1"/>
  <c r="H94" i="5"/>
  <c r="F95" i="5"/>
  <c r="I94" i="5"/>
  <c r="J94" i="5" s="1"/>
  <c r="K94" i="5" s="1"/>
  <c r="H95" i="5" l="1"/>
  <c r="G95" i="5"/>
  <c r="F96" i="5"/>
  <c r="I96" i="5" s="1"/>
  <c r="J96" i="5" s="1"/>
  <c r="K96" i="5" s="1"/>
  <c r="I95" i="5"/>
  <c r="J95" i="5" s="1"/>
  <c r="K95" i="5" s="1"/>
  <c r="F97" i="5" l="1"/>
  <c r="I97" i="5" s="1"/>
  <c r="J97" i="5" s="1"/>
  <c r="K97" i="5" s="1"/>
  <c r="G96" i="5"/>
  <c r="H96" i="5"/>
  <c r="H97" i="5" l="1"/>
  <c r="G97" i="5"/>
  <c r="F98" i="5"/>
  <c r="G98" i="5" l="1"/>
  <c r="H98" i="5"/>
  <c r="F99" i="5"/>
  <c r="I98" i="5"/>
  <c r="J98" i="5" s="1"/>
  <c r="K98" i="5" s="1"/>
  <c r="G99" i="5" l="1"/>
  <c r="I100" i="5"/>
  <c r="J100" i="5" s="1"/>
  <c r="K100" i="5" s="1"/>
  <c r="H99" i="5"/>
  <c r="F100" i="5"/>
  <c r="I99" i="5"/>
  <c r="J99" i="5" s="1"/>
  <c r="K99" i="5" s="1"/>
  <c r="G100" i="5" l="1"/>
  <c r="H100" i="5"/>
  <c r="F101" i="5"/>
  <c r="G101" i="5" l="1"/>
  <c r="H101" i="5"/>
  <c r="F102" i="5"/>
  <c r="I101" i="5"/>
  <c r="J101" i="5" s="1"/>
  <c r="K101" i="5" s="1"/>
  <c r="G102" i="5" l="1"/>
  <c r="H102" i="5"/>
  <c r="F103" i="5"/>
  <c r="I102" i="5"/>
  <c r="J102" i="5" s="1"/>
  <c r="K102" i="5" s="1"/>
  <c r="H103" i="5" l="1"/>
  <c r="F104" i="5"/>
  <c r="G103" i="5"/>
  <c r="I104" i="5"/>
  <c r="J104" i="5" s="1"/>
  <c r="K104" i="5" s="1"/>
  <c r="I103" i="5"/>
  <c r="J103" i="5" s="1"/>
  <c r="K103" i="5" s="1"/>
  <c r="G104" i="5" l="1"/>
  <c r="H104" i="5"/>
  <c r="F105" i="5"/>
  <c r="G105" i="5" l="1"/>
  <c r="H105" i="5"/>
  <c r="F106" i="5"/>
  <c r="I105" i="5"/>
  <c r="J105" i="5" s="1"/>
  <c r="K105" i="5" s="1"/>
  <c r="H106" i="5" l="1"/>
  <c r="G106" i="5"/>
  <c r="F107" i="5"/>
  <c r="I106" i="5"/>
  <c r="J106" i="5" s="1"/>
  <c r="K106" i="5" s="1"/>
  <c r="G107" i="5" l="1"/>
  <c r="H107" i="5"/>
  <c r="F108" i="5"/>
  <c r="I107" i="5"/>
  <c r="J107" i="5" s="1"/>
  <c r="K107" i="5" s="1"/>
  <c r="H108" i="5" l="1"/>
  <c r="G108" i="5"/>
  <c r="F109" i="5"/>
  <c r="I108" i="5"/>
  <c r="J108" i="5" s="1"/>
  <c r="K108" i="5" s="1"/>
  <c r="G109" i="5" l="1"/>
  <c r="H109" i="5"/>
  <c r="F110" i="5"/>
  <c r="I109" i="5"/>
  <c r="J109" i="5" s="1"/>
  <c r="K109" i="5" s="1"/>
  <c r="G110" i="5" l="1"/>
  <c r="H110" i="5"/>
  <c r="F111" i="5"/>
  <c r="I110" i="5"/>
  <c r="J110" i="5" s="1"/>
  <c r="K110" i="5" s="1"/>
  <c r="H111" i="5" l="1"/>
  <c r="G111" i="5"/>
  <c r="F112" i="5"/>
  <c r="I112" i="5" s="1"/>
  <c r="J112" i="5" s="1"/>
  <c r="K112" i="5" s="1"/>
  <c r="I111" i="5"/>
  <c r="J111" i="5" s="1"/>
  <c r="K111" i="5" s="1"/>
  <c r="G112" i="5" l="1"/>
  <c r="F113" i="5"/>
  <c r="I113" i="5" s="1"/>
  <c r="J113" i="5" s="1"/>
  <c r="K113" i="5" s="1"/>
  <c r="H112" i="5"/>
  <c r="G113" i="5" l="1"/>
  <c r="H113" i="5"/>
  <c r="F114" i="5"/>
  <c r="H114" i="5" l="1"/>
  <c r="G114" i="5"/>
  <c r="F115" i="5"/>
  <c r="I114" i="5"/>
  <c r="J114" i="5" s="1"/>
  <c r="K114" i="5" s="1"/>
  <c r="G115" i="5" l="1"/>
  <c r="H115" i="5"/>
  <c r="F116" i="5"/>
  <c r="I115" i="5"/>
  <c r="J115" i="5" s="1"/>
  <c r="K115" i="5" s="1"/>
  <c r="G116" i="5" l="1"/>
  <c r="H116" i="5"/>
  <c r="F117" i="5"/>
  <c r="I116" i="5"/>
  <c r="J116" i="5" s="1"/>
  <c r="K116" i="5" s="1"/>
  <c r="G117" i="5" l="1"/>
  <c r="H117" i="5"/>
  <c r="F118" i="5"/>
  <c r="I117" i="5"/>
  <c r="J117" i="5" s="1"/>
  <c r="K117" i="5" s="1"/>
  <c r="G118" i="5" l="1"/>
  <c r="H118" i="5"/>
  <c r="F119" i="5"/>
  <c r="I118" i="5"/>
  <c r="J118" i="5" s="1"/>
  <c r="K118" i="5" s="1"/>
  <c r="F120" i="5" l="1"/>
  <c r="I120" i="5" s="1"/>
  <c r="J120" i="5" s="1"/>
  <c r="K120" i="5" s="1"/>
  <c r="G119" i="5"/>
  <c r="H119" i="5"/>
  <c r="I119" i="5"/>
  <c r="J119" i="5" s="1"/>
  <c r="K119" i="5" s="1"/>
  <c r="F121" i="5" l="1"/>
  <c r="I121" i="5" s="1"/>
  <c r="J121" i="5" s="1"/>
  <c r="K121" i="5" s="1"/>
  <c r="G120" i="5"/>
  <c r="H120" i="5"/>
  <c r="G121" i="5" l="1"/>
  <c r="H121" i="5"/>
  <c r="F122" i="5"/>
  <c r="G122" i="5" l="1"/>
  <c r="H122" i="5"/>
  <c r="F123" i="5"/>
  <c r="I122" i="5"/>
  <c r="J122" i="5" s="1"/>
  <c r="K122" i="5" s="1"/>
  <c r="G123" i="5" l="1"/>
  <c r="I124" i="5"/>
  <c r="J124" i="5" s="1"/>
  <c r="K124" i="5" s="1"/>
  <c r="H123" i="5"/>
  <c r="F124" i="5"/>
  <c r="I123" i="5"/>
  <c r="J123" i="5" s="1"/>
  <c r="K123" i="5" s="1"/>
  <c r="H124" i="5" l="1"/>
  <c r="G124" i="5"/>
  <c r="F125" i="5"/>
  <c r="G125" i="5" l="1"/>
  <c r="H125" i="5"/>
  <c r="F126" i="5"/>
  <c r="I125" i="5"/>
  <c r="J125" i="5" s="1"/>
  <c r="K125" i="5" s="1"/>
  <c r="G126" i="5" l="1"/>
  <c r="H126" i="5"/>
  <c r="F127" i="5"/>
  <c r="I126" i="5"/>
  <c r="J126" i="5" s="1"/>
  <c r="K126" i="5" s="1"/>
  <c r="H127" i="5" l="1"/>
  <c r="F128" i="5"/>
  <c r="I128" i="5" s="1"/>
  <c r="J128" i="5" s="1"/>
  <c r="K128" i="5" s="1"/>
  <c r="G127" i="5"/>
  <c r="I127" i="5"/>
  <c r="J127" i="5" s="1"/>
  <c r="K127" i="5" s="1"/>
  <c r="F129" i="5" l="1"/>
  <c r="I129" i="5" s="1"/>
  <c r="J129" i="5" s="1"/>
  <c r="K129" i="5" s="1"/>
  <c r="G128" i="5"/>
  <c r="H128" i="5"/>
  <c r="G129" i="5" l="1"/>
  <c r="H129" i="5"/>
  <c r="F130" i="5"/>
  <c r="H130" i="5" l="1"/>
  <c r="G130" i="5"/>
  <c r="F131" i="5"/>
  <c r="I130" i="5"/>
  <c r="J130" i="5" s="1"/>
  <c r="K130" i="5" s="1"/>
  <c r="G131" i="5" l="1"/>
  <c r="I132" i="5"/>
  <c r="J132" i="5" s="1"/>
  <c r="K132" i="5" s="1"/>
  <c r="H131" i="5"/>
  <c r="F132" i="5"/>
  <c r="I131" i="5"/>
  <c r="J131" i="5" s="1"/>
  <c r="K131" i="5" s="1"/>
  <c r="G132" i="5" l="1"/>
  <c r="H132" i="5"/>
  <c r="F133" i="5"/>
  <c r="G133" i="5" l="1"/>
  <c r="H133" i="5"/>
  <c r="F134" i="5"/>
  <c r="I133" i="5"/>
  <c r="J133" i="5" s="1"/>
  <c r="K133" i="5" s="1"/>
  <c r="G134" i="5" l="1"/>
  <c r="H134" i="5"/>
  <c r="F135" i="5"/>
  <c r="I134" i="5"/>
  <c r="J134" i="5" s="1"/>
  <c r="K134" i="5" s="1"/>
  <c r="F136" i="5" l="1"/>
  <c r="I136" i="5" s="1"/>
  <c r="J136" i="5" s="1"/>
  <c r="K136" i="5" s="1"/>
  <c r="H135" i="5"/>
  <c r="G135" i="5"/>
  <c r="I135" i="5"/>
  <c r="J135" i="5" s="1"/>
  <c r="K135" i="5" s="1"/>
  <c r="F137" i="5" l="1"/>
  <c r="I137" i="5" s="1"/>
  <c r="J137" i="5" s="1"/>
  <c r="K137" i="5" s="1"/>
  <c r="G136" i="5"/>
  <c r="H136" i="5"/>
  <c r="G137" i="5" l="1"/>
  <c r="H137" i="5"/>
  <c r="F138" i="5"/>
  <c r="G138" i="5" l="1"/>
  <c r="H138" i="5"/>
  <c r="F139" i="5"/>
  <c r="I138" i="5"/>
  <c r="J138" i="5" s="1"/>
  <c r="K138" i="5" s="1"/>
  <c r="G139" i="5" l="1"/>
  <c r="H139" i="5"/>
  <c r="F140" i="5"/>
  <c r="I139" i="5"/>
  <c r="J139" i="5" s="1"/>
  <c r="K139" i="5" s="1"/>
  <c r="G140" i="5" l="1"/>
  <c r="H140" i="5"/>
  <c r="F141" i="5"/>
  <c r="I140" i="5"/>
  <c r="J140" i="5" s="1"/>
  <c r="K140" i="5" s="1"/>
  <c r="G141" i="5" l="1"/>
  <c r="H141" i="5"/>
  <c r="F142" i="5"/>
  <c r="I141" i="5"/>
  <c r="J141" i="5" s="1"/>
  <c r="K141" i="5" s="1"/>
  <c r="G142" i="5" l="1"/>
  <c r="H142" i="5"/>
  <c r="F143" i="5"/>
  <c r="I142" i="5"/>
  <c r="J142" i="5" s="1"/>
  <c r="K142" i="5" s="1"/>
  <c r="F144" i="5" l="1"/>
  <c r="I144" i="5" s="1"/>
  <c r="J144" i="5" s="1"/>
  <c r="K144" i="5" s="1"/>
  <c r="H143" i="5"/>
  <c r="G143" i="5"/>
  <c r="I143" i="5"/>
  <c r="J143" i="5" s="1"/>
  <c r="K143" i="5" s="1"/>
  <c r="F145" i="5" l="1"/>
  <c r="I145" i="5" s="1"/>
  <c r="J145" i="5" s="1"/>
  <c r="K145" i="5" s="1"/>
  <c r="G144" i="5"/>
  <c r="H144" i="5"/>
  <c r="G145" i="5" l="1"/>
  <c r="H145" i="5"/>
  <c r="F146" i="5"/>
  <c r="G146" i="5" l="1"/>
  <c r="H146" i="5"/>
  <c r="F147" i="5"/>
  <c r="I146" i="5"/>
  <c r="J146" i="5" s="1"/>
  <c r="K146" i="5" s="1"/>
  <c r="G147" i="5" l="1"/>
  <c r="H147" i="5"/>
  <c r="F148" i="5"/>
  <c r="I147" i="5"/>
  <c r="J147" i="5" s="1"/>
  <c r="K147" i="5" s="1"/>
  <c r="G148" i="5" l="1"/>
  <c r="H148" i="5"/>
  <c r="F149" i="5"/>
  <c r="I148" i="5"/>
  <c r="J148" i="5" s="1"/>
  <c r="K148" i="5" s="1"/>
  <c r="G149" i="5" l="1"/>
  <c r="H149" i="5"/>
  <c r="F150" i="5"/>
  <c r="I149" i="5"/>
  <c r="J149" i="5" s="1"/>
  <c r="K149" i="5" s="1"/>
  <c r="H150" i="5" l="1"/>
  <c r="G150" i="5"/>
  <c r="F151" i="5"/>
  <c r="I150" i="5"/>
  <c r="J150" i="5" s="1"/>
  <c r="K150" i="5" s="1"/>
  <c r="F152" i="5" l="1"/>
  <c r="I152" i="5" s="1"/>
  <c r="J152" i="5" s="1"/>
  <c r="K152" i="5" s="1"/>
  <c r="H151" i="5"/>
  <c r="G151" i="5"/>
  <c r="I151" i="5"/>
  <c r="J151" i="5" s="1"/>
  <c r="K151" i="5" s="1"/>
  <c r="F153" i="5" l="1"/>
  <c r="I153" i="5" s="1"/>
  <c r="J153" i="5" s="1"/>
  <c r="K153" i="5" s="1"/>
  <c r="G152" i="5"/>
  <c r="H152" i="5"/>
  <c r="G153" i="5" l="1"/>
  <c r="H153" i="5"/>
  <c r="F154" i="5"/>
  <c r="G154" i="5" l="1"/>
  <c r="H154" i="5"/>
  <c r="F155" i="5"/>
  <c r="I154" i="5"/>
  <c r="J154" i="5" s="1"/>
  <c r="K154" i="5" s="1"/>
  <c r="G155" i="5" l="1"/>
  <c r="H155" i="5"/>
  <c r="F156" i="5"/>
  <c r="I155" i="5"/>
  <c r="J155" i="5" s="1"/>
  <c r="K155" i="5" s="1"/>
  <c r="H156" i="5" l="1"/>
  <c r="G156" i="5"/>
  <c r="F157" i="5"/>
  <c r="I156" i="5"/>
  <c r="J156" i="5" s="1"/>
  <c r="K156" i="5" s="1"/>
  <c r="G157" i="5" l="1"/>
  <c r="H157" i="5"/>
  <c r="F158" i="5"/>
  <c r="I157" i="5"/>
  <c r="J157" i="5" s="1"/>
  <c r="K157" i="5" s="1"/>
  <c r="G158" i="5" l="1"/>
  <c r="H158" i="5"/>
  <c r="F159" i="5"/>
  <c r="I158" i="5"/>
  <c r="J158" i="5" s="1"/>
  <c r="K158" i="5" s="1"/>
  <c r="H159" i="5" l="1"/>
  <c r="G159" i="5"/>
  <c r="F160" i="5"/>
  <c r="I160" i="5" s="1"/>
  <c r="J160" i="5" s="1"/>
  <c r="K160" i="5" s="1"/>
  <c r="I159" i="5"/>
  <c r="J159" i="5" s="1"/>
  <c r="K159" i="5" s="1"/>
  <c r="F161" i="5" l="1"/>
  <c r="I161" i="5" s="1"/>
  <c r="J161" i="5" s="1"/>
  <c r="K161" i="5" s="1"/>
  <c r="G160" i="5"/>
  <c r="H160" i="5"/>
  <c r="H161" i="5" l="1"/>
  <c r="G161" i="5"/>
  <c r="F162" i="5"/>
  <c r="G162" i="5" l="1"/>
  <c r="H162" i="5"/>
  <c r="F163" i="5"/>
  <c r="I162" i="5"/>
  <c r="J162" i="5" s="1"/>
  <c r="K162" i="5" s="1"/>
  <c r="G163" i="5" l="1"/>
  <c r="H163" i="5"/>
  <c r="F164" i="5"/>
  <c r="I163" i="5"/>
  <c r="J163" i="5" s="1"/>
  <c r="K163" i="5" s="1"/>
  <c r="G164" i="5" l="1"/>
  <c r="H164" i="5"/>
  <c r="F165" i="5"/>
  <c r="I164" i="5"/>
  <c r="J164" i="5" s="1"/>
  <c r="K164" i="5" s="1"/>
  <c r="G165" i="5" l="1"/>
  <c r="H165" i="5"/>
  <c r="F166" i="5"/>
  <c r="I165" i="5"/>
  <c r="J165" i="5" s="1"/>
  <c r="K165" i="5" s="1"/>
  <c r="G166" i="5" l="1"/>
  <c r="H166" i="5"/>
  <c r="F167" i="5"/>
  <c r="I166" i="5"/>
  <c r="J166" i="5" s="1"/>
  <c r="K166" i="5" s="1"/>
  <c r="H167" i="5" l="1"/>
  <c r="F168" i="5"/>
  <c r="I168" i="5" s="1"/>
  <c r="J168" i="5" s="1"/>
  <c r="K168" i="5" s="1"/>
  <c r="G167" i="5"/>
  <c r="I167" i="5"/>
  <c r="J167" i="5" s="1"/>
  <c r="K167" i="5" s="1"/>
  <c r="G168" i="5" l="1"/>
  <c r="H168" i="5"/>
  <c r="F169" i="5"/>
  <c r="I169" i="5" s="1"/>
  <c r="J169" i="5" s="1"/>
  <c r="K169" i="5" s="1"/>
  <c r="G169" i="5" l="1"/>
  <c r="H169" i="5"/>
  <c r="F170" i="5"/>
  <c r="H170" i="5" l="1"/>
  <c r="G170" i="5"/>
  <c r="I171" i="5"/>
  <c r="J171" i="5" s="1"/>
  <c r="F171" i="5"/>
  <c r="I170" i="5"/>
  <c r="J170" i="5" s="1"/>
  <c r="K170" i="5" s="1"/>
  <c r="K171" i="5" l="1"/>
  <c r="I172" i="5"/>
  <c r="J172" i="5" s="1"/>
  <c r="H171" i="5"/>
  <c r="G171" i="5"/>
  <c r="F172" i="5"/>
  <c r="K172" i="5" l="1"/>
  <c r="G172" i="5"/>
  <c r="H172" i="5"/>
  <c r="F173" i="5"/>
  <c r="G173" i="5" l="1"/>
  <c r="H173" i="5"/>
  <c r="F174" i="5"/>
  <c r="I173" i="5"/>
  <c r="J173" i="5" s="1"/>
  <c r="K173" i="5" s="1"/>
  <c r="G174" i="5" l="1"/>
  <c r="H174" i="5"/>
  <c r="F175" i="5"/>
  <c r="I174" i="5"/>
  <c r="J174" i="5" s="1"/>
  <c r="K174" i="5" s="1"/>
  <c r="H175" i="5" l="1"/>
  <c r="F176" i="5"/>
  <c r="I176" i="5" s="1"/>
  <c r="J176" i="5" s="1"/>
  <c r="K176" i="5" s="1"/>
  <c r="G175" i="5"/>
  <c r="I175" i="5"/>
  <c r="J175" i="5" s="1"/>
  <c r="K175" i="5" s="1"/>
  <c r="F177" i="5" l="1"/>
  <c r="G176" i="5"/>
  <c r="H176" i="5"/>
  <c r="I178" i="5" l="1"/>
  <c r="J178" i="5" s="1"/>
  <c r="K178" i="5" s="1"/>
  <c r="G177" i="5"/>
  <c r="H177" i="5"/>
  <c r="F178" i="5"/>
  <c r="I177" i="5"/>
  <c r="J177" i="5" s="1"/>
  <c r="K177" i="5" s="1"/>
  <c r="G178" i="5" l="1"/>
  <c r="H178" i="5"/>
  <c r="F179" i="5"/>
  <c r="H179" i="5" l="1"/>
  <c r="I180" i="5"/>
  <c r="J180" i="5" s="1"/>
  <c r="K180" i="5" s="1"/>
  <c r="G179" i="5"/>
  <c r="F180" i="5"/>
  <c r="I179" i="5"/>
  <c r="J179" i="5" s="1"/>
  <c r="K179" i="5" s="1"/>
  <c r="G180" i="5" l="1"/>
  <c r="H180" i="5"/>
  <c r="F181" i="5"/>
  <c r="G181" i="5" l="1"/>
  <c r="H181" i="5"/>
  <c r="F182" i="5"/>
  <c r="I181" i="5"/>
  <c r="J181" i="5" s="1"/>
  <c r="K181" i="5" s="1"/>
  <c r="G182" i="5" l="1"/>
  <c r="H182" i="5"/>
  <c r="I183" i="5"/>
  <c r="J183" i="5" s="1"/>
  <c r="K183" i="5" s="1"/>
  <c r="F183" i="5"/>
  <c r="I182" i="5"/>
  <c r="J182" i="5" s="1"/>
  <c r="K182" i="5" s="1"/>
  <c r="F184" i="5" l="1"/>
  <c r="I184" i="5" s="1"/>
  <c r="J184" i="5" s="1"/>
  <c r="K184" i="5" s="1"/>
  <c r="G183" i="5"/>
  <c r="H183" i="5"/>
  <c r="G184" i="5" l="1"/>
  <c r="F185" i="5"/>
  <c r="I185" i="5" s="1"/>
  <c r="J185" i="5" s="1"/>
  <c r="K185" i="5" s="1"/>
  <c r="H184" i="5"/>
  <c r="G185" i="5" l="1"/>
  <c r="H185" i="5"/>
  <c r="F186" i="5"/>
  <c r="G186" i="5" l="1"/>
  <c r="H186" i="5"/>
  <c r="F187" i="5"/>
  <c r="I186" i="5"/>
  <c r="J186" i="5" s="1"/>
  <c r="K186" i="5" s="1"/>
  <c r="G187" i="5" l="1"/>
  <c r="H187" i="5"/>
  <c r="F188" i="5"/>
  <c r="I188" i="5" s="1"/>
  <c r="J188" i="5" s="1"/>
  <c r="K188" i="5" s="1"/>
  <c r="I187" i="5"/>
  <c r="J187" i="5" s="1"/>
  <c r="K187" i="5" s="1"/>
  <c r="G188" i="5" l="1"/>
  <c r="H188" i="5"/>
  <c r="F189" i="5"/>
  <c r="G189" i="5" l="1"/>
  <c r="H189" i="5"/>
  <c r="F190" i="5"/>
  <c r="I189" i="5"/>
  <c r="J189" i="5" s="1"/>
  <c r="K189" i="5" s="1"/>
  <c r="G190" i="5" l="1"/>
  <c r="H190" i="5"/>
  <c r="F191" i="5"/>
  <c r="I190" i="5"/>
  <c r="J190" i="5" s="1"/>
  <c r="K190" i="5" s="1"/>
  <c r="H191" i="5" l="1"/>
  <c r="F192" i="5"/>
  <c r="I192" i="5" s="1"/>
  <c r="J192" i="5" s="1"/>
  <c r="K192" i="5" s="1"/>
  <c r="G191" i="5"/>
  <c r="I191" i="5"/>
  <c r="J191" i="5" s="1"/>
  <c r="K191" i="5" s="1"/>
  <c r="F193" i="5" l="1"/>
  <c r="I193" i="5" s="1"/>
  <c r="J193" i="5" s="1"/>
  <c r="K193" i="5" s="1"/>
  <c r="G192" i="5"/>
  <c r="H192" i="5"/>
  <c r="H193" i="5" l="1"/>
  <c r="G193" i="5"/>
  <c r="F194" i="5"/>
  <c r="G194" i="5" l="1"/>
  <c r="H194" i="5"/>
  <c r="F195" i="5"/>
  <c r="I194" i="5"/>
  <c r="J194" i="5" s="1"/>
  <c r="K194" i="5" s="1"/>
  <c r="G195" i="5" l="1"/>
  <c r="H195" i="5"/>
  <c r="F196" i="5"/>
  <c r="I195" i="5"/>
  <c r="J195" i="5" s="1"/>
  <c r="K195" i="5" s="1"/>
  <c r="G196" i="5" l="1"/>
  <c r="H196" i="5"/>
  <c r="F197" i="5"/>
  <c r="I196" i="5"/>
  <c r="J196" i="5" s="1"/>
  <c r="K196" i="5" s="1"/>
  <c r="G197" i="5" l="1"/>
  <c r="H197" i="5"/>
  <c r="F198" i="5"/>
  <c r="I197" i="5"/>
  <c r="J197" i="5" s="1"/>
  <c r="K197" i="5" s="1"/>
  <c r="H198" i="5" l="1"/>
  <c r="G198" i="5"/>
  <c r="F199" i="5"/>
  <c r="I198" i="5"/>
  <c r="J198" i="5" s="1"/>
  <c r="K198" i="5" s="1"/>
  <c r="F200" i="5" l="1"/>
  <c r="I200" i="5" s="1"/>
  <c r="J200" i="5" s="1"/>
  <c r="K200" i="5" s="1"/>
  <c r="H199" i="5"/>
  <c r="G199" i="5"/>
  <c r="I199" i="5"/>
  <c r="J199" i="5" s="1"/>
  <c r="K199" i="5" s="1"/>
  <c r="F201" i="5" l="1"/>
  <c r="I201" i="5" s="1"/>
  <c r="J201" i="5" s="1"/>
  <c r="K201" i="5" s="1"/>
  <c r="G200" i="5"/>
  <c r="H200" i="5"/>
  <c r="G201" i="5" l="1"/>
  <c r="H201" i="5"/>
  <c r="F202" i="5"/>
  <c r="G202" i="5" l="1"/>
  <c r="H202" i="5"/>
  <c r="F203" i="5"/>
  <c r="I202" i="5"/>
  <c r="J202" i="5" s="1"/>
  <c r="K202" i="5" s="1"/>
  <c r="G203" i="5" l="1"/>
  <c r="H203" i="5"/>
  <c r="F204" i="5"/>
  <c r="I203" i="5"/>
  <c r="J203" i="5" s="1"/>
  <c r="K203" i="5" s="1"/>
  <c r="G204" i="5" l="1"/>
  <c r="H204" i="5"/>
  <c r="F205" i="5"/>
  <c r="I204" i="5"/>
  <c r="J204" i="5" s="1"/>
  <c r="K204" i="5" s="1"/>
  <c r="G205" i="5" l="1"/>
  <c r="H205" i="5"/>
  <c r="F206" i="5"/>
  <c r="I205" i="5"/>
  <c r="J205" i="5" s="1"/>
  <c r="K205" i="5" s="1"/>
  <c r="G206" i="5" l="1"/>
  <c r="H206" i="5"/>
  <c r="F207" i="5"/>
  <c r="I206" i="5"/>
  <c r="J206" i="5" s="1"/>
  <c r="K206" i="5" s="1"/>
  <c r="F208" i="5" l="1"/>
  <c r="I208" i="5" s="1"/>
  <c r="J208" i="5" s="1"/>
  <c r="K208" i="5" s="1"/>
  <c r="H207" i="5"/>
  <c r="G207" i="5"/>
  <c r="I207" i="5"/>
  <c r="J207" i="5" s="1"/>
  <c r="K207" i="5" s="1"/>
  <c r="F209" i="5" l="1"/>
  <c r="I209" i="5" s="1"/>
  <c r="J209" i="5" s="1"/>
  <c r="K209" i="5" s="1"/>
  <c r="H208" i="5"/>
  <c r="G208" i="5"/>
  <c r="G209" i="5" l="1"/>
  <c r="H209" i="5"/>
  <c r="F210" i="5"/>
  <c r="G210" i="5" l="1"/>
  <c r="H210" i="5"/>
  <c r="F211" i="5"/>
  <c r="I210" i="5"/>
  <c r="J210" i="5" s="1"/>
  <c r="K210" i="5" s="1"/>
  <c r="G211" i="5" l="1"/>
  <c r="H211" i="5"/>
  <c r="F212" i="5"/>
  <c r="I211" i="5"/>
  <c r="J211" i="5" s="1"/>
  <c r="K211" i="5" s="1"/>
  <c r="H212" i="5" l="1"/>
  <c r="G212" i="5"/>
  <c r="F213" i="5"/>
  <c r="I212" i="5"/>
  <c r="J212" i="5" s="1"/>
  <c r="K212" i="5" s="1"/>
  <c r="G213" i="5" l="1"/>
  <c r="H213" i="5"/>
  <c r="F214" i="5"/>
  <c r="I213" i="5"/>
  <c r="J213" i="5" s="1"/>
  <c r="K213" i="5" s="1"/>
  <c r="H214" i="5" l="1"/>
  <c r="G214" i="5"/>
  <c r="F215" i="5"/>
  <c r="I214" i="5"/>
  <c r="J214" i="5" s="1"/>
  <c r="K214" i="5" s="1"/>
  <c r="F216" i="5" l="1"/>
  <c r="I216" i="5" s="1"/>
  <c r="J216" i="5" s="1"/>
  <c r="K216" i="5" s="1"/>
  <c r="H215" i="5"/>
  <c r="G215" i="5"/>
  <c r="I215" i="5"/>
  <c r="J215" i="5" s="1"/>
  <c r="K215" i="5" s="1"/>
  <c r="F217" i="5" l="1"/>
  <c r="I217" i="5" s="1"/>
  <c r="J217" i="5" s="1"/>
  <c r="K217" i="5" s="1"/>
  <c r="G216" i="5"/>
  <c r="H216" i="5"/>
  <c r="G217" i="5" l="1"/>
  <c r="H217" i="5"/>
  <c r="F218" i="5"/>
  <c r="H218" i="5" l="1"/>
  <c r="G218" i="5"/>
  <c r="F219" i="5"/>
  <c r="I218" i="5"/>
  <c r="J218" i="5" s="1"/>
  <c r="K218" i="5" s="1"/>
  <c r="G219" i="5" l="1"/>
  <c r="H219" i="5"/>
  <c r="F220" i="5"/>
  <c r="I219" i="5"/>
  <c r="J219" i="5" s="1"/>
  <c r="K219" i="5" s="1"/>
  <c r="G220" i="5" l="1"/>
  <c r="H220" i="5"/>
  <c r="F221" i="5"/>
  <c r="I220" i="5"/>
  <c r="J220" i="5" s="1"/>
  <c r="K220" i="5" s="1"/>
  <c r="G221" i="5" l="1"/>
  <c r="I222" i="5"/>
  <c r="J222" i="5" s="1"/>
  <c r="K222" i="5" s="1"/>
  <c r="H221" i="5"/>
  <c r="F222" i="5"/>
  <c r="I221" i="5"/>
  <c r="J221" i="5" s="1"/>
  <c r="K221" i="5" s="1"/>
  <c r="G222" i="5" l="1"/>
  <c r="H222" i="5"/>
  <c r="F223" i="5"/>
  <c r="H223" i="5" l="1"/>
  <c r="G223" i="5"/>
  <c r="F224" i="5"/>
  <c r="I224" i="5" s="1"/>
  <c r="J224" i="5" s="1"/>
  <c r="K224" i="5" s="1"/>
  <c r="I223" i="5"/>
  <c r="J223" i="5" s="1"/>
  <c r="K223" i="5" s="1"/>
  <c r="F225" i="5" l="1"/>
  <c r="I225" i="5" s="1"/>
  <c r="J225" i="5" s="1"/>
  <c r="K225" i="5" s="1"/>
  <c r="G224" i="5"/>
  <c r="H224" i="5"/>
  <c r="G225" i="5" l="1"/>
  <c r="H225" i="5"/>
  <c r="F226" i="5"/>
  <c r="G226" i="5" l="1"/>
  <c r="H226" i="5"/>
  <c r="F227" i="5"/>
  <c r="I226" i="5"/>
  <c r="J226" i="5" s="1"/>
  <c r="K226" i="5" s="1"/>
  <c r="G227" i="5" l="1"/>
  <c r="H227" i="5"/>
  <c r="F228" i="5"/>
  <c r="I227" i="5"/>
  <c r="J227" i="5" s="1"/>
  <c r="K227" i="5" s="1"/>
  <c r="G228" i="5" l="1"/>
  <c r="H228" i="5"/>
  <c r="F229" i="5"/>
  <c r="I228" i="5"/>
  <c r="J228" i="5" s="1"/>
  <c r="K228" i="5" s="1"/>
  <c r="G229" i="5" l="1"/>
  <c r="H229" i="5"/>
  <c r="F230" i="5"/>
  <c r="I229" i="5"/>
  <c r="J229" i="5" s="1"/>
  <c r="K229" i="5" s="1"/>
  <c r="G230" i="5" l="1"/>
  <c r="H230" i="5"/>
  <c r="F231" i="5"/>
  <c r="I230" i="5"/>
  <c r="J230" i="5" s="1"/>
  <c r="K230" i="5" s="1"/>
  <c r="H231" i="5" l="1"/>
  <c r="F232" i="5"/>
  <c r="I232" i="5" s="1"/>
  <c r="J232" i="5" s="1"/>
  <c r="K232" i="5" s="1"/>
  <c r="G231" i="5"/>
  <c r="I231" i="5"/>
  <c r="J231" i="5" s="1"/>
  <c r="K231" i="5" s="1"/>
  <c r="G232" i="5" l="1"/>
  <c r="F233" i="5"/>
  <c r="I233" i="5" s="1"/>
  <c r="J233" i="5" s="1"/>
  <c r="K233" i="5" s="1"/>
  <c r="H232" i="5"/>
  <c r="G233" i="5" l="1"/>
  <c r="H233" i="5"/>
  <c r="F234" i="5"/>
  <c r="H234" i="5" l="1"/>
  <c r="G234" i="5"/>
  <c r="F235" i="5"/>
  <c r="I234" i="5"/>
  <c r="J234" i="5" s="1"/>
  <c r="K234" i="5" s="1"/>
  <c r="G235" i="5" l="1"/>
  <c r="H235" i="5"/>
  <c r="F236" i="5"/>
  <c r="I235" i="5"/>
  <c r="J235" i="5" s="1"/>
  <c r="K235" i="5" s="1"/>
  <c r="G236" i="5" l="1"/>
  <c r="H236" i="5"/>
  <c r="F237" i="5"/>
  <c r="I236" i="5"/>
  <c r="J236" i="5" s="1"/>
  <c r="K236" i="5" s="1"/>
  <c r="G237" i="5" l="1"/>
  <c r="H237" i="5"/>
  <c r="F238" i="5"/>
  <c r="I237" i="5"/>
  <c r="J237" i="5" s="1"/>
  <c r="K237" i="5" s="1"/>
  <c r="G238" i="5" l="1"/>
  <c r="H238" i="5"/>
  <c r="F239" i="5"/>
  <c r="I238" i="5"/>
  <c r="J238" i="5" s="1"/>
  <c r="K238" i="5" s="1"/>
  <c r="H239" i="5" l="1"/>
  <c r="G239" i="5"/>
  <c r="F240" i="5"/>
  <c r="I240" i="5" s="1"/>
  <c r="J240" i="5" s="1"/>
  <c r="K240" i="5" s="1"/>
  <c r="I239" i="5"/>
  <c r="J239" i="5" s="1"/>
  <c r="K239" i="5" s="1"/>
  <c r="H240" i="5" l="1"/>
  <c r="F241" i="5"/>
  <c r="I241" i="5" s="1"/>
  <c r="J241" i="5" s="1"/>
  <c r="K241" i="5" s="1"/>
  <c r="G240" i="5"/>
  <c r="G241" i="5" l="1"/>
  <c r="H241" i="5"/>
  <c r="F242" i="5"/>
  <c r="G242" i="5" l="1"/>
  <c r="H242" i="5"/>
  <c r="F243" i="5"/>
  <c r="I242" i="5"/>
  <c r="J242" i="5" s="1"/>
  <c r="K242" i="5" s="1"/>
  <c r="H243" i="5" l="1"/>
  <c r="G243" i="5"/>
  <c r="F244" i="5"/>
  <c r="I243" i="5"/>
  <c r="J243" i="5" s="1"/>
  <c r="K243" i="5" s="1"/>
  <c r="G244" i="5" l="1"/>
  <c r="H244" i="5"/>
  <c r="F245" i="5"/>
  <c r="I244" i="5"/>
  <c r="J244" i="5" s="1"/>
  <c r="K244" i="5" s="1"/>
  <c r="G245" i="5" l="1"/>
  <c r="H245" i="5"/>
  <c r="F246" i="5"/>
  <c r="I245" i="5"/>
  <c r="J245" i="5" s="1"/>
  <c r="K245" i="5" s="1"/>
  <c r="G246" i="5" l="1"/>
  <c r="H246" i="5"/>
  <c r="F247" i="5"/>
  <c r="I246" i="5"/>
  <c r="J246" i="5" s="1"/>
  <c r="K246" i="5" s="1"/>
  <c r="F248" i="5" l="1"/>
  <c r="I248" i="5" s="1"/>
  <c r="J248" i="5" s="1"/>
  <c r="K248" i="5" s="1"/>
  <c r="G247" i="5"/>
  <c r="H247" i="5"/>
  <c r="I247" i="5"/>
  <c r="J247" i="5" s="1"/>
  <c r="K247" i="5" s="1"/>
  <c r="F249" i="5" l="1"/>
  <c r="I249" i="5" s="1"/>
  <c r="J249" i="5" s="1"/>
  <c r="K249" i="5" s="1"/>
  <c r="G248" i="5"/>
  <c r="H248" i="5"/>
  <c r="G249" i="5" l="1"/>
  <c r="H249" i="5"/>
  <c r="F250" i="5"/>
  <c r="G250" i="5" l="1"/>
  <c r="H250" i="5"/>
  <c r="F251" i="5"/>
  <c r="I250" i="5"/>
  <c r="J250" i="5" s="1"/>
  <c r="K250" i="5" s="1"/>
  <c r="G251" i="5" l="1"/>
  <c r="H251" i="5"/>
  <c r="F252" i="5"/>
  <c r="I251" i="5"/>
  <c r="J251" i="5" s="1"/>
  <c r="K251" i="5" s="1"/>
  <c r="H252" i="5" l="1"/>
  <c r="G252" i="5"/>
  <c r="F253" i="5"/>
  <c r="I252" i="5"/>
  <c r="J252" i="5" s="1"/>
  <c r="K252" i="5" s="1"/>
  <c r="G253" i="5" l="1"/>
  <c r="H253" i="5"/>
  <c r="F254" i="5"/>
  <c r="I253" i="5"/>
  <c r="J253" i="5" s="1"/>
  <c r="K253" i="5" s="1"/>
  <c r="H254" i="5" l="1"/>
  <c r="G254" i="5"/>
  <c r="F255" i="5"/>
  <c r="I254" i="5"/>
  <c r="J254" i="5" s="1"/>
  <c r="K254" i="5" s="1"/>
  <c r="H255" i="5" l="1"/>
  <c r="F256" i="5"/>
  <c r="I256" i="5" s="1"/>
  <c r="J256" i="5" s="1"/>
  <c r="K256" i="5" s="1"/>
  <c r="G255" i="5"/>
  <c r="I255" i="5"/>
  <c r="J255" i="5" s="1"/>
  <c r="K255" i="5" s="1"/>
  <c r="F257" i="5" l="1"/>
  <c r="I257" i="5" s="1"/>
  <c r="J257" i="5" s="1"/>
  <c r="K257" i="5" s="1"/>
  <c r="G256" i="5"/>
  <c r="H256" i="5"/>
  <c r="G257" i="5" l="1"/>
  <c r="H257" i="5"/>
  <c r="F258" i="5"/>
  <c r="G258" i="5" l="1"/>
  <c r="H258" i="5"/>
  <c r="F259" i="5"/>
  <c r="I258" i="5"/>
  <c r="J258" i="5" s="1"/>
  <c r="K258" i="5" s="1"/>
  <c r="G259" i="5" l="1"/>
  <c r="H259" i="5"/>
  <c r="F260" i="5"/>
  <c r="I259" i="5"/>
  <c r="J259" i="5" s="1"/>
  <c r="K259" i="5" s="1"/>
  <c r="H260" i="5" l="1"/>
  <c r="G260" i="5"/>
  <c r="F261" i="5"/>
  <c r="I260" i="5"/>
  <c r="J260" i="5" s="1"/>
  <c r="K260" i="5" s="1"/>
  <c r="G261" i="5" l="1"/>
  <c r="H261" i="5"/>
  <c r="F262" i="5"/>
  <c r="I261" i="5"/>
  <c r="J261" i="5" s="1"/>
  <c r="K261" i="5" s="1"/>
  <c r="G262" i="5" l="1"/>
  <c r="H262" i="5"/>
  <c r="F263" i="5"/>
  <c r="I262" i="5"/>
  <c r="J262" i="5" s="1"/>
  <c r="K262" i="5" s="1"/>
  <c r="F264" i="5" l="1"/>
  <c r="I264" i="5" s="1"/>
  <c r="J264" i="5" s="1"/>
  <c r="K264" i="5" s="1"/>
  <c r="H263" i="5"/>
  <c r="G263" i="5"/>
  <c r="I263" i="5"/>
  <c r="J263" i="5" s="1"/>
  <c r="K263" i="5" s="1"/>
  <c r="F265" i="5" l="1"/>
  <c r="I265" i="5" s="1"/>
  <c r="J265" i="5" s="1"/>
  <c r="K265" i="5" s="1"/>
  <c r="G264" i="5"/>
  <c r="H264" i="5"/>
  <c r="G265" i="5" l="1"/>
  <c r="H265" i="5"/>
  <c r="F266" i="5"/>
  <c r="G266" i="5" l="1"/>
  <c r="H266" i="5"/>
  <c r="F267" i="5"/>
  <c r="I266" i="5"/>
  <c r="J266" i="5" s="1"/>
  <c r="K266" i="5" s="1"/>
  <c r="G267" i="5" l="1"/>
  <c r="H267" i="5"/>
  <c r="F268" i="5"/>
  <c r="I267" i="5"/>
  <c r="J267" i="5" s="1"/>
  <c r="K267" i="5" s="1"/>
  <c r="G268" i="5" l="1"/>
  <c r="H268" i="5"/>
  <c r="F269" i="5"/>
  <c r="I268" i="5"/>
  <c r="J268" i="5" s="1"/>
  <c r="K268" i="5" s="1"/>
  <c r="G269" i="5" l="1"/>
  <c r="I270" i="5"/>
  <c r="J270" i="5" s="1"/>
  <c r="K270" i="5" s="1"/>
  <c r="H269" i="5"/>
  <c r="F270" i="5"/>
  <c r="I269" i="5"/>
  <c r="J269" i="5" s="1"/>
  <c r="K269" i="5" s="1"/>
  <c r="H270" i="5" l="1"/>
  <c r="G270" i="5"/>
  <c r="F271" i="5"/>
  <c r="F272" i="5" l="1"/>
  <c r="I272" i="5" s="1"/>
  <c r="J272" i="5" s="1"/>
  <c r="K272" i="5" s="1"/>
  <c r="H271" i="5"/>
  <c r="G271" i="5"/>
  <c r="I271" i="5"/>
  <c r="J271" i="5" s="1"/>
  <c r="K271" i="5" s="1"/>
  <c r="F273" i="5" l="1"/>
  <c r="I273" i="5" s="1"/>
  <c r="J273" i="5" s="1"/>
  <c r="K273" i="5" s="1"/>
  <c r="G272" i="5"/>
  <c r="H272" i="5"/>
  <c r="G273" i="5" l="1"/>
  <c r="H273" i="5"/>
  <c r="F274" i="5"/>
  <c r="G274" i="5" l="1"/>
  <c r="I275" i="5"/>
  <c r="J275" i="5" s="1"/>
  <c r="K275" i="5" s="1"/>
  <c r="H274" i="5"/>
  <c r="F275" i="5"/>
  <c r="I274" i="5"/>
  <c r="J274" i="5" s="1"/>
  <c r="K274" i="5" s="1"/>
  <c r="H275" i="5" l="1"/>
  <c r="G275" i="5"/>
  <c r="F276" i="5"/>
  <c r="G276" i="5" l="1"/>
  <c r="H276" i="5"/>
  <c r="F277" i="5"/>
  <c r="I276" i="5"/>
  <c r="J276" i="5" s="1"/>
  <c r="K276" i="5" s="1"/>
  <c r="G277" i="5" l="1"/>
  <c r="H277" i="5"/>
  <c r="F278" i="5"/>
  <c r="I277" i="5"/>
  <c r="J277" i="5" s="1"/>
  <c r="K277" i="5" s="1"/>
  <c r="G278" i="5" l="1"/>
  <c r="H278" i="5"/>
  <c r="F279" i="5"/>
  <c r="I278" i="5"/>
  <c r="J278" i="5" s="1"/>
  <c r="K278" i="5" s="1"/>
  <c r="F280" i="5" l="1"/>
  <c r="I280" i="5" s="1"/>
  <c r="J280" i="5" s="1"/>
  <c r="K280" i="5" s="1"/>
  <c r="H279" i="5"/>
  <c r="G279" i="5"/>
  <c r="I279" i="5"/>
  <c r="J279" i="5" s="1"/>
  <c r="K279" i="5" s="1"/>
  <c r="F281" i="5" l="1"/>
  <c r="I281" i="5" s="1"/>
  <c r="J281" i="5" s="1"/>
  <c r="K281" i="5" s="1"/>
  <c r="H280" i="5"/>
  <c r="G280" i="5"/>
  <c r="G281" i="5" l="1"/>
  <c r="H281" i="5"/>
  <c r="F282" i="5"/>
  <c r="G282" i="5" l="1"/>
  <c r="H282" i="5"/>
  <c r="F283" i="5"/>
  <c r="I283" i="5" s="1"/>
  <c r="J283" i="5" s="1"/>
  <c r="K283" i="5" s="1"/>
  <c r="I282" i="5"/>
  <c r="J282" i="5" s="1"/>
  <c r="K282" i="5" s="1"/>
  <c r="G283" i="5" l="1"/>
  <c r="H283" i="5"/>
  <c r="F284" i="5"/>
  <c r="H284" i="5" l="1"/>
  <c r="G284" i="5"/>
  <c r="F285" i="5"/>
  <c r="I284" i="5"/>
  <c r="J284" i="5" s="1"/>
  <c r="K284" i="5" s="1"/>
  <c r="G285" i="5" l="1"/>
  <c r="H285" i="5"/>
  <c r="F286" i="5"/>
  <c r="I285" i="5"/>
  <c r="J285" i="5" s="1"/>
  <c r="K285" i="5" s="1"/>
  <c r="H286" i="5" l="1"/>
  <c r="G286" i="5"/>
  <c r="F287" i="5"/>
  <c r="I286" i="5"/>
  <c r="J286" i="5" s="1"/>
  <c r="K286" i="5" s="1"/>
  <c r="H287" i="5" l="1"/>
  <c r="F288" i="5"/>
  <c r="G287" i="5"/>
  <c r="I287" i="5"/>
  <c r="J287" i="5" s="1"/>
  <c r="K287" i="5" s="1"/>
  <c r="F289" i="5" l="1"/>
  <c r="I289" i="5" s="1"/>
  <c r="J289" i="5" s="1"/>
  <c r="K289" i="5" s="1"/>
  <c r="G288" i="5"/>
  <c r="H288" i="5"/>
  <c r="I288" i="5"/>
  <c r="J288" i="5" s="1"/>
  <c r="K288" i="5" s="1"/>
  <c r="H289" i="5" l="1"/>
  <c r="G289" i="5"/>
  <c r="F290" i="5"/>
  <c r="G290" i="5" l="1"/>
  <c r="H290" i="5"/>
  <c r="F291" i="5"/>
  <c r="I290" i="5"/>
  <c r="J290" i="5" s="1"/>
  <c r="K290" i="5" s="1"/>
  <c r="G291" i="5" l="1"/>
  <c r="H291" i="5"/>
  <c r="F292" i="5"/>
  <c r="I291" i="5"/>
  <c r="J291" i="5" s="1"/>
  <c r="K291" i="5" s="1"/>
  <c r="G292" i="5" l="1"/>
  <c r="H292" i="5"/>
  <c r="F293" i="5"/>
  <c r="I292" i="5"/>
  <c r="J292" i="5" s="1"/>
  <c r="K292" i="5" s="1"/>
  <c r="G293" i="5" l="1"/>
  <c r="H293" i="5"/>
  <c r="F294" i="5"/>
  <c r="I293" i="5"/>
  <c r="J293" i="5" s="1"/>
  <c r="K293" i="5" s="1"/>
  <c r="G294" i="5" l="1"/>
  <c r="H294" i="5"/>
  <c r="F295" i="5"/>
  <c r="I294" i="5"/>
  <c r="J294" i="5" s="1"/>
  <c r="K294" i="5" s="1"/>
  <c r="H295" i="5" l="1"/>
  <c r="F296" i="5"/>
  <c r="I296" i="5" s="1"/>
  <c r="J296" i="5" s="1"/>
  <c r="K296" i="5" s="1"/>
  <c r="G295" i="5"/>
  <c r="I295" i="5"/>
  <c r="J295" i="5" s="1"/>
  <c r="K295" i="5" s="1"/>
  <c r="F297" i="5" l="1"/>
  <c r="I297" i="5" s="1"/>
  <c r="J297" i="5" s="1"/>
  <c r="K297" i="5" s="1"/>
  <c r="G296" i="5"/>
  <c r="H296" i="5"/>
  <c r="H297" i="5" l="1"/>
  <c r="G297" i="5"/>
  <c r="F298" i="5"/>
  <c r="H298" i="5" l="1"/>
  <c r="G298" i="5"/>
  <c r="F299" i="5"/>
  <c r="I298" i="5"/>
  <c r="J298" i="5" s="1"/>
  <c r="K298" i="5" s="1"/>
  <c r="G299" i="5" l="1"/>
  <c r="H299" i="5"/>
  <c r="F300" i="5"/>
  <c r="I299" i="5"/>
  <c r="J299" i="5" s="1"/>
  <c r="K299" i="5" s="1"/>
  <c r="G300" i="5" l="1"/>
  <c r="H300" i="5"/>
  <c r="F301" i="5"/>
  <c r="I300" i="5"/>
  <c r="J300" i="5" s="1"/>
  <c r="K300" i="5" s="1"/>
  <c r="G301" i="5" l="1"/>
  <c r="H301" i="5"/>
  <c r="F302" i="5"/>
  <c r="I301" i="5"/>
  <c r="J301" i="5" s="1"/>
  <c r="K301" i="5" s="1"/>
  <c r="G302" i="5" l="1"/>
  <c r="H302" i="5"/>
  <c r="F303" i="5"/>
  <c r="I302" i="5"/>
  <c r="J302" i="5" s="1"/>
  <c r="K302" i="5" s="1"/>
  <c r="H303" i="5" l="1"/>
  <c r="F304" i="5"/>
  <c r="I304" i="5" s="1"/>
  <c r="J304" i="5" s="1"/>
  <c r="K304" i="5" s="1"/>
  <c r="G303" i="5"/>
  <c r="I303" i="5"/>
  <c r="J303" i="5" s="1"/>
  <c r="K303" i="5" s="1"/>
  <c r="F305" i="5" l="1"/>
  <c r="I305" i="5" s="1"/>
  <c r="J305" i="5" s="1"/>
  <c r="K305" i="5" s="1"/>
  <c r="G304" i="5"/>
  <c r="H304" i="5"/>
  <c r="G305" i="5" l="1"/>
  <c r="H305" i="5"/>
  <c r="F306" i="5"/>
  <c r="G306" i="5" l="1"/>
  <c r="H306" i="5"/>
  <c r="F307" i="5"/>
  <c r="I306" i="5"/>
  <c r="J306" i="5" s="1"/>
  <c r="K306" i="5" s="1"/>
  <c r="H307" i="5" l="1"/>
  <c r="G307" i="5"/>
  <c r="F308" i="5"/>
  <c r="I307" i="5"/>
  <c r="J307" i="5" s="1"/>
  <c r="K307" i="5" s="1"/>
  <c r="H308" i="5" l="1"/>
  <c r="G308" i="5"/>
  <c r="F309" i="5"/>
  <c r="I308" i="5"/>
  <c r="J308" i="5" s="1"/>
  <c r="K308" i="5" s="1"/>
  <c r="G309" i="5" l="1"/>
  <c r="H309" i="5"/>
  <c r="F310" i="5"/>
  <c r="I309" i="5"/>
  <c r="J309" i="5" s="1"/>
  <c r="K309" i="5" s="1"/>
  <c r="G310" i="5" l="1"/>
  <c r="H310" i="5"/>
  <c r="F311" i="5"/>
  <c r="I310" i="5"/>
  <c r="J310" i="5" s="1"/>
  <c r="K310" i="5" s="1"/>
  <c r="F312" i="5" l="1"/>
  <c r="I312" i="5" s="1"/>
  <c r="J312" i="5" s="1"/>
  <c r="K312" i="5" s="1"/>
  <c r="G311" i="5"/>
  <c r="H311" i="5"/>
  <c r="I311" i="5"/>
  <c r="J311" i="5" s="1"/>
  <c r="K311" i="5" s="1"/>
  <c r="G312" i="5" l="1"/>
  <c r="F313" i="5"/>
  <c r="I313" i="5" s="1"/>
  <c r="J313" i="5" s="1"/>
  <c r="K313" i="5" s="1"/>
  <c r="H312" i="5"/>
  <c r="G313" i="5" l="1"/>
  <c r="H313" i="5"/>
  <c r="F314" i="5"/>
  <c r="G314" i="5" l="1"/>
  <c r="H314" i="5"/>
  <c r="F315" i="5"/>
  <c r="I314" i="5"/>
  <c r="J314" i="5" s="1"/>
  <c r="K314" i="5" s="1"/>
  <c r="G315" i="5" l="1"/>
  <c r="H315" i="5"/>
  <c r="F316" i="5"/>
  <c r="I315" i="5"/>
  <c r="J315" i="5" s="1"/>
  <c r="K315" i="5" s="1"/>
  <c r="H316" i="5" l="1"/>
  <c r="G316" i="5"/>
  <c r="F317" i="5"/>
  <c r="I316" i="5"/>
  <c r="J316" i="5" s="1"/>
  <c r="K316" i="5" s="1"/>
  <c r="G317" i="5" l="1"/>
  <c r="H317" i="5"/>
  <c r="F318" i="5"/>
  <c r="I317" i="5"/>
  <c r="J317" i="5" s="1"/>
  <c r="K317" i="5" s="1"/>
  <c r="G318" i="5" l="1"/>
  <c r="H318" i="5"/>
  <c r="F319" i="5"/>
  <c r="I318" i="5"/>
  <c r="J318" i="5" s="1"/>
  <c r="K318" i="5" s="1"/>
  <c r="H319" i="5" l="1"/>
  <c r="F320" i="5"/>
  <c r="I320" i="5" s="1"/>
  <c r="J320" i="5" s="1"/>
  <c r="K320" i="5" s="1"/>
  <c r="G319" i="5"/>
  <c r="I319" i="5"/>
  <c r="J319" i="5" s="1"/>
  <c r="K319" i="5" s="1"/>
  <c r="F321" i="5" l="1"/>
  <c r="I321" i="5" s="1"/>
  <c r="J321" i="5" s="1"/>
  <c r="K321" i="5" s="1"/>
  <c r="G320" i="5"/>
  <c r="H320" i="5"/>
  <c r="G321" i="5" l="1"/>
  <c r="H321" i="5"/>
  <c r="F322" i="5"/>
  <c r="G322" i="5" l="1"/>
  <c r="H322" i="5"/>
  <c r="F323" i="5"/>
  <c r="I322" i="5"/>
  <c r="J322" i="5" s="1"/>
  <c r="K322" i="5" s="1"/>
  <c r="G323" i="5" l="1"/>
  <c r="H323" i="5"/>
  <c r="F324" i="5"/>
  <c r="I323" i="5"/>
  <c r="J323" i="5" s="1"/>
  <c r="K323" i="5" s="1"/>
  <c r="G324" i="5" l="1"/>
  <c r="H324" i="5"/>
  <c r="F325" i="5"/>
  <c r="I324" i="5"/>
  <c r="J324" i="5" s="1"/>
  <c r="K324" i="5" s="1"/>
  <c r="G325" i="5" l="1"/>
  <c r="H325" i="5"/>
  <c r="F326" i="5"/>
  <c r="I325" i="5"/>
  <c r="J325" i="5" s="1"/>
  <c r="K325" i="5" s="1"/>
  <c r="G326" i="5" l="1"/>
  <c r="H326" i="5"/>
  <c r="F327" i="5"/>
  <c r="I326" i="5"/>
  <c r="J326" i="5" s="1"/>
  <c r="K326" i="5" s="1"/>
  <c r="F328" i="5" l="1"/>
  <c r="I328" i="5" s="1"/>
  <c r="J328" i="5" s="1"/>
  <c r="K328" i="5" s="1"/>
  <c r="H327" i="5"/>
  <c r="G327" i="5"/>
  <c r="I327" i="5"/>
  <c r="J327" i="5" s="1"/>
  <c r="K327" i="5" s="1"/>
  <c r="F329" i="5" l="1"/>
  <c r="I329" i="5" s="1"/>
  <c r="J329" i="5" s="1"/>
  <c r="K329" i="5" s="1"/>
  <c r="G328" i="5"/>
  <c r="H328" i="5"/>
  <c r="G329" i="5" l="1"/>
  <c r="H329" i="5"/>
  <c r="F330" i="5"/>
  <c r="G330" i="5" l="1"/>
  <c r="H330" i="5"/>
  <c r="F331" i="5"/>
  <c r="I330" i="5"/>
  <c r="J330" i="5" s="1"/>
  <c r="K330" i="5" s="1"/>
  <c r="H331" i="5" l="1"/>
  <c r="G331" i="5"/>
  <c r="F332" i="5"/>
  <c r="I331" i="5"/>
  <c r="J331" i="5" s="1"/>
  <c r="K331" i="5" s="1"/>
  <c r="H332" i="5" l="1"/>
  <c r="G332" i="5"/>
  <c r="F333" i="5"/>
  <c r="I332" i="5"/>
  <c r="J332" i="5" s="1"/>
  <c r="K332" i="5" s="1"/>
  <c r="G333" i="5" l="1"/>
  <c r="H333" i="5"/>
  <c r="F334" i="5"/>
  <c r="I333" i="5"/>
  <c r="J333" i="5" s="1"/>
  <c r="K333" i="5" s="1"/>
  <c r="H334" i="5" l="1"/>
  <c r="G334" i="5"/>
  <c r="F335" i="5"/>
  <c r="I334" i="5"/>
  <c r="J334" i="5" s="1"/>
  <c r="K334" i="5" s="1"/>
  <c r="F336" i="5" l="1"/>
  <c r="I336" i="5" s="1"/>
  <c r="J336" i="5" s="1"/>
  <c r="K336" i="5" s="1"/>
  <c r="H335" i="5"/>
  <c r="G335" i="5"/>
  <c r="I335" i="5"/>
  <c r="J335" i="5" s="1"/>
  <c r="K335" i="5" s="1"/>
  <c r="F337" i="5" l="1"/>
  <c r="I337" i="5" s="1"/>
  <c r="J337" i="5" s="1"/>
  <c r="K337" i="5" s="1"/>
  <c r="G336" i="5"/>
  <c r="H336" i="5"/>
  <c r="G337" i="5" l="1"/>
  <c r="H337" i="5"/>
  <c r="F338" i="5"/>
  <c r="G338" i="5" l="1"/>
  <c r="H338" i="5"/>
  <c r="F339" i="5"/>
  <c r="I338" i="5"/>
  <c r="J338" i="5" s="1"/>
  <c r="K338" i="5" s="1"/>
  <c r="G339" i="5" l="1"/>
  <c r="H339" i="5"/>
  <c r="F340" i="5"/>
  <c r="I339" i="5"/>
  <c r="J339" i="5" s="1"/>
  <c r="K339" i="5" s="1"/>
  <c r="G340" i="5" l="1"/>
  <c r="H340" i="5"/>
  <c r="F341" i="5"/>
  <c r="I340" i="5"/>
  <c r="J340" i="5" s="1"/>
  <c r="K340" i="5" s="1"/>
  <c r="G341" i="5" l="1"/>
  <c r="H341" i="5"/>
  <c r="F342" i="5"/>
  <c r="I341" i="5"/>
  <c r="J341" i="5" s="1"/>
  <c r="K341" i="5" s="1"/>
  <c r="G342" i="5" l="1"/>
  <c r="I343" i="5"/>
  <c r="J343" i="5" s="1"/>
  <c r="K343" i="5" s="1"/>
  <c r="H342" i="5"/>
  <c r="F343" i="5"/>
  <c r="I342" i="5"/>
  <c r="J342" i="5" s="1"/>
  <c r="K342" i="5" s="1"/>
  <c r="F344" i="5" l="1"/>
  <c r="I344" i="5" s="1"/>
  <c r="J344" i="5" s="1"/>
  <c r="K344" i="5" s="1"/>
  <c r="H343" i="5"/>
  <c r="G343" i="5"/>
  <c r="F345" i="5" l="1"/>
  <c r="I345" i="5" s="1"/>
  <c r="J345" i="5" s="1"/>
  <c r="K345" i="5" s="1"/>
  <c r="H344" i="5"/>
  <c r="G344" i="5"/>
  <c r="G345" i="5" l="1"/>
  <c r="H345" i="5"/>
  <c r="F346" i="5"/>
  <c r="G346" i="5" l="1"/>
  <c r="H346" i="5"/>
  <c r="F347" i="5"/>
  <c r="I346" i="5"/>
  <c r="J346" i="5" s="1"/>
  <c r="K346" i="5" s="1"/>
  <c r="G347" i="5" l="1"/>
  <c r="I348" i="5"/>
  <c r="J348" i="5" s="1"/>
  <c r="K348" i="5" s="1"/>
  <c r="H347" i="5"/>
  <c r="F348" i="5"/>
  <c r="I347" i="5"/>
  <c r="J347" i="5" s="1"/>
  <c r="K347" i="5" s="1"/>
  <c r="G348" i="5" l="1"/>
  <c r="H348" i="5"/>
  <c r="F349" i="5"/>
  <c r="G349" i="5" l="1"/>
  <c r="H349" i="5"/>
  <c r="F350" i="5"/>
  <c r="I349" i="5"/>
  <c r="J349" i="5" s="1"/>
  <c r="K349" i="5" s="1"/>
  <c r="G350" i="5" l="1"/>
  <c r="H350" i="5"/>
  <c r="F351" i="5"/>
  <c r="I350" i="5"/>
  <c r="J350" i="5" s="1"/>
  <c r="K350" i="5" s="1"/>
  <c r="H351" i="5" l="1"/>
  <c r="G351" i="5"/>
  <c r="F352" i="5"/>
  <c r="I351" i="5"/>
  <c r="J351" i="5" s="1"/>
  <c r="K351" i="5" s="1"/>
  <c r="F353" i="5" l="1"/>
  <c r="I353" i="5" s="1"/>
  <c r="J353" i="5" s="1"/>
  <c r="K353" i="5" s="1"/>
  <c r="G352" i="5"/>
  <c r="H352" i="5"/>
  <c r="I352" i="5"/>
  <c r="J352" i="5" s="1"/>
  <c r="K352" i="5" s="1"/>
  <c r="H353" i="5" l="1"/>
  <c r="G353" i="5"/>
  <c r="F354" i="5"/>
  <c r="H354" i="5" l="1"/>
  <c r="G354" i="5"/>
  <c r="F355" i="5"/>
  <c r="I354" i="5"/>
  <c r="J354" i="5" s="1"/>
  <c r="K354" i="5" s="1"/>
  <c r="G355" i="5" l="1"/>
  <c r="H355" i="5"/>
  <c r="F356" i="5"/>
  <c r="I355" i="5"/>
  <c r="J355" i="5" s="1"/>
  <c r="K355" i="5" s="1"/>
  <c r="G356" i="5" l="1"/>
  <c r="H356" i="5"/>
  <c r="F357" i="5"/>
  <c r="I356" i="5"/>
  <c r="J356" i="5" s="1"/>
  <c r="K356" i="5" s="1"/>
  <c r="G357" i="5" l="1"/>
  <c r="H357" i="5"/>
  <c r="F358" i="5"/>
  <c r="I357" i="5"/>
  <c r="J357" i="5" s="1"/>
  <c r="K357" i="5" s="1"/>
  <c r="H358" i="5" l="1"/>
  <c r="G358" i="5"/>
  <c r="F359" i="5"/>
  <c r="I358" i="5"/>
  <c r="J358" i="5" s="1"/>
  <c r="K358" i="5" s="1"/>
  <c r="H359" i="5" l="1"/>
  <c r="F360" i="5"/>
  <c r="I360" i="5" s="1"/>
  <c r="J360" i="5" s="1"/>
  <c r="K360" i="5" s="1"/>
  <c r="G359" i="5"/>
  <c r="I359" i="5"/>
  <c r="J359" i="5" s="1"/>
  <c r="K359" i="5" s="1"/>
  <c r="G360" i="5" l="1"/>
  <c r="H360" i="5"/>
  <c r="F361" i="5"/>
  <c r="G361" i="5" l="1"/>
  <c r="H361" i="5"/>
  <c r="F362" i="5"/>
  <c r="I361" i="5"/>
  <c r="J361" i="5" s="1"/>
  <c r="K361" i="5" s="1"/>
  <c r="H362" i="5" l="1"/>
  <c r="G362" i="5"/>
  <c r="F363" i="5"/>
  <c r="I362" i="5"/>
  <c r="J362" i="5" s="1"/>
  <c r="K362" i="5" s="1"/>
  <c r="G363" i="5" l="1"/>
  <c r="H363" i="5"/>
  <c r="F364" i="5"/>
  <c r="I363" i="5"/>
  <c r="J363" i="5" s="1"/>
  <c r="K363" i="5" s="1"/>
  <c r="G364" i="5" l="1"/>
  <c r="H364" i="5"/>
  <c r="F365" i="5"/>
  <c r="I364" i="5"/>
  <c r="J364" i="5" s="1"/>
  <c r="K364" i="5" s="1"/>
  <c r="G365" i="5" l="1"/>
  <c r="H365" i="5"/>
  <c r="F366" i="5"/>
  <c r="I365" i="5"/>
  <c r="J365" i="5" s="1"/>
  <c r="K365" i="5" s="1"/>
  <c r="G366" i="5" l="1"/>
  <c r="H366" i="5"/>
  <c r="F367" i="5"/>
  <c r="I366" i="5"/>
  <c r="J366" i="5" s="1"/>
  <c r="K366" i="5" s="1"/>
  <c r="H367" i="5" l="1"/>
  <c r="G367" i="5"/>
  <c r="F368" i="5"/>
  <c r="I368" i="5" s="1"/>
  <c r="J368" i="5" s="1"/>
  <c r="K368" i="5" s="1"/>
  <c r="I367" i="5"/>
  <c r="J367" i="5" s="1"/>
  <c r="K367" i="5" s="1"/>
  <c r="F369" i="5" l="1"/>
  <c r="I369" i="5" s="1"/>
  <c r="J369" i="5" s="1"/>
  <c r="K369" i="5" s="1"/>
  <c r="G368" i="5"/>
  <c r="H368" i="5"/>
  <c r="G369" i="5" l="1"/>
  <c r="H369" i="5"/>
  <c r="F370" i="5"/>
  <c r="H370" i="5" l="1"/>
  <c r="G370" i="5"/>
  <c r="F371" i="5"/>
  <c r="I370" i="5"/>
  <c r="J370" i="5" s="1"/>
  <c r="K370" i="5" s="1"/>
  <c r="H371" i="5" l="1"/>
  <c r="G371" i="5"/>
  <c r="F372" i="5"/>
  <c r="I371" i="5"/>
  <c r="J371" i="5" s="1"/>
  <c r="K371" i="5" s="1"/>
  <c r="G372" i="5" l="1"/>
  <c r="H372" i="5"/>
  <c r="F373" i="5"/>
  <c r="I372" i="5"/>
  <c r="J372" i="5" s="1"/>
  <c r="K372" i="5" s="1"/>
  <c r="G373" i="5" l="1"/>
  <c r="H373" i="5"/>
  <c r="F374" i="5"/>
  <c r="I373" i="5"/>
  <c r="J373" i="5" s="1"/>
  <c r="K373" i="5" s="1"/>
  <c r="G374" i="5" l="1"/>
  <c r="H374" i="5"/>
  <c r="F375" i="5"/>
  <c r="I374" i="5"/>
  <c r="J374" i="5" s="1"/>
  <c r="K374" i="5" s="1"/>
  <c r="F376" i="5" l="1"/>
  <c r="I376" i="5" s="1"/>
  <c r="J376" i="5" s="1"/>
  <c r="K376" i="5" s="1"/>
  <c r="G375" i="5"/>
  <c r="H375" i="5"/>
  <c r="I375" i="5"/>
  <c r="J375" i="5" s="1"/>
  <c r="K375" i="5" s="1"/>
  <c r="F377" i="5" l="1"/>
  <c r="I377" i="5" s="1"/>
  <c r="J377" i="5" s="1"/>
  <c r="K377" i="5" s="1"/>
  <c r="G376" i="5"/>
  <c r="H376" i="5"/>
  <c r="G377" i="5" l="1"/>
  <c r="H377" i="5"/>
  <c r="F378" i="5"/>
  <c r="G378" i="5" l="1"/>
  <c r="H378" i="5"/>
  <c r="F379" i="5"/>
  <c r="I378" i="5"/>
  <c r="J378" i="5" s="1"/>
  <c r="K378" i="5" s="1"/>
  <c r="H379" i="5" l="1"/>
  <c r="G379" i="5"/>
  <c r="F380" i="5"/>
  <c r="I379" i="5"/>
  <c r="J379" i="5" s="1"/>
  <c r="K379" i="5" s="1"/>
  <c r="H380" i="5" l="1"/>
  <c r="G380" i="5"/>
  <c r="F381" i="5"/>
  <c r="I380" i="5"/>
  <c r="J380" i="5" s="1"/>
  <c r="K380" i="5" s="1"/>
  <c r="G381" i="5" l="1"/>
  <c r="H381" i="5"/>
  <c r="F382" i="5"/>
  <c r="I381" i="5"/>
  <c r="J381" i="5" s="1"/>
  <c r="K381" i="5" s="1"/>
  <c r="H382" i="5" l="1"/>
  <c r="G382" i="5"/>
  <c r="F383" i="5"/>
  <c r="I382" i="5"/>
  <c r="J382" i="5" s="1"/>
  <c r="K382" i="5" s="1"/>
  <c r="H383" i="5" l="1"/>
  <c r="F384" i="5"/>
  <c r="I384" i="5" s="1"/>
  <c r="J384" i="5" s="1"/>
  <c r="K384" i="5" s="1"/>
  <c r="G383" i="5"/>
  <c r="I383" i="5"/>
  <c r="J383" i="5" s="1"/>
  <c r="K383" i="5" s="1"/>
  <c r="F385" i="5" l="1"/>
  <c r="I385" i="5" s="1"/>
  <c r="J385" i="5" s="1"/>
  <c r="K385" i="5" s="1"/>
  <c r="G384" i="5"/>
  <c r="H384" i="5"/>
  <c r="G385" i="5" l="1"/>
  <c r="H385" i="5"/>
  <c r="F386" i="5"/>
  <c r="G386" i="5" l="1"/>
  <c r="H386" i="5"/>
  <c r="F387" i="5"/>
  <c r="I386" i="5"/>
  <c r="J386" i="5" s="1"/>
  <c r="K386" i="5" s="1"/>
  <c r="G387" i="5" l="1"/>
  <c r="H387" i="5"/>
  <c r="F388" i="5"/>
  <c r="I387" i="5"/>
  <c r="J387" i="5" s="1"/>
  <c r="K387" i="5" s="1"/>
  <c r="G388" i="5" l="1"/>
  <c r="H388" i="5"/>
  <c r="F389" i="5"/>
  <c r="I388" i="5"/>
  <c r="J388" i="5" s="1"/>
  <c r="K388" i="5" s="1"/>
  <c r="G389" i="5" l="1"/>
  <c r="H389" i="5"/>
  <c r="F390" i="5"/>
  <c r="I389" i="5"/>
  <c r="J389" i="5" s="1"/>
  <c r="K389" i="5" s="1"/>
  <c r="G390" i="5" l="1"/>
  <c r="H390" i="5"/>
  <c r="F391" i="5"/>
  <c r="I390" i="5"/>
  <c r="J390" i="5" s="1"/>
  <c r="K390" i="5" s="1"/>
  <c r="F392" i="5" l="1"/>
  <c r="I392" i="5" s="1"/>
  <c r="J392" i="5" s="1"/>
  <c r="K392" i="5" s="1"/>
  <c r="H391" i="5"/>
  <c r="G391" i="5"/>
  <c r="I391" i="5"/>
  <c r="J391" i="5" s="1"/>
  <c r="K391" i="5" s="1"/>
  <c r="F393" i="5" l="1"/>
  <c r="I393" i="5" s="1"/>
  <c r="J393" i="5" s="1"/>
  <c r="K393" i="5" s="1"/>
  <c r="H392" i="5"/>
  <c r="G392" i="5"/>
  <c r="G393" i="5" l="1"/>
  <c r="H393" i="5"/>
  <c r="F394" i="5"/>
  <c r="H394" i="5" l="1"/>
  <c r="G394" i="5"/>
  <c r="F395" i="5"/>
  <c r="I394" i="5"/>
  <c r="J394" i="5" s="1"/>
  <c r="K394" i="5" s="1"/>
  <c r="G395" i="5" l="1"/>
  <c r="H395" i="5"/>
  <c r="F396" i="5"/>
  <c r="I395" i="5"/>
  <c r="J395" i="5" s="1"/>
  <c r="K395" i="5" s="1"/>
  <c r="G396" i="5" l="1"/>
  <c r="H396" i="5"/>
  <c r="F397" i="5"/>
  <c r="I396" i="5"/>
  <c r="J396" i="5" s="1"/>
  <c r="K396" i="5" s="1"/>
  <c r="G397" i="5" l="1"/>
  <c r="H397" i="5"/>
  <c r="F398" i="5"/>
  <c r="I397" i="5"/>
  <c r="J397" i="5" s="1"/>
  <c r="K397" i="5" s="1"/>
  <c r="G398" i="5" l="1"/>
  <c r="H398" i="5"/>
  <c r="F399" i="5"/>
  <c r="I398" i="5"/>
  <c r="J398" i="5" s="1"/>
  <c r="K398" i="5" s="1"/>
  <c r="F400" i="5" l="1"/>
  <c r="I400" i="5" s="1"/>
  <c r="J400" i="5" s="1"/>
  <c r="K400" i="5" s="1"/>
  <c r="H399" i="5"/>
  <c r="G399" i="5"/>
  <c r="I399" i="5"/>
  <c r="J399" i="5" s="1"/>
  <c r="K399" i="5" s="1"/>
  <c r="F401" i="5" l="1"/>
  <c r="I401" i="5" s="1"/>
  <c r="J401" i="5" s="1"/>
  <c r="K401" i="5" s="1"/>
  <c r="G400" i="5"/>
  <c r="H400" i="5"/>
  <c r="G401" i="5" l="1"/>
  <c r="H401" i="5"/>
  <c r="F402" i="5"/>
  <c r="G402" i="5" l="1"/>
  <c r="H402" i="5"/>
  <c r="F403" i="5"/>
  <c r="I402" i="5"/>
  <c r="J402" i="5" s="1"/>
  <c r="K402" i="5" s="1"/>
  <c r="G403" i="5" l="1"/>
  <c r="H403" i="5"/>
  <c r="F404" i="5"/>
  <c r="I403" i="5"/>
  <c r="J403" i="5" s="1"/>
  <c r="K403" i="5" s="1"/>
  <c r="G404" i="5" l="1"/>
  <c r="H404" i="5"/>
  <c r="F405" i="5"/>
  <c r="I404" i="5"/>
  <c r="J404" i="5" s="1"/>
  <c r="K404" i="5" s="1"/>
  <c r="G405" i="5" l="1"/>
  <c r="H405" i="5"/>
  <c r="F406" i="5"/>
  <c r="I405" i="5"/>
  <c r="J405" i="5" s="1"/>
  <c r="K405" i="5" s="1"/>
  <c r="H406" i="5" l="1"/>
  <c r="G406" i="5"/>
  <c r="F407" i="5"/>
  <c r="I406" i="5"/>
  <c r="J406" i="5" s="1"/>
  <c r="K406" i="5" s="1"/>
  <c r="F408" i="5" l="1"/>
  <c r="I408" i="5" s="1"/>
  <c r="J408" i="5" s="1"/>
  <c r="K408" i="5" s="1"/>
  <c r="H407" i="5"/>
  <c r="G407" i="5"/>
  <c r="I407" i="5"/>
  <c r="J407" i="5" s="1"/>
  <c r="K407" i="5" s="1"/>
  <c r="F409" i="5" l="1"/>
  <c r="I409" i="5" s="1"/>
  <c r="J409" i="5" s="1"/>
  <c r="K409" i="5" s="1"/>
  <c r="G408" i="5"/>
  <c r="H408" i="5"/>
  <c r="G409" i="5" l="1"/>
  <c r="H409" i="5"/>
  <c r="F410" i="5"/>
  <c r="G410" i="5" l="1"/>
  <c r="H410" i="5"/>
  <c r="F411" i="5"/>
  <c r="I410" i="5"/>
  <c r="J410" i="5" s="1"/>
  <c r="K410" i="5" s="1"/>
  <c r="G411" i="5" l="1"/>
  <c r="H411" i="5"/>
  <c r="F412" i="5"/>
  <c r="I411" i="5"/>
  <c r="J411" i="5" s="1"/>
  <c r="K411" i="5" s="1"/>
  <c r="H412" i="5" l="1"/>
  <c r="G412" i="5"/>
  <c r="F413" i="5"/>
  <c r="I413" i="5" s="1"/>
  <c r="J413" i="5" s="1"/>
  <c r="K413" i="5" s="1"/>
  <c r="I412" i="5"/>
  <c r="J412" i="5" s="1"/>
  <c r="K412" i="5" s="1"/>
  <c r="G413" i="5" l="1"/>
  <c r="H413" i="5"/>
  <c r="F414" i="5"/>
  <c r="G414" i="5" l="1"/>
  <c r="H414" i="5"/>
  <c r="F415" i="5"/>
  <c r="I414" i="5"/>
  <c r="J414" i="5" s="1"/>
  <c r="K414" i="5" s="1"/>
  <c r="H415" i="5" l="1"/>
  <c r="G415" i="5"/>
  <c r="I416" i="5"/>
  <c r="J416" i="5" s="1"/>
  <c r="K416" i="5" s="1"/>
  <c r="F416" i="5"/>
  <c r="I415" i="5"/>
  <c r="J415" i="5" s="1"/>
  <c r="K415" i="5" s="1"/>
  <c r="F417" i="5" l="1"/>
  <c r="I417" i="5" s="1"/>
  <c r="J417" i="5" s="1"/>
  <c r="K417" i="5" s="1"/>
  <c r="G416" i="5"/>
  <c r="H416" i="5"/>
  <c r="H417" i="5" l="1"/>
  <c r="G417" i="5"/>
  <c r="F418" i="5"/>
  <c r="G418" i="5" l="1"/>
  <c r="H418" i="5"/>
  <c r="F419" i="5"/>
  <c r="I418" i="5"/>
  <c r="J418" i="5" s="1"/>
  <c r="K418" i="5" s="1"/>
  <c r="G419" i="5" l="1"/>
  <c r="H419" i="5"/>
  <c r="F420" i="5"/>
  <c r="I419" i="5"/>
  <c r="J419" i="5" s="1"/>
  <c r="K419" i="5" s="1"/>
  <c r="G420" i="5" l="1"/>
  <c r="H420" i="5"/>
  <c r="F421" i="5"/>
  <c r="I420" i="5"/>
  <c r="J420" i="5" s="1"/>
  <c r="K420" i="5" s="1"/>
  <c r="G421" i="5" l="1"/>
  <c r="H421" i="5"/>
  <c r="F422" i="5"/>
  <c r="I421" i="5"/>
  <c r="J421" i="5" s="1"/>
  <c r="K421" i="5" s="1"/>
  <c r="G422" i="5" l="1"/>
  <c r="H422" i="5"/>
  <c r="F423" i="5"/>
  <c r="I422" i="5"/>
  <c r="J422" i="5" s="1"/>
  <c r="K422" i="5" s="1"/>
  <c r="H423" i="5" l="1"/>
  <c r="G423" i="5"/>
  <c r="F424" i="5"/>
  <c r="I423" i="5"/>
  <c r="J423" i="5" s="1"/>
  <c r="K423" i="5" s="1"/>
  <c r="G424" i="5" l="1"/>
  <c r="F425" i="5"/>
  <c r="H424" i="5"/>
  <c r="I424" i="5"/>
  <c r="J424" i="5" s="1"/>
  <c r="K424" i="5" s="1"/>
  <c r="H425" i="5" l="1"/>
  <c r="G425" i="5"/>
  <c r="F426" i="5"/>
  <c r="I425" i="5"/>
  <c r="J425" i="5" s="1"/>
  <c r="K425" i="5" s="1"/>
  <c r="H426" i="5" l="1"/>
  <c r="G426" i="5"/>
  <c r="F427" i="5"/>
  <c r="I426" i="5"/>
  <c r="J426" i="5" s="1"/>
  <c r="K426" i="5" s="1"/>
  <c r="G427" i="5" l="1"/>
  <c r="I428" i="5"/>
  <c r="J428" i="5" s="1"/>
  <c r="K428" i="5" s="1"/>
  <c r="H427" i="5"/>
  <c r="F428" i="5"/>
  <c r="I427" i="5"/>
  <c r="J427" i="5" s="1"/>
  <c r="K427" i="5" s="1"/>
  <c r="G428" i="5" l="1"/>
  <c r="I429" i="5"/>
  <c r="J429" i="5" s="1"/>
  <c r="K429" i="5" s="1"/>
  <c r="H428" i="5"/>
  <c r="F429" i="5"/>
  <c r="H429" i="5" l="1"/>
  <c r="G429" i="5"/>
  <c r="F430" i="5"/>
  <c r="G430" i="5" l="1"/>
  <c r="H430" i="5"/>
  <c r="F431" i="5"/>
  <c r="I430" i="5"/>
  <c r="J430" i="5" s="1"/>
  <c r="K430" i="5" s="1"/>
  <c r="H431" i="5" l="1"/>
  <c r="F432" i="5"/>
  <c r="I432" i="5" s="1"/>
  <c r="J432" i="5" s="1"/>
  <c r="K432" i="5" s="1"/>
  <c r="G431" i="5"/>
  <c r="I431" i="5"/>
  <c r="J431" i="5" s="1"/>
  <c r="K431" i="5" s="1"/>
  <c r="F433" i="5" l="1"/>
  <c r="I433" i="5" s="1"/>
  <c r="J433" i="5" s="1"/>
  <c r="K433" i="5" s="1"/>
  <c r="G432" i="5"/>
  <c r="H432" i="5"/>
  <c r="H433" i="5" l="1"/>
  <c r="G433" i="5"/>
  <c r="F434" i="5"/>
  <c r="G434" i="5" l="1"/>
  <c r="H434" i="5"/>
  <c r="F435" i="5"/>
  <c r="I434" i="5"/>
  <c r="J434" i="5" s="1"/>
  <c r="K434" i="5" s="1"/>
  <c r="H435" i="5" l="1"/>
  <c r="G435" i="5"/>
  <c r="F436" i="5"/>
  <c r="I435" i="5"/>
  <c r="J435" i="5" s="1"/>
  <c r="K435" i="5" s="1"/>
  <c r="G436" i="5" l="1"/>
  <c r="H436" i="5"/>
  <c r="F437" i="5"/>
  <c r="I436" i="5"/>
  <c r="J436" i="5" s="1"/>
  <c r="K436" i="5" s="1"/>
  <c r="G437" i="5" l="1"/>
  <c r="H437" i="5"/>
  <c r="F438" i="5"/>
  <c r="I437" i="5"/>
  <c r="J437" i="5" s="1"/>
  <c r="K437" i="5" s="1"/>
  <c r="G438" i="5" l="1"/>
  <c r="H438" i="5"/>
  <c r="F439" i="5"/>
  <c r="I438" i="5"/>
  <c r="J438" i="5" s="1"/>
  <c r="K438" i="5" s="1"/>
  <c r="F440" i="5" l="1"/>
  <c r="I440" i="5" s="1"/>
  <c r="J440" i="5" s="1"/>
  <c r="K440" i="5" s="1"/>
  <c r="H439" i="5"/>
  <c r="G439" i="5"/>
  <c r="I439" i="5"/>
  <c r="J439" i="5" s="1"/>
  <c r="K439" i="5" s="1"/>
  <c r="F441" i="5" l="1"/>
  <c r="I441" i="5" s="1"/>
  <c r="J441" i="5" s="1"/>
  <c r="K441" i="5" s="1"/>
  <c r="G440" i="5"/>
  <c r="H440" i="5"/>
  <c r="G441" i="5" l="1"/>
  <c r="H441" i="5"/>
  <c r="F442" i="5"/>
  <c r="G442" i="5" l="1"/>
  <c r="H442" i="5"/>
  <c r="F443" i="5"/>
  <c r="I442" i="5"/>
  <c r="J442" i="5" s="1"/>
  <c r="K442" i="5" s="1"/>
  <c r="H443" i="5" l="1"/>
  <c r="G443" i="5"/>
  <c r="F444" i="5"/>
  <c r="I443" i="5"/>
  <c r="J443" i="5" s="1"/>
  <c r="K443" i="5" s="1"/>
  <c r="G444" i="5" l="1"/>
  <c r="H444" i="5"/>
  <c r="F445" i="5"/>
  <c r="I444" i="5"/>
  <c r="J444" i="5" s="1"/>
  <c r="K444" i="5" s="1"/>
  <c r="G445" i="5" l="1"/>
  <c r="H445" i="5"/>
  <c r="F446" i="5"/>
  <c r="I445" i="5"/>
  <c r="J445" i="5" s="1"/>
  <c r="K445" i="5" s="1"/>
  <c r="G446" i="5" l="1"/>
  <c r="H446" i="5"/>
  <c r="F447" i="5"/>
  <c r="I446" i="5"/>
  <c r="J446" i="5" s="1"/>
  <c r="K446" i="5" s="1"/>
  <c r="H447" i="5" l="1"/>
  <c r="F448" i="5"/>
  <c r="I448" i="5" s="1"/>
  <c r="J448" i="5" s="1"/>
  <c r="K448" i="5" s="1"/>
  <c r="G447" i="5"/>
  <c r="I447" i="5"/>
  <c r="J447" i="5" s="1"/>
  <c r="K447" i="5" s="1"/>
  <c r="F449" i="5" l="1"/>
  <c r="I449" i="5" s="1"/>
  <c r="J449" i="5" s="1"/>
  <c r="K449" i="5" s="1"/>
  <c r="G448" i="5"/>
  <c r="H448" i="5"/>
  <c r="H449" i="5" l="1"/>
  <c r="G449" i="5"/>
  <c r="F450" i="5"/>
  <c r="G450" i="5" l="1"/>
  <c r="H450" i="5"/>
  <c r="F451" i="5"/>
  <c r="I450" i="5"/>
  <c r="J450" i="5" s="1"/>
  <c r="K450" i="5" s="1"/>
  <c r="G451" i="5" l="1"/>
  <c r="H451" i="5"/>
  <c r="F452" i="5"/>
  <c r="I451" i="5"/>
  <c r="J451" i="5" s="1"/>
  <c r="K451" i="5" s="1"/>
  <c r="G452" i="5" l="1"/>
  <c r="H452" i="5"/>
  <c r="F453" i="5"/>
  <c r="I452" i="5"/>
  <c r="J452" i="5" s="1"/>
  <c r="K452" i="5" s="1"/>
  <c r="H453" i="5" l="1"/>
  <c r="G453" i="5"/>
  <c r="F454" i="5"/>
  <c r="I454" i="5" s="1"/>
  <c r="J454" i="5" s="1"/>
  <c r="K454" i="5" s="1"/>
  <c r="I453" i="5"/>
  <c r="J453" i="5" s="1"/>
  <c r="K453" i="5" s="1"/>
  <c r="H454" i="5" l="1"/>
  <c r="G454" i="5"/>
  <c r="F455" i="5"/>
  <c r="F456" i="5" l="1"/>
  <c r="H455" i="5"/>
  <c r="G455" i="5"/>
  <c r="I456" i="5"/>
  <c r="J456" i="5" s="1"/>
  <c r="I455" i="5"/>
  <c r="J455" i="5" s="1"/>
  <c r="K455" i="5" s="1"/>
  <c r="K456" i="5" l="1"/>
  <c r="F457" i="5"/>
  <c r="I457" i="5" s="1"/>
  <c r="J457" i="5" s="1"/>
  <c r="K457" i="5" s="1"/>
  <c r="G456" i="5"/>
  <c r="H456" i="5"/>
  <c r="G457" i="5" l="1"/>
  <c r="H457" i="5"/>
  <c r="F458" i="5"/>
  <c r="G458" i="5" l="1"/>
  <c r="H458" i="5"/>
  <c r="F459" i="5"/>
  <c r="I458" i="5"/>
  <c r="J458" i="5" s="1"/>
  <c r="K458" i="5" s="1"/>
  <c r="G459" i="5" l="1"/>
  <c r="H459" i="5"/>
  <c r="F460" i="5"/>
  <c r="I459" i="5"/>
  <c r="J459" i="5" s="1"/>
  <c r="K459" i="5" s="1"/>
  <c r="G460" i="5" l="1"/>
  <c r="H460" i="5"/>
  <c r="F461" i="5"/>
  <c r="I460" i="5"/>
  <c r="J460" i="5" s="1"/>
  <c r="K460" i="5" s="1"/>
  <c r="G461" i="5" l="1"/>
  <c r="H461" i="5"/>
  <c r="F462" i="5"/>
  <c r="I461" i="5"/>
  <c r="J461" i="5" s="1"/>
  <c r="K461" i="5" s="1"/>
  <c r="H462" i="5" l="1"/>
  <c r="G462" i="5"/>
  <c r="F463" i="5"/>
  <c r="I462" i="5"/>
  <c r="J462" i="5" s="1"/>
  <c r="K462" i="5" s="1"/>
  <c r="F464" i="5" l="1"/>
  <c r="I464" i="5" s="1"/>
  <c r="J464" i="5" s="1"/>
  <c r="K464" i="5" s="1"/>
  <c r="H463" i="5"/>
  <c r="G463" i="5"/>
  <c r="I463" i="5"/>
  <c r="J463" i="5" s="1"/>
  <c r="K463" i="5" s="1"/>
  <c r="F465" i="5" l="1"/>
  <c r="I465" i="5" s="1"/>
  <c r="J465" i="5" s="1"/>
  <c r="K465" i="5" s="1"/>
  <c r="G464" i="5"/>
  <c r="H464" i="5"/>
  <c r="H465" i="5" l="1"/>
  <c r="G465" i="5"/>
  <c r="F466" i="5"/>
  <c r="G466" i="5" l="1"/>
  <c r="H466" i="5"/>
  <c r="F467" i="5"/>
  <c r="I466" i="5"/>
  <c r="J466" i="5" s="1"/>
  <c r="K466" i="5" s="1"/>
  <c r="H467" i="5" l="1"/>
  <c r="G467" i="5"/>
  <c r="F468" i="5"/>
  <c r="I467" i="5"/>
  <c r="J467" i="5" s="1"/>
  <c r="K467" i="5" s="1"/>
  <c r="G468" i="5" l="1"/>
  <c r="H468" i="5"/>
  <c r="F469" i="5"/>
  <c r="I468" i="5"/>
  <c r="J468" i="5" s="1"/>
  <c r="K468" i="5" s="1"/>
  <c r="H469" i="5" l="1"/>
  <c r="G469" i="5"/>
  <c r="F470" i="5"/>
  <c r="I469" i="5"/>
  <c r="J469" i="5" s="1"/>
  <c r="K469" i="5" s="1"/>
  <c r="H470" i="5" l="1"/>
  <c r="G470" i="5"/>
  <c r="F471" i="5"/>
  <c r="I470" i="5"/>
  <c r="J470" i="5" s="1"/>
  <c r="K470" i="5" s="1"/>
  <c r="F472" i="5" l="1"/>
  <c r="I472" i="5" s="1"/>
  <c r="J472" i="5" s="1"/>
  <c r="K472" i="5" s="1"/>
  <c r="H471" i="5"/>
  <c r="G471" i="5"/>
  <c r="I471" i="5"/>
  <c r="J471" i="5" s="1"/>
  <c r="K471" i="5" s="1"/>
  <c r="F473" i="5" l="1"/>
  <c r="I473" i="5" s="1"/>
  <c r="J473" i="5" s="1"/>
  <c r="K473" i="5" s="1"/>
  <c r="H472" i="5"/>
  <c r="G472" i="5"/>
  <c r="G473" i="5" l="1"/>
  <c r="H473" i="5"/>
  <c r="F474" i="5"/>
  <c r="G474" i="5" l="1"/>
  <c r="H474" i="5"/>
  <c r="F475" i="5"/>
  <c r="I474" i="5"/>
  <c r="J474" i="5" s="1"/>
  <c r="K474" i="5" s="1"/>
  <c r="H475" i="5" l="1"/>
  <c r="G475" i="5"/>
  <c r="F476" i="5"/>
  <c r="I475" i="5"/>
  <c r="J475" i="5" s="1"/>
  <c r="K475" i="5" s="1"/>
  <c r="G476" i="5" l="1"/>
  <c r="H476" i="5"/>
  <c r="F477" i="5"/>
  <c r="I476" i="5"/>
  <c r="J476" i="5" s="1"/>
  <c r="K476" i="5" s="1"/>
  <c r="G477" i="5" l="1"/>
  <c r="H477" i="5"/>
  <c r="F478" i="5"/>
  <c r="I477" i="5"/>
  <c r="J477" i="5" s="1"/>
  <c r="K477" i="5" s="1"/>
  <c r="H478" i="5" l="1"/>
  <c r="G478" i="5"/>
  <c r="F479" i="5"/>
  <c r="I479" i="5" s="1"/>
  <c r="J479" i="5" s="1"/>
  <c r="K479" i="5" s="1"/>
  <c r="I478" i="5"/>
  <c r="J478" i="5" s="1"/>
  <c r="K478" i="5" s="1"/>
  <c r="H479" i="5" l="1"/>
  <c r="F480" i="5"/>
  <c r="I480" i="5" s="1"/>
  <c r="J480" i="5" s="1"/>
  <c r="K480" i="5" s="1"/>
  <c r="G479" i="5"/>
  <c r="F481" i="5" l="1"/>
  <c r="I481" i="5" s="1"/>
  <c r="J481" i="5" s="1"/>
  <c r="K481" i="5" s="1"/>
  <c r="H480" i="5"/>
  <c r="G480" i="5"/>
  <c r="H481" i="5" l="1"/>
  <c r="G481" i="5"/>
  <c r="F482" i="5"/>
  <c r="G482" i="5" l="1"/>
  <c r="H482" i="5"/>
  <c r="F483" i="5"/>
  <c r="I482" i="5"/>
  <c r="J482" i="5" s="1"/>
  <c r="K482" i="5" s="1"/>
  <c r="G483" i="5" l="1"/>
  <c r="H483" i="5"/>
  <c r="F484" i="5"/>
  <c r="I483" i="5"/>
  <c r="J483" i="5" s="1"/>
  <c r="K483" i="5" s="1"/>
  <c r="G484" i="5" l="1"/>
  <c r="H484" i="5"/>
  <c r="F485" i="5"/>
  <c r="I484" i="5"/>
  <c r="J484" i="5" s="1"/>
  <c r="K484" i="5" s="1"/>
  <c r="G485" i="5" l="1"/>
  <c r="H485" i="5"/>
  <c r="F486" i="5"/>
  <c r="I485" i="5"/>
  <c r="J485" i="5" s="1"/>
  <c r="K485" i="5" s="1"/>
  <c r="G486" i="5" l="1"/>
  <c r="H486" i="5"/>
  <c r="F487" i="5"/>
  <c r="I486" i="5"/>
  <c r="J486" i="5" s="1"/>
  <c r="K486" i="5" s="1"/>
  <c r="H487" i="5" l="1"/>
  <c r="F488" i="5"/>
  <c r="I488" i="5" s="1"/>
  <c r="J488" i="5" s="1"/>
  <c r="K488" i="5" s="1"/>
  <c r="G487" i="5"/>
  <c r="I487" i="5"/>
  <c r="J487" i="5" s="1"/>
  <c r="K487" i="5" s="1"/>
  <c r="F489" i="5" l="1"/>
  <c r="G488" i="5"/>
  <c r="H488" i="5"/>
  <c r="G489" i="5" l="1"/>
  <c r="I490" i="5"/>
  <c r="J490" i="5" s="1"/>
  <c r="K490" i="5" s="1"/>
  <c r="H489" i="5"/>
  <c r="F490" i="5"/>
  <c r="I489" i="5"/>
  <c r="J489" i="5" s="1"/>
  <c r="K489" i="5" s="1"/>
  <c r="H490" i="5" l="1"/>
  <c r="G490" i="5"/>
  <c r="F491" i="5"/>
  <c r="G491" i="5" l="1"/>
  <c r="H491" i="5"/>
  <c r="F492" i="5"/>
  <c r="I491" i="5"/>
  <c r="J491" i="5" s="1"/>
  <c r="K491" i="5" s="1"/>
  <c r="G492" i="5" l="1"/>
  <c r="H492" i="5"/>
  <c r="F493" i="5"/>
  <c r="I492" i="5"/>
  <c r="J492" i="5" s="1"/>
  <c r="K492" i="5" s="1"/>
  <c r="G493" i="5" l="1"/>
  <c r="H493" i="5"/>
  <c r="F494" i="5"/>
  <c r="I493" i="5"/>
  <c r="J493" i="5" s="1"/>
  <c r="K493" i="5" s="1"/>
  <c r="G494" i="5" l="1"/>
  <c r="H494" i="5"/>
  <c r="F495" i="5"/>
  <c r="I494" i="5"/>
  <c r="J494" i="5" s="1"/>
  <c r="K494" i="5" s="1"/>
  <c r="H495" i="5" l="1"/>
  <c r="G495" i="5"/>
  <c r="F496" i="5"/>
  <c r="I496" i="5" s="1"/>
  <c r="J496" i="5" s="1"/>
  <c r="K496" i="5" s="1"/>
  <c r="I495" i="5"/>
  <c r="J495" i="5" s="1"/>
  <c r="K495" i="5" s="1"/>
  <c r="H496" i="5" l="1"/>
  <c r="G496" i="5"/>
  <c r="F497" i="5"/>
  <c r="G497" i="5" l="1"/>
  <c r="H497" i="5"/>
  <c r="F498" i="5"/>
  <c r="I497" i="5"/>
  <c r="J497" i="5" s="1"/>
  <c r="K497" i="5" s="1"/>
  <c r="G498" i="5" l="1"/>
  <c r="H498" i="5"/>
  <c r="F499" i="5"/>
  <c r="I498" i="5"/>
  <c r="J498" i="5" s="1"/>
  <c r="K498" i="5" s="1"/>
  <c r="H499" i="5" l="1"/>
  <c r="G499" i="5"/>
  <c r="F500" i="5"/>
  <c r="I499" i="5"/>
  <c r="J499" i="5" s="1"/>
  <c r="K499" i="5" s="1"/>
  <c r="G500" i="5" l="1"/>
  <c r="H500" i="5"/>
  <c r="F501" i="5"/>
  <c r="I500" i="5"/>
  <c r="J500" i="5" s="1"/>
  <c r="K500" i="5" s="1"/>
  <c r="G501" i="5" l="1"/>
  <c r="H501" i="5"/>
  <c r="F502" i="5"/>
  <c r="I501" i="5"/>
  <c r="J501" i="5" s="1"/>
  <c r="K501" i="5" s="1"/>
  <c r="H502" i="5" l="1"/>
  <c r="G502" i="5"/>
  <c r="F503" i="5"/>
  <c r="I502" i="5"/>
  <c r="J502" i="5" s="1"/>
  <c r="K502" i="5" s="1"/>
  <c r="F504" i="5" l="1"/>
  <c r="I504" i="5" s="1"/>
  <c r="J504" i="5" s="1"/>
  <c r="K504" i="5" s="1"/>
  <c r="H503" i="5"/>
  <c r="G503" i="5"/>
  <c r="I503" i="5"/>
  <c r="J503" i="5" s="1"/>
  <c r="K503" i="5" s="1"/>
  <c r="F505" i="5" l="1"/>
  <c r="I505" i="5" s="1"/>
  <c r="J505" i="5" s="1"/>
  <c r="K505" i="5" s="1"/>
  <c r="G504" i="5"/>
  <c r="H504" i="5"/>
  <c r="G505" i="5" l="1"/>
  <c r="H505" i="5"/>
  <c r="F506" i="5"/>
  <c r="H506" i="5" l="1"/>
  <c r="G506" i="5"/>
  <c r="F507" i="5"/>
  <c r="I506" i="5"/>
  <c r="J506" i="5" s="1"/>
  <c r="K506" i="5" s="1"/>
  <c r="G507" i="5" l="1"/>
  <c r="H507" i="5"/>
  <c r="F508" i="5"/>
  <c r="I507" i="5"/>
  <c r="J507" i="5" s="1"/>
  <c r="K507" i="5" s="1"/>
  <c r="G508" i="5" l="1"/>
  <c r="H508" i="5"/>
  <c r="F509" i="5"/>
  <c r="I508" i="5"/>
  <c r="J508" i="5" s="1"/>
  <c r="K508" i="5" s="1"/>
  <c r="H509" i="5" l="1"/>
  <c r="G509" i="5"/>
  <c r="F510" i="5"/>
  <c r="I509" i="5"/>
  <c r="J509" i="5" s="1"/>
  <c r="K509" i="5" s="1"/>
  <c r="G510" i="5" l="1"/>
  <c r="H510" i="5"/>
  <c r="F511" i="5"/>
  <c r="I510" i="5"/>
  <c r="J510" i="5" s="1"/>
  <c r="K510" i="5" s="1"/>
  <c r="H511" i="5" l="1"/>
  <c r="F512" i="5"/>
  <c r="I512" i="5" s="1"/>
  <c r="J512" i="5" s="1"/>
  <c r="K512" i="5" s="1"/>
  <c r="G511" i="5"/>
  <c r="I511" i="5"/>
  <c r="J511" i="5" s="1"/>
  <c r="K511" i="5" s="1"/>
  <c r="F513" i="5" l="1"/>
  <c r="I513" i="5" s="1"/>
  <c r="J513" i="5" s="1"/>
  <c r="K513" i="5" s="1"/>
  <c r="I5" i="12" s="1"/>
  <c r="G512" i="5"/>
  <c r="H512" i="5"/>
  <c r="G513" i="5" l="1"/>
  <c r="H513" i="5"/>
  <c r="F514" i="5"/>
  <c r="G514" i="5" l="1"/>
  <c r="H514" i="5"/>
  <c r="F515" i="5"/>
  <c r="I514" i="5"/>
  <c r="J514" i="5" s="1"/>
  <c r="K514" i="5" s="1"/>
  <c r="G515" i="5" l="1"/>
  <c r="H515" i="5"/>
  <c r="F516" i="5"/>
  <c r="I515" i="5"/>
  <c r="J515" i="5" s="1"/>
  <c r="K515" i="5" s="1"/>
  <c r="G516" i="5" l="1"/>
  <c r="H516" i="5"/>
  <c r="F517" i="5"/>
  <c r="I516" i="5"/>
  <c r="J516" i="5" s="1"/>
  <c r="K516" i="5" s="1"/>
  <c r="H517" i="5" l="1"/>
  <c r="G517" i="5"/>
  <c r="F518" i="5"/>
  <c r="I518" i="5" s="1"/>
  <c r="J518" i="5" s="1"/>
  <c r="K518" i="5" s="1"/>
  <c r="I517" i="5"/>
  <c r="J517" i="5" s="1"/>
  <c r="K517" i="5" s="1"/>
  <c r="G518" i="5" l="1"/>
  <c r="H518" i="5"/>
  <c r="F519" i="5"/>
  <c r="F520" i="5" l="1"/>
  <c r="I520" i="5" s="1"/>
  <c r="J520" i="5" s="1"/>
  <c r="K520" i="5" s="1"/>
  <c r="H519" i="5"/>
  <c r="G519" i="5"/>
  <c r="I519" i="5"/>
  <c r="J519" i="5" s="1"/>
  <c r="K519" i="5" s="1"/>
  <c r="F521" i="5" l="1"/>
  <c r="I521" i="5" s="1"/>
  <c r="J521" i="5" s="1"/>
  <c r="K521" i="5" s="1"/>
  <c r="G520" i="5"/>
  <c r="H520" i="5"/>
  <c r="G521" i="5" l="1"/>
  <c r="H521" i="5"/>
  <c r="F522" i="5"/>
  <c r="H522" i="5" l="1"/>
  <c r="G522" i="5"/>
  <c r="F523" i="5"/>
  <c r="I522" i="5"/>
  <c r="J522" i="5" s="1"/>
  <c r="K522" i="5" s="1"/>
  <c r="G523" i="5" l="1"/>
  <c r="H523" i="5"/>
  <c r="F524" i="5"/>
  <c r="I523" i="5"/>
  <c r="J523" i="5" s="1"/>
  <c r="K523" i="5" s="1"/>
  <c r="G524" i="5" l="1"/>
  <c r="H524" i="5"/>
  <c r="F525" i="5"/>
  <c r="I524" i="5"/>
  <c r="J524" i="5" s="1"/>
  <c r="K524" i="5" s="1"/>
  <c r="G525" i="5" l="1"/>
  <c r="H525" i="5"/>
  <c r="F526" i="5"/>
  <c r="I525" i="5"/>
  <c r="J525" i="5" s="1"/>
  <c r="K525" i="5" s="1"/>
  <c r="H526" i="5" l="1"/>
  <c r="G526" i="5"/>
  <c r="F527" i="5"/>
  <c r="I526" i="5"/>
  <c r="J526" i="5" s="1"/>
  <c r="K526" i="5" s="1"/>
  <c r="F528" i="5" l="1"/>
  <c r="I528" i="5" s="1"/>
  <c r="J528" i="5" s="1"/>
  <c r="K528" i="5" s="1"/>
  <c r="H527" i="5"/>
  <c r="G527" i="5"/>
  <c r="I527" i="5"/>
  <c r="J527" i="5" s="1"/>
  <c r="K527" i="5" s="1"/>
  <c r="F529" i="5" l="1"/>
  <c r="I529" i="5" s="1"/>
  <c r="J529" i="5" s="1"/>
  <c r="K529" i="5" s="1"/>
  <c r="G528" i="5"/>
  <c r="H528" i="5"/>
  <c r="G529" i="5" l="1"/>
  <c r="H529" i="5"/>
  <c r="F530" i="5"/>
  <c r="H530" i="5" l="1"/>
  <c r="G530" i="5"/>
  <c r="F531" i="5"/>
  <c r="I530" i="5"/>
  <c r="J530" i="5" s="1"/>
  <c r="K530" i="5" s="1"/>
  <c r="G531" i="5" l="1"/>
  <c r="H531" i="5"/>
  <c r="F532" i="5"/>
  <c r="I531" i="5"/>
  <c r="J531" i="5" s="1"/>
  <c r="K531" i="5" s="1"/>
  <c r="G532" i="5" l="1"/>
  <c r="H532" i="5"/>
  <c r="F533" i="5"/>
  <c r="I532" i="5"/>
  <c r="J532" i="5" s="1"/>
  <c r="K532" i="5" s="1"/>
  <c r="G533" i="5" l="1"/>
  <c r="H533" i="5"/>
  <c r="F534" i="5"/>
  <c r="I533" i="5"/>
  <c r="J533" i="5" s="1"/>
  <c r="K533" i="5" s="1"/>
  <c r="G534" i="5" l="1"/>
  <c r="H534" i="5"/>
  <c r="F535" i="5"/>
  <c r="I534" i="5"/>
  <c r="J534" i="5" s="1"/>
  <c r="K534" i="5" s="1"/>
  <c r="F536" i="5" l="1"/>
  <c r="I536" i="5" s="1"/>
  <c r="J536" i="5" s="1"/>
  <c r="K536" i="5" s="1"/>
  <c r="H535" i="5"/>
  <c r="G535" i="5"/>
  <c r="I535" i="5"/>
  <c r="J535" i="5" s="1"/>
  <c r="K535" i="5" s="1"/>
  <c r="F537" i="5" l="1"/>
  <c r="I537" i="5" s="1"/>
  <c r="J537" i="5" s="1"/>
  <c r="K537" i="5" s="1"/>
  <c r="H536" i="5"/>
  <c r="G536" i="5"/>
  <c r="G537" i="5" l="1"/>
  <c r="H537" i="5"/>
  <c r="F538" i="5"/>
  <c r="H538" i="5" l="1"/>
  <c r="G538" i="5"/>
  <c r="F539" i="5"/>
  <c r="I538" i="5"/>
  <c r="J538" i="5" s="1"/>
  <c r="K538" i="5" s="1"/>
  <c r="G539" i="5" l="1"/>
  <c r="H539" i="5"/>
  <c r="F540" i="5"/>
  <c r="I539" i="5"/>
  <c r="J539" i="5" s="1"/>
  <c r="K539" i="5" s="1"/>
  <c r="G540" i="5" l="1"/>
  <c r="H540" i="5"/>
  <c r="F541" i="5"/>
  <c r="I540" i="5"/>
  <c r="J540" i="5" s="1"/>
  <c r="K540" i="5" s="1"/>
  <c r="G541" i="5" l="1"/>
  <c r="H541" i="5"/>
  <c r="F542" i="5"/>
  <c r="I541" i="5"/>
  <c r="J541" i="5" s="1"/>
  <c r="K541" i="5" s="1"/>
  <c r="G542" i="5" l="1"/>
  <c r="H542" i="5"/>
  <c r="F543" i="5"/>
  <c r="I542" i="5"/>
  <c r="J542" i="5" s="1"/>
  <c r="K542" i="5" s="1"/>
  <c r="H543" i="5" l="1"/>
  <c r="G543" i="5"/>
  <c r="F544" i="5"/>
  <c r="I543" i="5"/>
  <c r="J543" i="5" s="1"/>
  <c r="K543" i="5" s="1"/>
  <c r="F545" i="5" l="1"/>
  <c r="I545" i="5" s="1"/>
  <c r="J545" i="5" s="1"/>
  <c r="K545" i="5" s="1"/>
  <c r="G544" i="5"/>
  <c r="H544" i="5"/>
  <c r="I544" i="5"/>
  <c r="J544" i="5" s="1"/>
  <c r="K544" i="5" s="1"/>
  <c r="H545" i="5" l="1"/>
  <c r="G545" i="5"/>
  <c r="F546" i="5"/>
  <c r="G546" i="5" l="1"/>
  <c r="H546" i="5"/>
  <c r="F547" i="5"/>
  <c r="I546" i="5"/>
  <c r="J546" i="5" s="1"/>
  <c r="K546" i="5" s="1"/>
  <c r="G547" i="5" l="1"/>
  <c r="H547" i="5"/>
  <c r="F548" i="5"/>
  <c r="I547" i="5"/>
  <c r="J547" i="5" s="1"/>
  <c r="K547" i="5" s="1"/>
  <c r="G548" i="5" l="1"/>
  <c r="H548" i="5"/>
  <c r="F549" i="5"/>
  <c r="I548" i="5"/>
  <c r="J548" i="5" s="1"/>
  <c r="K548" i="5" s="1"/>
  <c r="G549" i="5" l="1"/>
  <c r="H549" i="5"/>
  <c r="F550" i="5"/>
  <c r="I549" i="5"/>
  <c r="J549" i="5" s="1"/>
  <c r="K549" i="5" s="1"/>
  <c r="G550" i="5" l="1"/>
  <c r="H550" i="5"/>
  <c r="F551" i="5"/>
  <c r="I550" i="5"/>
  <c r="J550" i="5" s="1"/>
  <c r="K550" i="5" s="1"/>
  <c r="H551" i="5" l="1"/>
  <c r="F552" i="5"/>
  <c r="I552" i="5" s="1"/>
  <c r="J552" i="5" s="1"/>
  <c r="K552" i="5" s="1"/>
  <c r="G551" i="5"/>
  <c r="I551" i="5"/>
  <c r="J551" i="5" s="1"/>
  <c r="K551" i="5" s="1"/>
  <c r="F553" i="5" l="1"/>
  <c r="I553" i="5" s="1"/>
  <c r="J553" i="5" s="1"/>
  <c r="K553" i="5" s="1"/>
  <c r="H552" i="5"/>
  <c r="G552" i="5"/>
  <c r="H553" i="5" l="1"/>
  <c r="G553" i="5"/>
  <c r="F554" i="5"/>
  <c r="H554" i="5" l="1"/>
  <c r="G554" i="5"/>
  <c r="F555" i="5"/>
  <c r="I554" i="5"/>
  <c r="J554" i="5" s="1"/>
  <c r="K554" i="5" s="1"/>
  <c r="G555" i="5" l="1"/>
  <c r="H555" i="5"/>
  <c r="F556" i="5"/>
  <c r="I555" i="5"/>
  <c r="J555" i="5" s="1"/>
  <c r="K555" i="5" s="1"/>
  <c r="G556" i="5" l="1"/>
  <c r="H556" i="5"/>
  <c r="F557" i="5"/>
  <c r="I556" i="5"/>
  <c r="J556" i="5" s="1"/>
  <c r="K556" i="5" s="1"/>
  <c r="G557" i="5" l="1"/>
  <c r="H557" i="5"/>
  <c r="F558" i="5"/>
  <c r="I557" i="5"/>
  <c r="J557" i="5" s="1"/>
  <c r="K557" i="5" s="1"/>
  <c r="G558" i="5" l="1"/>
  <c r="H558" i="5"/>
  <c r="F559" i="5"/>
  <c r="I558" i="5"/>
  <c r="J558" i="5" s="1"/>
  <c r="K558" i="5" s="1"/>
  <c r="H559" i="5" l="1"/>
  <c r="F560" i="5"/>
  <c r="I560" i="5" s="1"/>
  <c r="J560" i="5" s="1"/>
  <c r="K560" i="5" s="1"/>
  <c r="G559" i="5"/>
  <c r="I559" i="5"/>
  <c r="J559" i="5" s="1"/>
  <c r="K559" i="5" s="1"/>
  <c r="F561" i="5" l="1"/>
  <c r="I561" i="5" s="1"/>
  <c r="J561" i="5" s="1"/>
  <c r="K561" i="5" s="1"/>
  <c r="G560" i="5"/>
  <c r="H560" i="5"/>
  <c r="G561" i="5" l="1"/>
  <c r="H561" i="5"/>
  <c r="F562" i="5"/>
  <c r="H562" i="5" l="1"/>
  <c r="G562" i="5"/>
  <c r="F563" i="5"/>
  <c r="I562" i="5"/>
  <c r="J562" i="5" s="1"/>
  <c r="K562" i="5" s="1"/>
  <c r="H563" i="5" l="1"/>
  <c r="G563" i="5"/>
  <c r="F564" i="5"/>
  <c r="I563" i="5"/>
  <c r="J563" i="5" s="1"/>
  <c r="K563" i="5" s="1"/>
  <c r="G564" i="5" l="1"/>
  <c r="H564" i="5"/>
  <c r="F565" i="5"/>
  <c r="I564" i="5"/>
  <c r="J564" i="5" s="1"/>
  <c r="K564" i="5" s="1"/>
  <c r="G565" i="5" l="1"/>
  <c r="H565" i="5"/>
  <c r="F566" i="5"/>
  <c r="I565" i="5"/>
  <c r="J565" i="5" s="1"/>
  <c r="K565" i="5" s="1"/>
  <c r="G566" i="5" l="1"/>
  <c r="H566" i="5"/>
  <c r="F567" i="5"/>
  <c r="I566" i="5"/>
  <c r="J566" i="5" s="1"/>
  <c r="K566" i="5" s="1"/>
  <c r="F568" i="5" l="1"/>
  <c r="I568" i="5" s="1"/>
  <c r="J568" i="5" s="1"/>
  <c r="K568" i="5" s="1"/>
  <c r="H567" i="5"/>
  <c r="G567" i="5"/>
  <c r="I567" i="5"/>
  <c r="J567" i="5" s="1"/>
  <c r="K567" i="5" s="1"/>
  <c r="G568" i="5" l="1"/>
  <c r="H568" i="5"/>
  <c r="F569" i="5"/>
  <c r="H569" i="5" l="1"/>
  <c r="G569" i="5"/>
  <c r="F570" i="5"/>
  <c r="I569" i="5"/>
  <c r="J569" i="5" s="1"/>
  <c r="K569" i="5" s="1"/>
  <c r="G570" i="5" l="1"/>
  <c r="H570" i="5"/>
  <c r="F571" i="5"/>
  <c r="I570" i="5"/>
  <c r="J570" i="5" s="1"/>
  <c r="K570" i="5" s="1"/>
  <c r="G571" i="5" l="1"/>
  <c r="H571" i="5"/>
  <c r="F572" i="5"/>
  <c r="I571" i="5"/>
  <c r="J571" i="5" s="1"/>
  <c r="K571" i="5" s="1"/>
  <c r="G572" i="5" l="1"/>
  <c r="H572" i="5"/>
  <c r="F573" i="5"/>
  <c r="I572" i="5"/>
  <c r="J572" i="5" s="1"/>
  <c r="K572" i="5" s="1"/>
  <c r="G573" i="5" l="1"/>
  <c r="H573" i="5"/>
  <c r="F574" i="5"/>
  <c r="I573" i="5"/>
  <c r="J573" i="5" s="1"/>
  <c r="K573" i="5" s="1"/>
  <c r="G574" i="5" l="1"/>
  <c r="H574" i="5"/>
  <c r="F575" i="5"/>
  <c r="I574" i="5"/>
  <c r="J574" i="5" s="1"/>
  <c r="K574" i="5" s="1"/>
  <c r="H575" i="5" l="1"/>
  <c r="F576" i="5"/>
  <c r="I576" i="5" s="1"/>
  <c r="J576" i="5" s="1"/>
  <c r="K576" i="5" s="1"/>
  <c r="G575" i="5"/>
  <c r="I575" i="5"/>
  <c r="J575" i="5" s="1"/>
  <c r="K575" i="5" s="1"/>
  <c r="F577" i="5" l="1"/>
  <c r="I577" i="5" s="1"/>
  <c r="J577" i="5" s="1"/>
  <c r="K577" i="5" s="1"/>
  <c r="G576" i="5"/>
  <c r="H576" i="5"/>
  <c r="G577" i="5" l="1"/>
  <c r="H577" i="5"/>
  <c r="F578" i="5"/>
  <c r="G578" i="5" l="1"/>
  <c r="H578" i="5"/>
  <c r="F579" i="5"/>
  <c r="I578" i="5"/>
  <c r="J578" i="5" s="1"/>
  <c r="K578" i="5" s="1"/>
  <c r="H579" i="5" l="1"/>
  <c r="G579" i="5"/>
  <c r="F580" i="5"/>
  <c r="I579" i="5"/>
  <c r="J579" i="5" s="1"/>
  <c r="K579" i="5" s="1"/>
  <c r="G580" i="5" l="1"/>
  <c r="H580" i="5"/>
  <c r="F581" i="5"/>
  <c r="I580" i="5"/>
  <c r="J580" i="5" s="1"/>
  <c r="K580" i="5" s="1"/>
  <c r="H581" i="5" l="1"/>
  <c r="G581" i="5"/>
  <c r="F582" i="5"/>
  <c r="I581" i="5"/>
  <c r="J581" i="5" s="1"/>
  <c r="K581" i="5" s="1"/>
  <c r="G582" i="5" l="1"/>
  <c r="H582" i="5"/>
  <c r="F583" i="5"/>
  <c r="I582" i="5"/>
  <c r="J582" i="5" s="1"/>
  <c r="K582" i="5" s="1"/>
  <c r="H583" i="5" l="1"/>
  <c r="F584" i="5"/>
  <c r="I584" i="5" s="1"/>
  <c r="J584" i="5" s="1"/>
  <c r="K584" i="5" s="1"/>
  <c r="G583" i="5"/>
  <c r="I583" i="5"/>
  <c r="J583" i="5" s="1"/>
  <c r="K583" i="5" s="1"/>
  <c r="F585" i="5" l="1"/>
  <c r="I585" i="5" s="1"/>
  <c r="J585" i="5" s="1"/>
  <c r="K585" i="5" s="1"/>
  <c r="G584" i="5"/>
  <c r="H584" i="5"/>
  <c r="H585" i="5" l="1"/>
  <c r="G585" i="5"/>
  <c r="F586" i="5"/>
  <c r="G586" i="5" l="1"/>
  <c r="H586" i="5"/>
  <c r="F587" i="5"/>
  <c r="I586" i="5"/>
  <c r="J586" i="5" s="1"/>
  <c r="K586" i="5" s="1"/>
  <c r="G587" i="5" l="1"/>
  <c r="H587" i="5"/>
  <c r="F588" i="5"/>
  <c r="I587" i="5"/>
  <c r="J587" i="5" s="1"/>
  <c r="K587" i="5" s="1"/>
  <c r="G588" i="5" l="1"/>
  <c r="H588" i="5"/>
  <c r="F589" i="5"/>
  <c r="I588" i="5"/>
  <c r="J588" i="5" s="1"/>
  <c r="K588" i="5" s="1"/>
  <c r="G589" i="5" l="1"/>
  <c r="H589" i="5"/>
  <c r="F590" i="5"/>
  <c r="I589" i="5"/>
  <c r="J589" i="5" s="1"/>
  <c r="K589" i="5" s="1"/>
  <c r="H590" i="5" l="1"/>
  <c r="G590" i="5"/>
  <c r="F591" i="5"/>
  <c r="I590" i="5"/>
  <c r="J590" i="5" s="1"/>
  <c r="K590" i="5" s="1"/>
  <c r="H591" i="5" l="1"/>
  <c r="F592" i="5"/>
  <c r="I592" i="5" s="1"/>
  <c r="J592" i="5" s="1"/>
  <c r="K592" i="5" s="1"/>
  <c r="G591" i="5"/>
  <c r="I591" i="5"/>
  <c r="J591" i="5" s="1"/>
  <c r="K591" i="5" s="1"/>
  <c r="F593" i="5" l="1"/>
  <c r="I593" i="5" s="1"/>
  <c r="J593" i="5" s="1"/>
  <c r="K593" i="5" s="1"/>
  <c r="G592" i="5"/>
  <c r="H592" i="5"/>
  <c r="H593" i="5" l="1"/>
  <c r="G593" i="5"/>
  <c r="F594" i="5"/>
  <c r="H594" i="5" l="1"/>
  <c r="G594" i="5"/>
  <c r="F595" i="5"/>
  <c r="I594" i="5"/>
  <c r="J594" i="5" s="1"/>
  <c r="K594" i="5" s="1"/>
  <c r="H595" i="5" l="1"/>
  <c r="G595" i="5"/>
  <c r="F596" i="5"/>
  <c r="I595" i="5"/>
  <c r="J595" i="5" s="1"/>
  <c r="K595" i="5" s="1"/>
  <c r="G596" i="5" l="1"/>
  <c r="I597" i="5"/>
  <c r="J597" i="5" s="1"/>
  <c r="K597" i="5" s="1"/>
  <c r="H596" i="5"/>
  <c r="F597" i="5"/>
  <c r="I596" i="5"/>
  <c r="J596" i="5" s="1"/>
  <c r="K596" i="5" s="1"/>
  <c r="G597" i="5" l="1"/>
  <c r="H597" i="5"/>
  <c r="F598" i="5"/>
  <c r="G598" i="5" l="1"/>
  <c r="H598" i="5"/>
  <c r="F599" i="5"/>
  <c r="I598" i="5"/>
  <c r="J598" i="5" s="1"/>
  <c r="K598" i="5" s="1"/>
  <c r="H599" i="5" l="1"/>
  <c r="F600" i="5"/>
  <c r="I600" i="5" s="1"/>
  <c r="J600" i="5" s="1"/>
  <c r="K600" i="5" s="1"/>
  <c r="G599" i="5"/>
  <c r="I599" i="5"/>
  <c r="J599" i="5" s="1"/>
  <c r="K599" i="5" s="1"/>
  <c r="H600" i="5" l="1"/>
  <c r="F601" i="5"/>
  <c r="I601" i="5" s="1"/>
  <c r="J601" i="5" s="1"/>
  <c r="K601" i="5" s="1"/>
  <c r="G600" i="5"/>
  <c r="G601" i="5" l="1"/>
  <c r="H601" i="5"/>
  <c r="F602" i="5"/>
  <c r="G602" i="5" l="1"/>
  <c r="H602" i="5"/>
  <c r="F603" i="5"/>
  <c r="I602" i="5"/>
  <c r="J602" i="5" s="1"/>
  <c r="K602" i="5" s="1"/>
  <c r="G603" i="5" l="1"/>
  <c r="H603" i="5"/>
  <c r="F604" i="5"/>
  <c r="I603" i="5"/>
  <c r="J603" i="5" s="1"/>
  <c r="K603" i="5" s="1"/>
  <c r="G604" i="5" l="1"/>
  <c r="H604" i="5"/>
  <c r="F605" i="5"/>
  <c r="I604" i="5"/>
  <c r="J604" i="5" s="1"/>
  <c r="K604" i="5" s="1"/>
  <c r="G605" i="5" l="1"/>
  <c r="H605" i="5"/>
  <c r="F606" i="5"/>
  <c r="I605" i="5"/>
  <c r="J605" i="5" s="1"/>
  <c r="K605" i="5" s="1"/>
  <c r="G606" i="5" l="1"/>
  <c r="H606" i="5"/>
  <c r="F607" i="5"/>
  <c r="I606" i="5"/>
  <c r="J606" i="5" s="1"/>
  <c r="K606" i="5" s="1"/>
  <c r="H607" i="5" l="1"/>
  <c r="F608" i="5"/>
  <c r="I608" i="5" s="1"/>
  <c r="J608" i="5" s="1"/>
  <c r="K608" i="5" s="1"/>
  <c r="G607" i="5"/>
  <c r="I607" i="5"/>
  <c r="J607" i="5" s="1"/>
  <c r="K607" i="5" s="1"/>
  <c r="G608" i="5" l="1"/>
  <c r="F609" i="5"/>
  <c r="I609" i="5" s="1"/>
  <c r="J609" i="5" s="1"/>
  <c r="K609" i="5" s="1"/>
  <c r="H608" i="5"/>
  <c r="H609" i="5" l="1"/>
  <c r="G609" i="5"/>
  <c r="F610" i="5"/>
  <c r="G610" i="5" l="1"/>
  <c r="H610" i="5"/>
  <c r="F611" i="5"/>
  <c r="I610" i="5"/>
  <c r="J610" i="5" s="1"/>
  <c r="K610" i="5" s="1"/>
  <c r="H611" i="5" l="1"/>
  <c r="G611" i="5"/>
  <c r="F612" i="5"/>
  <c r="I611" i="5"/>
  <c r="J611" i="5" s="1"/>
  <c r="K611" i="5" s="1"/>
  <c r="G612" i="5" l="1"/>
  <c r="H612" i="5"/>
  <c r="F613" i="5"/>
  <c r="I612" i="5"/>
  <c r="J612" i="5" s="1"/>
  <c r="K612" i="5" s="1"/>
  <c r="G613" i="5" l="1"/>
  <c r="H613" i="5"/>
  <c r="F614" i="5"/>
  <c r="I613" i="5"/>
  <c r="J613" i="5" s="1"/>
  <c r="K613" i="5" s="1"/>
  <c r="G614" i="5" l="1"/>
  <c r="H614" i="5"/>
  <c r="F615" i="5"/>
  <c r="I614" i="5"/>
  <c r="J614" i="5" s="1"/>
  <c r="K614" i="5" s="1"/>
  <c r="H615" i="5" l="1"/>
  <c r="F616" i="5"/>
  <c r="I616" i="5" s="1"/>
  <c r="J616" i="5" s="1"/>
  <c r="K616" i="5" s="1"/>
  <c r="G615" i="5"/>
  <c r="I615" i="5"/>
  <c r="J615" i="5" s="1"/>
  <c r="K615" i="5" s="1"/>
  <c r="H616" i="5" l="1"/>
  <c r="G616" i="5"/>
  <c r="F617" i="5"/>
  <c r="G617" i="5" l="1"/>
  <c r="H617" i="5"/>
  <c r="F618" i="5"/>
  <c r="I617" i="5"/>
  <c r="J617" i="5" s="1"/>
  <c r="K617" i="5" s="1"/>
  <c r="H618" i="5" l="1"/>
  <c r="G618" i="5"/>
  <c r="F619" i="5"/>
  <c r="I618" i="5"/>
  <c r="J618" i="5" s="1"/>
  <c r="K618" i="5" s="1"/>
  <c r="G619" i="5" l="1"/>
  <c r="H619" i="5"/>
  <c r="F620" i="5"/>
  <c r="I619" i="5"/>
  <c r="J619" i="5" s="1"/>
  <c r="K619" i="5" s="1"/>
  <c r="G620" i="5" l="1"/>
  <c r="H620" i="5"/>
  <c r="F621" i="5"/>
  <c r="I620" i="5"/>
  <c r="J620" i="5" s="1"/>
  <c r="K620" i="5" s="1"/>
  <c r="G621" i="5" l="1"/>
  <c r="H621" i="5"/>
  <c r="F622" i="5"/>
  <c r="I621" i="5"/>
  <c r="J621" i="5" s="1"/>
  <c r="K621" i="5" s="1"/>
  <c r="G622" i="5" l="1"/>
  <c r="H622" i="5"/>
  <c r="F623" i="5"/>
  <c r="I622" i="5"/>
  <c r="J622" i="5" s="1"/>
  <c r="K622" i="5" s="1"/>
  <c r="H623" i="5" l="1"/>
  <c r="F624" i="5"/>
  <c r="I624" i="5" s="1"/>
  <c r="J624" i="5" s="1"/>
  <c r="K624" i="5" s="1"/>
  <c r="G623" i="5"/>
  <c r="I623" i="5"/>
  <c r="J623" i="5" s="1"/>
  <c r="K623" i="5" s="1"/>
  <c r="F625" i="5" l="1"/>
  <c r="I625" i="5" s="1"/>
  <c r="J625" i="5" s="1"/>
  <c r="K625" i="5" s="1"/>
  <c r="G624" i="5"/>
  <c r="H624" i="5"/>
  <c r="G625" i="5" l="1"/>
  <c r="H625" i="5"/>
  <c r="F626" i="5"/>
  <c r="G626" i="5" l="1"/>
  <c r="H626" i="5"/>
  <c r="F627" i="5"/>
  <c r="I626" i="5"/>
  <c r="J626" i="5" s="1"/>
  <c r="K626" i="5" s="1"/>
  <c r="H627" i="5" l="1"/>
  <c r="G627" i="5"/>
  <c r="F628" i="5"/>
  <c r="I627" i="5"/>
  <c r="J627" i="5" s="1"/>
  <c r="K627" i="5" s="1"/>
  <c r="G628" i="5" l="1"/>
  <c r="H628" i="5"/>
  <c r="F629" i="5"/>
  <c r="I628" i="5"/>
  <c r="J628" i="5" s="1"/>
  <c r="K628" i="5" s="1"/>
  <c r="G629" i="5" l="1"/>
  <c r="H629" i="5"/>
  <c r="F630" i="5"/>
  <c r="I629" i="5"/>
  <c r="J629" i="5" s="1"/>
  <c r="K629" i="5" s="1"/>
  <c r="G630" i="5" l="1"/>
  <c r="H630" i="5"/>
  <c r="F631" i="5"/>
  <c r="I630" i="5"/>
  <c r="J630" i="5" s="1"/>
  <c r="K630" i="5" s="1"/>
  <c r="F632" i="5" l="1"/>
  <c r="I632" i="5" s="1"/>
  <c r="J632" i="5" s="1"/>
  <c r="K632" i="5" s="1"/>
  <c r="H5" i="12" s="1"/>
  <c r="H631" i="5"/>
  <c r="G631" i="5"/>
  <c r="I631" i="5"/>
  <c r="J631" i="5" s="1"/>
  <c r="K631" i="5" s="1"/>
  <c r="H632" i="5" l="1"/>
  <c r="F633" i="5"/>
  <c r="G632" i="5"/>
  <c r="G633" i="5" l="1"/>
  <c r="H633" i="5"/>
  <c r="F634" i="5"/>
  <c r="I633" i="5"/>
  <c r="J633" i="5" s="1"/>
  <c r="K633" i="5" s="1"/>
  <c r="H634" i="5" l="1"/>
  <c r="G634" i="5"/>
  <c r="F635" i="5"/>
  <c r="I634" i="5"/>
  <c r="J634" i="5" s="1"/>
  <c r="K634" i="5" s="1"/>
  <c r="H635" i="5" l="1"/>
  <c r="G635" i="5"/>
  <c r="F636" i="5"/>
  <c r="I635" i="5"/>
  <c r="J635" i="5" s="1"/>
  <c r="K635" i="5" s="1"/>
  <c r="G636" i="5" l="1"/>
  <c r="H636" i="5"/>
  <c r="F637" i="5"/>
  <c r="I636" i="5"/>
  <c r="J636" i="5" s="1"/>
  <c r="K636" i="5" s="1"/>
  <c r="H637" i="5" l="1"/>
  <c r="G637" i="5"/>
  <c r="F638" i="5"/>
  <c r="I637" i="5"/>
  <c r="J637" i="5" s="1"/>
  <c r="K637" i="5" s="1"/>
  <c r="G638" i="5" l="1"/>
  <c r="H638" i="5"/>
  <c r="F639" i="5"/>
  <c r="I638" i="5"/>
  <c r="J638" i="5" s="1"/>
  <c r="K638" i="5" s="1"/>
  <c r="H639" i="5" l="1"/>
  <c r="F640" i="5"/>
  <c r="I640" i="5" s="1"/>
  <c r="J640" i="5" s="1"/>
  <c r="K640" i="5" s="1"/>
  <c r="G639" i="5"/>
  <c r="I639" i="5"/>
  <c r="J639" i="5" s="1"/>
  <c r="K639" i="5" s="1"/>
  <c r="F641" i="5" l="1"/>
  <c r="I641" i="5" s="1"/>
  <c r="J641" i="5" s="1"/>
  <c r="K641" i="5" s="1"/>
  <c r="G640" i="5"/>
  <c r="H640" i="5"/>
  <c r="G641" i="5" l="1"/>
  <c r="H641" i="5"/>
  <c r="F642" i="5"/>
  <c r="H642" i="5" l="1"/>
  <c r="G642" i="5"/>
  <c r="F643" i="5"/>
  <c r="I642" i="5"/>
  <c r="J642" i="5" s="1"/>
  <c r="K642" i="5" s="1"/>
  <c r="G643" i="5" l="1"/>
  <c r="H643" i="5"/>
  <c r="F644" i="5"/>
  <c r="I643" i="5"/>
  <c r="J643" i="5" s="1"/>
  <c r="K643" i="5" s="1"/>
  <c r="G644" i="5" l="1"/>
  <c r="H644" i="5"/>
  <c r="F645" i="5"/>
  <c r="I644" i="5"/>
  <c r="J644" i="5" s="1"/>
  <c r="K644" i="5" s="1"/>
  <c r="H645" i="5" l="1"/>
  <c r="G645" i="5"/>
  <c r="F646" i="5"/>
  <c r="I645" i="5"/>
  <c r="J645" i="5" s="1"/>
  <c r="K645" i="5" s="1"/>
  <c r="H646" i="5" l="1"/>
  <c r="G646" i="5"/>
  <c r="F647" i="5"/>
  <c r="I646" i="5"/>
  <c r="J646" i="5" s="1"/>
  <c r="K646" i="5" s="1"/>
  <c r="H647" i="5" l="1"/>
  <c r="G647" i="5"/>
  <c r="F648" i="5"/>
  <c r="I648" i="5" s="1"/>
  <c r="J648" i="5" s="1"/>
  <c r="K648" i="5" s="1"/>
  <c r="I647" i="5"/>
  <c r="J647" i="5" s="1"/>
  <c r="K647" i="5" s="1"/>
  <c r="F649" i="5" l="1"/>
  <c r="I649" i="5" s="1"/>
  <c r="J649" i="5" s="1"/>
  <c r="K649" i="5" s="1"/>
  <c r="H648" i="5"/>
  <c r="G648" i="5"/>
  <c r="G649" i="5" l="1"/>
  <c r="H649" i="5"/>
  <c r="F650" i="5"/>
  <c r="G650" i="5" l="1"/>
  <c r="H650" i="5"/>
  <c r="F651" i="5"/>
  <c r="I650" i="5"/>
  <c r="J650" i="5" s="1"/>
  <c r="K650" i="5" s="1"/>
  <c r="G651" i="5" l="1"/>
  <c r="H651" i="5"/>
  <c r="F652" i="5"/>
  <c r="I651" i="5"/>
  <c r="J651" i="5" s="1"/>
  <c r="K651" i="5" s="1"/>
  <c r="G652" i="5" l="1"/>
  <c r="H652" i="5"/>
  <c r="F653" i="5"/>
  <c r="I652" i="5"/>
  <c r="J652" i="5" s="1"/>
  <c r="K652" i="5" s="1"/>
  <c r="G653" i="5" l="1"/>
  <c r="H653" i="5"/>
  <c r="F654" i="5"/>
  <c r="I653" i="5"/>
  <c r="J653" i="5" s="1"/>
  <c r="K653" i="5" s="1"/>
  <c r="H654" i="5" l="1"/>
  <c r="G654" i="5"/>
  <c r="F655" i="5"/>
  <c r="I654" i="5"/>
  <c r="J654" i="5" s="1"/>
  <c r="K654" i="5" s="1"/>
  <c r="H655" i="5" l="1"/>
  <c r="F656" i="5"/>
  <c r="I656" i="5" s="1"/>
  <c r="J656" i="5" s="1"/>
  <c r="K656" i="5" s="1"/>
  <c r="G655" i="5"/>
  <c r="I655" i="5"/>
  <c r="J655" i="5" s="1"/>
  <c r="K655" i="5" s="1"/>
  <c r="F657" i="5" l="1"/>
  <c r="I657" i="5" s="1"/>
  <c r="J657" i="5" s="1"/>
  <c r="K657" i="5" s="1"/>
  <c r="G656" i="5"/>
  <c r="H656" i="5"/>
  <c r="G657" i="5" l="1"/>
  <c r="H657" i="5"/>
  <c r="F658" i="5"/>
  <c r="H658" i="5" l="1"/>
  <c r="G658" i="5"/>
  <c r="F659" i="5"/>
  <c r="I658" i="5"/>
  <c r="J658" i="5" s="1"/>
  <c r="K658" i="5" s="1"/>
  <c r="G659" i="5" l="1"/>
  <c r="H659" i="5"/>
  <c r="F660" i="5"/>
  <c r="I659" i="5"/>
  <c r="J659" i="5" s="1"/>
  <c r="K659" i="5" s="1"/>
  <c r="G660" i="5" l="1"/>
  <c r="H660" i="5"/>
  <c r="F661" i="5"/>
  <c r="I660" i="5"/>
  <c r="J660" i="5" s="1"/>
  <c r="K660" i="5" s="1"/>
  <c r="G661" i="5" l="1"/>
  <c r="H661" i="5"/>
  <c r="F662" i="5"/>
  <c r="I661" i="5"/>
  <c r="J661" i="5" s="1"/>
  <c r="K661" i="5" s="1"/>
  <c r="G662" i="5" l="1"/>
  <c r="H662" i="5"/>
  <c r="F663" i="5"/>
  <c r="I662" i="5"/>
  <c r="J662" i="5" s="1"/>
  <c r="K662" i="5" s="1"/>
  <c r="H663" i="5" l="1"/>
  <c r="F664" i="5"/>
  <c r="I664" i="5" s="1"/>
  <c r="J664" i="5" s="1"/>
  <c r="K664" i="5" s="1"/>
  <c r="G663" i="5"/>
  <c r="I663" i="5"/>
  <c r="J663" i="5" s="1"/>
  <c r="K663" i="5" s="1"/>
  <c r="F665" i="5" l="1"/>
  <c r="I665" i="5" s="1"/>
  <c r="J665" i="5" s="1"/>
  <c r="K665" i="5" s="1"/>
  <c r="H664" i="5"/>
  <c r="G664" i="5"/>
  <c r="G665" i="5" l="1"/>
  <c r="H665" i="5"/>
  <c r="F666" i="5"/>
  <c r="G666" i="5" l="1"/>
  <c r="H666" i="5"/>
  <c r="F667" i="5"/>
  <c r="I666" i="5"/>
  <c r="J666" i="5" s="1"/>
  <c r="K666" i="5" s="1"/>
  <c r="G667" i="5" l="1"/>
  <c r="H667" i="5"/>
  <c r="F668" i="5"/>
  <c r="I667" i="5"/>
  <c r="J667" i="5" s="1"/>
  <c r="K667" i="5" s="1"/>
  <c r="G668" i="5" l="1"/>
  <c r="H668" i="5"/>
  <c r="F669" i="5"/>
  <c r="I668" i="5"/>
  <c r="J668" i="5" s="1"/>
  <c r="K668" i="5" s="1"/>
  <c r="H669" i="5" l="1"/>
  <c r="G669" i="5"/>
  <c r="F670" i="5"/>
  <c r="I669" i="5"/>
  <c r="J669" i="5" s="1"/>
  <c r="K669" i="5" s="1"/>
  <c r="G670" i="5" l="1"/>
  <c r="H670" i="5"/>
  <c r="F671" i="5"/>
  <c r="I670" i="5"/>
  <c r="J670" i="5" s="1"/>
  <c r="K670" i="5" s="1"/>
  <c r="H671" i="5" l="1"/>
  <c r="G671" i="5"/>
  <c r="F672" i="5"/>
  <c r="I672" i="5" s="1"/>
  <c r="J672" i="5" s="1"/>
  <c r="K672" i="5" s="1"/>
  <c r="I671" i="5"/>
  <c r="J671" i="5" s="1"/>
  <c r="K671" i="5" s="1"/>
  <c r="G672" i="5" l="1"/>
  <c r="F673" i="5"/>
  <c r="I673" i="5" s="1"/>
  <c r="J673" i="5" s="1"/>
  <c r="K673" i="5" s="1"/>
  <c r="H672" i="5"/>
  <c r="H673" i="5" l="1"/>
  <c r="G673" i="5"/>
  <c r="F674" i="5"/>
  <c r="G674" i="5" l="1"/>
  <c r="H674" i="5"/>
  <c r="F675" i="5"/>
  <c r="I674" i="5"/>
  <c r="J674" i="5" s="1"/>
  <c r="K674" i="5" s="1"/>
  <c r="G675" i="5" l="1"/>
  <c r="H675" i="5"/>
  <c r="F676" i="5"/>
  <c r="I675" i="5"/>
  <c r="J675" i="5" s="1"/>
  <c r="K675" i="5" s="1"/>
  <c r="G5" i="12" s="1"/>
  <c r="G676" i="5" l="1"/>
  <c r="H676" i="5"/>
  <c r="F677" i="5"/>
  <c r="I676" i="5"/>
  <c r="J676" i="5" s="1"/>
  <c r="K676" i="5" s="1"/>
  <c r="G677" i="5" l="1"/>
  <c r="H677" i="5"/>
  <c r="F678" i="5"/>
  <c r="I677" i="5"/>
  <c r="J677" i="5" s="1"/>
  <c r="K677" i="5" s="1"/>
  <c r="H678" i="5" l="1"/>
  <c r="G678" i="5"/>
  <c r="F679" i="5"/>
  <c r="I678" i="5"/>
  <c r="J678" i="5" s="1"/>
  <c r="K678" i="5" s="1"/>
  <c r="H679" i="5" l="1"/>
  <c r="F680" i="5"/>
  <c r="G679" i="5"/>
  <c r="I679" i="5"/>
  <c r="J679" i="5" s="1"/>
  <c r="K679" i="5" s="1"/>
  <c r="F681" i="5" l="1"/>
  <c r="I681" i="5" s="1"/>
  <c r="J681" i="5" s="1"/>
  <c r="K681" i="5" s="1"/>
  <c r="G680" i="5"/>
  <c r="H680" i="5"/>
  <c r="I680" i="5"/>
  <c r="J680" i="5" s="1"/>
  <c r="K680" i="5" s="1"/>
  <c r="G681" i="5" l="1"/>
  <c r="H681" i="5"/>
  <c r="F682" i="5"/>
  <c r="H682" i="5" l="1"/>
  <c r="G682" i="5"/>
  <c r="F683" i="5"/>
  <c r="I682" i="5"/>
  <c r="J682" i="5" s="1"/>
  <c r="K682" i="5" s="1"/>
  <c r="G683" i="5" l="1"/>
  <c r="H683" i="5"/>
  <c r="F684" i="5"/>
  <c r="I683" i="5"/>
  <c r="J683" i="5" s="1"/>
  <c r="K683" i="5" s="1"/>
  <c r="G684" i="5" l="1"/>
  <c r="H684" i="5"/>
  <c r="F685" i="5"/>
  <c r="I684" i="5"/>
  <c r="J684" i="5" s="1"/>
  <c r="K684" i="5" s="1"/>
  <c r="G685" i="5" l="1"/>
  <c r="H685" i="5"/>
  <c r="F686" i="5"/>
  <c r="I685" i="5"/>
  <c r="J685" i="5" s="1"/>
  <c r="K685" i="5" s="1"/>
  <c r="G686" i="5" l="1"/>
  <c r="H686" i="5"/>
  <c r="F687" i="5"/>
  <c r="I686" i="5"/>
  <c r="J686" i="5" s="1"/>
  <c r="K686" i="5" s="1"/>
  <c r="H687" i="5" l="1"/>
  <c r="F688" i="5"/>
  <c r="I688" i="5" s="1"/>
  <c r="J688" i="5" s="1"/>
  <c r="K688" i="5" s="1"/>
  <c r="G687" i="5"/>
  <c r="I687" i="5"/>
  <c r="J687" i="5" s="1"/>
  <c r="K687" i="5" s="1"/>
  <c r="F689" i="5" l="1"/>
  <c r="I689" i="5" s="1"/>
  <c r="J689" i="5" s="1"/>
  <c r="K689" i="5" s="1"/>
  <c r="G688" i="5"/>
  <c r="H688" i="5"/>
  <c r="H689" i="5" l="1"/>
  <c r="G689" i="5"/>
  <c r="F690" i="5"/>
  <c r="G690" i="5" l="1"/>
  <c r="H690" i="5"/>
  <c r="F691" i="5"/>
  <c r="I690" i="5"/>
  <c r="J690" i="5" s="1"/>
  <c r="K690" i="5" s="1"/>
  <c r="H691" i="5" l="1"/>
  <c r="G691" i="5"/>
  <c r="F692" i="5"/>
  <c r="I691" i="5"/>
  <c r="J691" i="5" s="1"/>
  <c r="K691" i="5" s="1"/>
  <c r="G692" i="5" l="1"/>
  <c r="H692" i="5"/>
  <c r="F693" i="5"/>
  <c r="I692" i="5"/>
  <c r="J692" i="5" s="1"/>
  <c r="K692" i="5" s="1"/>
  <c r="G693" i="5" l="1"/>
  <c r="H693" i="5"/>
  <c r="F694" i="5"/>
  <c r="I693" i="5"/>
  <c r="J693" i="5" s="1"/>
  <c r="K693" i="5" s="1"/>
  <c r="G694" i="5" l="1"/>
  <c r="H694" i="5"/>
  <c r="F695" i="5"/>
  <c r="I694" i="5"/>
  <c r="J694" i="5" s="1"/>
  <c r="K694" i="5" s="1"/>
  <c r="F696" i="5" l="1"/>
  <c r="I696" i="5" s="1"/>
  <c r="J696" i="5" s="1"/>
  <c r="K696" i="5" s="1"/>
  <c r="H695" i="5"/>
  <c r="G695" i="5"/>
  <c r="I695" i="5"/>
  <c r="J695" i="5" s="1"/>
  <c r="K695" i="5" s="1"/>
  <c r="F697" i="5" l="1"/>
  <c r="I697" i="5" s="1"/>
  <c r="J697" i="5" s="1"/>
  <c r="K697" i="5" s="1"/>
  <c r="G696" i="5"/>
  <c r="H696" i="5"/>
  <c r="H697" i="5" l="1"/>
  <c r="G697" i="5"/>
  <c r="F698" i="5"/>
  <c r="G698" i="5" l="1"/>
  <c r="H698" i="5"/>
  <c r="F699" i="5"/>
  <c r="I698" i="5"/>
  <c r="J698" i="5" s="1"/>
  <c r="K698" i="5" s="1"/>
  <c r="H699" i="5" l="1"/>
  <c r="G699" i="5"/>
  <c r="F700" i="5"/>
  <c r="I699" i="5"/>
  <c r="J699" i="5" s="1"/>
  <c r="K699" i="5" s="1"/>
  <c r="G700" i="5" l="1"/>
  <c r="H700" i="5"/>
  <c r="F701" i="5"/>
  <c r="I700" i="5"/>
  <c r="J700" i="5" s="1"/>
  <c r="K700" i="5" s="1"/>
  <c r="G701" i="5" l="1"/>
  <c r="H701" i="5"/>
  <c r="F702" i="5"/>
  <c r="I701" i="5"/>
  <c r="J701" i="5" s="1"/>
  <c r="K701" i="5" s="1"/>
  <c r="G702" i="5" l="1"/>
  <c r="H702" i="5"/>
  <c r="F703" i="5"/>
  <c r="I702" i="5"/>
  <c r="J702" i="5" s="1"/>
  <c r="K702" i="5" s="1"/>
  <c r="H703" i="5" l="1"/>
  <c r="F704" i="5"/>
  <c r="I704" i="5" s="1"/>
  <c r="J704" i="5" s="1"/>
  <c r="K704" i="5" s="1"/>
  <c r="G703" i="5"/>
  <c r="I703" i="5"/>
  <c r="J703" i="5" s="1"/>
  <c r="K703" i="5" s="1"/>
  <c r="F705" i="5" l="1"/>
  <c r="I705" i="5" s="1"/>
  <c r="J705" i="5" s="1"/>
  <c r="K705" i="5" s="1"/>
  <c r="G704" i="5"/>
  <c r="H704" i="5"/>
  <c r="H705" i="5" l="1"/>
  <c r="G705" i="5"/>
  <c r="F706" i="5"/>
  <c r="G706" i="5" l="1"/>
  <c r="H706" i="5"/>
  <c r="F707" i="5"/>
  <c r="I706" i="5"/>
  <c r="J706" i="5" s="1"/>
  <c r="K706" i="5" s="1"/>
  <c r="G707" i="5" l="1"/>
  <c r="H707" i="5"/>
  <c r="F708" i="5"/>
  <c r="I707" i="5"/>
  <c r="J707" i="5" s="1"/>
  <c r="K707" i="5" s="1"/>
  <c r="G708" i="5" l="1"/>
  <c r="H708" i="5"/>
  <c r="F709" i="5"/>
  <c r="I708" i="5"/>
  <c r="J708" i="5" s="1"/>
  <c r="K708" i="5" s="1"/>
  <c r="H709" i="5" l="1"/>
  <c r="G709" i="5"/>
  <c r="F710" i="5"/>
  <c r="I709" i="5"/>
  <c r="J709" i="5" s="1"/>
  <c r="K709" i="5" s="1"/>
  <c r="H710" i="5" l="1"/>
  <c r="G710" i="5"/>
  <c r="F711" i="5"/>
  <c r="I710" i="5"/>
  <c r="J710" i="5" s="1"/>
  <c r="K710" i="5" s="1"/>
  <c r="H711" i="5" l="1"/>
  <c r="F712" i="5"/>
  <c r="I712" i="5" s="1"/>
  <c r="J712" i="5" s="1"/>
  <c r="K712" i="5" s="1"/>
  <c r="G711" i="5"/>
  <c r="I711" i="5"/>
  <c r="J711" i="5" s="1"/>
  <c r="K711" i="5" s="1"/>
  <c r="G712" i="5" l="1"/>
  <c r="F713" i="5"/>
  <c r="I713" i="5" s="1"/>
  <c r="J713" i="5" s="1"/>
  <c r="K713" i="5" s="1"/>
  <c r="H712" i="5"/>
  <c r="G713" i="5" l="1"/>
  <c r="H713" i="5"/>
  <c r="F714" i="5"/>
  <c r="G714" i="5" l="1"/>
  <c r="H714" i="5"/>
  <c r="F715" i="5"/>
  <c r="I714" i="5"/>
  <c r="J714" i="5" s="1"/>
  <c r="K714" i="5" s="1"/>
  <c r="H715" i="5" l="1"/>
  <c r="G715" i="5"/>
  <c r="F716" i="5"/>
  <c r="I715" i="5"/>
  <c r="J715" i="5" s="1"/>
  <c r="K715" i="5" s="1"/>
  <c r="G716" i="5" l="1"/>
  <c r="H716" i="5"/>
  <c r="F717" i="5"/>
  <c r="I716" i="5"/>
  <c r="J716" i="5" s="1"/>
  <c r="K716" i="5" s="1"/>
  <c r="F5" i="12" s="1"/>
  <c r="G717" i="5" l="1"/>
  <c r="H717" i="5"/>
  <c r="F718" i="5"/>
  <c r="I717" i="5"/>
  <c r="J717" i="5" s="1"/>
  <c r="K717" i="5" s="1"/>
  <c r="H718" i="5" l="1"/>
  <c r="G718" i="5"/>
  <c r="F719" i="5"/>
  <c r="I718" i="5"/>
  <c r="J718" i="5" s="1"/>
  <c r="K718" i="5" s="1"/>
  <c r="H719" i="5" l="1"/>
  <c r="F720" i="5"/>
  <c r="I720" i="5" s="1"/>
  <c r="J720" i="5" s="1"/>
  <c r="K720" i="5" s="1"/>
  <c r="G719" i="5"/>
  <c r="I719" i="5"/>
  <c r="J719" i="5" s="1"/>
  <c r="K719" i="5" s="1"/>
  <c r="G720" i="5" l="1"/>
  <c r="H720" i="5"/>
  <c r="F721" i="5"/>
  <c r="H721" i="5" l="1"/>
  <c r="G721" i="5"/>
  <c r="F722" i="5"/>
  <c r="I721" i="5"/>
  <c r="J721" i="5" s="1"/>
  <c r="K721" i="5" s="1"/>
  <c r="G722" i="5" l="1"/>
  <c r="H722" i="5"/>
  <c r="F723" i="5"/>
  <c r="I722" i="5"/>
  <c r="J722" i="5" s="1"/>
  <c r="K722" i="5" s="1"/>
  <c r="G723" i="5" l="1"/>
  <c r="H723" i="5"/>
  <c r="F724" i="5"/>
  <c r="I723" i="5"/>
  <c r="J723" i="5" s="1"/>
  <c r="K723" i="5" s="1"/>
  <c r="G724" i="5" l="1"/>
  <c r="H724" i="5"/>
  <c r="F725" i="5"/>
  <c r="I724" i="5"/>
  <c r="J724" i="5" s="1"/>
  <c r="K724" i="5" s="1"/>
  <c r="G725" i="5" l="1"/>
  <c r="H725" i="5"/>
  <c r="F726" i="5"/>
  <c r="I725" i="5"/>
  <c r="J725" i="5" s="1"/>
  <c r="K725" i="5" s="1"/>
  <c r="G726" i="5" l="1"/>
  <c r="H726" i="5"/>
  <c r="F727" i="5"/>
  <c r="I726" i="5"/>
  <c r="J726" i="5" s="1"/>
  <c r="K726" i="5" s="1"/>
  <c r="H727" i="5" l="1"/>
  <c r="F728" i="5"/>
  <c r="I728" i="5" s="1"/>
  <c r="J728" i="5" s="1"/>
  <c r="K728" i="5" s="1"/>
  <c r="G727" i="5"/>
  <c r="I727" i="5"/>
  <c r="J727" i="5" s="1"/>
  <c r="K727" i="5" s="1"/>
  <c r="F729" i="5" l="1"/>
  <c r="I729" i="5" s="1"/>
  <c r="J729" i="5" s="1"/>
  <c r="K729" i="5" s="1"/>
  <c r="H728" i="5"/>
  <c r="G728" i="5"/>
  <c r="G729" i="5" l="1"/>
  <c r="H729" i="5"/>
  <c r="F730" i="5"/>
  <c r="H730" i="5" l="1"/>
  <c r="G730" i="5"/>
  <c r="F731" i="5"/>
  <c r="I730" i="5"/>
  <c r="J730" i="5" s="1"/>
  <c r="K730" i="5" s="1"/>
  <c r="H731" i="5" l="1"/>
  <c r="G731" i="5"/>
  <c r="F732" i="5"/>
  <c r="I731" i="5"/>
  <c r="J731" i="5" s="1"/>
  <c r="K731" i="5" s="1"/>
  <c r="G732" i="5" l="1"/>
  <c r="H732" i="5"/>
  <c r="F733" i="5"/>
  <c r="I732" i="5"/>
  <c r="J732" i="5" s="1"/>
  <c r="K732" i="5" s="1"/>
  <c r="E5" i="12" s="1"/>
  <c r="G733" i="5" l="1"/>
  <c r="H733" i="5"/>
  <c r="F734" i="5"/>
  <c r="I733" i="5"/>
  <c r="J733" i="5" s="1"/>
  <c r="K733" i="5" s="1"/>
  <c r="G734" i="5" l="1"/>
  <c r="H734" i="5"/>
  <c r="I735" i="5"/>
  <c r="J735" i="5" s="1"/>
  <c r="K735" i="5" s="1"/>
  <c r="F735" i="5"/>
  <c r="I734" i="5"/>
  <c r="J734" i="5" s="1"/>
  <c r="K734" i="5" s="1"/>
  <c r="H735" i="5" l="1"/>
  <c r="G735" i="5"/>
  <c r="F736" i="5"/>
  <c r="I736" i="5" s="1"/>
  <c r="J736" i="5" s="1"/>
  <c r="K736" i="5" s="1"/>
  <c r="D5" i="12" s="1"/>
  <c r="H736" i="5" l="1"/>
  <c r="G736" i="5"/>
  <c r="F737" i="5"/>
  <c r="I737" i="5" s="1"/>
  <c r="J737" i="5" s="1"/>
  <c r="K737" i="5" s="1"/>
  <c r="C5" i="12" s="1"/>
  <c r="K57" i="4" l="1"/>
  <c r="H57" i="4"/>
  <c r="J57" i="4"/>
  <c r="L57" i="4"/>
  <c r="G57" i="4"/>
  <c r="I57" i="4"/>
  <c r="H737" i="5"/>
  <c r="G737" i="5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3-11' and AsOfDate&gt;= '20120404' order by d.AsOfDate"/>
  </connection>
</connections>
</file>

<file path=xl/sharedStrings.xml><?xml version="1.0" encoding="utf-8"?>
<sst xmlns="http://schemas.openxmlformats.org/spreadsheetml/2006/main" count="936" uniqueCount="773">
  <si>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</si>
  <si>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</si>
  <si>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</si>
  <si>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</si>
  <si>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</si>
  <si>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</si>
  <si>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</si>
  <si>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</si>
  <si>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</si>
  <si>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</si>
  <si>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</si>
  <si>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</si>
  <si>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</si>
  <si>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</si>
  <si>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</si>
  <si>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</si>
  <si>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</si>
  <si>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</si>
  <si>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</si>
  <si>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</si>
  <si>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</si>
  <si>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</si>
  <si>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</si>
  <si>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</si>
  <si>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</si>
  <si>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</si>
  <si>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</si>
  <si>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</si>
  <si>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</si>
  <si>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</si>
  <si>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</si>
  <si>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</si>
  <si>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</si>
  <si>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</si>
  <si>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</si>
  <si>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</si>
  <si>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</si>
  <si>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</si>
  <si>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</si>
  <si>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</si>
  <si>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</si>
  <si>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</si>
  <si>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</si>
  <si>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</si>
  <si>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</si>
  <si>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</si>
  <si>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</si>
  <si>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</si>
  <si>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</si>
  <si>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</si>
  <si>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</si>
  <si>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</si>
  <si>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</si>
  <si>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</si>
  <si>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</si>
  <si>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</si>
  <si>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</si>
  <si>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</si>
  <si>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</si>
  <si>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</si>
  <si>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</si>
  <si>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</si>
  <si>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</si>
  <si>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</si>
  <si>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</si>
  <si>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</si>
  <si>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</si>
  <si>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</si>
  <si>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</si>
  <si>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</si>
  <si>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</si>
  <si>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</si>
  <si>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</si>
  <si>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</si>
  <si>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</si>
  <si>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</si>
  <si>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</si>
  <si>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</si>
  <si>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</si>
  <si>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</si>
  <si>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</si>
  <si>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</si>
  <si>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</si>
  <si>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</si>
  <si>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</si>
  <si>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</si>
  <si>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</si>
  <si>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</si>
  <si>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</si>
  <si>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</si>
  <si>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</si>
  <si>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</si>
  <si>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</si>
  <si>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</si>
  <si>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</si>
  <si>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</si>
  <si>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</si>
  <si>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</si>
  <si>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</si>
  <si>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</si>
  <si>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</si>
  <si>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</si>
  <si>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</si>
  <si>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</si>
  <si>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</si>
  <si>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</si>
  <si>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</si>
  <si>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</si>
  <si>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</si>
  <si>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</si>
  <si>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</si>
  <si>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</si>
  <si>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</si>
  <si>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</si>
  <si>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</si>
  <si>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</si>
  <si>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</si>
  <si>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</si>
  <si>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</si>
  <si>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</si>
  <si>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</si>
  <si>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</si>
  <si>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</si>
  <si>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</si>
  <si>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</si>
  <si>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</si>
  <si>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</si>
  <si>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</si>
  <si>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</si>
  <si>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</si>
  <si>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</si>
  <si>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</si>
  <si>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</si>
  <si>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</si>
  <si>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</si>
  <si>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</si>
  <si>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</si>
  <si>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</si>
  <si>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</si>
  <si>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</si>
  <si>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</si>
  <si>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</si>
  <si>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</si>
  <si>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</si>
  <si>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</si>
  <si>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</si>
  <si>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</si>
  <si>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</si>
  <si>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</si>
  <si>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</si>
  <si>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</si>
  <si>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</si>
  <si>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</si>
  <si>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</si>
  <si>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</si>
  <si>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</si>
  <si>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</si>
  <si>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</si>
  <si>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</si>
  <si>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</si>
  <si>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</si>
  <si>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</si>
  <si>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</si>
  <si>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</si>
  <si>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</si>
  <si>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</si>
  <si>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</si>
  <si>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</si>
  <si>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</si>
  <si>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</si>
  <si>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</si>
  <si>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</si>
  <si>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</si>
  <si>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</si>
  <si>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</si>
  <si>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</si>
  <si>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</si>
  <si>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</si>
  <si>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</si>
  <si>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</si>
  <si>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</si>
  <si>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</si>
  <si>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</si>
  <si>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</si>
  <si>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</si>
  <si>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</si>
  <si>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</si>
  <si>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</si>
  <si>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</si>
  <si>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</si>
  <si>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</si>
  <si>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</si>
  <si>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</si>
  <si>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</si>
  <si>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</si>
  <si>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</si>
  <si>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</si>
  <si>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</si>
  <si>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</si>
  <si>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</si>
  <si>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</si>
  <si>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</si>
  <si>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</si>
  <si>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</si>
  <si>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</si>
  <si>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</si>
  <si>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</si>
  <si>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</si>
  <si>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</si>
  <si>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</si>
  <si>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</si>
  <si>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</si>
  <si>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</si>
  <si>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</si>
  <si>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</si>
  <si>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</si>
  <si>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</si>
  <si>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</si>
  <si>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</si>
  <si>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</si>
  <si>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</si>
  <si>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</si>
  <si>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</si>
  <si>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</si>
  <si>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</si>
  <si>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</si>
  <si>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</si>
  <si>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</si>
  <si>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</si>
  <si>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</si>
  <si>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</si>
  <si>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</si>
  <si>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</si>
  <si>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</si>
  <si>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</si>
  <si>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</si>
  <si>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</si>
  <si>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</si>
  <si>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</si>
  <si>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</si>
  <si>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</si>
  <si>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</si>
  <si>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</si>
  <si>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</si>
  <si>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</si>
  <si>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</si>
  <si>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</si>
  <si>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</si>
  <si>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</si>
  <si>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</si>
  <si>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</si>
  <si>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</si>
  <si>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</si>
  <si>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</si>
  <si>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</si>
  <si>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</si>
  <si>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</si>
  <si>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</si>
  <si>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</si>
  <si>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</si>
  <si>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</si>
  <si>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</si>
  <si>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</si>
  <si>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</si>
  <si>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</si>
  <si>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</si>
  <si>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</si>
  <si>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</si>
  <si>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</si>
  <si>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</si>
  <si>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</si>
  <si>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</si>
  <si>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</si>
  <si>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</si>
  <si>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</si>
  <si>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</si>
  <si>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</si>
  <si>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</si>
  <si>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</si>
  <si>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</si>
  <si>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</si>
  <si>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</si>
  <si>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</si>
  <si>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</si>
  <si>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</si>
  <si>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</si>
  <si>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</si>
  <si>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</si>
  <si>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</si>
  <si>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</si>
  <si>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</si>
  <si>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</si>
  <si>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</si>
  <si>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</si>
  <si>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</si>
  <si>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</si>
  <si>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</si>
  <si>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</si>
  <si>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</si>
  <si>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</si>
  <si>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</si>
  <si>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</si>
  <si>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</si>
  <si>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</si>
  <si>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</si>
  <si>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</si>
  <si>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</si>
  <si>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</si>
  <si>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</si>
  <si>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</si>
  <si>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</si>
  <si>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</si>
  <si>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</si>
  <si>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</si>
  <si>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</si>
  <si>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</si>
  <si>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</si>
  <si>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</si>
  <si>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</si>
  <si>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</si>
  <si>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</si>
  <si>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</si>
  <si>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</si>
  <si>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</si>
  <si>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</si>
  <si>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</si>
  <si>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</si>
  <si>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</si>
  <si>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</si>
  <si>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</si>
  <si>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</si>
  <si>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</si>
  <si>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</si>
  <si>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</si>
  <si>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</si>
  <si>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</si>
  <si>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</si>
  <si>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</si>
  <si>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</si>
  <si>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</si>
  <si>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</si>
  <si>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</si>
  <si>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</si>
  <si>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</si>
  <si>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</si>
  <si>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</si>
  <si>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</si>
  <si>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</si>
  <si>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</si>
  <si>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</si>
  <si>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</si>
  <si>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</si>
  <si>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</si>
  <si>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</si>
  <si>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</si>
  <si>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</si>
  <si>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</si>
  <si>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</si>
  <si>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</si>
  <si>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</si>
  <si>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</si>
  <si>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</si>
  <si>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</si>
  <si>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</si>
  <si>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</si>
  <si>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</si>
  <si>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</si>
  <si>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</si>
  <si>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</si>
  <si>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</si>
  <si>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</si>
  <si>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</si>
  <si>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</si>
  <si>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</si>
  <si>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</si>
  <si>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</si>
  <si>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</si>
  <si>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</si>
  <si>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</si>
  <si>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</si>
  <si>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</si>
  <si>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</si>
  <si>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</si>
  <si>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</si>
  <si>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</si>
  <si>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</si>
  <si>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</si>
  <si>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</si>
  <si>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</si>
  <si>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</si>
  <si>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</si>
  <si>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</si>
  <si>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</si>
  <si>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</si>
  <si>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</si>
  <si>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</si>
  <si>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</si>
  <si>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</si>
  <si>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</si>
  <si>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</si>
  <si>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</si>
  <si>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</si>
  <si>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</si>
  <si>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</si>
  <si>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</si>
  <si>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</si>
  <si>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</si>
  <si>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</si>
  <si>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</si>
  <si>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</si>
  <si>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</si>
  <si>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</si>
  <si>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</si>
  <si>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</si>
  <si>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</si>
  <si>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</si>
  <si>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</si>
  <si>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</si>
  <si>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</si>
  <si>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</si>
  <si>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</si>
  <si>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</si>
  <si>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</si>
  <si>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</si>
  <si>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</si>
  <si>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</si>
  <si>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</si>
  <si>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</si>
  <si>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</si>
  <si>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</si>
  <si>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</si>
  <si>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</si>
  <si>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</si>
  <si>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</si>
  <si>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</si>
  <si>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</si>
  <si>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</si>
  <si>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</si>
  <si>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</si>
  <si>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</si>
  <si>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</si>
  <si>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</si>
  <si>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</si>
  <si>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</si>
  <si>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</si>
  <si>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</si>
  <si>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</si>
  <si>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</si>
  <si>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</si>
  <si>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</si>
  <si>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</si>
  <si>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</si>
  <si>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</si>
  <si>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</si>
  <si>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</si>
  <si>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</si>
  <si>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</si>
  <si>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</si>
  <si>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</si>
  <si>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</si>
  <si>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</si>
  <si>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</si>
  <si>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</si>
  <si>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</si>
  <si>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</si>
  <si>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</si>
  <si>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</si>
  <si>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</si>
  <si>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</si>
  <si>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</si>
  <si>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</si>
  <si>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</si>
  <si>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</si>
  <si>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</si>
  <si>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</si>
  <si>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</si>
  <si>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</si>
  <si>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</si>
  <si>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</si>
  <si>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</si>
  <si>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</si>
  <si>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</si>
  <si>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</si>
  <si>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</si>
  <si>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</si>
  <si>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</si>
  <si>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</si>
  <si>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</si>
  <si>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</si>
  <si>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</si>
  <si>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</si>
  <si>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</si>
  <si>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</si>
  <si>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</si>
  <si>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</si>
  <si>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</si>
  <si>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</si>
  <si>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</si>
  <si>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</si>
  <si>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</si>
  <si>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</si>
  <si>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</si>
  <si>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</si>
  <si>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</si>
  <si>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</si>
  <si>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</si>
  <si>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</si>
  <si>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</si>
  <si>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</si>
  <si>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</si>
  <si>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</si>
  <si>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</si>
  <si>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</si>
  <si>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</si>
  <si>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</si>
  <si>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</si>
  <si>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</si>
  <si>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</si>
  <si>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</si>
  <si>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</si>
  <si>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</si>
  <si>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</si>
  <si>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</si>
  <si>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</si>
  <si>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</si>
  <si>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</si>
  <si>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</si>
  <si>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</si>
  <si>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</si>
  <si>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</si>
  <si>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</si>
  <si>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</si>
  <si>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</si>
  <si>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</si>
  <si>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</si>
  <si>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</si>
  <si>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</si>
  <si>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</si>
  <si>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</si>
  <si>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</si>
  <si>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</si>
  <si>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</si>
  <si>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</si>
  <si>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</si>
  <si>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</si>
  <si>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</si>
  <si>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</si>
  <si>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</si>
  <si>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</si>
  <si>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</si>
  <si>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</si>
  <si>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</si>
  <si>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</si>
  <si>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</si>
  <si>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</si>
  <si>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</si>
  <si>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</si>
  <si>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</si>
  <si>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</si>
  <si>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</si>
  <si>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</si>
  <si>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</si>
  <si>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</si>
  <si>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</si>
  <si>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</si>
  <si>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</si>
  <si>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</si>
  <si>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</si>
  <si>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</si>
  <si>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</si>
  <si>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</si>
  <si>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</si>
  <si>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</si>
  <si>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</si>
  <si>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</si>
  <si>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</si>
  <si>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</si>
  <si>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</si>
  <si>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</si>
  <si>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</si>
  <si>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</si>
  <si>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</si>
  <si>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</si>
  <si>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</si>
  <si>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</si>
  <si>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</si>
  <si>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</si>
  <si>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</si>
  <si>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</si>
  <si>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</si>
  <si>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</si>
  <si>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</si>
  <si>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</si>
  <si>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</si>
  <si>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</si>
  <si>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</si>
  <si>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</si>
  <si>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</si>
  <si>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</si>
  <si>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</si>
  <si>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</si>
  <si>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</si>
  <si>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</si>
  <si>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</si>
  <si>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</si>
  <si>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</si>
  <si>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</si>
  <si>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</si>
  <si>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</si>
  <si>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</si>
  <si>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</si>
  <si>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</si>
  <si>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</si>
  <si>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</si>
  <si>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</si>
  <si>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</si>
  <si>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</si>
  <si>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</si>
  <si>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</si>
  <si>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</si>
  <si>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</si>
  <si>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</si>
  <si>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</si>
  <si>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</si>
  <si>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</si>
  <si>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</si>
  <si>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</si>
  <si>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</si>
  <si>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</si>
  <si>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</si>
  <si>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</si>
  <si>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</si>
  <si>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</si>
  <si>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</si>
  <si>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</si>
  <si>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</si>
  <si>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</si>
  <si>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</si>
  <si>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</si>
  <si>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</si>
  <si>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</si>
  <si>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</si>
  <si>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</si>
  <si>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</si>
  <si>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</si>
  <si>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</si>
  <si>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</si>
  <si>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</si>
  <si>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</si>
  <si>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</si>
  <si>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</si>
  <si>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</si>
  <si>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</si>
  <si>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</si>
  <si>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</si>
  <si>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</si>
  <si>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</si>
  <si>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</si>
  <si>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</si>
  <si>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</si>
  <si>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</si>
  <si>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</si>
  <si>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</si>
  <si>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</si>
  <si>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</si>
  <si>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</si>
  <si>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</si>
  <si>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</si>
  <si>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</si>
  <si>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</si>
  <si>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</si>
  <si>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</si>
  <si>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</si>
  <si>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</si>
  <si>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</si>
  <si>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</si>
  <si>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</si>
  <si>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</si>
  <si>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</si>
  <si>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</si>
  <si>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</si>
  <si>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</si>
  <si>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</si>
  <si>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</si>
  <si>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</si>
  <si>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</si>
  <si>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</si>
  <si>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</si>
  <si>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</si>
  <si>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</si>
  <si>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</si>
  <si>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</si>
  <si>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</si>
  <si>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</si>
  <si>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</si>
  <si>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</si>
  <si>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</si>
  <si>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</si>
  <si>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</si>
  <si>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</si>
  <si>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</si>
  <si>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</si>
  <si>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</si>
  <si>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</si>
  <si>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</si>
  <si>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</si>
  <si>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</si>
  <si>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</si>
  <si>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</si>
  <si>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</si>
  <si>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</si>
  <si>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</si>
  <si>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</si>
  <si>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</si>
  <si>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</si>
  <si>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</si>
  <si>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</si>
  <si>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</si>
  <si>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</si>
  <si>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</si>
  <si>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</si>
  <si>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</si>
  <si>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</si>
  <si>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</si>
  <si>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</si>
  <si>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</si>
  <si>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</si>
  <si>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</si>
  <si>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</si>
  <si>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</si>
  <si>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</si>
  <si>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</si>
  <si>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</si>
  <si>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</si>
  <si>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1W Rate Chg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</si>
  <si>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</si>
  <si>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</si>
  <si>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</si>
  <si>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</si>
  <si>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</si>
  <si>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</si>
  <si>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</si>
  <si>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</si>
  <si>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</si>
  <si>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</si>
  <si>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</si>
  <si>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</si>
  <si>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</si>
  <si>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</si>
  <si>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</si>
  <si>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</si>
  <si>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</si>
  <si>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</si>
  <si>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</si>
  <si>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</si>
  <si>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</si>
  <si>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</si>
  <si>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</si>
  <si>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</si>
  <si>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</si>
  <si>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</si>
  <si>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</si>
  <si>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</si>
  <si>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</si>
  <si>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</si>
  <si>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</si>
  <si>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</si>
  <si>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Sources: Freddie Mac</t>
  </si>
  <si>
    <t>2015-03-05</t>
  </si>
  <si>
    <t>2015-03-06</t>
  </si>
  <si>
    <t>2015-03-09</t>
  </si>
  <si>
    <t>2015-03-10</t>
  </si>
  <si>
    <t>2015-03-11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</si>
</sst>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39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AD275C"/>
      <color rgb="FFC7732D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[Servicing Spread and Survey Rate 2015-03-13.xlsm]Dynamic Pivot!PivotTable2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marker>
          <c:symbol val="none"/>
        </c:marker>
      </c:pivotFmt>
      <c:pivotFmt>
        <c:idx val="17"/>
        <c:spPr>
          <a:ln>
            <a:prstDash val="dash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Servicing Spread </c:v>
                </c:pt>
              </c:strCache>
            </c:strRef>
          </c:tx>
          <c:marker>
            <c:symbol val="none"/>
          </c:marker>
          <c:cat>
            <c:strRef>
              <c:f>'Dynamic Pivot'!$A$4:$A$156</c:f>
              <c:strCache>
                <c:ptCount val="152"/>
                <c:pt idx="0">
                  <c:v>2012-04-12</c:v>
                </c:pt>
                <c:pt idx="1">
                  <c:v>2012-04-19</c:v>
                </c:pt>
                <c:pt idx="2">
                  <c:v>2012-04-26</c:v>
                </c:pt>
                <c:pt idx="3">
                  <c:v>2012-05-03</c:v>
                </c:pt>
                <c:pt idx="4">
                  <c:v>2012-05-10</c:v>
                </c:pt>
                <c:pt idx="5">
                  <c:v>2012-05-17</c:v>
                </c:pt>
                <c:pt idx="6">
                  <c:v>2012-05-24</c:v>
                </c:pt>
                <c:pt idx="7">
                  <c:v>2012-05-31</c:v>
                </c:pt>
                <c:pt idx="8">
                  <c:v>2012-06-07</c:v>
                </c:pt>
                <c:pt idx="9">
                  <c:v>2012-06-14</c:v>
                </c:pt>
                <c:pt idx="10">
                  <c:v>2012-06-21</c:v>
                </c:pt>
                <c:pt idx="11">
                  <c:v>2012-06-28</c:v>
                </c:pt>
                <c:pt idx="12">
                  <c:v>2012-07-05</c:v>
                </c:pt>
                <c:pt idx="13">
                  <c:v>2012-07-12</c:v>
                </c:pt>
                <c:pt idx="14">
                  <c:v>2012-07-19</c:v>
                </c:pt>
                <c:pt idx="15">
                  <c:v>2012-07-26</c:v>
                </c:pt>
                <c:pt idx="16">
                  <c:v>2012-08-02</c:v>
                </c:pt>
                <c:pt idx="17">
                  <c:v>2012-08-09</c:v>
                </c:pt>
                <c:pt idx="18">
                  <c:v>2012-08-16</c:v>
                </c:pt>
                <c:pt idx="19">
                  <c:v>2012-08-23</c:v>
                </c:pt>
                <c:pt idx="20">
                  <c:v>2012-08-30</c:v>
                </c:pt>
                <c:pt idx="21">
                  <c:v>2012-09-06</c:v>
                </c:pt>
                <c:pt idx="22">
                  <c:v>2012-09-13</c:v>
                </c:pt>
                <c:pt idx="23">
                  <c:v>2012-09-20</c:v>
                </c:pt>
                <c:pt idx="24">
                  <c:v>2012-09-27</c:v>
                </c:pt>
                <c:pt idx="25">
                  <c:v>2012-10-04</c:v>
                </c:pt>
                <c:pt idx="26">
                  <c:v>2012-10-11</c:v>
                </c:pt>
                <c:pt idx="27">
                  <c:v>2012-10-18</c:v>
                </c:pt>
                <c:pt idx="28">
                  <c:v>2012-10-25</c:v>
                </c:pt>
                <c:pt idx="29">
                  <c:v>2012-11-01</c:v>
                </c:pt>
                <c:pt idx="30">
                  <c:v>2012-11-08</c:v>
                </c:pt>
                <c:pt idx="31">
                  <c:v>2012-11-14</c:v>
                </c:pt>
                <c:pt idx="32">
                  <c:v>2012-11-23</c:v>
                </c:pt>
                <c:pt idx="33">
                  <c:v>2012-11-29</c:v>
                </c:pt>
                <c:pt idx="34">
                  <c:v>2012-12-06</c:v>
                </c:pt>
                <c:pt idx="35">
                  <c:v>2012-12-13</c:v>
                </c:pt>
                <c:pt idx="36">
                  <c:v>2012-12-20</c:v>
                </c:pt>
                <c:pt idx="37">
                  <c:v>2012-12-27</c:v>
                </c:pt>
                <c:pt idx="38">
                  <c:v>2013-01-03</c:v>
                </c:pt>
                <c:pt idx="39">
                  <c:v>2013-01-10</c:v>
                </c:pt>
                <c:pt idx="40">
                  <c:v>2013-01-17</c:v>
                </c:pt>
                <c:pt idx="41">
                  <c:v>2013-01-24</c:v>
                </c:pt>
                <c:pt idx="42">
                  <c:v>2013-01-31</c:v>
                </c:pt>
                <c:pt idx="43">
                  <c:v>2013-02-07</c:v>
                </c:pt>
                <c:pt idx="44">
                  <c:v>2013-02-14</c:v>
                </c:pt>
                <c:pt idx="45">
                  <c:v>2013-02-21</c:v>
                </c:pt>
                <c:pt idx="46">
                  <c:v>2013-02-28</c:v>
                </c:pt>
                <c:pt idx="47">
                  <c:v>2013-03-07</c:v>
                </c:pt>
                <c:pt idx="48">
                  <c:v>2013-03-14</c:v>
                </c:pt>
                <c:pt idx="49">
                  <c:v>2013-03-21</c:v>
                </c:pt>
                <c:pt idx="50">
                  <c:v>2013-03-28</c:v>
                </c:pt>
                <c:pt idx="51">
                  <c:v>2013-04-04</c:v>
                </c:pt>
                <c:pt idx="52">
                  <c:v>2013-04-11</c:v>
                </c:pt>
                <c:pt idx="53">
                  <c:v>2013-04-18</c:v>
                </c:pt>
                <c:pt idx="54">
                  <c:v>2013-04-25</c:v>
                </c:pt>
                <c:pt idx="55">
                  <c:v>2013-05-02</c:v>
                </c:pt>
                <c:pt idx="56">
                  <c:v>2013-05-09</c:v>
                </c:pt>
                <c:pt idx="57">
                  <c:v>2013-05-16</c:v>
                </c:pt>
                <c:pt idx="58">
                  <c:v>2013-05-23</c:v>
                </c:pt>
                <c:pt idx="59">
                  <c:v>2013-05-30</c:v>
                </c:pt>
                <c:pt idx="60">
                  <c:v>2013-06-06</c:v>
                </c:pt>
                <c:pt idx="61">
                  <c:v>2013-06-13</c:v>
                </c:pt>
                <c:pt idx="62">
                  <c:v>2013-06-20</c:v>
                </c:pt>
                <c:pt idx="63">
                  <c:v>2013-06-26</c:v>
                </c:pt>
                <c:pt idx="64">
                  <c:v>2013-07-05</c:v>
                </c:pt>
                <c:pt idx="65">
                  <c:v>2013-07-11</c:v>
                </c:pt>
                <c:pt idx="66">
                  <c:v>2013-07-18</c:v>
                </c:pt>
                <c:pt idx="67">
                  <c:v>2013-07-25</c:v>
                </c:pt>
                <c:pt idx="68">
                  <c:v>2013-08-01</c:v>
                </c:pt>
                <c:pt idx="69">
                  <c:v>2013-08-08</c:v>
                </c:pt>
                <c:pt idx="70">
                  <c:v>2013-08-15</c:v>
                </c:pt>
                <c:pt idx="71">
                  <c:v>2013-08-22</c:v>
                </c:pt>
                <c:pt idx="72">
                  <c:v>2013-08-29</c:v>
                </c:pt>
                <c:pt idx="73">
                  <c:v>2013-09-05</c:v>
                </c:pt>
                <c:pt idx="74">
                  <c:v>2013-09-12</c:v>
                </c:pt>
                <c:pt idx="75">
                  <c:v>2013-09-19</c:v>
                </c:pt>
                <c:pt idx="76">
                  <c:v>2013-09-26</c:v>
                </c:pt>
                <c:pt idx="77">
                  <c:v>2013-10-03</c:v>
                </c:pt>
                <c:pt idx="78">
                  <c:v>2013-10-10</c:v>
                </c:pt>
                <c:pt idx="79">
                  <c:v>2013-10-17</c:v>
                </c:pt>
                <c:pt idx="80">
                  <c:v>2013-10-24</c:v>
                </c:pt>
                <c:pt idx="81">
                  <c:v>2013-10-31</c:v>
                </c:pt>
                <c:pt idx="82">
                  <c:v>2013-11-07</c:v>
                </c:pt>
                <c:pt idx="83">
                  <c:v>2013-11-14</c:v>
                </c:pt>
                <c:pt idx="84">
                  <c:v>2013-11-20</c:v>
                </c:pt>
                <c:pt idx="85">
                  <c:v>2013-11-29</c:v>
                </c:pt>
                <c:pt idx="86">
                  <c:v>2013-12-05</c:v>
                </c:pt>
                <c:pt idx="87">
                  <c:v>2013-12-12</c:v>
                </c:pt>
                <c:pt idx="88">
                  <c:v>2013-12-19</c:v>
                </c:pt>
                <c:pt idx="89">
                  <c:v>2013-12-26</c:v>
                </c:pt>
                <c:pt idx="90">
                  <c:v>2014-01-02</c:v>
                </c:pt>
                <c:pt idx="91">
                  <c:v>2014-01-09</c:v>
                </c:pt>
                <c:pt idx="92">
                  <c:v>2014-01-16</c:v>
                </c:pt>
                <c:pt idx="93">
                  <c:v>2014-01-23</c:v>
                </c:pt>
                <c:pt idx="94">
                  <c:v>2014-01-30</c:v>
                </c:pt>
                <c:pt idx="95">
                  <c:v>2014-02-06</c:v>
                </c:pt>
                <c:pt idx="96">
                  <c:v>2014-02-13</c:v>
                </c:pt>
                <c:pt idx="97">
                  <c:v>2014-02-20</c:v>
                </c:pt>
                <c:pt idx="98">
                  <c:v>2014-02-27</c:v>
                </c:pt>
                <c:pt idx="99">
                  <c:v>2014-03-06</c:v>
                </c:pt>
                <c:pt idx="100">
                  <c:v>2014-03-13</c:v>
                </c:pt>
                <c:pt idx="101">
                  <c:v>2014-03-20</c:v>
                </c:pt>
                <c:pt idx="102">
                  <c:v>2014-03-27</c:v>
                </c:pt>
                <c:pt idx="103">
                  <c:v>2014-04-03</c:v>
                </c:pt>
                <c:pt idx="104">
                  <c:v>2014-04-10</c:v>
                </c:pt>
                <c:pt idx="105">
                  <c:v>2014-04-17</c:v>
                </c:pt>
                <c:pt idx="106">
                  <c:v>2014-04-24</c:v>
                </c:pt>
                <c:pt idx="107">
                  <c:v>2014-05-01</c:v>
                </c:pt>
                <c:pt idx="108">
                  <c:v>2014-05-08</c:v>
                </c:pt>
                <c:pt idx="109">
                  <c:v>2014-05-15</c:v>
                </c:pt>
                <c:pt idx="110">
                  <c:v>2014-05-22</c:v>
                </c:pt>
                <c:pt idx="111">
                  <c:v>2014-05-29</c:v>
                </c:pt>
                <c:pt idx="112">
                  <c:v>2014-06-05</c:v>
                </c:pt>
                <c:pt idx="113">
                  <c:v>2014-06-12</c:v>
                </c:pt>
                <c:pt idx="114">
                  <c:v>2014-06-19</c:v>
                </c:pt>
                <c:pt idx="115">
                  <c:v>2014-06-26</c:v>
                </c:pt>
                <c:pt idx="116">
                  <c:v>2014-07-03</c:v>
                </c:pt>
                <c:pt idx="117">
                  <c:v>2014-07-10</c:v>
                </c:pt>
                <c:pt idx="118">
                  <c:v>2014-07-17</c:v>
                </c:pt>
                <c:pt idx="119">
                  <c:v>2014-07-24</c:v>
                </c:pt>
                <c:pt idx="120">
                  <c:v>2014-07-31</c:v>
                </c:pt>
                <c:pt idx="121">
                  <c:v>2014-08-07</c:v>
                </c:pt>
                <c:pt idx="122">
                  <c:v>2014-08-14</c:v>
                </c:pt>
                <c:pt idx="123">
                  <c:v>2014-08-21</c:v>
                </c:pt>
                <c:pt idx="124">
                  <c:v>2014-08-28</c:v>
                </c:pt>
                <c:pt idx="125">
                  <c:v>2014-09-04</c:v>
                </c:pt>
                <c:pt idx="126">
                  <c:v>2014-09-11</c:v>
                </c:pt>
                <c:pt idx="127">
                  <c:v>2014-09-18</c:v>
                </c:pt>
                <c:pt idx="128">
                  <c:v>2014-09-25</c:v>
                </c:pt>
                <c:pt idx="129">
                  <c:v>2014-10-02</c:v>
                </c:pt>
                <c:pt idx="130">
                  <c:v>2014-10-09</c:v>
                </c:pt>
                <c:pt idx="131">
                  <c:v>2014-10-16</c:v>
                </c:pt>
                <c:pt idx="132">
                  <c:v>2014-10-23</c:v>
                </c:pt>
                <c:pt idx="133">
                  <c:v>2014-10-30</c:v>
                </c:pt>
                <c:pt idx="134">
                  <c:v>2014-11-06</c:v>
                </c:pt>
                <c:pt idx="135">
                  <c:v>2014-11-13</c:v>
                </c:pt>
                <c:pt idx="136">
                  <c:v>2014-11-19</c:v>
                </c:pt>
                <c:pt idx="137">
                  <c:v>2014-11-28</c:v>
                </c:pt>
                <c:pt idx="138">
                  <c:v>2014-12-04</c:v>
                </c:pt>
                <c:pt idx="139">
                  <c:v>2014-12-11</c:v>
                </c:pt>
                <c:pt idx="140">
                  <c:v>2014-12-17</c:v>
                </c:pt>
                <c:pt idx="141">
                  <c:v>2014-12-26</c:v>
                </c:pt>
                <c:pt idx="142">
                  <c:v>2015-01-02</c:v>
                </c:pt>
                <c:pt idx="143">
                  <c:v>2015-01-08</c:v>
                </c:pt>
                <c:pt idx="144">
                  <c:v>2015-01-15</c:v>
                </c:pt>
                <c:pt idx="145">
                  <c:v>2015-01-22</c:v>
                </c:pt>
                <c:pt idx="146">
                  <c:v>2015-01-29</c:v>
                </c:pt>
                <c:pt idx="147">
                  <c:v>2015-02-05</c:v>
                </c:pt>
                <c:pt idx="148">
                  <c:v>2015-02-12</c:v>
                </c:pt>
                <c:pt idx="149">
                  <c:v>2015-02-19</c:v>
                </c:pt>
                <c:pt idx="150">
                  <c:v>2015-02-26</c:v>
                </c:pt>
                <c:pt idx="151">
                  <c:v>2015-03-05</c:v>
                </c:pt>
              </c:strCache>
            </c:strRef>
          </c:cat>
          <c:val>
            <c:numRef>
              <c:f>'Dynamic Pivot'!$C$4:$C$156</c:f>
              <c:numCache>
                <c:formatCode>General</c:formatCode>
                <c:ptCount val="152"/>
                <c:pt idx="0">
                  <c:v>0.88903874035051267</c:v>
                </c:pt>
                <c:pt idx="1">
                  <c:v>0.90151202857869928</c:v>
                </c:pt>
                <c:pt idx="2">
                  <c:v>0.90017734324685694</c:v>
                </c:pt>
                <c:pt idx="3">
                  <c:v>0.9051311500262762</c:v>
                </c:pt>
                <c:pt idx="4">
                  <c:v>0.91189361547726433</c:v>
                </c:pt>
                <c:pt idx="5">
                  <c:v>0.95247264823306788</c:v>
                </c:pt>
                <c:pt idx="6">
                  <c:v>0.97076567318124063</c:v>
                </c:pt>
                <c:pt idx="7">
                  <c:v>0.95130783423578213</c:v>
                </c:pt>
                <c:pt idx="8">
                  <c:v>0.91662839951630826</c:v>
                </c:pt>
                <c:pt idx="9">
                  <c:v>0.95269277535561114</c:v>
                </c:pt>
                <c:pt idx="10">
                  <c:v>0.97545891426578635</c:v>
                </c:pt>
                <c:pt idx="11">
                  <c:v>0.97743582494773085</c:v>
                </c:pt>
                <c:pt idx="12">
                  <c:v>0.98924871391023173</c:v>
                </c:pt>
                <c:pt idx="13">
                  <c:v>1.0635149483412847</c:v>
                </c:pt>
                <c:pt idx="14">
                  <c:v>1.035928132759008</c:v>
                </c:pt>
                <c:pt idx="15">
                  <c:v>1.1622718084289136</c:v>
                </c:pt>
                <c:pt idx="16">
                  <c:v>1.1464868589884536</c:v>
                </c:pt>
                <c:pt idx="17">
                  <c:v>1.030638194905205</c:v>
                </c:pt>
                <c:pt idx="18">
                  <c:v>0.98658829447589547</c:v>
                </c:pt>
                <c:pt idx="19">
                  <c:v>0.9879244684877948</c:v>
                </c:pt>
                <c:pt idx="20">
                  <c:v>1.0630394632726912</c:v>
                </c:pt>
                <c:pt idx="21">
                  <c:v>1.0879096087662448</c:v>
                </c:pt>
                <c:pt idx="22">
                  <c:v>1.0482054692563358</c:v>
                </c:pt>
                <c:pt idx="23">
                  <c:v>1.134648566461935</c:v>
                </c:pt>
                <c:pt idx="24">
                  <c:v>1.3187273939760233</c:v>
                </c:pt>
                <c:pt idx="25">
                  <c:v>1.3379454452803528</c:v>
                </c:pt>
                <c:pt idx="26">
                  <c:v>1.2174062696812817</c:v>
                </c:pt>
                <c:pt idx="27">
                  <c:v>1.1796259700845342</c:v>
                </c:pt>
                <c:pt idx="28">
                  <c:v>1.1366876453389132</c:v>
                </c:pt>
                <c:pt idx="29">
                  <c:v>1.1670646788669568</c:v>
                </c:pt>
                <c:pt idx="30">
                  <c:v>1.1203859887520591</c:v>
                </c:pt>
                <c:pt idx="31">
                  <c:v>1.1685020535244517</c:v>
                </c:pt>
                <c:pt idx="32">
                  <c:v>1.0977637189239626</c:v>
                </c:pt>
                <c:pt idx="33">
                  <c:v>1.2197772249610499</c:v>
                </c:pt>
                <c:pt idx="34">
                  <c:v>1.1932223326744751</c:v>
                </c:pt>
                <c:pt idx="35">
                  <c:v>1.1082293959245404</c:v>
                </c:pt>
                <c:pt idx="36">
                  <c:v>1.055156914455766</c:v>
                </c:pt>
                <c:pt idx="37">
                  <c:v>1.1140485374039768</c:v>
                </c:pt>
                <c:pt idx="38">
                  <c:v>1.0580638565411893</c:v>
                </c:pt>
                <c:pt idx="39">
                  <c:v>1.0447243033419302</c:v>
                </c:pt>
                <c:pt idx="40">
                  <c:v>1.0117877241418274</c:v>
                </c:pt>
                <c:pt idx="41">
                  <c:v>0.99513310223877705</c:v>
                </c:pt>
                <c:pt idx="42">
                  <c:v>0.89184398001379117</c:v>
                </c:pt>
                <c:pt idx="43">
                  <c:v>0.89199687576874664</c:v>
                </c:pt>
                <c:pt idx="44">
                  <c:v>0.86339635362020628</c:v>
                </c:pt>
                <c:pt idx="45">
                  <c:v>0.87199240938212075</c:v>
                </c:pt>
                <c:pt idx="46">
                  <c:v>0.91153222611873019</c:v>
                </c:pt>
                <c:pt idx="47">
                  <c:v>0.87204357351466122</c:v>
                </c:pt>
                <c:pt idx="48">
                  <c:v>0.87337240041768016</c:v>
                </c:pt>
                <c:pt idx="49">
                  <c:v>0.87196867274657208</c:v>
                </c:pt>
                <c:pt idx="50">
                  <c:v>0.88621822515740023</c:v>
                </c:pt>
                <c:pt idx="51">
                  <c:v>0.8919244681028089</c:v>
                </c:pt>
                <c:pt idx="52">
                  <c:v>0.87739007897501331</c:v>
                </c:pt>
                <c:pt idx="53">
                  <c:v>0.88269883750301359</c:v>
                </c:pt>
                <c:pt idx="54">
                  <c:v>0.91332532953274148</c:v>
                </c:pt>
                <c:pt idx="55">
                  <c:v>0.9312108745720642</c:v>
                </c:pt>
                <c:pt idx="56">
                  <c:v>0.86100841442168008</c:v>
                </c:pt>
                <c:pt idx="57">
                  <c:v>0.77457627325518441</c:v>
                </c:pt>
                <c:pt idx="58">
                  <c:v>0.81707758256876195</c:v>
                </c:pt>
                <c:pt idx="59">
                  <c:v>0.82242656202196596</c:v>
                </c:pt>
                <c:pt idx="60">
                  <c:v>0.85073824001573461</c:v>
                </c:pt>
                <c:pt idx="61">
                  <c:v>0.9077011776463304</c:v>
                </c:pt>
                <c:pt idx="62">
                  <c:v>0.86147085184385785</c:v>
                </c:pt>
                <c:pt idx="63">
                  <c:v>0.92656364351832954</c:v>
                </c:pt>
                <c:pt idx="64">
                  <c:v>0.90410655512843752</c:v>
                </c:pt>
                <c:pt idx="65">
                  <c:v>0.94481382875341957</c:v>
                </c:pt>
                <c:pt idx="66">
                  <c:v>0.91475230136906349</c:v>
                </c:pt>
                <c:pt idx="67">
                  <c:v>0.88174341954263991</c:v>
                </c:pt>
                <c:pt idx="68">
                  <c:v>0.89229013194576323</c:v>
                </c:pt>
                <c:pt idx="69">
                  <c:v>0.89156621709796768</c:v>
                </c:pt>
                <c:pt idx="70">
                  <c:v>0.8441652938300841</c:v>
                </c:pt>
                <c:pt idx="71">
                  <c:v>0.8843084101618115</c:v>
                </c:pt>
                <c:pt idx="72">
                  <c:v>0.91911402458095015</c:v>
                </c:pt>
                <c:pt idx="73">
                  <c:v>0.85708674240584726</c:v>
                </c:pt>
                <c:pt idx="74">
                  <c:v>0.8289406667862993</c:v>
                </c:pt>
                <c:pt idx="75">
                  <c:v>0.88331445821272903</c:v>
                </c:pt>
                <c:pt idx="76">
                  <c:v>0.91233140891239151</c:v>
                </c:pt>
                <c:pt idx="77">
                  <c:v>0.83245980048246171</c:v>
                </c:pt>
                <c:pt idx="78">
                  <c:v>0.82613175276288509</c:v>
                </c:pt>
                <c:pt idx="79">
                  <c:v>0.82695190712172417</c:v>
                </c:pt>
                <c:pt idx="80">
                  <c:v>0.89884770689987681</c:v>
                </c:pt>
                <c:pt idx="81">
                  <c:v>0.8687225349243457</c:v>
                </c:pt>
                <c:pt idx="82">
                  <c:v>0.80472221425765511</c:v>
                </c:pt>
                <c:pt idx="83">
                  <c:v>0.86095594462015912</c:v>
                </c:pt>
                <c:pt idx="84">
                  <c:v>0.80425053294038928</c:v>
                </c:pt>
                <c:pt idx="85">
                  <c:v>0.84846261176787641</c:v>
                </c:pt>
                <c:pt idx="86">
                  <c:v>0.83896104120136528</c:v>
                </c:pt>
                <c:pt idx="87">
                  <c:v>0.86551943012602406</c:v>
                </c:pt>
                <c:pt idx="88">
                  <c:v>0.88297201937942882</c:v>
                </c:pt>
                <c:pt idx="89">
                  <c:v>0.79945853555969526</c:v>
                </c:pt>
                <c:pt idx="90">
                  <c:v>0.88819791438961104</c:v>
                </c:pt>
                <c:pt idx="91">
                  <c:v>0.87709472849479431</c:v>
                </c:pt>
                <c:pt idx="92">
                  <c:v>0.85159430104857181</c:v>
                </c:pt>
                <c:pt idx="93">
                  <c:v>0.87104546569251395</c:v>
                </c:pt>
                <c:pt idx="94">
                  <c:v>0.84319953471809228</c:v>
                </c:pt>
                <c:pt idx="95">
                  <c:v>0.83402963398078267</c:v>
                </c:pt>
                <c:pt idx="96">
                  <c:v>0.80724385845113966</c:v>
                </c:pt>
                <c:pt idx="97">
                  <c:v>0.84785547751193358</c:v>
                </c:pt>
                <c:pt idx="98">
                  <c:v>0.91966841861058146</c:v>
                </c:pt>
                <c:pt idx="99">
                  <c:v>0.80953614961190778</c:v>
                </c:pt>
                <c:pt idx="100">
                  <c:v>0.8348297528615487</c:v>
                </c:pt>
                <c:pt idx="101">
                  <c:v>0.80506466485603889</c:v>
                </c:pt>
                <c:pt idx="102">
                  <c:v>0.85555288591819245</c:v>
                </c:pt>
                <c:pt idx="103">
                  <c:v>0.85510915377916819</c:v>
                </c:pt>
                <c:pt idx="104">
                  <c:v>0.89024370816722831</c:v>
                </c:pt>
                <c:pt idx="105">
                  <c:v>0.85370647532187682</c:v>
                </c:pt>
                <c:pt idx="106">
                  <c:v>0.82504232727109361</c:v>
                </c:pt>
                <c:pt idx="107">
                  <c:v>0.85420816456937798</c:v>
                </c:pt>
                <c:pt idx="108">
                  <c:v>0.8490501882747985</c:v>
                </c:pt>
                <c:pt idx="109">
                  <c:v>0.84497926069231077</c:v>
                </c:pt>
                <c:pt idx="110">
                  <c:v>0.84522075319668755</c:v>
                </c:pt>
                <c:pt idx="111">
                  <c:v>0.85728324368865128</c:v>
                </c:pt>
                <c:pt idx="112">
                  <c:v>0.75711325782131267</c:v>
                </c:pt>
                <c:pt idx="113">
                  <c:v>0.8154009846746697</c:v>
                </c:pt>
                <c:pt idx="114">
                  <c:v>0.787260825253008</c:v>
                </c:pt>
                <c:pt idx="115">
                  <c:v>0.80153867888092911</c:v>
                </c:pt>
                <c:pt idx="116">
                  <c:v>0.77493835112905174</c:v>
                </c:pt>
                <c:pt idx="117">
                  <c:v>0.84398988187368928</c:v>
                </c:pt>
                <c:pt idx="118">
                  <c:v>0.79690653662462552</c:v>
                </c:pt>
                <c:pt idx="119">
                  <c:v>0.854965709813301</c:v>
                </c:pt>
                <c:pt idx="120">
                  <c:v>0.81564090701534209</c:v>
                </c:pt>
                <c:pt idx="121">
                  <c:v>0.84848085139584395</c:v>
                </c:pt>
                <c:pt idx="122">
                  <c:v>0.83609161802060461</c:v>
                </c:pt>
                <c:pt idx="123">
                  <c:v>0.80689317981029962</c:v>
                </c:pt>
                <c:pt idx="124">
                  <c:v>0.85274860750753056</c:v>
                </c:pt>
                <c:pt idx="125">
                  <c:v>0.84366597111885788</c:v>
                </c:pt>
                <c:pt idx="126">
                  <c:v>0.78329524721630239</c:v>
                </c:pt>
                <c:pt idx="127">
                  <c:v>0.81983842135806428</c:v>
                </c:pt>
                <c:pt idx="128">
                  <c:v>0.85266054151873982</c:v>
                </c:pt>
                <c:pt idx="129">
                  <c:v>0.85514214899144481</c:v>
                </c:pt>
                <c:pt idx="130">
                  <c:v>0.94709590096553509</c:v>
                </c:pt>
                <c:pt idx="131">
                  <c:v>0.95943099428522949</c:v>
                </c:pt>
                <c:pt idx="132">
                  <c:v>0.89015958818738516</c:v>
                </c:pt>
                <c:pt idx="133">
                  <c:v>0.87391074222826726</c:v>
                </c:pt>
                <c:pt idx="134">
                  <c:v>0.85055446921160094</c:v>
                </c:pt>
                <c:pt idx="135">
                  <c:v>0.84854030107372758</c:v>
                </c:pt>
                <c:pt idx="136">
                  <c:v>0.87672610483451985</c:v>
                </c:pt>
                <c:pt idx="137">
                  <c:v>0.94263296820016595</c:v>
                </c:pt>
                <c:pt idx="138">
                  <c:v>0.84127809996204972</c:v>
                </c:pt>
                <c:pt idx="139">
                  <c:v>0.92646864264026441</c:v>
                </c:pt>
                <c:pt idx="140">
                  <c:v>0.89817941958936443</c:v>
                </c:pt>
                <c:pt idx="141">
                  <c:v>0.86405251952469664</c:v>
                </c:pt>
                <c:pt idx="142">
                  <c:v>0.9174031428275442</c:v>
                </c:pt>
                <c:pt idx="143">
                  <c:v>1.00752054140438</c:v>
                </c:pt>
                <c:pt idx="144">
                  <c:v>1.0018718728112019</c:v>
                </c:pt>
                <c:pt idx="145">
                  <c:v>0.98417488107553819</c:v>
                </c:pt>
                <c:pt idx="146">
                  <c:v>0.9933151473463524</c:v>
                </c:pt>
                <c:pt idx="147">
                  <c:v>0.9740103750660376</c:v>
                </c:pt>
                <c:pt idx="148">
                  <c:v>0.84939981170259893</c:v>
                </c:pt>
                <c:pt idx="149">
                  <c:v>0.81054532737476093</c:v>
                </c:pt>
                <c:pt idx="150">
                  <c:v>0.9562032812031962</c:v>
                </c:pt>
                <c:pt idx="151">
                  <c:v>0.82043236344380022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575232"/>
        <c:axId val="414577024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'Dynamic Pivot'!$A$4:$A$156</c:f>
              <c:strCache>
                <c:ptCount val="152"/>
                <c:pt idx="0">
                  <c:v>2012-04-12</c:v>
                </c:pt>
                <c:pt idx="1">
                  <c:v>2012-04-19</c:v>
                </c:pt>
                <c:pt idx="2">
                  <c:v>2012-04-26</c:v>
                </c:pt>
                <c:pt idx="3">
                  <c:v>2012-05-03</c:v>
                </c:pt>
                <c:pt idx="4">
                  <c:v>2012-05-10</c:v>
                </c:pt>
                <c:pt idx="5">
                  <c:v>2012-05-17</c:v>
                </c:pt>
                <c:pt idx="6">
                  <c:v>2012-05-24</c:v>
                </c:pt>
                <c:pt idx="7">
                  <c:v>2012-05-31</c:v>
                </c:pt>
                <c:pt idx="8">
                  <c:v>2012-06-07</c:v>
                </c:pt>
                <c:pt idx="9">
                  <c:v>2012-06-14</c:v>
                </c:pt>
                <c:pt idx="10">
                  <c:v>2012-06-21</c:v>
                </c:pt>
                <c:pt idx="11">
                  <c:v>2012-06-28</c:v>
                </c:pt>
                <c:pt idx="12">
                  <c:v>2012-07-05</c:v>
                </c:pt>
                <c:pt idx="13">
                  <c:v>2012-07-12</c:v>
                </c:pt>
                <c:pt idx="14">
                  <c:v>2012-07-19</c:v>
                </c:pt>
                <c:pt idx="15">
                  <c:v>2012-07-26</c:v>
                </c:pt>
                <c:pt idx="16">
                  <c:v>2012-08-02</c:v>
                </c:pt>
                <c:pt idx="17">
                  <c:v>2012-08-09</c:v>
                </c:pt>
                <c:pt idx="18">
                  <c:v>2012-08-16</c:v>
                </c:pt>
                <c:pt idx="19">
                  <c:v>2012-08-23</c:v>
                </c:pt>
                <c:pt idx="20">
                  <c:v>2012-08-30</c:v>
                </c:pt>
                <c:pt idx="21">
                  <c:v>2012-09-06</c:v>
                </c:pt>
                <c:pt idx="22">
                  <c:v>2012-09-13</c:v>
                </c:pt>
                <c:pt idx="23">
                  <c:v>2012-09-20</c:v>
                </c:pt>
                <c:pt idx="24">
                  <c:v>2012-09-27</c:v>
                </c:pt>
                <c:pt idx="25">
                  <c:v>2012-10-04</c:v>
                </c:pt>
                <c:pt idx="26">
                  <c:v>2012-10-11</c:v>
                </c:pt>
                <c:pt idx="27">
                  <c:v>2012-10-18</c:v>
                </c:pt>
                <c:pt idx="28">
                  <c:v>2012-10-25</c:v>
                </c:pt>
                <c:pt idx="29">
                  <c:v>2012-11-01</c:v>
                </c:pt>
                <c:pt idx="30">
                  <c:v>2012-11-08</c:v>
                </c:pt>
                <c:pt idx="31">
                  <c:v>2012-11-14</c:v>
                </c:pt>
                <c:pt idx="32">
                  <c:v>2012-11-23</c:v>
                </c:pt>
                <c:pt idx="33">
                  <c:v>2012-11-29</c:v>
                </c:pt>
                <c:pt idx="34">
                  <c:v>2012-12-06</c:v>
                </c:pt>
                <c:pt idx="35">
                  <c:v>2012-12-13</c:v>
                </c:pt>
                <c:pt idx="36">
                  <c:v>2012-12-20</c:v>
                </c:pt>
                <c:pt idx="37">
                  <c:v>2012-12-27</c:v>
                </c:pt>
                <c:pt idx="38">
                  <c:v>2013-01-03</c:v>
                </c:pt>
                <c:pt idx="39">
                  <c:v>2013-01-10</c:v>
                </c:pt>
                <c:pt idx="40">
                  <c:v>2013-01-17</c:v>
                </c:pt>
                <c:pt idx="41">
                  <c:v>2013-01-24</c:v>
                </c:pt>
                <c:pt idx="42">
                  <c:v>2013-01-31</c:v>
                </c:pt>
                <c:pt idx="43">
                  <c:v>2013-02-07</c:v>
                </c:pt>
                <c:pt idx="44">
                  <c:v>2013-02-14</c:v>
                </c:pt>
                <c:pt idx="45">
                  <c:v>2013-02-21</c:v>
                </c:pt>
                <c:pt idx="46">
                  <c:v>2013-02-28</c:v>
                </c:pt>
                <c:pt idx="47">
                  <c:v>2013-03-07</c:v>
                </c:pt>
                <c:pt idx="48">
                  <c:v>2013-03-14</c:v>
                </c:pt>
                <c:pt idx="49">
                  <c:v>2013-03-21</c:v>
                </c:pt>
                <c:pt idx="50">
                  <c:v>2013-03-28</c:v>
                </c:pt>
                <c:pt idx="51">
                  <c:v>2013-04-04</c:v>
                </c:pt>
                <c:pt idx="52">
                  <c:v>2013-04-11</c:v>
                </c:pt>
                <c:pt idx="53">
                  <c:v>2013-04-18</c:v>
                </c:pt>
                <c:pt idx="54">
                  <c:v>2013-04-25</c:v>
                </c:pt>
                <c:pt idx="55">
                  <c:v>2013-05-02</c:v>
                </c:pt>
                <c:pt idx="56">
                  <c:v>2013-05-09</c:v>
                </c:pt>
                <c:pt idx="57">
                  <c:v>2013-05-16</c:v>
                </c:pt>
                <c:pt idx="58">
                  <c:v>2013-05-23</c:v>
                </c:pt>
                <c:pt idx="59">
                  <c:v>2013-05-30</c:v>
                </c:pt>
                <c:pt idx="60">
                  <c:v>2013-06-06</c:v>
                </c:pt>
                <c:pt idx="61">
                  <c:v>2013-06-13</c:v>
                </c:pt>
                <c:pt idx="62">
                  <c:v>2013-06-20</c:v>
                </c:pt>
                <c:pt idx="63">
                  <c:v>2013-06-26</c:v>
                </c:pt>
                <c:pt idx="64">
                  <c:v>2013-07-05</c:v>
                </c:pt>
                <c:pt idx="65">
                  <c:v>2013-07-11</c:v>
                </c:pt>
                <c:pt idx="66">
                  <c:v>2013-07-18</c:v>
                </c:pt>
                <c:pt idx="67">
                  <c:v>2013-07-25</c:v>
                </c:pt>
                <c:pt idx="68">
                  <c:v>2013-08-01</c:v>
                </c:pt>
                <c:pt idx="69">
                  <c:v>2013-08-08</c:v>
                </c:pt>
                <c:pt idx="70">
                  <c:v>2013-08-15</c:v>
                </c:pt>
                <c:pt idx="71">
                  <c:v>2013-08-22</c:v>
                </c:pt>
                <c:pt idx="72">
                  <c:v>2013-08-29</c:v>
                </c:pt>
                <c:pt idx="73">
                  <c:v>2013-09-05</c:v>
                </c:pt>
                <c:pt idx="74">
                  <c:v>2013-09-12</c:v>
                </c:pt>
                <c:pt idx="75">
                  <c:v>2013-09-19</c:v>
                </c:pt>
                <c:pt idx="76">
                  <c:v>2013-09-26</c:v>
                </c:pt>
                <c:pt idx="77">
                  <c:v>2013-10-03</c:v>
                </c:pt>
                <c:pt idx="78">
                  <c:v>2013-10-10</c:v>
                </c:pt>
                <c:pt idx="79">
                  <c:v>2013-10-17</c:v>
                </c:pt>
                <c:pt idx="80">
                  <c:v>2013-10-24</c:v>
                </c:pt>
                <c:pt idx="81">
                  <c:v>2013-10-31</c:v>
                </c:pt>
                <c:pt idx="82">
                  <c:v>2013-11-07</c:v>
                </c:pt>
                <c:pt idx="83">
                  <c:v>2013-11-14</c:v>
                </c:pt>
                <c:pt idx="84">
                  <c:v>2013-11-20</c:v>
                </c:pt>
                <c:pt idx="85">
                  <c:v>2013-11-29</c:v>
                </c:pt>
                <c:pt idx="86">
                  <c:v>2013-12-05</c:v>
                </c:pt>
                <c:pt idx="87">
                  <c:v>2013-12-12</c:v>
                </c:pt>
                <c:pt idx="88">
                  <c:v>2013-12-19</c:v>
                </c:pt>
                <c:pt idx="89">
                  <c:v>2013-12-26</c:v>
                </c:pt>
                <c:pt idx="90">
                  <c:v>2014-01-02</c:v>
                </c:pt>
                <c:pt idx="91">
                  <c:v>2014-01-09</c:v>
                </c:pt>
                <c:pt idx="92">
                  <c:v>2014-01-16</c:v>
                </c:pt>
                <c:pt idx="93">
                  <c:v>2014-01-23</c:v>
                </c:pt>
                <c:pt idx="94">
                  <c:v>2014-01-30</c:v>
                </c:pt>
                <c:pt idx="95">
                  <c:v>2014-02-06</c:v>
                </c:pt>
                <c:pt idx="96">
                  <c:v>2014-02-13</c:v>
                </c:pt>
                <c:pt idx="97">
                  <c:v>2014-02-20</c:v>
                </c:pt>
                <c:pt idx="98">
                  <c:v>2014-02-27</c:v>
                </c:pt>
                <c:pt idx="99">
                  <c:v>2014-03-06</c:v>
                </c:pt>
                <c:pt idx="100">
                  <c:v>2014-03-13</c:v>
                </c:pt>
                <c:pt idx="101">
                  <c:v>2014-03-20</c:v>
                </c:pt>
                <c:pt idx="102">
                  <c:v>2014-03-27</c:v>
                </c:pt>
                <c:pt idx="103">
                  <c:v>2014-04-03</c:v>
                </c:pt>
                <c:pt idx="104">
                  <c:v>2014-04-10</c:v>
                </c:pt>
                <c:pt idx="105">
                  <c:v>2014-04-17</c:v>
                </c:pt>
                <c:pt idx="106">
                  <c:v>2014-04-24</c:v>
                </c:pt>
                <c:pt idx="107">
                  <c:v>2014-05-01</c:v>
                </c:pt>
                <c:pt idx="108">
                  <c:v>2014-05-08</c:v>
                </c:pt>
                <c:pt idx="109">
                  <c:v>2014-05-15</c:v>
                </c:pt>
                <c:pt idx="110">
                  <c:v>2014-05-22</c:v>
                </c:pt>
                <c:pt idx="111">
                  <c:v>2014-05-29</c:v>
                </c:pt>
                <c:pt idx="112">
                  <c:v>2014-06-05</c:v>
                </c:pt>
                <c:pt idx="113">
                  <c:v>2014-06-12</c:v>
                </c:pt>
                <c:pt idx="114">
                  <c:v>2014-06-19</c:v>
                </c:pt>
                <c:pt idx="115">
                  <c:v>2014-06-26</c:v>
                </c:pt>
                <c:pt idx="116">
                  <c:v>2014-07-03</c:v>
                </c:pt>
                <c:pt idx="117">
                  <c:v>2014-07-10</c:v>
                </c:pt>
                <c:pt idx="118">
                  <c:v>2014-07-17</c:v>
                </c:pt>
                <c:pt idx="119">
                  <c:v>2014-07-24</c:v>
                </c:pt>
                <c:pt idx="120">
                  <c:v>2014-07-31</c:v>
                </c:pt>
                <c:pt idx="121">
                  <c:v>2014-08-07</c:v>
                </c:pt>
                <c:pt idx="122">
                  <c:v>2014-08-14</c:v>
                </c:pt>
                <c:pt idx="123">
                  <c:v>2014-08-21</c:v>
                </c:pt>
                <c:pt idx="124">
                  <c:v>2014-08-28</c:v>
                </c:pt>
                <c:pt idx="125">
                  <c:v>2014-09-04</c:v>
                </c:pt>
                <c:pt idx="126">
                  <c:v>2014-09-11</c:v>
                </c:pt>
                <c:pt idx="127">
                  <c:v>2014-09-18</c:v>
                </c:pt>
                <c:pt idx="128">
                  <c:v>2014-09-25</c:v>
                </c:pt>
                <c:pt idx="129">
                  <c:v>2014-10-02</c:v>
                </c:pt>
                <c:pt idx="130">
                  <c:v>2014-10-09</c:v>
                </c:pt>
                <c:pt idx="131">
                  <c:v>2014-10-16</c:v>
                </c:pt>
                <c:pt idx="132">
                  <c:v>2014-10-23</c:v>
                </c:pt>
                <c:pt idx="133">
                  <c:v>2014-10-30</c:v>
                </c:pt>
                <c:pt idx="134">
                  <c:v>2014-11-06</c:v>
                </c:pt>
                <c:pt idx="135">
                  <c:v>2014-11-13</c:v>
                </c:pt>
                <c:pt idx="136">
                  <c:v>2014-11-19</c:v>
                </c:pt>
                <c:pt idx="137">
                  <c:v>2014-11-28</c:v>
                </c:pt>
                <c:pt idx="138">
                  <c:v>2014-12-04</c:v>
                </c:pt>
                <c:pt idx="139">
                  <c:v>2014-12-11</c:v>
                </c:pt>
                <c:pt idx="140">
                  <c:v>2014-12-17</c:v>
                </c:pt>
                <c:pt idx="141">
                  <c:v>2014-12-26</c:v>
                </c:pt>
                <c:pt idx="142">
                  <c:v>2015-01-02</c:v>
                </c:pt>
                <c:pt idx="143">
                  <c:v>2015-01-08</c:v>
                </c:pt>
                <c:pt idx="144">
                  <c:v>2015-01-15</c:v>
                </c:pt>
                <c:pt idx="145">
                  <c:v>2015-01-22</c:v>
                </c:pt>
                <c:pt idx="146">
                  <c:v>2015-01-29</c:v>
                </c:pt>
                <c:pt idx="147">
                  <c:v>2015-02-05</c:v>
                </c:pt>
                <c:pt idx="148">
                  <c:v>2015-02-12</c:v>
                </c:pt>
                <c:pt idx="149">
                  <c:v>2015-02-19</c:v>
                </c:pt>
                <c:pt idx="150">
                  <c:v>2015-02-26</c:v>
                </c:pt>
                <c:pt idx="151">
                  <c:v>2015-03-05</c:v>
                </c:pt>
              </c:strCache>
            </c:strRef>
          </c:cat>
          <c:val>
            <c:numRef>
              <c:f>'Dynamic Pivot'!$B$4:$B$156</c:f>
              <c:numCache>
                <c:formatCode>General</c:formatCode>
                <c:ptCount val="152"/>
                <c:pt idx="0">
                  <c:v>3.85</c:v>
                </c:pt>
                <c:pt idx="1">
                  <c:v>3.8049999999999997</c:v>
                </c:pt>
                <c:pt idx="2">
                  <c:v>3.79</c:v>
                </c:pt>
                <c:pt idx="3">
                  <c:v>3.7549999999999999</c:v>
                </c:pt>
                <c:pt idx="4">
                  <c:v>3.7149999999999999</c:v>
                </c:pt>
                <c:pt idx="5">
                  <c:v>3.73</c:v>
                </c:pt>
                <c:pt idx="6">
                  <c:v>3.7</c:v>
                </c:pt>
                <c:pt idx="7">
                  <c:v>3.5949999999999998</c:v>
                </c:pt>
                <c:pt idx="8">
                  <c:v>3.6349999999999998</c:v>
                </c:pt>
                <c:pt idx="9">
                  <c:v>3.585</c:v>
                </c:pt>
                <c:pt idx="10">
                  <c:v>3.585</c:v>
                </c:pt>
                <c:pt idx="11">
                  <c:v>3.5700000000000003</c:v>
                </c:pt>
                <c:pt idx="12">
                  <c:v>3.4849999999999999</c:v>
                </c:pt>
                <c:pt idx="13">
                  <c:v>3.4549999999999996</c:v>
                </c:pt>
                <c:pt idx="14">
                  <c:v>3.415</c:v>
                </c:pt>
                <c:pt idx="15">
                  <c:v>3.4749999999999996</c:v>
                </c:pt>
                <c:pt idx="16">
                  <c:v>3.4899999999999998</c:v>
                </c:pt>
                <c:pt idx="17">
                  <c:v>3.52</c:v>
                </c:pt>
                <c:pt idx="18">
                  <c:v>3.585</c:v>
                </c:pt>
                <c:pt idx="19">
                  <c:v>3.4899999999999998</c:v>
                </c:pt>
                <c:pt idx="20">
                  <c:v>3.4749999999999996</c:v>
                </c:pt>
                <c:pt idx="21">
                  <c:v>3.4499999999999997</c:v>
                </c:pt>
                <c:pt idx="22">
                  <c:v>3.39</c:v>
                </c:pt>
                <c:pt idx="23">
                  <c:v>3.3</c:v>
                </c:pt>
                <c:pt idx="24">
                  <c:v>3.26</c:v>
                </c:pt>
                <c:pt idx="25">
                  <c:v>3.3149999999999999</c:v>
                </c:pt>
                <c:pt idx="26">
                  <c:v>3.2949999999999999</c:v>
                </c:pt>
                <c:pt idx="27">
                  <c:v>3.335</c:v>
                </c:pt>
                <c:pt idx="28">
                  <c:v>3.3149999999999999</c:v>
                </c:pt>
                <c:pt idx="29">
                  <c:v>3.3249999999999997</c:v>
                </c:pt>
                <c:pt idx="30">
                  <c:v>3.2649999999999997</c:v>
                </c:pt>
                <c:pt idx="31">
                  <c:v>3.2349999999999999</c:v>
                </c:pt>
                <c:pt idx="32">
                  <c:v>3.27</c:v>
                </c:pt>
                <c:pt idx="33">
                  <c:v>3.2649999999999997</c:v>
                </c:pt>
                <c:pt idx="34">
                  <c:v>3.2449999999999997</c:v>
                </c:pt>
                <c:pt idx="35">
                  <c:v>3.2949999999999999</c:v>
                </c:pt>
                <c:pt idx="36">
                  <c:v>3.2749999999999999</c:v>
                </c:pt>
                <c:pt idx="37">
                  <c:v>3.2649999999999997</c:v>
                </c:pt>
                <c:pt idx="38">
                  <c:v>3.3249999999999997</c:v>
                </c:pt>
                <c:pt idx="39">
                  <c:v>3.3049999999999997</c:v>
                </c:pt>
                <c:pt idx="40">
                  <c:v>3.3449999999999998</c:v>
                </c:pt>
                <c:pt idx="41">
                  <c:v>3.4549999999999996</c:v>
                </c:pt>
                <c:pt idx="42">
                  <c:v>3.48</c:v>
                </c:pt>
                <c:pt idx="43">
                  <c:v>3.48</c:v>
                </c:pt>
                <c:pt idx="44">
                  <c:v>3.5100000000000002</c:v>
                </c:pt>
                <c:pt idx="45">
                  <c:v>3.46</c:v>
                </c:pt>
                <c:pt idx="46">
                  <c:v>3.4449999999999998</c:v>
                </c:pt>
                <c:pt idx="47">
                  <c:v>3.58</c:v>
                </c:pt>
                <c:pt idx="48">
                  <c:v>3.49</c:v>
                </c:pt>
                <c:pt idx="49">
                  <c:v>3.52</c:v>
                </c:pt>
                <c:pt idx="50">
                  <c:v>3.49</c:v>
                </c:pt>
                <c:pt idx="51">
                  <c:v>3.3800000000000003</c:v>
                </c:pt>
                <c:pt idx="52">
                  <c:v>3.335</c:v>
                </c:pt>
                <c:pt idx="53">
                  <c:v>3.35</c:v>
                </c:pt>
                <c:pt idx="54">
                  <c:v>3.2749999999999999</c:v>
                </c:pt>
                <c:pt idx="55">
                  <c:v>3.3449999999999998</c:v>
                </c:pt>
                <c:pt idx="56">
                  <c:v>3.4349999999999996</c:v>
                </c:pt>
                <c:pt idx="57">
                  <c:v>3.5149999999999997</c:v>
                </c:pt>
                <c:pt idx="58">
                  <c:v>3.7600000000000002</c:v>
                </c:pt>
                <c:pt idx="59">
                  <c:v>3.835</c:v>
                </c:pt>
                <c:pt idx="60">
                  <c:v>3.9049999999999998</c:v>
                </c:pt>
                <c:pt idx="61">
                  <c:v>3.8800000000000003</c:v>
                </c:pt>
                <c:pt idx="62">
                  <c:v>4.41</c:v>
                </c:pt>
                <c:pt idx="63">
                  <c:v>4.2149999999999999</c:v>
                </c:pt>
                <c:pt idx="64">
                  <c:v>4.46</c:v>
                </c:pt>
                <c:pt idx="65">
                  <c:v>4.2949999999999999</c:v>
                </c:pt>
                <c:pt idx="66">
                  <c:v>4.26</c:v>
                </c:pt>
                <c:pt idx="67">
                  <c:v>4.3149999999999995</c:v>
                </c:pt>
                <c:pt idx="68">
                  <c:v>4.3250000000000002</c:v>
                </c:pt>
                <c:pt idx="69">
                  <c:v>4.3250000000000002</c:v>
                </c:pt>
                <c:pt idx="70">
                  <c:v>4.53</c:v>
                </c:pt>
                <c:pt idx="71">
                  <c:v>4.4349999999999996</c:v>
                </c:pt>
                <c:pt idx="72">
                  <c:v>4.4950000000000001</c:v>
                </c:pt>
                <c:pt idx="73">
                  <c:v>4.5200000000000005</c:v>
                </c:pt>
                <c:pt idx="74">
                  <c:v>4.4249999999999998</c:v>
                </c:pt>
                <c:pt idx="75">
                  <c:v>4.2450000000000001</c:v>
                </c:pt>
                <c:pt idx="76">
                  <c:v>4.1449999999999996</c:v>
                </c:pt>
                <c:pt idx="77">
                  <c:v>4.1550000000000002</c:v>
                </c:pt>
                <c:pt idx="78">
                  <c:v>4.2050000000000001</c:v>
                </c:pt>
                <c:pt idx="79">
                  <c:v>4.08</c:v>
                </c:pt>
                <c:pt idx="80">
                  <c:v>4.0249999999999995</c:v>
                </c:pt>
                <c:pt idx="81">
                  <c:v>4.1100000000000003</c:v>
                </c:pt>
                <c:pt idx="82">
                  <c:v>4.2749999999999995</c:v>
                </c:pt>
                <c:pt idx="83">
                  <c:v>4.1449999999999996</c:v>
                </c:pt>
                <c:pt idx="84">
                  <c:v>4.2149999999999999</c:v>
                </c:pt>
                <c:pt idx="85">
                  <c:v>4.335</c:v>
                </c:pt>
                <c:pt idx="86">
                  <c:v>4.3449999999999998</c:v>
                </c:pt>
                <c:pt idx="87">
                  <c:v>4.3949999999999996</c:v>
                </c:pt>
                <c:pt idx="88">
                  <c:v>4.4050000000000002</c:v>
                </c:pt>
                <c:pt idx="89">
                  <c:v>4.4800000000000004</c:v>
                </c:pt>
                <c:pt idx="90">
                  <c:v>4.4349999999999996</c:v>
                </c:pt>
                <c:pt idx="91">
                  <c:v>4.335</c:v>
                </c:pt>
                <c:pt idx="92">
                  <c:v>4.3149999999999995</c:v>
                </c:pt>
                <c:pt idx="93">
                  <c:v>4.2450000000000001</c:v>
                </c:pt>
                <c:pt idx="94">
                  <c:v>4.1550000000000002</c:v>
                </c:pt>
                <c:pt idx="95">
                  <c:v>4.2050000000000001</c:v>
                </c:pt>
                <c:pt idx="96">
                  <c:v>4.2549999999999999</c:v>
                </c:pt>
                <c:pt idx="97">
                  <c:v>4.2949999999999999</c:v>
                </c:pt>
                <c:pt idx="98">
                  <c:v>4.2050000000000001</c:v>
                </c:pt>
                <c:pt idx="99">
                  <c:v>4.2700000000000005</c:v>
                </c:pt>
                <c:pt idx="100">
                  <c:v>4.2200000000000006</c:v>
                </c:pt>
                <c:pt idx="101">
                  <c:v>4.3000000000000007</c:v>
                </c:pt>
                <c:pt idx="102">
                  <c:v>4.335</c:v>
                </c:pt>
                <c:pt idx="103">
                  <c:v>4.2649999999999997</c:v>
                </c:pt>
                <c:pt idx="104">
                  <c:v>4.1949999999999994</c:v>
                </c:pt>
                <c:pt idx="105">
                  <c:v>4.2300000000000004</c:v>
                </c:pt>
                <c:pt idx="106">
                  <c:v>4.2149999999999999</c:v>
                </c:pt>
                <c:pt idx="107">
                  <c:v>4.1100000000000003</c:v>
                </c:pt>
                <c:pt idx="108">
                  <c:v>4.1000000000000005</c:v>
                </c:pt>
                <c:pt idx="109">
                  <c:v>4.04</c:v>
                </c:pt>
                <c:pt idx="110">
                  <c:v>4.0200000000000005</c:v>
                </c:pt>
                <c:pt idx="111">
                  <c:v>4.0149999999999997</c:v>
                </c:pt>
                <c:pt idx="112">
                  <c:v>4.1000000000000005</c:v>
                </c:pt>
                <c:pt idx="113">
                  <c:v>4.07</c:v>
                </c:pt>
                <c:pt idx="114">
                  <c:v>4.0149999999999997</c:v>
                </c:pt>
                <c:pt idx="115">
                  <c:v>3.9950000000000001</c:v>
                </c:pt>
                <c:pt idx="116">
                  <c:v>4.0750000000000002</c:v>
                </c:pt>
                <c:pt idx="117">
                  <c:v>4.03</c:v>
                </c:pt>
                <c:pt idx="118">
                  <c:v>4.03</c:v>
                </c:pt>
                <c:pt idx="119">
                  <c:v>4.0200000000000005</c:v>
                </c:pt>
                <c:pt idx="120">
                  <c:v>4.0649999999999995</c:v>
                </c:pt>
                <c:pt idx="121">
                  <c:v>4.0200000000000005</c:v>
                </c:pt>
                <c:pt idx="122">
                  <c:v>3.9749999999999996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3.9950000000000001</c:v>
                </c:pt>
                <c:pt idx="126">
                  <c:v>4.1050000000000004</c:v>
                </c:pt>
                <c:pt idx="127">
                  <c:v>4.0750000000000002</c:v>
                </c:pt>
                <c:pt idx="128">
                  <c:v>4.04</c:v>
                </c:pt>
                <c:pt idx="129">
                  <c:v>3.9950000000000001</c:v>
                </c:pt>
                <c:pt idx="130">
                  <c:v>3.8450000000000002</c:v>
                </c:pt>
                <c:pt idx="131">
                  <c:v>3.7949999999999999</c:v>
                </c:pt>
                <c:pt idx="132">
                  <c:v>3.855</c:v>
                </c:pt>
                <c:pt idx="133">
                  <c:v>3.8949999999999996</c:v>
                </c:pt>
                <c:pt idx="134">
                  <c:v>3.8849999999999998</c:v>
                </c:pt>
                <c:pt idx="135">
                  <c:v>3.8650000000000002</c:v>
                </c:pt>
                <c:pt idx="136">
                  <c:v>3.8450000000000002</c:v>
                </c:pt>
                <c:pt idx="137">
                  <c:v>3.7650000000000001</c:v>
                </c:pt>
                <c:pt idx="138">
                  <c:v>3.8050000000000002</c:v>
                </c:pt>
                <c:pt idx="139">
                  <c:v>3.6999999999999997</c:v>
                </c:pt>
                <c:pt idx="140">
                  <c:v>3.73</c:v>
                </c:pt>
                <c:pt idx="141">
                  <c:v>3.77</c:v>
                </c:pt>
                <c:pt idx="142">
                  <c:v>3.63</c:v>
                </c:pt>
                <c:pt idx="143">
                  <c:v>3.56</c:v>
                </c:pt>
                <c:pt idx="144">
                  <c:v>3.5549999999999997</c:v>
                </c:pt>
                <c:pt idx="145">
                  <c:v>3.56</c:v>
                </c:pt>
                <c:pt idx="146">
                  <c:v>3.5149999999999997</c:v>
                </c:pt>
                <c:pt idx="147">
                  <c:v>3.59</c:v>
                </c:pt>
                <c:pt idx="148">
                  <c:v>3.6599999999999997</c:v>
                </c:pt>
                <c:pt idx="149">
                  <c:v>3.6999999999999997</c:v>
                </c:pt>
                <c:pt idx="150">
                  <c:v>3.65</c:v>
                </c:pt>
                <c:pt idx="151">
                  <c:v>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0832"/>
        <c:axId val="414578944"/>
      </c:lineChart>
      <c:catAx>
        <c:axId val="414575232"/>
        <c:scaling>
          <c:orientation val="minMax"/>
        </c:scaling>
        <c:delete val="0"/>
        <c:axPos val="b"/>
        <c:majorTickMark val="out"/>
        <c:minorTickMark val="none"/>
        <c:tickLblPos val="nextTo"/>
        <c:crossAx val="414577024"/>
        <c:crosses val="autoZero"/>
        <c:auto val="1"/>
        <c:lblAlgn val="ctr"/>
        <c:lblOffset val="100"/>
        <c:tickLblSkip val="6"/>
        <c:noMultiLvlLbl val="0"/>
      </c:catAx>
      <c:valAx>
        <c:axId val="414577024"/>
        <c:scaling>
          <c:orientation val="minMax"/>
          <c:min val="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414575232"/>
        <c:crosses val="autoZero"/>
        <c:crossBetween val="between"/>
      </c:valAx>
      <c:valAx>
        <c:axId val="414578944"/>
        <c:scaling>
          <c:orientation val="minMax"/>
          <c:min val="2.5"/>
        </c:scaling>
        <c:delete val="0"/>
        <c:axPos val="r"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FHLMC Survey Rate</a:t>
                </a:r>
                <a:r>
                  <a:rPr lang="en-US" sz="1000" b="1" i="0" u="none" strike="noStrike" baseline="0">
                    <a:effectLst/>
                  </a:rPr>
                  <a:t> (%)</a:t>
                </a:r>
                <a:endPara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415080832"/>
        <c:crosses val="max"/>
        <c:crossBetween val="between"/>
      </c:valAx>
      <c:catAx>
        <c:axId val="41508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41457894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3</xdr:row>
      <xdr:rowOff>169022</xdr:rowOff>
    </xdr:from>
    <xdr:to>
      <xdr:col>19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392205</xdr:colOff>
      <xdr:row>19</xdr:row>
      <xdr:rowOff>95873</xdr:rowOff>
    </xdr:from>
    <xdr:to>
      <xdr:col>14</xdr:col>
      <xdr:colOff>669239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82.379660069448" createdVersion="4" refreshedVersion="4" minRefreshableVersion="3" recordCount="733">
  <cacheSource type="worksheet">
    <worksheetSource name="CurrentMtgRatesDataTable8"/>
  </cacheSource>
  <cacheFields count="11">
    <cacheField name="AsOfDate" numFmtId="14">
      <sharedItems count="728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" maxValue="0.7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" maxValue="3.6910593332137012"/>
    </cacheField>
    <cacheField name="AccumulatedWeight" numFmtId="0">
      <sharedItems containsSemiMixedTypes="0" containsString="0" containsNumber="1" minValue="0" maxValue="1"/>
    </cacheField>
    <cacheField name="WA CC" numFmtId="0">
      <sharedItems containsMixedTypes="1" containsNumber="1" minValue="0" maxValue="3.6910593332137012"/>
    </cacheField>
    <cacheField name="Servicing Spread" numFmtId="0">
      <sharedItems containsMixedTypes="1" containsNumber="1" minValue="0" maxValue="1.3929454452803529" count="299">
        <e v="#VALUE!"/>
        <n v="0"/>
        <n v="0.88903874035051267"/>
        <n v="0.90151202857869928"/>
        <n v="0.90017734324685694"/>
        <n v="0.9051311500262762"/>
        <n v="0.91189361547726433"/>
        <n v="0.95247264823306788"/>
        <n v="0.97076567318124063"/>
        <n v="0.95130783423578213"/>
        <n v="0.91662839951630826"/>
        <n v="0.95269277535561114"/>
        <n v="0.97545891426578635"/>
        <n v="0.97743582494773085"/>
        <n v="0.98924871391023173"/>
        <n v="1.0635149483412847"/>
        <n v="1.035928132759008"/>
        <n v="1.1622718084289136"/>
        <n v="1.1464868589884536"/>
        <n v="1.030638194905205"/>
        <n v="0.98658829447589547"/>
        <n v="0.9879244684877948"/>
        <n v="1.0630394632726912"/>
        <n v="1.0879096087662448"/>
        <n v="1.0482054692563358"/>
        <n v="1.134648566461935"/>
        <n v="1.3187273939760233"/>
        <n v="1.3379454452803528"/>
        <n v="1.2174062696812817"/>
        <n v="1.1796259700845342"/>
        <n v="1.1366876453389132"/>
        <n v="1.1670646788669568"/>
        <n v="1.1203859887520591"/>
        <n v="1.1685020535244517"/>
        <n v="1.0977637189239626"/>
        <n v="1.2197772249610499"/>
        <n v="1.1932223326744751"/>
        <n v="1.1082293959245404"/>
        <n v="1.055156914455766"/>
        <n v="1.1140485374039768"/>
        <n v="1.0580638565411893"/>
        <n v="1.0447243033419302"/>
        <n v="1.0117877241418274"/>
        <n v="0.99513310223877705"/>
        <n v="0.89184398001379117"/>
        <n v="0.89199687576874664"/>
        <n v="0.86339635362020628"/>
        <n v="0.87199240938212075"/>
        <n v="0.91153222611873019"/>
        <n v="0.87204357351466122"/>
        <n v="0.87337240041768016"/>
        <n v="0.87196867274657208"/>
        <n v="0.88621822515740023"/>
        <n v="0.8919244681028089"/>
        <n v="0.87739007897501331"/>
        <n v="0.88269883750301359"/>
        <n v="0.91332532953274148"/>
        <n v="0.9312108745720642"/>
        <n v="0.86100841442168008"/>
        <n v="0.77457627325518441"/>
        <n v="0.81707758256876195"/>
        <n v="0.82242656202196596"/>
        <n v="0.85073824001573461"/>
        <n v="0.9077011776463304"/>
        <n v="0.86147085184385785"/>
        <n v="0.92656364351832954"/>
        <n v="0.90410655512843752"/>
        <n v="0.94481382875341957"/>
        <n v="0.91475230136906349"/>
        <n v="0.88174341954263991"/>
        <n v="0.89229013194576323"/>
        <n v="0.89156621709796768"/>
        <n v="0.8441652938300841"/>
        <n v="0.8843084101618115"/>
        <n v="0.91911402458095015"/>
        <n v="0.85708674240584726"/>
        <n v="0.8289406667862993"/>
        <n v="0.88331445821272903"/>
        <n v="0.91233140891239151"/>
        <n v="0.83245980048246171"/>
        <n v="0.82613175276288509"/>
        <n v="0.82695190712172417"/>
        <n v="0.89884770689987681"/>
        <n v="0.8687225349243457"/>
        <n v="0.80472221425765511"/>
        <n v="0.86095594462015912"/>
        <n v="0.80425053294038928"/>
        <n v="0.84846261176787641"/>
        <n v="0.83896104120136528"/>
        <n v="0.86551943012602406"/>
        <n v="0.88297201937942882"/>
        <n v="0.79945853555969526"/>
        <n v="0.88819791438961104"/>
        <n v="0.87709472849479431"/>
        <n v="0.85159430104857181"/>
        <n v="0.87104546569251395"/>
        <n v="0.84319953471809228"/>
        <n v="0.83402963398078267"/>
        <n v="0.80724385845113966"/>
        <n v="0.84785547751193358"/>
        <n v="0.91966841861058146"/>
        <n v="0.80953614961190778"/>
        <n v="0.8348297528615487"/>
        <n v="0.80506466485603889"/>
        <n v="0.85555288591819245"/>
        <n v="0.85510915377916819"/>
        <n v="0.89024370816722831"/>
        <n v="0.85370647532187682"/>
        <n v="0.82504232727109361"/>
        <n v="0.85420816456937798"/>
        <n v="0.8490501882747985"/>
        <n v="0.84497926069231077"/>
        <n v="0.84522075319668755"/>
        <n v="0.85728324368865128"/>
        <n v="0.75711325782131267"/>
        <n v="0.8154009846746697"/>
        <n v="0.787260825253008"/>
        <n v="0.80153867888092911"/>
        <n v="0.77493835112905174"/>
        <n v="0.84398988187368928"/>
        <n v="0.79690653662462552"/>
        <n v="0.854965709813301"/>
        <n v="0.81564090701534209"/>
        <n v="0.84848085139584395"/>
        <n v="0.83609161802060461"/>
        <n v="0.80689317981029962"/>
        <n v="0.85274860750753056"/>
        <n v="0.84366597111885788"/>
        <n v="0.78329524721630239"/>
        <n v="0.81983842135806428"/>
        <n v="0.85266054151873982"/>
        <n v="0.85514214899144481"/>
        <n v="0.94709590096553509"/>
        <n v="0.95943099428522949"/>
        <n v="0.89015958818738516"/>
        <n v="0.87391074222826726"/>
        <n v="0.85055446921160094"/>
        <n v="0.84854030107372758"/>
        <n v="0.87672610483451985"/>
        <n v="0.94263296820016595"/>
        <n v="0.84127809996204972"/>
        <n v="0.92646864264026441"/>
        <n v="0.89817941958936443"/>
        <n v="0.86405251952469664"/>
        <n v="0.9174031428275442"/>
        <n v="1.00752054140438"/>
        <n v="1.0018718728112019"/>
        <n v="0.98417488107553819"/>
        <n v="0.9933151473463524"/>
        <n v="0.9740103750660376"/>
        <n v="0.84939981170259893"/>
        <n v="0.81054532737476093"/>
        <n v="0.9562032812031962"/>
        <n v="0.82043236344380022"/>
        <n v="0.85228324368865049" u="1"/>
        <n v="0.89329524721630271" u="1"/>
        <n v="0.88785547751193361" u="1"/>
        <n v="0.74920816456937844" u="1"/>
        <n v="0.81014214899144488" u="1"/>
        <n v="1.1732223326744751" u="1"/>
        <n v="0.78540098467466946" u="1"/>
        <n v="1.0515882944758954" u="1"/>
        <n v="1.035156914455766" u="1"/>
        <n v="0.90229013194576391" u="1"/>
        <n v="0.83905018827479871" u="1"/>
        <n v="0.86366597111885834" u="1"/>
        <n v="0.80348085139584491" u="1"/>
        <n v="0.75319953471809242" u="1"/>
        <n v="0.90196867274657189" u="1"/>
        <n v="0.9968718728112016" u="1"/>
        <n v="0.78192446810280902" u="1"/>
        <n v="0.90269277535561132" u="1"/>
        <n v="0.7833724004176803" u="1"/>
        <n v="0.77709472849479466" u="1"/>
        <n v="0.82199240938212048" u="1"/>
        <n v="0.80104546569251456" u="1"/>
        <n v="1.1040485374039766" u="1"/>
        <n v="0.79898988187368936" u="1"/>
        <n v="0.8438477068998762" u="1"/>
        <n v="1.1582293959245407" u="1"/>
        <n v="0.91684398001379153" u="1"/>
        <n v="0.89339635362020653" u="1"/>
        <n v="0.73156364351832925" u="1"/>
        <n v="1.048039463272691" u="1"/>
        <n v="0.96846261176787651" u="1"/>
        <n v="0.77981382875341954" u="1"/>
        <n v="0.94076567318124082" u="1"/>
        <n v="1.0620775825687625" u="1"/>
        <n v="0.91391074222826685" u="1"/>
        <n v="0.7322608252530074" u="1"/>
        <n v="0.93403874035051304" u="1"/>
        <n v="0.95100841442167994" u="1"/>
        <n v="1.1327637189239628" u="1"/>
        <n v="1.3914708518438577" u="1"/>
        <n v="1.1051331022387769" u="1"/>
        <n v="1.1614868589884537" u="1"/>
        <n v="1.0629096087662449" u="1"/>
        <n v="0.91551943012602388" u="1"/>
        <n v="0.94831514734635203" u="1"/>
        <n v="0.85621822515740043" u="1"/>
        <n v="0.85054532737476096" u="1"/>
        <n v="0.93674341954263962" u="1"/>
        <n v="0.8565120285786989" u="1"/>
        <n v="0.82024370816722803" u="1"/>
        <n v="1.3929454452803529" u="1"/>
        <n v="1.060385988752059" u="1"/>
        <n v="0.84896104120136506" u="1"/>
        <n v="0.96972221425765426" u="1"/>
        <n v="0.92073824001573445" u="1"/>
        <n v="1.1770646788669565" u="1"/>
        <n v="0.70331445821272931" u="1"/>
        <n v="0.90620328120319638" u="1"/>
        <n v="0.78153867888092954" u="1"/>
        <n v="0.81766054151873968" u="1"/>
        <n v="0.78983842135806404" u="1"/>
        <n v="0.88208674240584761" u="1"/>
        <n v="0.85672610483451983" u="1"/>
        <n v="0.90943099428522922" u="1"/>
        <n v="0.92817941958936467" u="1"/>
        <n v="0.89297201937942949" u="1"/>
        <n v="0.95372253492434655" u="1"/>
        <n v="0.90424871391023132" u="1"/>
        <n v="0.87975230136906335" u="1"/>
        <n v="0.88402963398078249" u="1"/>
        <n v="0.91939981170259877" u="1"/>
        <n v="0.967472648233068" u="1"/>
        <n v="1.0490103750660378" u="1"/>
        <n v="0.87425053294038957" u="1"/>
        <n v="0.95015958818738522" u="1"/>
        <n v="0.93752054140438013" u="1"/>
        <n v="1.0491652938300842" u="1"/>
        <n v="0.73095594462015923" u="1"/>
        <n v="0.88270117764633094" u="1"/>
        <n v="1.1385020535244519" u="1"/>
        <n v="0.73394066678629866" u="1"/>
        <n v="0.70195190712172417" u="1"/>
        <n v="0.85724385845113948" u="1"/>
        <n v="1.1974062696812817" u="1"/>
        <n v="1.0247243033419302" u="1"/>
        <n v="0.86263296820016588" u="1"/>
        <n v="0.87453614961190818" u="1"/>
        <n v="1.2147772249610496" u="1"/>
        <n v="0.84630783423578171" u="1"/>
        <n v="0.89292446848779461" u="1"/>
        <n v="0.81004232727109304" u="1"/>
        <n v="0.87013115002627606" u="1"/>
        <n v="0.85457627325518448" u="1"/>
        <n v="1.1180638565411893" u="1"/>
        <n v="0.98820546925633623" u="1"/>
        <n v="0.97911402458095065" u="1"/>
        <n v="0.86064090701534113" u="1"/>
        <n v="0.89769883750301371" u="1"/>
        <n v="0.99592813275900838" u="1"/>
        <n v="1.001210874572064" u="1"/>
        <n v="0.83239007897501294" u="1"/>
        <n v="1.0070435735146614" u="1"/>
        <n v="0.77740314282754408" u="1"/>
        <n v="1.0446485664619347" u="1"/>
        <n v="0.8383253295327413" u="1"/>
        <n v="0.78930841016181086" u="1"/>
        <n v="0.81233140891239097" u="1"/>
        <n v="1.0517877241418274" u="1"/>
        <n v="0.79709590096553518" u="1"/>
        <n v="0.84211325782131352" u="1"/>
        <n v="0.78497926069231028" u="1"/>
        <n v="0.88517734324685726" u="1"/>
        <n v="0.98917488107553853" u="1"/>
        <n v="0.87445853555969544" u="1"/>
        <n v="0.828540301073728" u="1"/>
        <n v="0.82146864264026398" u="1"/>
        <n v="0.85493835112905181" u="1"/>
        <n v="0.88127809996204975" u="1"/>
        <n v="0.88506466485603896" u="1"/>
        <n v="0.95662839951630829" u="1"/>
        <n v="0.82522075319668797" u="1"/>
        <n v="1.0606381949052053" u="1"/>
        <n v="0.84496570981330121" u="1"/>
        <n v="1.2196259700845342" u="1"/>
        <n v="1.1491065551284376" u="1"/>
        <n v="0.8296684186105816" u="1"/>
        <n v="0.79109161802060379" u="1"/>
        <n v="0.84245980048246238" u="1"/>
        <n v="0.93043236344380009" u="1"/>
        <n v="1.0335149483412844" u="1"/>
        <n v="0.7851091537791679" u="1"/>
        <n v="0.87613175276288491" u="1"/>
        <n v="0.89742656202196569" u="1"/>
        <n v="1.2222718084289133" u="1"/>
        <n v="0.89653222611873007" u="1"/>
        <n v="0.84055446921160115" u="1"/>
        <n v="0.88870647532187785" u="1"/>
        <n v="0.96243582494773117" u="1"/>
        <n v="1.1166876453389132" u="1"/>
        <n v="0.78482975286154888" u="1"/>
        <n v="1.2787273939760233" u="1"/>
        <n v="0.84319791438961023" u="1"/>
        <n v="0.87189361547726429" u="1"/>
        <n v="0.83159430104857135" u="1"/>
        <n v="0.89055288591819171" u="1"/>
      </sharedItems>
    </cacheField>
    <cacheField name="Servicing Spread Non-Zero" numFmtId="0">
      <sharedItems containsMixedTypes="1" containsNumber="1" minValue="0.75711325782131267" maxValue="1.3379454452803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3">
  <r>
    <x v="0"/>
    <n v="3.10879854950432"/>
    <n v="3.9049999999999998"/>
    <n v="7"/>
    <n v="0.25"/>
    <n v="1"/>
    <n v="0.77719963737608"/>
    <n v="0.25"/>
    <e v="#VALUE!"/>
    <x v="0"/>
    <e v="#VALUE!"/>
  </r>
  <r>
    <x v="1"/>
    <n v="3.0539631363774702"/>
    <n v="3.8049999999999997"/>
    <n v="1"/>
    <n v="0"/>
    <n v="1"/>
    <n v="0"/>
    <n v="0"/>
    <n v="0"/>
    <x v="1"/>
    <e v="#VALUE!"/>
  </r>
  <r>
    <x v="2"/>
    <n v="2.93072207475555"/>
    <n v="3.8049999999999997"/>
    <n v="2"/>
    <n v="0"/>
    <n v="2"/>
    <n v="0"/>
    <n v="0"/>
    <n v="0"/>
    <x v="1"/>
    <e v="#VALUE!"/>
  </r>
  <r>
    <x v="3"/>
    <n v="2.9115161148392898"/>
    <n v="3.8049999999999997"/>
    <n v="5"/>
    <n v="0.05"/>
    <n v="3"/>
    <n v="0.14557580574196449"/>
    <n v="0.05"/>
    <n v="0"/>
    <x v="1"/>
    <e v="#VALUE!"/>
  </r>
  <r>
    <x v="4"/>
    <n v="2.9109852395687899"/>
    <n v="3.8049999999999997"/>
    <n v="6"/>
    <n v="0.7"/>
    <n v="4"/>
    <n v="2.1832654734401169"/>
    <n v="0.75"/>
    <n v="0"/>
    <x v="1"/>
    <e v="#VALUE!"/>
  </r>
  <r>
    <x v="5"/>
    <n v="2.9307831448374801"/>
    <n v="3.8049999999999997"/>
    <n v="7"/>
    <n v="0.25"/>
    <n v="5"/>
    <n v="2.915961259649487"/>
    <n v="1"/>
    <n v="0"/>
    <x v="1"/>
    <e v="#VALUE!"/>
  </r>
  <r>
    <x v="6"/>
    <n v="2.9674500244903301"/>
    <n v="3.85"/>
    <n v="1"/>
    <n v="0"/>
    <n v="1"/>
    <n v="0"/>
    <n v="0"/>
    <n v="2.915961259649487"/>
    <x v="2"/>
    <n v="0.88903874035051267"/>
  </r>
  <r>
    <x v="7"/>
    <n v="2.93226575052006"/>
    <n v="3.85"/>
    <n v="2"/>
    <n v="0"/>
    <n v="2"/>
    <n v="0"/>
    <n v="0"/>
    <n v="0"/>
    <x v="1"/>
    <n v="0.88903874035051267"/>
  </r>
  <r>
    <x v="8"/>
    <n v="2.91808321555345"/>
    <n v="3.85"/>
    <n v="5"/>
    <n v="0.05"/>
    <n v="3"/>
    <n v="0.14590416077767251"/>
    <n v="0.05"/>
    <n v="0"/>
    <x v="1"/>
    <n v="0.88903874035051267"/>
  </r>
  <r>
    <x v="9"/>
    <n v="2.9570995386029302"/>
    <n v="3.85"/>
    <n v="6"/>
    <n v="0.7"/>
    <n v="4"/>
    <n v="2.2158738377997231"/>
    <n v="0.75"/>
    <n v="0"/>
    <x v="1"/>
    <n v="0.88903874035051267"/>
  </r>
  <r>
    <x v="10"/>
    <n v="2.9304565344863098"/>
    <n v="3.85"/>
    <n v="7"/>
    <n v="0.25"/>
    <n v="5"/>
    <n v="2.9484879714213008"/>
    <n v="1"/>
    <n v="0"/>
    <x v="1"/>
    <n v="0.88903874035051267"/>
  </r>
  <r>
    <x v="11"/>
    <n v="2.8874390264499499"/>
    <n v="3.8049999999999997"/>
    <n v="1"/>
    <n v="0"/>
    <n v="1"/>
    <n v="0"/>
    <n v="0"/>
    <n v="2.9484879714213008"/>
    <x v="3"/>
    <n v="0.90151202857869928"/>
  </r>
  <r>
    <x v="12"/>
    <n v="2.90335136163185"/>
    <n v="3.8049999999999997"/>
    <n v="2"/>
    <n v="0"/>
    <n v="2"/>
    <n v="0"/>
    <n v="0"/>
    <n v="0"/>
    <x v="1"/>
    <n v="0.90151202857869928"/>
  </r>
  <r>
    <x v="13"/>
    <n v="2.8708141508909"/>
    <n v="3.8049999999999997"/>
    <n v="5"/>
    <n v="0.05"/>
    <n v="3"/>
    <n v="0.14354070754454501"/>
    <n v="0.05"/>
    <n v="0"/>
    <x v="1"/>
    <n v="0.90151202857869928"/>
  </r>
  <r>
    <x v="14"/>
    <n v="2.9009701197976399"/>
    <n v="3.8049999999999997"/>
    <n v="6"/>
    <n v="0.7"/>
    <n v="4"/>
    <n v="2.1742197914028929"/>
    <n v="0.75"/>
    <n v="0"/>
    <x v="1"/>
    <n v="0.90151202857869928"/>
  </r>
  <r>
    <x v="15"/>
    <n v="2.9224114614009999"/>
    <n v="3.8049999999999997"/>
    <n v="7"/>
    <n v="0.25"/>
    <n v="5"/>
    <n v="2.9048226567531428"/>
    <n v="1"/>
    <n v="0"/>
    <x v="1"/>
    <n v="0.90151202857869928"/>
  </r>
  <r>
    <x v="16"/>
    <n v="2.8924009736045302"/>
    <n v="3.79"/>
    <n v="1"/>
    <n v="0"/>
    <n v="1"/>
    <n v="0"/>
    <n v="0"/>
    <n v="2.9048226567531428"/>
    <x v="4"/>
    <n v="0.90017734324685694"/>
  </r>
  <r>
    <x v="17"/>
    <n v="2.8716721168117001"/>
    <n v="3.79"/>
    <n v="2"/>
    <n v="0"/>
    <n v="2"/>
    <n v="0"/>
    <n v="0"/>
    <n v="0"/>
    <x v="1"/>
    <n v="0.90017734324685694"/>
  </r>
  <r>
    <x v="18"/>
    <n v="2.8585941716778001"/>
    <n v="3.79"/>
    <n v="5"/>
    <n v="0.05"/>
    <n v="3"/>
    <n v="0.14292970858389001"/>
    <n v="0.05"/>
    <n v="0"/>
    <x v="1"/>
    <n v="0.90017734324685694"/>
  </r>
  <r>
    <x v="19"/>
    <n v="2.8908484323394701"/>
    <n v="3.79"/>
    <n v="6"/>
    <n v="0.7"/>
    <n v="4"/>
    <n v="2.1665236112215189"/>
    <n v="0.75"/>
    <n v="0"/>
    <x v="1"/>
    <n v="0.90017734324685694"/>
  </r>
  <r>
    <x v="20"/>
    <n v="2.8733809550088201"/>
    <n v="3.79"/>
    <n v="7"/>
    <n v="0.25"/>
    <n v="5"/>
    <n v="2.8848688499737238"/>
    <n v="1"/>
    <n v="0"/>
    <x v="1"/>
    <n v="0.90017734324685694"/>
  </r>
  <r>
    <x v="21"/>
    <n v="2.88233463781564"/>
    <n v="3.7549999999999999"/>
    <n v="1"/>
    <n v="0"/>
    <n v="1"/>
    <n v="0"/>
    <n v="0"/>
    <n v="2.8848688499737238"/>
    <x v="5"/>
    <n v="0.9051311500262762"/>
  </r>
  <r>
    <x v="22"/>
    <n v="2.8508681241779898"/>
    <n v="3.7549999999999999"/>
    <n v="2"/>
    <n v="0"/>
    <n v="2"/>
    <n v="0"/>
    <n v="0"/>
    <n v="0"/>
    <x v="1"/>
    <n v="0.9051311500262762"/>
  </r>
  <r>
    <x v="23"/>
    <n v="2.85847369417964"/>
    <n v="3.7549999999999999"/>
    <n v="5"/>
    <n v="0.05"/>
    <n v="3"/>
    <n v="0.14292368470898201"/>
    <n v="0.05"/>
    <n v="0"/>
    <x v="1"/>
    <n v="0.9051311500262762"/>
  </r>
  <r>
    <x v="24"/>
    <n v="2.8457023219339699"/>
    <n v="3.7549999999999999"/>
    <n v="6"/>
    <n v="0.7"/>
    <n v="4"/>
    <n v="2.1349153100627607"/>
    <n v="0.75"/>
    <n v="0"/>
    <x v="1"/>
    <n v="0.9051311500262762"/>
  </r>
  <r>
    <x v="25"/>
    <n v="2.8327642978398999"/>
    <n v="3.7549999999999999"/>
    <n v="7"/>
    <n v="0.25"/>
    <n v="5"/>
    <n v="2.8431063845227356"/>
    <n v="1"/>
    <n v="0"/>
    <x v="1"/>
    <n v="0.9051311500262762"/>
  </r>
  <r>
    <x v="26"/>
    <n v="2.8246078637178802"/>
    <n v="3.7149999999999999"/>
    <n v="1"/>
    <n v="0"/>
    <n v="1"/>
    <n v="0"/>
    <n v="0"/>
    <n v="2.8431063845227356"/>
    <x v="6"/>
    <n v="0.91189361547726433"/>
  </r>
  <r>
    <x v="27"/>
    <n v="2.8052772077153998"/>
    <n v="3.7149999999999999"/>
    <n v="2"/>
    <n v="0"/>
    <n v="2"/>
    <n v="0"/>
    <n v="0"/>
    <n v="0"/>
    <x v="1"/>
    <n v="0.91189361547726433"/>
  </r>
  <r>
    <x v="28"/>
    <n v="2.7739749118365999"/>
    <n v="3.7149999999999999"/>
    <n v="5"/>
    <n v="0.05"/>
    <n v="3"/>
    <n v="0.13869874559183001"/>
    <n v="0.05"/>
    <n v="0"/>
    <x v="1"/>
    <n v="0.91189361547726433"/>
  </r>
  <r>
    <x v="29"/>
    <n v="2.7697091879875599"/>
    <n v="3.7149999999999999"/>
    <n v="6"/>
    <n v="0.7"/>
    <n v="4"/>
    <n v="2.0774951771831218"/>
    <n v="0.75"/>
    <n v="0"/>
    <x v="1"/>
    <n v="0.91189361547726433"/>
  </r>
  <r>
    <x v="30"/>
    <n v="2.7401286983352402"/>
    <n v="3.7149999999999999"/>
    <n v="7"/>
    <n v="0.25"/>
    <n v="5"/>
    <n v="2.762527351766932"/>
    <n v="1"/>
    <n v="0"/>
    <x v="1"/>
    <n v="0.91189361547726433"/>
  </r>
  <r>
    <x v="31"/>
    <n v="2.6718406862121098"/>
    <n v="3.73"/>
    <n v="1"/>
    <n v="0"/>
    <n v="1"/>
    <n v="0"/>
    <n v="0"/>
    <n v="2.762527351766932"/>
    <x v="7"/>
    <n v="0.95247264823306788"/>
  </r>
  <r>
    <x v="32"/>
    <n v="2.67797206633489"/>
    <n v="3.73"/>
    <n v="2"/>
    <n v="0"/>
    <n v="2"/>
    <n v="0"/>
    <n v="0"/>
    <n v="0"/>
    <x v="1"/>
    <n v="0.95247264823306788"/>
  </r>
  <r>
    <x v="33"/>
    <n v="2.73357010628694"/>
    <n v="3.73"/>
    <n v="5"/>
    <n v="0.05"/>
    <n v="3"/>
    <n v="0.136678505314347"/>
    <n v="0.05"/>
    <n v="0"/>
    <x v="1"/>
    <n v="0.95247264823306788"/>
  </r>
  <r>
    <x v="34"/>
    <n v="2.76969358536605"/>
    <n v="3.73"/>
    <n v="6"/>
    <n v="0.7"/>
    <n v="4"/>
    <n v="2.0754640150705819"/>
    <n v="0.75"/>
    <n v="0"/>
    <x v="1"/>
    <n v="0.95247264823306788"/>
  </r>
  <r>
    <x v="35"/>
    <n v="2.7350812469927099"/>
    <n v="3.73"/>
    <n v="7"/>
    <n v="0.25"/>
    <n v="5"/>
    <n v="2.7592343268187594"/>
    <n v="1"/>
    <n v="0"/>
    <x v="1"/>
    <n v="0.95247264823306788"/>
  </r>
  <r>
    <x v="36"/>
    <n v="2.7605421873144298"/>
    <n v="3.7"/>
    <n v="1"/>
    <n v="0"/>
    <n v="1"/>
    <n v="0"/>
    <n v="0"/>
    <n v="2.7592343268187594"/>
    <x v="8"/>
    <n v="0.97076567318124063"/>
  </r>
  <r>
    <x v="37"/>
    <n v="2.7634534959262198"/>
    <n v="3.7"/>
    <n v="2"/>
    <n v="0"/>
    <n v="2"/>
    <n v="0"/>
    <n v="0"/>
    <n v="0"/>
    <x v="1"/>
    <n v="0.97076567318124063"/>
  </r>
  <r>
    <x v="38"/>
    <n v="2.77148784579206"/>
    <n v="3.7"/>
    <n v="6"/>
    <n v="0.7"/>
    <n v="3"/>
    <n v="1.9400414920544418"/>
    <n v="0.7"/>
    <n v="0"/>
    <x v="1"/>
    <n v="0.97076567318124063"/>
  </r>
  <r>
    <x v="39"/>
    <n v="2.6848642616862599"/>
    <n v="3.7"/>
    <n v="7"/>
    <n v="0.25"/>
    <n v="4"/>
    <n v="2.6112575574760069"/>
    <n v="0.95"/>
    <n v="0"/>
    <x v="1"/>
    <n v="0.97076567318124063"/>
  </r>
  <r>
    <x v="40"/>
    <n v="2.6463905286345102"/>
    <n v="3.5949999999999998"/>
    <n v="1"/>
    <n v="0"/>
    <n v="1"/>
    <n v="0"/>
    <n v="0"/>
    <n v="2.748692165764218"/>
    <x v="9"/>
    <n v="0.95130783423578213"/>
  </r>
  <r>
    <x v="41"/>
    <n v="2.5315862032348999"/>
    <n v="3.5949999999999998"/>
    <n v="2"/>
    <n v="0"/>
    <n v="2"/>
    <n v="0"/>
    <n v="0"/>
    <n v="0"/>
    <x v="1"/>
    <n v="0.95130783423578213"/>
  </r>
  <r>
    <x v="42"/>
    <n v="2.62225605452167"/>
    <n v="3.5949999999999998"/>
    <n v="5"/>
    <n v="0.05"/>
    <n v="3"/>
    <n v="0.1311128027260835"/>
    <n v="0.05"/>
    <n v="0"/>
    <x v="1"/>
    <n v="0.95130783423578213"/>
  </r>
  <r>
    <x v="43"/>
    <n v="2.67215902179854"/>
    <n v="3.5949999999999998"/>
    <n v="6"/>
    <n v="0.7"/>
    <n v="4"/>
    <n v="2.0016241179850613"/>
    <n v="0.75"/>
    <n v="0"/>
    <x v="1"/>
    <n v="0.95130783423578213"/>
  </r>
  <r>
    <x v="44"/>
    <n v="2.7069899299945201"/>
    <n v="3.5949999999999998"/>
    <n v="7"/>
    <n v="0.25"/>
    <n v="5"/>
    <n v="2.6783716004836915"/>
    <n v="1"/>
    <n v="0"/>
    <x v="1"/>
    <n v="0.95130783423578213"/>
  </r>
  <r>
    <x v="45"/>
    <n v="2.6775785563630401"/>
    <n v="3.6349999999999998"/>
    <n v="1"/>
    <n v="0"/>
    <n v="1"/>
    <n v="0"/>
    <n v="0"/>
    <n v="2.6783716004836915"/>
    <x v="10"/>
    <n v="0.91662839951630826"/>
  </r>
  <r>
    <x v="46"/>
    <n v="2.6791053539735099"/>
    <n v="3.6349999999999998"/>
    <n v="2"/>
    <n v="0"/>
    <n v="2"/>
    <n v="0"/>
    <n v="0"/>
    <n v="0"/>
    <x v="1"/>
    <n v="0.91662839951630826"/>
  </r>
  <r>
    <x v="47"/>
    <n v="2.6398968961248501"/>
    <n v="3.6349999999999998"/>
    <n v="5"/>
    <n v="0.05"/>
    <n v="3"/>
    <n v="0.13199484480624252"/>
    <n v="0.05"/>
    <n v="0"/>
    <x v="1"/>
    <n v="0.91662839951630826"/>
  </r>
  <r>
    <x v="48"/>
    <n v="2.6959588926221301"/>
    <n v="3.6349999999999998"/>
    <n v="6"/>
    <n v="0.7"/>
    <n v="4"/>
    <n v="2.0191660696417335"/>
    <n v="0.75"/>
    <n v="0"/>
    <x v="1"/>
    <n v="0.91662839951630826"/>
  </r>
  <r>
    <x v="49"/>
    <n v="2.6525646200106201"/>
    <n v="3.6349999999999998"/>
    <n v="7"/>
    <n v="0.25"/>
    <n v="5"/>
    <n v="2.6823072246443886"/>
    <n v="1"/>
    <n v="0"/>
    <x v="1"/>
    <n v="0.91662839951630826"/>
  </r>
  <r>
    <x v="50"/>
    <n v="2.63093877997242"/>
    <n v="3.585"/>
    <n v="1"/>
    <n v="0"/>
    <n v="1"/>
    <n v="0"/>
    <n v="0"/>
    <n v="2.6823072246443886"/>
    <x v="11"/>
    <n v="0.95269277535561114"/>
  </r>
  <r>
    <x v="51"/>
    <n v="2.6135481549442598"/>
    <n v="3.585"/>
    <n v="2"/>
    <n v="0"/>
    <n v="2"/>
    <n v="0"/>
    <n v="0"/>
    <n v="0"/>
    <x v="1"/>
    <n v="0.95269277535561114"/>
  </r>
  <r>
    <x v="52"/>
    <n v="2.5951502868946998"/>
    <n v="3.585"/>
    <n v="5"/>
    <n v="0.05"/>
    <n v="3"/>
    <n v="0.12975751434473501"/>
    <n v="0.05"/>
    <n v="0"/>
    <x v="1"/>
    <n v="0.95269277535561114"/>
  </r>
  <r>
    <x v="53"/>
    <n v="2.5989008122860202"/>
    <n v="3.585"/>
    <n v="6"/>
    <n v="0.7"/>
    <n v="4"/>
    <n v="1.9489880829449489"/>
    <n v="0.75"/>
    <n v="0"/>
    <x v="1"/>
    <n v="0.95269277535561114"/>
  </r>
  <r>
    <x v="54"/>
    <n v="2.6422120111570599"/>
    <n v="3.585"/>
    <n v="7"/>
    <n v="0.25"/>
    <n v="5"/>
    <n v="2.6095410857342136"/>
    <n v="1"/>
    <n v="0"/>
    <x v="1"/>
    <n v="0.95269277535561114"/>
  </r>
  <r>
    <x v="55"/>
    <n v="2.61404533663225"/>
    <n v="3.585"/>
    <n v="1"/>
    <n v="0"/>
    <n v="1"/>
    <n v="0"/>
    <n v="0"/>
    <n v="2.6095410857342136"/>
    <x v="12"/>
    <n v="0.97545891426578635"/>
  </r>
  <r>
    <x v="56"/>
    <n v="2.6681925280418901"/>
    <n v="3.585"/>
    <n v="2"/>
    <n v="0"/>
    <n v="2"/>
    <n v="0"/>
    <n v="0"/>
    <n v="0"/>
    <x v="1"/>
    <n v="0.97545891426578635"/>
  </r>
  <r>
    <x v="57"/>
    <n v="2.57850061271707"/>
    <n v="3.585"/>
    <n v="5"/>
    <n v="0.05"/>
    <n v="3"/>
    <n v="0.1289250306358535"/>
    <n v="0.05"/>
    <n v="0"/>
    <x v="1"/>
    <n v="0.97545891426578635"/>
  </r>
  <r>
    <x v="58"/>
    <n v="2.6163872152587899"/>
    <n v="3.585"/>
    <n v="6"/>
    <n v="0.7"/>
    <n v="4"/>
    <n v="1.9603960813170065"/>
    <n v="0.75"/>
    <n v="0"/>
    <x v="1"/>
    <n v="0.97545891426578635"/>
  </r>
  <r>
    <x v="59"/>
    <n v="2.5886723749410501"/>
    <n v="3.585"/>
    <n v="7"/>
    <n v="0.25"/>
    <n v="5"/>
    <n v="2.6075641750522691"/>
    <n v="1"/>
    <n v="0"/>
    <x v="1"/>
    <n v="0.97545891426578635"/>
  </r>
  <r>
    <x v="60"/>
    <n v="2.5509636037861898"/>
    <n v="3.5700000000000003"/>
    <n v="1"/>
    <n v="0"/>
    <n v="1"/>
    <n v="0"/>
    <n v="0"/>
    <n v="2.6075641750522691"/>
    <x v="13"/>
    <n v="0.97743582494773085"/>
  </r>
  <r>
    <x v="61"/>
    <n v="2.6237188553228199"/>
    <n v="3.5700000000000003"/>
    <n v="2"/>
    <n v="0"/>
    <n v="2"/>
    <n v="0"/>
    <n v="0"/>
    <n v="0"/>
    <x v="1"/>
    <n v="0.97743582494773085"/>
  </r>
  <r>
    <x v="62"/>
    <n v="2.54531844167705"/>
    <n v="3.5700000000000003"/>
    <n v="5"/>
    <n v="0.05"/>
    <n v="3"/>
    <n v="0.12726592208385251"/>
    <n v="0.05"/>
    <n v="0"/>
    <x v="1"/>
    <n v="0.97743582494773085"/>
  </r>
  <r>
    <x v="63"/>
    <n v="2.58328220354782"/>
    <n v="3.5700000000000003"/>
    <n v="6"/>
    <n v="0.7"/>
    <n v="4"/>
    <n v="1.9355634645673265"/>
    <n v="0.75"/>
    <n v="0"/>
    <x v="1"/>
    <n v="0.97743582494773085"/>
  </r>
  <r>
    <x v="64"/>
    <n v="2.5563795134905498"/>
    <n v="3.4849999999999999"/>
    <n v="1"/>
    <n v="0"/>
    <n v="1"/>
    <n v="0"/>
    <n v="0"/>
    <n v="2.5807512860897686"/>
    <x v="14"/>
    <n v="0.98924871391023173"/>
  </r>
  <r>
    <x v="65"/>
    <n v="2.4766480457309101"/>
    <n v="3.4849999999999999"/>
    <n v="2"/>
    <n v="0"/>
    <n v="2"/>
    <n v="0"/>
    <n v="0"/>
    <n v="0"/>
    <x v="1"/>
    <n v="0.98924871391023173"/>
  </r>
  <r>
    <x v="66"/>
    <n v="2.4491972100580299"/>
    <n v="3.4849999999999999"/>
    <n v="5"/>
    <n v="0.05"/>
    <n v="3"/>
    <n v="0.1224598605029015"/>
    <n v="0.05"/>
    <n v="0"/>
    <x v="1"/>
    <n v="0.98924871391023173"/>
  </r>
  <r>
    <x v="67"/>
    <n v="2.42302981927218"/>
    <n v="3.4849999999999999"/>
    <n v="6"/>
    <n v="0.7"/>
    <n v="4"/>
    <n v="1.8185807339934275"/>
    <n v="0.75"/>
    <n v="0"/>
    <x v="1"/>
    <n v="0.98924871391023173"/>
  </r>
  <r>
    <x v="68"/>
    <n v="2.4116172706611501"/>
    <n v="3.4849999999999999"/>
    <n v="7"/>
    <n v="0.25"/>
    <n v="5"/>
    <n v="2.4214850516587152"/>
    <n v="1"/>
    <n v="0"/>
    <x v="1"/>
    <n v="0.98924871391023173"/>
  </r>
  <r>
    <x v="69"/>
    <n v="2.4034266466938199"/>
    <n v="3.4549999999999996"/>
    <n v="1"/>
    <n v="0"/>
    <n v="1"/>
    <n v="0"/>
    <n v="0"/>
    <n v="2.4214850516587152"/>
    <x v="15"/>
    <n v="1.0635149483412847"/>
  </r>
  <r>
    <x v="70"/>
    <n v="2.45850252986091"/>
    <n v="3.4549999999999996"/>
    <n v="2"/>
    <n v="0"/>
    <n v="2"/>
    <n v="0"/>
    <n v="0"/>
    <n v="0"/>
    <x v="1"/>
    <n v="1.0635149483412847"/>
  </r>
  <r>
    <x v="71"/>
    <n v="2.3968423718228902"/>
    <n v="3.4549999999999996"/>
    <n v="5"/>
    <n v="0.05"/>
    <n v="3"/>
    <n v="0.11984211859114452"/>
    <n v="0.05"/>
    <n v="0"/>
    <x v="1"/>
    <n v="1.0635149483412847"/>
  </r>
  <r>
    <x v="72"/>
    <n v="2.4360959184987601"/>
    <n v="3.4549999999999996"/>
    <n v="6"/>
    <n v="0.7"/>
    <n v="4"/>
    <n v="1.8251092615402764"/>
    <n v="0.75"/>
    <n v="0"/>
    <x v="1"/>
    <n v="1.0635149483412847"/>
  </r>
  <r>
    <x v="73"/>
    <n v="2.3758504228028601"/>
    <n v="3.4549999999999996"/>
    <n v="7"/>
    <n v="0.25"/>
    <n v="5"/>
    <n v="2.4190718672409917"/>
    <n v="1"/>
    <n v="0"/>
    <x v="1"/>
    <n v="1.0635149483412847"/>
  </r>
  <r>
    <x v="74"/>
    <n v="2.3931217438343899"/>
    <n v="3.415"/>
    <n v="1"/>
    <n v="0"/>
    <n v="1"/>
    <n v="0"/>
    <n v="0"/>
    <n v="2.4190718672409917"/>
    <x v="16"/>
    <n v="1.035928132759008"/>
  </r>
  <r>
    <x v="75"/>
    <n v="2.32496037866738"/>
    <n v="3.415"/>
    <n v="2"/>
    <n v="0"/>
    <n v="2"/>
    <n v="0"/>
    <n v="0"/>
    <n v="0"/>
    <x v="1"/>
    <n v="1.035928132759008"/>
  </r>
  <r>
    <x v="76"/>
    <n v="2.27723185682542"/>
    <n v="3.415"/>
    <n v="5"/>
    <n v="0.05"/>
    <n v="3"/>
    <n v="0.11386159284127101"/>
    <n v="0.05"/>
    <n v="0"/>
    <x v="1"/>
    <n v="1.035928132759008"/>
  </r>
  <r>
    <x v="77"/>
    <n v="2.2471779895370898"/>
    <n v="3.415"/>
    <n v="6"/>
    <n v="0.7"/>
    <n v="4"/>
    <n v="1.6868861855172337"/>
    <n v="0.75"/>
    <n v="0"/>
    <x v="1"/>
    <n v="1.035928132759008"/>
  </r>
  <r>
    <x v="78"/>
    <n v="2.2633680242154099"/>
    <n v="3.415"/>
    <n v="7"/>
    <n v="0.25"/>
    <n v="5"/>
    <n v="2.2527281915710864"/>
    <n v="1"/>
    <n v="0"/>
    <x v="1"/>
    <n v="1.035928132759008"/>
  </r>
  <r>
    <x v="79"/>
    <n v="2.2877898548229898"/>
    <n v="3.4749999999999996"/>
    <n v="1"/>
    <n v="0"/>
    <n v="1"/>
    <n v="0"/>
    <n v="0"/>
    <n v="2.2527281915710864"/>
    <x v="17"/>
    <n v="1.1622718084289136"/>
  </r>
  <r>
    <x v="80"/>
    <n v="2.4685368274640398"/>
    <n v="3.4749999999999996"/>
    <n v="2"/>
    <n v="0"/>
    <n v="2"/>
    <n v="0"/>
    <n v="0"/>
    <n v="0"/>
    <x v="1"/>
    <n v="1.1622718084289136"/>
  </r>
  <r>
    <x v="81"/>
    <n v="2.3365107534465399"/>
    <n v="3.4749999999999996"/>
    <n v="5"/>
    <n v="0.05"/>
    <n v="3"/>
    <n v="0.11682553767232701"/>
    <n v="0.05"/>
    <n v="0"/>
    <x v="1"/>
    <n v="1.1622718084289136"/>
  </r>
  <r>
    <x v="82"/>
    <n v="2.3145960727619199"/>
    <n v="3.4749999999999996"/>
    <n v="6"/>
    <n v="0.7"/>
    <n v="4"/>
    <n v="1.737042788605671"/>
    <n v="0.75"/>
    <n v="0"/>
    <x v="1"/>
    <n v="1.1622718084289136"/>
  </r>
  <r>
    <x v="83"/>
    <n v="2.3658814096234999"/>
    <n v="3.4749999999999996"/>
    <n v="7"/>
    <n v="0.25"/>
    <n v="5"/>
    <n v="2.3285131410115461"/>
    <n v="1"/>
    <n v="0"/>
    <x v="1"/>
    <n v="1.1622718084289136"/>
  </r>
  <r>
    <x v="84"/>
    <n v="2.33657189118883"/>
    <n v="3.4899999999999998"/>
    <n v="1"/>
    <n v="0"/>
    <n v="1"/>
    <n v="0"/>
    <n v="0"/>
    <n v="2.3285131410115461"/>
    <x v="18"/>
    <n v="1.1464868589884536"/>
  </r>
  <r>
    <x v="85"/>
    <n v="2.42675409444622"/>
    <n v="3.4899999999999998"/>
    <n v="2"/>
    <n v="0"/>
    <n v="2"/>
    <n v="0"/>
    <n v="0"/>
    <n v="0"/>
    <x v="1"/>
    <n v="1.1464868589884536"/>
  </r>
  <r>
    <x v="86"/>
    <n v="2.4102554462908099"/>
    <n v="3.4899999999999998"/>
    <n v="5"/>
    <n v="0.05"/>
    <n v="3"/>
    <n v="0.12051277231454049"/>
    <n v="0.05"/>
    <n v="0"/>
    <x v="1"/>
    <n v="1.1464868589884536"/>
  </r>
  <r>
    <x v="87"/>
    <n v="2.4648279812140101"/>
    <n v="3.4899999999999998"/>
    <n v="6"/>
    <n v="0.7"/>
    <n v="4"/>
    <n v="1.8458923591643475"/>
    <n v="0.75"/>
    <n v="0"/>
    <x v="1"/>
    <n v="1.1464868589884536"/>
  </r>
  <r>
    <x v="88"/>
    <n v="2.45387778372179"/>
    <n v="3.4899999999999998"/>
    <n v="7"/>
    <n v="0.25"/>
    <n v="5"/>
    <n v="2.4593618050947947"/>
    <n v="1"/>
    <n v="0"/>
    <x v="1"/>
    <n v="1.1464868589884536"/>
  </r>
  <r>
    <x v="89"/>
    <n v="2.45717074132124"/>
    <n v="3.52"/>
    <n v="1"/>
    <n v="0"/>
    <n v="1"/>
    <n v="0"/>
    <n v="0"/>
    <n v="2.4593618050947947"/>
    <x v="19"/>
    <n v="1.030638194905205"/>
  </r>
  <r>
    <x v="90"/>
    <n v="2.43734688080974"/>
    <n v="3.52"/>
    <n v="2"/>
    <n v="0"/>
    <n v="2"/>
    <n v="0"/>
    <n v="0"/>
    <n v="0"/>
    <x v="1"/>
    <n v="1.030638194905205"/>
  </r>
  <r>
    <x v="91"/>
    <n v="2.4326197879338101"/>
    <n v="3.52"/>
    <n v="5"/>
    <n v="0.05"/>
    <n v="3"/>
    <n v="0.12163098939669051"/>
    <n v="0.05"/>
    <n v="0"/>
    <x v="1"/>
    <n v="1.030638194905205"/>
  </r>
  <r>
    <x v="92"/>
    <n v="2.5032104637526098"/>
    <n v="3.52"/>
    <n v="6"/>
    <n v="0.7"/>
    <n v="4"/>
    <n v="1.8738783140235171"/>
    <n v="0.75"/>
    <n v="0"/>
    <x v="1"/>
    <n v="1.030638194905205"/>
  </r>
  <r>
    <x v="93"/>
    <n v="2.6381335660023502"/>
    <n v="3.52"/>
    <n v="7"/>
    <n v="0.25"/>
    <n v="5"/>
    <n v="2.5334117055241046"/>
    <n v="1"/>
    <n v="0"/>
    <x v="1"/>
    <n v="1.030638194905205"/>
  </r>
  <r>
    <x v="94"/>
    <n v="2.67019432510418"/>
    <n v="3.585"/>
    <n v="1"/>
    <n v="0"/>
    <n v="1"/>
    <n v="0"/>
    <n v="0"/>
    <n v="2.5334117055241046"/>
    <x v="20"/>
    <n v="0.98658829447589547"/>
  </r>
  <r>
    <x v="95"/>
    <n v="2.6390371038052001"/>
    <n v="3.585"/>
    <n v="2"/>
    <n v="0"/>
    <n v="2"/>
    <n v="0"/>
    <n v="0"/>
    <n v="0"/>
    <x v="1"/>
    <n v="0.98658829447589547"/>
  </r>
  <r>
    <x v="96"/>
    <n v="2.6186769861639401"/>
    <n v="3.585"/>
    <n v="5"/>
    <n v="0.05"/>
    <n v="3"/>
    <n v="0.13093384930819701"/>
    <n v="0.05"/>
    <n v="0"/>
    <x v="1"/>
    <n v="0.98658829447589547"/>
  </r>
  <r>
    <x v="97"/>
    <n v="2.6258914158610902"/>
    <n v="3.585"/>
    <n v="6"/>
    <n v="0.7"/>
    <n v="4"/>
    <n v="1.96905784041096"/>
    <n v="0.75"/>
    <n v="0"/>
    <x v="1"/>
    <n v="0.98658829447589547"/>
  </r>
  <r>
    <x v="98"/>
    <n v="2.5120707644049798"/>
    <n v="3.585"/>
    <n v="7"/>
    <n v="0.25"/>
    <n v="5"/>
    <n v="2.5970755315122052"/>
    <n v="1"/>
    <n v="0"/>
    <x v="1"/>
    <n v="0.98658829447589547"/>
  </r>
  <r>
    <x v="99"/>
    <n v="2.4447051610431401"/>
    <n v="3.4899999999999998"/>
    <n v="1"/>
    <n v="0"/>
    <n v="1"/>
    <n v="0"/>
    <n v="0"/>
    <n v="2.5970755315122052"/>
    <x v="21"/>
    <n v="0.9879244684877948"/>
  </r>
  <r>
    <x v="100"/>
    <n v="2.4760934642707801"/>
    <n v="3.4899999999999998"/>
    <n v="2"/>
    <n v="0"/>
    <n v="2"/>
    <n v="0"/>
    <n v="0"/>
    <n v="0"/>
    <x v="1"/>
    <n v="0.9879244684877948"/>
  </r>
  <r>
    <x v="101"/>
    <n v="2.4407526300903402"/>
    <n v="3.4899999999999998"/>
    <n v="5"/>
    <n v="0.05"/>
    <n v="3"/>
    <n v="0.12203763150451702"/>
    <n v="0.05"/>
    <n v="0"/>
    <x v="1"/>
    <n v="0.9879244684877948"/>
  </r>
  <r>
    <x v="102"/>
    <n v="2.4110384199427202"/>
    <n v="3.4899999999999998"/>
    <n v="6"/>
    <n v="0.7"/>
    <n v="4"/>
    <n v="1.809764525464421"/>
    <n v="0.75"/>
    <n v="0"/>
    <x v="1"/>
    <n v="0.9879244684877948"/>
  </r>
  <r>
    <x v="103"/>
    <n v="2.4687840450515499"/>
    <n v="3.4899999999999998"/>
    <n v="7"/>
    <n v="0.25"/>
    <n v="5"/>
    <n v="2.4269605367273086"/>
    <n v="1"/>
    <n v="0"/>
    <x v="1"/>
    <n v="0.9879244684877948"/>
  </r>
  <r>
    <x v="104"/>
    <n v="2.4337082726962702"/>
    <n v="3.4749999999999996"/>
    <n v="1"/>
    <n v="0"/>
    <n v="1"/>
    <n v="0"/>
    <n v="0"/>
    <n v="2.4269605367273086"/>
    <x v="22"/>
    <n v="1.0630394632726912"/>
  </r>
  <r>
    <x v="105"/>
    <n v="2.3689486742097801"/>
    <n v="3.4749999999999996"/>
    <n v="2"/>
    <n v="0"/>
    <n v="2"/>
    <n v="0"/>
    <n v="0"/>
    <n v="0"/>
    <x v="1"/>
    <n v="1.0630394632726912"/>
  </r>
  <r>
    <x v="106"/>
    <n v="2.3841669341916099"/>
    <n v="3.4749999999999996"/>
    <n v="6"/>
    <n v="0.7"/>
    <n v="3"/>
    <n v="1.6689168539341268"/>
    <n v="0.7"/>
    <n v="0"/>
    <x v="1"/>
    <n v="1.0630394632726912"/>
  </r>
  <r>
    <x v="107"/>
    <n v="2.39527607095176"/>
    <n v="3.4749999999999996"/>
    <n v="7"/>
    <n v="0.25"/>
    <n v="4"/>
    <n v="2.267735871672067"/>
    <n v="0.95"/>
    <n v="0"/>
    <x v="1"/>
    <n v="1.0630394632726912"/>
  </r>
  <r>
    <x v="108"/>
    <n v="2.4560721347491201"/>
    <n v="3.4499999999999997"/>
    <n v="1"/>
    <n v="0"/>
    <n v="1"/>
    <n v="0"/>
    <n v="0"/>
    <n v="2.3870903912337549"/>
    <x v="23"/>
    <n v="1.0879096087662448"/>
  </r>
  <r>
    <x v="109"/>
    <n v="2.3738371878590399"/>
    <n v="3.4499999999999997"/>
    <n v="2"/>
    <n v="0"/>
    <n v="2"/>
    <n v="0"/>
    <n v="0"/>
    <n v="0"/>
    <x v="1"/>
    <n v="1.0879096087662448"/>
  </r>
  <r>
    <x v="110"/>
    <n v="2.3778465565534201"/>
    <n v="3.4499999999999997"/>
    <n v="5"/>
    <n v="0.05"/>
    <n v="3"/>
    <n v="0.11889232782767101"/>
    <n v="0.05"/>
    <n v="0"/>
    <x v="1"/>
    <n v="1.0879096087662448"/>
  </r>
  <r>
    <x v="111"/>
    <n v="2.3937114953982901"/>
    <n v="3.4499999999999997"/>
    <n v="6"/>
    <n v="0.7"/>
    <n v="4"/>
    <n v="1.794490374606474"/>
    <n v="0.75"/>
    <n v="0"/>
    <x v="1"/>
    <n v="1.0879096087662448"/>
  </r>
  <r>
    <x v="112"/>
    <n v="2.4292166245487601"/>
    <n v="3.4499999999999997"/>
    <n v="7"/>
    <n v="0.25"/>
    <n v="5"/>
    <n v="2.4017945307436639"/>
    <n v="1"/>
    <n v="0"/>
    <x v="1"/>
    <n v="1.0879096087662448"/>
  </r>
  <r>
    <x v="113"/>
    <n v="2.2060134697218898"/>
    <n v="3.39"/>
    <n v="1"/>
    <n v="0"/>
    <n v="1"/>
    <n v="0"/>
    <n v="0"/>
    <n v="2.4017945307436639"/>
    <x v="24"/>
    <n v="1.0482054692563358"/>
  </r>
  <r>
    <x v="114"/>
    <n v="2.2680491660278101"/>
    <n v="3.39"/>
    <n v="2"/>
    <n v="0"/>
    <n v="2"/>
    <n v="0"/>
    <n v="0"/>
    <n v="0"/>
    <x v="1"/>
    <n v="1.0482054692563358"/>
  </r>
  <r>
    <x v="115"/>
    <n v="2.2811650726171102"/>
    <n v="3.39"/>
    <n v="5"/>
    <n v="0.05"/>
    <n v="3"/>
    <n v="0.11405825363085552"/>
    <n v="0.05"/>
    <n v="0"/>
    <x v="1"/>
    <n v="1.0482054692563358"/>
  </r>
  <r>
    <x v="116"/>
    <n v="2.2693986193058602"/>
    <n v="3.39"/>
    <n v="6"/>
    <n v="0.7"/>
    <n v="4"/>
    <n v="1.7026372871449575"/>
    <n v="0.75"/>
    <n v="0"/>
    <x v="1"/>
    <n v="1.0482054692563358"/>
  </r>
  <r>
    <x v="117"/>
    <n v="2.2108565855724298"/>
    <n v="3.39"/>
    <n v="7"/>
    <n v="0.25"/>
    <n v="5"/>
    <n v="2.2553514335380651"/>
    <n v="1"/>
    <n v="0"/>
    <x v="1"/>
    <n v="1.0482054692563358"/>
  </r>
  <r>
    <x v="118"/>
    <n v="2.1699341948075102"/>
    <n v="3.3"/>
    <n v="1"/>
    <n v="0"/>
    <n v="1"/>
    <n v="0"/>
    <n v="0"/>
    <n v="2.2553514335380651"/>
    <x v="25"/>
    <n v="1.134648566461935"/>
  </r>
  <r>
    <x v="119"/>
    <n v="2.0967004826224001"/>
    <n v="3.3"/>
    <n v="2"/>
    <n v="0"/>
    <n v="2"/>
    <n v="0"/>
    <n v="0"/>
    <n v="0"/>
    <x v="1"/>
    <n v="1.134648566461935"/>
  </r>
  <r>
    <x v="120"/>
    <n v="2.0433470771670201"/>
    <n v="3.3"/>
    <n v="5"/>
    <n v="0.05"/>
    <n v="3"/>
    <n v="0.10216735385835102"/>
    <n v="0.05"/>
    <n v="0"/>
    <x v="1"/>
    <n v="1.134648566461935"/>
  </r>
  <r>
    <x v="121"/>
    <n v="1.9795562323798399"/>
    <n v="3.3"/>
    <n v="6"/>
    <n v="0.7"/>
    <n v="4"/>
    <n v="1.4878567165242389"/>
    <n v="0.75"/>
    <n v="0"/>
    <x v="1"/>
    <n v="1.134648566461935"/>
  </r>
  <r>
    <x v="122"/>
    <n v="1.9736635579989501"/>
    <n v="3.3"/>
    <n v="7"/>
    <n v="0.25"/>
    <n v="5"/>
    <n v="1.9812726060239765"/>
    <n v="1"/>
    <n v="0"/>
    <x v="1"/>
    <n v="1.134648566461935"/>
  </r>
  <r>
    <x v="123"/>
    <n v="2.0509749333657501"/>
    <n v="3.26"/>
    <n v="1"/>
    <n v="0"/>
    <n v="1"/>
    <n v="0"/>
    <n v="0"/>
    <n v="1.9812726060239765"/>
    <x v="26"/>
    <n v="1.3187273939760233"/>
  </r>
  <r>
    <x v="124"/>
    <n v="2.0399140401394802"/>
    <n v="3.26"/>
    <n v="2"/>
    <n v="0"/>
    <n v="2"/>
    <n v="0"/>
    <n v="0"/>
    <n v="0"/>
    <x v="1"/>
    <n v="1.3187273939760233"/>
  </r>
  <r>
    <x v="125"/>
    <n v="1.9791061697796299"/>
    <n v="3.26"/>
    <n v="5"/>
    <n v="0.05"/>
    <n v="3"/>
    <n v="9.89553084889815E-2"/>
    <n v="0.05"/>
    <n v="0"/>
    <x v="1"/>
    <n v="1.3187273939760233"/>
  </r>
  <r>
    <x v="126"/>
    <n v="1.89926870046304"/>
    <n v="3.26"/>
    <n v="6"/>
    <n v="0.7"/>
    <n v="4"/>
    <n v="1.4284433988131096"/>
    <n v="0.75"/>
    <n v="0"/>
    <x v="1"/>
    <n v="1.3187273939760233"/>
  </r>
  <r>
    <x v="127"/>
    <n v="1.9744446236261499"/>
    <n v="3.26"/>
    <n v="7"/>
    <n v="0.25"/>
    <n v="5"/>
    <n v="1.922054554719647"/>
    <n v="1"/>
    <n v="0"/>
    <x v="1"/>
    <n v="1.3187273939760233"/>
  </r>
  <r>
    <x v="128"/>
    <n v="2.0658821659188802"/>
    <n v="3.3149999999999999"/>
    <n v="1"/>
    <n v="0"/>
    <n v="1"/>
    <n v="0"/>
    <n v="0"/>
    <n v="1.922054554719647"/>
    <x v="27"/>
    <n v="1.3379454452803528"/>
  </r>
  <r>
    <x v="129"/>
    <n v="2.0999165140206202"/>
    <n v="3.3149999999999999"/>
    <n v="2"/>
    <n v="0"/>
    <n v="2"/>
    <n v="0"/>
    <n v="0"/>
    <n v="0"/>
    <x v="1"/>
    <n v="1.3379454452803528"/>
  </r>
  <r>
    <x v="130"/>
    <n v="2.1121992044017102"/>
    <n v="3.3149999999999999"/>
    <n v="6"/>
    <n v="0.7"/>
    <n v="3"/>
    <n v="1.4785394430811971"/>
    <n v="0.7"/>
    <n v="0"/>
    <x v="1"/>
    <n v="1.3379454452803528"/>
  </r>
  <r>
    <x v="131"/>
    <n v="2.0566984028863402"/>
    <n v="3.3149999999999999"/>
    <n v="7"/>
    <n v="0.25"/>
    <n v="4"/>
    <n v="1.9927140438027822"/>
    <n v="0.95"/>
    <n v="0"/>
    <x v="1"/>
    <n v="1.3379454452803528"/>
  </r>
  <r>
    <x v="132"/>
    <n v="2.0188150642087299"/>
    <n v="3.2949999999999999"/>
    <n v="1"/>
    <n v="0"/>
    <n v="1"/>
    <n v="0"/>
    <n v="0"/>
    <n v="2.0975937303187182"/>
    <x v="28"/>
    <n v="1.2174062696812817"/>
  </r>
  <r>
    <x v="133"/>
    <n v="2.0148705784973"/>
    <n v="3.2949999999999999"/>
    <n v="2"/>
    <n v="0"/>
    <n v="2"/>
    <n v="0"/>
    <n v="0"/>
    <n v="0"/>
    <x v="1"/>
    <n v="1.2174062696812817"/>
  </r>
  <r>
    <x v="134"/>
    <n v="2.0433983497425001"/>
    <n v="3.2949999999999999"/>
    <n v="5"/>
    <n v="0.05"/>
    <n v="3"/>
    <n v="0.10216991748712501"/>
    <n v="0.05"/>
    <n v="0"/>
    <x v="1"/>
    <n v="1.2174062696812817"/>
  </r>
  <r>
    <x v="135"/>
    <n v="2.0903131154582399"/>
    <n v="3.2949999999999999"/>
    <n v="6"/>
    <n v="0.7"/>
    <n v="4"/>
    <n v="1.5653890983078931"/>
    <n v="0.75"/>
    <n v="0"/>
    <x v="1"/>
    <n v="1.2174062696812817"/>
  </r>
  <r>
    <x v="136"/>
    <n v="2.1999397264302898"/>
    <n v="3.2949999999999999"/>
    <n v="7"/>
    <n v="0.25"/>
    <n v="5"/>
    <n v="2.1153740299154657"/>
    <n v="1"/>
    <n v="0"/>
    <x v="1"/>
    <n v="1.2174062696812817"/>
  </r>
  <r>
    <x v="137"/>
    <n v="2.23804060063864"/>
    <n v="3.335"/>
    <n v="1"/>
    <n v="0"/>
    <n v="1"/>
    <n v="0"/>
    <n v="0"/>
    <n v="2.1153740299154657"/>
    <x v="29"/>
    <n v="1.1796259700845342"/>
  </r>
  <r>
    <x v="138"/>
    <n v="2.17149064090427"/>
    <n v="3.335"/>
    <n v="2"/>
    <n v="0"/>
    <n v="2"/>
    <n v="0"/>
    <n v="0"/>
    <n v="0"/>
    <x v="1"/>
    <n v="1.1796259700845342"/>
  </r>
  <r>
    <x v="139"/>
    <n v="2.2048003727510999"/>
    <n v="3.335"/>
    <n v="5"/>
    <n v="0.05"/>
    <n v="3"/>
    <n v="0.110240018637555"/>
    <n v="0.05"/>
    <n v="0"/>
    <x v="1"/>
    <n v="1.1796259700845342"/>
  </r>
  <r>
    <x v="140"/>
    <n v="2.1883122196514102"/>
    <n v="3.335"/>
    <n v="6"/>
    <n v="0.7"/>
    <n v="4"/>
    <n v="1.6420585723935419"/>
    <n v="0.75"/>
    <n v="0"/>
    <x v="1"/>
    <n v="1.1796259700845342"/>
  </r>
  <r>
    <x v="141"/>
    <n v="2.2250151290701798"/>
    <n v="3.335"/>
    <n v="7"/>
    <n v="0.25"/>
    <n v="5"/>
    <n v="2.1983123546610868"/>
    <n v="1"/>
    <n v="0"/>
    <x v="1"/>
    <n v="1.1796259700845342"/>
  </r>
  <r>
    <x v="142"/>
    <n v="2.2775343256732099"/>
    <n v="3.3149999999999999"/>
    <n v="1"/>
    <n v="0"/>
    <n v="1"/>
    <n v="0"/>
    <n v="0"/>
    <n v="2.1983123546610868"/>
    <x v="30"/>
    <n v="1.1366876453389132"/>
  </r>
  <r>
    <x v="143"/>
    <n v="2.2062412812927401"/>
    <n v="3.3149999999999999"/>
    <n v="2"/>
    <n v="0"/>
    <n v="2"/>
    <n v="0"/>
    <n v="0"/>
    <n v="0"/>
    <x v="1"/>
    <n v="1.1366876453389132"/>
  </r>
  <r>
    <x v="144"/>
    <n v="2.1758632003490601"/>
    <n v="3.3149999999999999"/>
    <n v="5"/>
    <n v="0.05"/>
    <n v="3"/>
    <n v="0.10879316001745301"/>
    <n v="0.05"/>
    <n v="0"/>
    <x v="1"/>
    <n v="1.1366876453389132"/>
  </r>
  <r>
    <x v="145"/>
    <n v="2.1423497452898399"/>
    <n v="3.3149999999999999"/>
    <n v="7"/>
    <n v="0.25"/>
    <n v="4"/>
    <n v="0.64438059633991296"/>
    <n v="0.3"/>
    <n v="0"/>
    <x v="1"/>
    <n v="1.1366876453389132"/>
  </r>
  <r>
    <x v="146"/>
    <n v="2.2324289694544102"/>
    <n v="3.3249999999999997"/>
    <n v="1"/>
    <n v="0"/>
    <n v="1"/>
    <n v="0"/>
    <n v="0"/>
    <n v="2.1479353211330432"/>
    <x v="31"/>
    <n v="1.1670646788669568"/>
  </r>
  <r>
    <x v="147"/>
    <n v="2.1949310629738199"/>
    <n v="3.3249999999999997"/>
    <n v="2"/>
    <n v="0"/>
    <n v="2"/>
    <n v="0"/>
    <n v="0"/>
    <n v="0"/>
    <x v="1"/>
    <n v="1.1670646788669568"/>
  </r>
  <r>
    <x v="148"/>
    <n v="2.1479421519661601"/>
    <n v="3.3249999999999997"/>
    <n v="5"/>
    <n v="0.05"/>
    <n v="3"/>
    <n v="0.10739710759830801"/>
    <n v="0.05"/>
    <n v="0"/>
    <x v="1"/>
    <n v="1.1670646788669568"/>
  </r>
  <r>
    <x v="149"/>
    <n v="2.2488911274377399"/>
    <n v="3.3249999999999997"/>
    <n v="6"/>
    <n v="0.7"/>
    <n v="4"/>
    <n v="1.6816208968047259"/>
    <n v="0.75"/>
    <n v="0"/>
    <x v="1"/>
    <n v="1.1670646788669568"/>
  </r>
  <r>
    <x v="150"/>
    <n v="2.0919724577728598"/>
    <n v="3.3249999999999997"/>
    <n v="7"/>
    <n v="0.25"/>
    <n v="5"/>
    <n v="2.2046140112479407"/>
    <n v="1"/>
    <n v="0"/>
    <x v="1"/>
    <n v="1.1670646788669568"/>
  </r>
  <r>
    <x v="151"/>
    <n v="2.04956432037537"/>
    <n v="3.2649999999999997"/>
    <n v="1"/>
    <n v="0"/>
    <n v="1"/>
    <n v="0"/>
    <n v="0"/>
    <n v="2.2046140112479407"/>
    <x v="32"/>
    <n v="1.1203859887520591"/>
  </r>
  <r>
    <x v="152"/>
    <n v="2.0595956654124499"/>
    <n v="3.2649999999999997"/>
    <n v="2"/>
    <n v="0"/>
    <n v="2"/>
    <n v="0"/>
    <n v="0"/>
    <n v="0"/>
    <x v="1"/>
    <n v="1.1203859887520591"/>
  </r>
  <r>
    <x v="153"/>
    <n v="2.0829778986268401"/>
    <n v="3.2649999999999997"/>
    <n v="6"/>
    <n v="0.7"/>
    <n v="3"/>
    <n v="1.458084529038788"/>
    <n v="0.7"/>
    <n v="0"/>
    <x v="1"/>
    <n v="1.1203859887520591"/>
  </r>
  <r>
    <x v="154"/>
    <n v="2.1343540804519301"/>
    <n v="3.2649999999999997"/>
    <n v="7"/>
    <n v="0.25"/>
    <n v="4"/>
    <n v="1.9916730491517707"/>
    <n v="0.95"/>
    <n v="0"/>
    <x v="1"/>
    <n v="1.1203859887520591"/>
  </r>
  <r>
    <x v="154"/>
    <n v="2.1343540804519301"/>
    <n v="3.2349999999999999"/>
    <n v="7"/>
    <n v="0.25"/>
    <n v="1"/>
    <n v="0.53358852011298252"/>
    <n v="0.25"/>
    <n v="2.096497946475548"/>
    <x v="33"/>
    <n v="1.1685020535244517"/>
  </r>
  <r>
    <x v="155"/>
    <n v="2.0923386430292501"/>
    <n v="3.2349999999999999"/>
    <n v="1"/>
    <n v="0"/>
    <n v="1"/>
    <n v="0"/>
    <n v="0"/>
    <n v="0"/>
    <x v="1"/>
    <n v="1.1685020535244517"/>
  </r>
  <r>
    <x v="156"/>
    <n v="2.0361071292777302"/>
    <n v="3.2349999999999999"/>
    <n v="2"/>
    <n v="0"/>
    <n v="2"/>
    <n v="0"/>
    <n v="0"/>
    <n v="0"/>
    <x v="1"/>
    <n v="1.1685020535244517"/>
  </r>
  <r>
    <x v="157"/>
    <n v="2.0699676944682599"/>
    <n v="3.2349999999999999"/>
    <n v="5"/>
    <n v="0.05"/>
    <n v="3"/>
    <n v="0.103498384723413"/>
    <n v="0.05"/>
    <n v="0"/>
    <x v="1"/>
    <n v="1.1685020535244517"/>
  </r>
  <r>
    <x v="158"/>
    <n v="2.1420411801194499"/>
    <n v="3.2349999999999999"/>
    <n v="6"/>
    <n v="0.7"/>
    <n v="4"/>
    <n v="1.6029272108070278"/>
    <n v="0.75"/>
    <n v="0"/>
    <x v="1"/>
    <n v="1.1685020535244517"/>
  </r>
  <r>
    <x v="159"/>
    <n v="2.2012643194611901"/>
    <n v="3.27"/>
    <n v="2"/>
    <n v="0"/>
    <n v="1"/>
    <n v="0"/>
    <n v="0"/>
    <n v="2.1372362810760372"/>
    <x v="34"/>
    <n v="1.0977637189239626"/>
  </r>
  <r>
    <x v="160"/>
    <n v="2.1328988734204701"/>
    <n v="3.27"/>
    <n v="5"/>
    <n v="0.05"/>
    <n v="2"/>
    <n v="0.10664494367102351"/>
    <n v="0.05"/>
    <n v="0"/>
    <x v="1"/>
    <n v="1.0977637189239626"/>
  </r>
  <r>
    <x v="161"/>
    <n v="2.0440489527996202"/>
    <n v="3.27"/>
    <n v="6"/>
    <n v="0.7"/>
    <n v="3"/>
    <n v="1.5374792106307575"/>
    <n v="0.75"/>
    <n v="0"/>
    <x v="1"/>
    <n v="1.0977637189239626"/>
  </r>
  <r>
    <x v="162"/>
    <n v="2.0509742576327699"/>
    <n v="3.27"/>
    <n v="7"/>
    <n v="0.25"/>
    <n v="4"/>
    <n v="2.0502227750389501"/>
    <n v="1"/>
    <n v="0"/>
    <x v="1"/>
    <n v="1.0977637189239626"/>
  </r>
  <r>
    <x v="163"/>
    <n v="2.0724438614292899"/>
    <n v="3.2649999999999997"/>
    <n v="1"/>
    <n v="0"/>
    <n v="1"/>
    <n v="0"/>
    <n v="0"/>
    <n v="2.0502227750389501"/>
    <x v="35"/>
    <n v="1.2197772249610499"/>
  </r>
  <r>
    <x v="164"/>
    <n v="2.0725335490580301"/>
    <n v="3.2649999999999997"/>
    <n v="2"/>
    <n v="0"/>
    <n v="2"/>
    <n v="0"/>
    <n v="0"/>
    <n v="0"/>
    <x v="1"/>
    <n v="1.2197772249610499"/>
  </r>
  <r>
    <x v="165"/>
    <n v="2.0862225711456399"/>
    <n v="3.2649999999999997"/>
    <n v="5"/>
    <n v="0.05"/>
    <n v="3"/>
    <n v="0.104311128557282"/>
    <n v="0.05"/>
    <n v="0"/>
    <x v="1"/>
    <n v="1.2197772249610499"/>
  </r>
  <r>
    <x v="166"/>
    <n v="2.0678302367394399"/>
    <n v="3.2649999999999997"/>
    <n v="6"/>
    <n v="0.7"/>
    <n v="4"/>
    <n v="1.5517922942748898"/>
    <n v="0.75"/>
    <n v="0"/>
    <x v="1"/>
    <n v="1.2197772249610499"/>
  </r>
  <r>
    <x v="167"/>
    <n v="2.0799414922025399"/>
    <n v="3.2649999999999997"/>
    <n v="7"/>
    <n v="0.25"/>
    <n v="5"/>
    <n v="2.0717776673255246"/>
    <n v="1"/>
    <n v="0"/>
    <x v="1"/>
    <n v="1.2197772249610499"/>
  </r>
  <r>
    <x v="168"/>
    <n v="2.1082736282319798"/>
    <n v="3.2449999999999997"/>
    <n v="1"/>
    <n v="0"/>
    <n v="1"/>
    <n v="0"/>
    <n v="0"/>
    <n v="2.0717776673255246"/>
    <x v="36"/>
    <n v="1.1932223326744751"/>
  </r>
  <r>
    <x v="169"/>
    <n v="2.1663327490122799"/>
    <n v="3.2449999999999997"/>
    <n v="2"/>
    <n v="0"/>
    <n v="2"/>
    <n v="0"/>
    <n v="0"/>
    <n v="0"/>
    <x v="1"/>
    <n v="1.1932223326744751"/>
  </r>
  <r>
    <x v="170"/>
    <n v="2.1263199579473602"/>
    <n v="3.2449999999999997"/>
    <n v="5"/>
    <n v="0.05"/>
    <n v="3"/>
    <n v="0.10631599789736801"/>
    <n v="0.05"/>
    <n v="0"/>
    <x v="1"/>
    <n v="1.1932223326744751"/>
  </r>
  <r>
    <x v="171"/>
    <n v="2.1257047070821802"/>
    <n v="3.2449999999999997"/>
    <n v="6"/>
    <n v="0.7"/>
    <n v="4"/>
    <n v="1.5943092928548941"/>
    <n v="0.75"/>
    <n v="0"/>
    <x v="1"/>
    <n v="1.1932223326744751"/>
  </r>
  <r>
    <x v="172"/>
    <n v="2.1698452448822598"/>
    <n v="3.2449999999999997"/>
    <n v="7"/>
    <n v="0.25"/>
    <n v="5"/>
    <n v="2.1367706040754593"/>
    <n v="1"/>
    <n v="0"/>
    <x v="1"/>
    <n v="1.1932223326744751"/>
  </r>
  <r>
    <x v="173"/>
    <n v="2.17954329599754"/>
    <n v="3.2949999999999999"/>
    <n v="1"/>
    <n v="0"/>
    <n v="1"/>
    <n v="0"/>
    <n v="0"/>
    <n v="2.1367706040754593"/>
    <x v="37"/>
    <n v="1.1082293959245404"/>
  </r>
  <r>
    <x v="174"/>
    <n v="2.1747058079367898"/>
    <n v="3.2949999999999999"/>
    <n v="2"/>
    <n v="0"/>
    <n v="2"/>
    <n v="0"/>
    <n v="0"/>
    <n v="0"/>
    <x v="1"/>
    <n v="1.1082293959245404"/>
  </r>
  <r>
    <x v="175"/>
    <n v="2.1860869431888501"/>
    <n v="3.2949999999999999"/>
    <n v="5"/>
    <n v="0.05"/>
    <n v="3"/>
    <n v="0.10930434715944251"/>
    <n v="0.05"/>
    <n v="0"/>
    <x v="1"/>
    <n v="1.1082293959245404"/>
  </r>
  <r>
    <x v="176"/>
    <n v="2.2549632116225702"/>
    <n v="3.2949999999999999"/>
    <n v="6"/>
    <n v="0.7"/>
    <n v="4"/>
    <n v="1.6877785952952415"/>
    <n v="0.75"/>
    <n v="0"/>
    <x v="1"/>
    <n v="1.1082293959245404"/>
  </r>
  <r>
    <x v="177"/>
    <n v="2.20825796099597"/>
    <n v="3.2949999999999999"/>
    <n v="7"/>
    <n v="0.25"/>
    <n v="5"/>
    <n v="2.2398430855442339"/>
    <n v="1"/>
    <n v="0"/>
    <x v="1"/>
    <n v="1.1082293959245404"/>
  </r>
  <r>
    <x v="178"/>
    <n v="2.18927927513684"/>
    <n v="3.2749999999999999"/>
    <n v="1"/>
    <n v="0"/>
    <n v="1"/>
    <n v="0"/>
    <n v="0"/>
    <n v="2.2398430855442339"/>
    <x v="38"/>
    <n v="1.055156914455766"/>
  </r>
  <r>
    <x v="179"/>
    <n v="2.14957407921754"/>
    <n v="3.2749999999999999"/>
    <n v="2"/>
    <n v="0"/>
    <n v="2"/>
    <n v="0"/>
    <n v="0"/>
    <n v="0"/>
    <x v="1"/>
    <n v="1.055156914455766"/>
  </r>
  <r>
    <x v="180"/>
    <n v="2.1781660184228402"/>
    <n v="3.2749999999999999"/>
    <n v="5"/>
    <n v="0.05"/>
    <n v="3"/>
    <n v="0.10890830092114201"/>
    <n v="0.05"/>
    <n v="0"/>
    <x v="1"/>
    <n v="1.055156914455766"/>
  </r>
  <r>
    <x v="181"/>
    <n v="2.1575085514306598"/>
    <n v="3.2749999999999999"/>
    <n v="7"/>
    <n v="0.25"/>
    <n v="4"/>
    <n v="0.64828543877880696"/>
    <n v="0.3"/>
    <n v="0"/>
    <x v="1"/>
    <n v="1.055156914455766"/>
  </r>
  <r>
    <x v="182"/>
    <n v="2.12227766952706"/>
    <n v="3.2649999999999997"/>
    <n v="1"/>
    <n v="0"/>
    <n v="1"/>
    <n v="0"/>
    <n v="0"/>
    <n v="2.1609514625960231"/>
    <x v="39"/>
    <n v="1.1140485374039768"/>
  </r>
  <r>
    <x v="183"/>
    <n v="2.1401763219910399"/>
    <n v="3.2649999999999997"/>
    <n v="2"/>
    <n v="0"/>
    <n v="2"/>
    <n v="0"/>
    <n v="0"/>
    <n v="0"/>
    <x v="1"/>
    <n v="1.1140485374039768"/>
  </r>
  <r>
    <x v="184"/>
    <n v="2.1517307112587098"/>
    <n v="3.2649999999999997"/>
    <n v="5"/>
    <n v="0.05"/>
    <n v="3"/>
    <n v="0.1075865355629355"/>
    <n v="0.05"/>
    <n v="0"/>
    <x v="1"/>
    <n v="1.1140485374039768"/>
  </r>
  <r>
    <x v="185"/>
    <n v="2.2179772298988301"/>
    <n v="3.2649999999999997"/>
    <n v="7"/>
    <n v="0.25"/>
    <n v="4"/>
    <n v="0.66208084303764303"/>
    <n v="0.3"/>
    <n v="0"/>
    <x v="1"/>
    <n v="1.1140485374039768"/>
  </r>
  <r>
    <x v="186"/>
    <n v="2.33893527316877"/>
    <n v="3.3249999999999997"/>
    <n v="1"/>
    <n v="0"/>
    <n v="1"/>
    <n v="0"/>
    <n v="0"/>
    <n v="2.2069361434588104"/>
    <x v="40"/>
    <n v="1.0580638565411893"/>
  </r>
  <r>
    <x v="187"/>
    <n v="2.3583903097049501"/>
    <n v="3.3249999999999997"/>
    <n v="2"/>
    <n v="0"/>
    <n v="2"/>
    <n v="0"/>
    <n v="0"/>
    <n v="0"/>
    <x v="1"/>
    <n v="1.0580638565411893"/>
  </r>
  <r>
    <x v="188"/>
    <n v="2.3132421541265802"/>
    <n v="3.3249999999999997"/>
    <n v="5"/>
    <n v="0.05"/>
    <n v="3"/>
    <n v="0.11566210770632901"/>
    <n v="0.05"/>
    <n v="0"/>
    <x v="1"/>
    <n v="1.0580638565411893"/>
  </r>
  <r>
    <x v="189"/>
    <n v="2.2872202205924901"/>
    <n v="3.3249999999999997"/>
    <n v="6"/>
    <n v="0.7"/>
    <n v="4"/>
    <n v="1.7167162621210719"/>
    <n v="0.75"/>
    <n v="0"/>
    <x v="1"/>
    <n v="1.0580638565411893"/>
  </r>
  <r>
    <x v="190"/>
    <n v="2.2542377381479901"/>
    <n v="3.3249999999999997"/>
    <n v="7"/>
    <n v="0.25"/>
    <n v="5"/>
    <n v="2.2802756966580695"/>
    <n v="1"/>
    <n v="0"/>
    <x v="1"/>
    <n v="1.0580638565411893"/>
  </r>
  <r>
    <x v="191"/>
    <n v="2.3058062237430601"/>
    <n v="3.3049999999999997"/>
    <n v="1"/>
    <n v="0"/>
    <n v="1"/>
    <n v="0"/>
    <n v="0"/>
    <n v="2.2802756966580695"/>
    <x v="41"/>
    <n v="1.0447243033419302"/>
  </r>
  <r>
    <x v="192"/>
    <n v="2.2816853967186499"/>
    <n v="3.3049999999999997"/>
    <n v="2"/>
    <n v="0"/>
    <n v="2"/>
    <n v="0"/>
    <n v="0"/>
    <n v="0"/>
    <x v="1"/>
    <n v="1.0447243033419302"/>
  </r>
  <r>
    <x v="193"/>
    <n v="2.2784009909774001"/>
    <n v="3.3049999999999997"/>
    <n v="5"/>
    <n v="0.05"/>
    <n v="3"/>
    <n v="0.11392004954887001"/>
    <n v="0.05"/>
    <n v="0"/>
    <x v="1"/>
    <n v="1.0447243033419302"/>
  </r>
  <r>
    <x v="194"/>
    <n v="2.2938425272831502"/>
    <n v="3.3049999999999997"/>
    <n v="6"/>
    <n v="0.7"/>
    <n v="4"/>
    <n v="1.719609818647075"/>
    <n v="0.75"/>
    <n v="0"/>
    <x v="1"/>
    <n v="1.0447243033419302"/>
  </r>
  <r>
    <x v="195"/>
    <n v="2.2944098288443899"/>
    <n v="3.3049999999999997"/>
    <n v="7"/>
    <n v="0.25"/>
    <n v="5"/>
    <n v="2.2932122758581723"/>
    <n v="1"/>
    <n v="0"/>
    <x v="1"/>
    <n v="1.0447243033419302"/>
  </r>
  <r>
    <x v="196"/>
    <n v="2.3689111618910199"/>
    <n v="3.3449999999999998"/>
    <n v="1"/>
    <n v="0"/>
    <n v="1"/>
    <n v="0"/>
    <n v="0"/>
    <n v="2.2932122758581723"/>
    <x v="42"/>
    <n v="1.0117877241418274"/>
  </r>
  <r>
    <x v="197"/>
    <n v="2.3502791672529901"/>
    <n v="3.3449999999999998"/>
    <n v="2"/>
    <n v="0"/>
    <n v="2"/>
    <n v="0"/>
    <n v="0"/>
    <n v="0"/>
    <x v="1"/>
    <n v="1.0117877241418274"/>
  </r>
  <r>
    <x v="198"/>
    <n v="2.35220774246172"/>
    <n v="3.3449999999999998"/>
    <n v="6"/>
    <n v="0.7"/>
    <n v="3"/>
    <n v="1.6465454197232039"/>
    <n v="0.7"/>
    <n v="0"/>
    <x v="1"/>
    <n v="1.0117877241418274"/>
  </r>
  <r>
    <x v="199"/>
    <n v="2.3433125325998301"/>
    <n v="3.3449999999999998"/>
    <n v="7"/>
    <n v="0.25"/>
    <n v="4"/>
    <n v="2.2323735528731614"/>
    <n v="0.95"/>
    <n v="0"/>
    <x v="1"/>
    <n v="1.0117877241418274"/>
  </r>
  <r>
    <x v="200"/>
    <n v="2.3674188938348699"/>
    <n v="3.4549999999999996"/>
    <n v="1"/>
    <n v="0"/>
    <n v="1"/>
    <n v="0"/>
    <n v="0"/>
    <n v="2.3498668977612227"/>
    <x v="43"/>
    <n v="0.99513310223877705"/>
  </r>
  <r>
    <x v="201"/>
    <n v="2.50531849536197"/>
    <n v="3.4549999999999996"/>
    <n v="2"/>
    <n v="0"/>
    <n v="2"/>
    <n v="0"/>
    <n v="0"/>
    <n v="0"/>
    <x v="1"/>
    <n v="0.99513310223877705"/>
  </r>
  <r>
    <x v="202"/>
    <n v="2.5393282304868099"/>
    <n v="3.4549999999999996"/>
    <n v="5"/>
    <n v="0.05"/>
    <n v="3"/>
    <n v="0.12696641152434049"/>
    <n v="0.05"/>
    <n v="0"/>
    <x v="1"/>
    <n v="0.99513310223877705"/>
  </r>
  <r>
    <x v="203"/>
    <n v="2.5598092537420398"/>
    <n v="3.4549999999999996"/>
    <n v="6"/>
    <n v="0.7"/>
    <n v="4"/>
    <n v="1.9188328891437683"/>
    <n v="0.75"/>
    <n v="0"/>
    <x v="1"/>
    <n v="0.99513310223877705"/>
  </r>
  <r>
    <x v="204"/>
    <n v="2.5772925233697599"/>
    <n v="3.4549999999999996"/>
    <n v="7"/>
    <n v="0.25"/>
    <n v="5"/>
    <n v="2.5631560199862085"/>
    <n v="1"/>
    <n v="0"/>
    <x v="1"/>
    <n v="0.99513310223877705"/>
  </r>
  <r>
    <x v="205"/>
    <n v="2.57376759097352"/>
    <n v="3.48"/>
    <n v="1"/>
    <n v="0"/>
    <n v="1"/>
    <n v="0"/>
    <n v="0"/>
    <n v="2.5631560199862085"/>
    <x v="44"/>
    <n v="0.89184398001379117"/>
  </r>
  <r>
    <x v="206"/>
    <n v="2.5914055356862402"/>
    <n v="3.48"/>
    <n v="2"/>
    <n v="0"/>
    <n v="2"/>
    <n v="0"/>
    <n v="0"/>
    <n v="0"/>
    <x v="1"/>
    <n v="0.89184398001379117"/>
  </r>
  <r>
    <x v="207"/>
    <n v="2.5556270132589098"/>
    <n v="3.48"/>
    <n v="5"/>
    <n v="0.05"/>
    <n v="3"/>
    <n v="0.12778135066294549"/>
    <n v="0.05"/>
    <n v="0"/>
    <x v="1"/>
    <n v="0.89184398001379117"/>
  </r>
  <r>
    <x v="208"/>
    <n v="2.6005196496782901"/>
    <n v="3.48"/>
    <n v="6"/>
    <n v="0.7"/>
    <n v="4"/>
    <n v="1.9481451054377483"/>
    <n v="0.75"/>
    <n v="0"/>
    <x v="1"/>
    <n v="0.89184398001379117"/>
  </r>
  <r>
    <x v="209"/>
    <n v="2.55943207517402"/>
    <n v="3.48"/>
    <n v="7"/>
    <n v="0.25"/>
    <n v="5"/>
    <n v="2.5880031242312533"/>
    <n v="1"/>
    <n v="0"/>
    <x v="1"/>
    <n v="0.89184398001379117"/>
  </r>
  <r>
    <x v="210"/>
    <n v="2.5513624904448799"/>
    <n v="3.48"/>
    <n v="1"/>
    <n v="0"/>
    <n v="1"/>
    <n v="0"/>
    <n v="0"/>
    <n v="2.5880031242312533"/>
    <x v="45"/>
    <n v="0.89199687576874664"/>
  </r>
  <r>
    <x v="211"/>
    <n v="2.5731755488249699"/>
    <n v="3.48"/>
    <n v="2"/>
    <n v="0"/>
    <n v="2"/>
    <n v="0"/>
    <n v="0"/>
    <n v="0"/>
    <x v="1"/>
    <n v="0.89199687576874664"/>
  </r>
  <r>
    <x v="212"/>
    <n v="2.56530846465939"/>
    <n v="3.48"/>
    <n v="5"/>
    <n v="0.05"/>
    <n v="3"/>
    <n v="0.12826542323296949"/>
    <n v="0.05"/>
    <n v="0"/>
    <x v="1"/>
    <n v="0.89199687576874664"/>
  </r>
  <r>
    <x v="213"/>
    <n v="2.6070118411689598"/>
    <n v="3.48"/>
    <n v="6"/>
    <n v="0.7"/>
    <n v="4"/>
    <n v="1.9531737120512411"/>
    <n v="0.75"/>
    <n v="0"/>
    <x v="1"/>
    <n v="0.89199687576874664"/>
  </r>
  <r>
    <x v="214"/>
    <n v="2.6537197373142098"/>
    <n v="3.48"/>
    <n v="7"/>
    <n v="0.25"/>
    <n v="5"/>
    <n v="2.6166036463797937"/>
    <n v="1"/>
    <n v="0"/>
    <x v="1"/>
    <n v="0.89199687576874664"/>
  </r>
  <r>
    <x v="215"/>
    <n v="2.6085491789438602"/>
    <n v="3.5100000000000002"/>
    <n v="1"/>
    <n v="0"/>
    <n v="1"/>
    <n v="0"/>
    <n v="0"/>
    <n v="2.6166036463797937"/>
    <x v="46"/>
    <n v="0.86339635362020628"/>
  </r>
  <r>
    <x v="216"/>
    <n v="2.6207856725732901"/>
    <n v="3.5100000000000002"/>
    <n v="2"/>
    <n v="0"/>
    <n v="2"/>
    <n v="0"/>
    <n v="0"/>
    <n v="0"/>
    <x v="1"/>
    <n v="0.86339635362020628"/>
  </r>
  <r>
    <x v="217"/>
    <n v="2.6380211947179002"/>
    <n v="3.5100000000000002"/>
    <n v="6"/>
    <n v="0.7"/>
    <n v="3"/>
    <n v="1.8466148363025301"/>
    <n v="0.7"/>
    <n v="0"/>
    <x v="1"/>
    <n v="0.86339635362020628"/>
  </r>
  <r>
    <x v="218"/>
    <n v="2.63796949913782"/>
    <n v="3.5100000000000002"/>
    <n v="7"/>
    <n v="0.25"/>
    <n v="4"/>
    <n v="2.5061072110869853"/>
    <n v="0.95"/>
    <n v="0"/>
    <x v="1"/>
    <n v="0.86339635362020628"/>
  </r>
  <r>
    <x v="219"/>
    <n v="2.6257405351132901"/>
    <n v="3.46"/>
    <n v="1"/>
    <n v="0"/>
    <n v="1"/>
    <n v="0"/>
    <n v="0"/>
    <n v="2.6380075906178795"/>
    <x v="47"/>
    <n v="0.87199240938212075"/>
  </r>
  <r>
    <x v="220"/>
    <n v="2.6251399034844098"/>
    <n v="3.46"/>
    <n v="2"/>
    <n v="0"/>
    <n v="2"/>
    <n v="0"/>
    <n v="0"/>
    <n v="0"/>
    <x v="1"/>
    <n v="0.87199240938212075"/>
  </r>
  <r>
    <x v="221"/>
    <n v="2.5578588429933502"/>
    <n v="3.46"/>
    <n v="5"/>
    <n v="0.05"/>
    <n v="3"/>
    <n v="0.12789294214966751"/>
    <n v="0.05"/>
    <n v="0"/>
    <x v="1"/>
    <n v="0.87199240938212075"/>
  </r>
  <r>
    <x v="222"/>
    <n v="2.5389569445759999"/>
    <n v="3.46"/>
    <n v="6"/>
    <n v="0.7"/>
    <n v="4"/>
    <n v="1.9051628033528674"/>
    <n v="0.75"/>
    <n v="0"/>
    <x v="1"/>
    <n v="0.87199240938212075"/>
  </r>
  <r>
    <x v="223"/>
    <n v="2.5732198821136101"/>
    <n v="3.46"/>
    <n v="7"/>
    <n v="0.25"/>
    <n v="5"/>
    <n v="2.5484677738812698"/>
    <n v="1"/>
    <n v="0"/>
    <x v="1"/>
    <n v="0.87199240938212075"/>
  </r>
  <r>
    <x v="224"/>
    <n v="2.5448374323223399"/>
    <n v="3.4449999999999998"/>
    <n v="1"/>
    <n v="0"/>
    <n v="1"/>
    <n v="0"/>
    <n v="0"/>
    <n v="2.5484677738812698"/>
    <x v="48"/>
    <n v="0.91153222611873019"/>
  </r>
  <r>
    <x v="225"/>
    <n v="2.5299300395983999"/>
    <n v="3.4449999999999998"/>
    <n v="2"/>
    <n v="0"/>
    <n v="2"/>
    <n v="0"/>
    <n v="0"/>
    <n v="0"/>
    <x v="1"/>
    <n v="0.91153222611873019"/>
  </r>
  <r>
    <x v="226"/>
    <n v="2.5457760046441602"/>
    <n v="3.4449999999999998"/>
    <n v="5"/>
    <n v="0.05"/>
    <n v="3"/>
    <n v="0.12728880023220801"/>
    <n v="0.05"/>
    <n v="0"/>
    <x v="1"/>
    <n v="0.91153222611873019"/>
  </r>
  <r>
    <x v="227"/>
    <n v="2.56075645776348"/>
    <n v="3.4449999999999998"/>
    <n v="6"/>
    <n v="0.7"/>
    <n v="4"/>
    <n v="1.9198183206666437"/>
    <n v="0.75"/>
    <n v="0"/>
    <x v="1"/>
    <n v="0.91153222611873019"/>
  </r>
  <r>
    <x v="228"/>
    <n v="2.6125524232747801"/>
    <n v="3.4449999999999998"/>
    <n v="7"/>
    <n v="0.25"/>
    <n v="5"/>
    <n v="2.5729564264853386"/>
    <n v="1"/>
    <n v="0"/>
    <x v="1"/>
    <n v="0.91153222611873019"/>
  </r>
  <r>
    <x v="229"/>
    <n v="2.6733074908689098"/>
    <n v="3.58"/>
    <n v="1"/>
    <n v="0"/>
    <n v="1"/>
    <n v="0"/>
    <n v="0"/>
    <n v="2.5729564264853386"/>
    <x v="49"/>
    <n v="0.87204357351466122"/>
  </r>
  <r>
    <x v="230"/>
    <n v="2.7519155244705402"/>
    <n v="3.58"/>
    <n v="2"/>
    <n v="0"/>
    <n v="2"/>
    <n v="0"/>
    <n v="0"/>
    <n v="0"/>
    <x v="1"/>
    <n v="0.87204357351466122"/>
  </r>
  <r>
    <x v="231"/>
    <n v="2.7399845789483299"/>
    <n v="3.58"/>
    <n v="5"/>
    <n v="0.05"/>
    <n v="3"/>
    <n v="0.13699922894741651"/>
    <n v="0.05"/>
    <n v="0"/>
    <x v="1"/>
    <n v="0.87204357351466122"/>
  </r>
  <r>
    <x v="232"/>
    <n v="2.7064552884836801"/>
    <n v="3.58"/>
    <n v="6"/>
    <n v="0.7"/>
    <n v="4"/>
    <n v="2.0315179308859923"/>
    <n v="0.75"/>
    <n v="0"/>
    <x v="1"/>
    <n v="0.87204357351466122"/>
  </r>
  <r>
    <x v="233"/>
    <n v="2.70043867478531"/>
    <n v="3.58"/>
    <n v="7"/>
    <n v="0.25"/>
    <n v="5"/>
    <n v="2.7066275995823199"/>
    <n v="1"/>
    <n v="0"/>
    <x v="1"/>
    <n v="0.87204357351466122"/>
  </r>
  <r>
    <x v="234"/>
    <n v="2.7054585787984"/>
    <n v="3.49"/>
    <n v="1"/>
    <n v="0"/>
    <n v="1"/>
    <n v="0"/>
    <n v="0"/>
    <n v="2.7066275995823199"/>
    <x v="50"/>
    <n v="0.87337240041768016"/>
  </r>
  <r>
    <x v="235"/>
    <n v="2.6643363272696798"/>
    <n v="3.49"/>
    <n v="2"/>
    <n v="0"/>
    <n v="2"/>
    <n v="0"/>
    <n v="0"/>
    <n v="0"/>
    <x v="1"/>
    <n v="0.87337240041768016"/>
  </r>
  <r>
    <x v="236"/>
    <n v="2.6296268135310301"/>
    <n v="3.49"/>
    <n v="5"/>
    <n v="0.05"/>
    <n v="3"/>
    <n v="0.13148134067655151"/>
    <n v="0.05"/>
    <n v="0"/>
    <x v="1"/>
    <n v="0.87337240041768016"/>
  </r>
  <r>
    <x v="237"/>
    <n v="2.6068633017671599"/>
    <n v="3.49"/>
    <n v="6"/>
    <n v="0.7"/>
    <n v="4"/>
    <n v="1.9562856519135634"/>
    <n v="0.75"/>
    <n v="0"/>
    <x v="1"/>
    <n v="0.87337240041768016"/>
  </r>
  <r>
    <x v="238"/>
    <n v="2.6469827013594598"/>
    <n v="3.49"/>
    <n v="7"/>
    <n v="0.25"/>
    <n v="5"/>
    <n v="2.6180313272534281"/>
    <n v="1"/>
    <n v="0"/>
    <x v="1"/>
    <n v="0.87337240041768016"/>
  </r>
  <r>
    <x v="239"/>
    <n v="2.6762749111600002"/>
    <n v="3.52"/>
    <n v="1"/>
    <n v="0"/>
    <n v="1"/>
    <n v="0"/>
    <n v="0"/>
    <n v="2.6180313272534281"/>
    <x v="51"/>
    <n v="0.87196867274657208"/>
  </r>
  <r>
    <x v="240"/>
    <n v="2.6414844586182298"/>
    <n v="3.52"/>
    <n v="2"/>
    <n v="0"/>
    <n v="2"/>
    <n v="0"/>
    <n v="0"/>
    <n v="0"/>
    <x v="1"/>
    <n v="0.87196867274657208"/>
  </r>
  <r>
    <x v="241"/>
    <n v="2.6394759315969498"/>
    <n v="3.52"/>
    <n v="5"/>
    <n v="0.05"/>
    <n v="3"/>
    <n v="0.13197379657984751"/>
    <n v="0.05"/>
    <n v="0"/>
    <x v="1"/>
    <n v="0.87196867274657208"/>
  </r>
  <r>
    <x v="242"/>
    <n v="2.6425583507311501"/>
    <n v="3.52"/>
    <n v="6"/>
    <n v="0.7"/>
    <n v="4"/>
    <n v="1.9817646420916524"/>
    <n v="0.75"/>
    <n v="0"/>
    <x v="1"/>
    <n v="0.87196867274657208"/>
  </r>
  <r>
    <x v="243"/>
    <n v="2.6080685310037901"/>
    <n v="3.52"/>
    <n v="7"/>
    <n v="0.25"/>
    <n v="5"/>
    <n v="2.6337817748425998"/>
    <n v="1"/>
    <n v="0"/>
    <x v="1"/>
    <n v="0.87196867274657208"/>
  </r>
  <r>
    <x v="244"/>
    <n v="2.6143335780898398"/>
    <n v="3.49"/>
    <n v="1"/>
    <n v="0"/>
    <n v="1"/>
    <n v="0"/>
    <n v="0"/>
    <n v="2.6337817748425998"/>
    <x v="52"/>
    <n v="0.88621822515740023"/>
  </r>
  <r>
    <x v="245"/>
    <n v="2.5951295555522802"/>
    <n v="3.49"/>
    <n v="5"/>
    <n v="0.05"/>
    <n v="2"/>
    <n v="0.12975647777761401"/>
    <n v="0.05"/>
    <n v="0"/>
    <x v="1"/>
    <n v="0.88621822515740023"/>
  </r>
  <r>
    <x v="246"/>
    <n v="2.6101991222676499"/>
    <n v="3.49"/>
    <n v="6"/>
    <n v="0.7"/>
    <n v="3"/>
    <n v="1.9568958633649687"/>
    <n v="0.75"/>
    <n v="0"/>
    <x v="1"/>
    <n v="0.88621822515740023"/>
  </r>
  <r>
    <x v="247"/>
    <n v="2.5647186741288901"/>
    <n v="3.49"/>
    <n v="7"/>
    <n v="0.25"/>
    <n v="4"/>
    <n v="2.5980755318971913"/>
    <n v="1"/>
    <n v="0"/>
    <x v="1"/>
    <n v="0.88621822515740023"/>
  </r>
  <r>
    <x v="248"/>
    <n v="2.4858730996264899"/>
    <n v="3.3800000000000003"/>
    <n v="1"/>
    <n v="0"/>
    <n v="1"/>
    <n v="0"/>
    <n v="0"/>
    <n v="2.5980755318971913"/>
    <x v="53"/>
    <n v="0.8919244681028089"/>
  </r>
  <r>
    <x v="249"/>
    <n v="2.4173832768427301"/>
    <n v="3.3800000000000003"/>
    <n v="2"/>
    <n v="0"/>
    <n v="2"/>
    <n v="0"/>
    <n v="0"/>
    <n v="0"/>
    <x v="1"/>
    <n v="0.8919244681028089"/>
  </r>
  <r>
    <x v="250"/>
    <n v="2.4769497822755899"/>
    <n v="3.3800000000000003"/>
    <n v="5"/>
    <n v="0.05"/>
    <n v="3"/>
    <n v="0.1238474891137795"/>
    <n v="0.05"/>
    <n v="0"/>
    <x v="1"/>
    <n v="0.8919244681028089"/>
  </r>
  <r>
    <x v="251"/>
    <n v="2.4893778182677"/>
    <n v="3.3800000000000003"/>
    <n v="6"/>
    <n v="0.7"/>
    <n v="4"/>
    <n v="1.8664119619011694"/>
    <n v="0.75"/>
    <n v="0"/>
    <x v="1"/>
    <n v="0.8919244681028089"/>
  </r>
  <r>
    <x v="252"/>
    <n v="2.54479183649527"/>
    <n v="3.3800000000000003"/>
    <n v="7"/>
    <n v="0.25"/>
    <n v="5"/>
    <n v="2.502609921024987"/>
    <n v="1"/>
    <n v="0"/>
    <x v="1"/>
    <n v="0.8919244681028089"/>
  </r>
  <r>
    <x v="253"/>
    <n v="2.5180760618821498"/>
    <n v="3.335"/>
    <n v="1"/>
    <n v="0"/>
    <n v="1"/>
    <n v="0"/>
    <n v="0"/>
    <n v="2.502609921024987"/>
    <x v="54"/>
    <n v="0.87739007897501331"/>
  </r>
  <r>
    <x v="254"/>
    <n v="2.4532379481842601"/>
    <n v="3.335"/>
    <n v="2"/>
    <n v="0"/>
    <n v="2"/>
    <n v="0"/>
    <n v="0"/>
    <n v="0"/>
    <x v="1"/>
    <n v="0.87739007897501331"/>
  </r>
  <r>
    <x v="255"/>
    <n v="2.4306597894947899"/>
    <n v="3.335"/>
    <n v="5"/>
    <n v="0.05"/>
    <n v="3"/>
    <n v="0.12153298947473951"/>
    <n v="0.05"/>
    <n v="0"/>
    <x v="1"/>
    <n v="0.87739007897501331"/>
  </r>
  <r>
    <x v="256"/>
    <n v="2.45465029105896"/>
    <n v="3.335"/>
    <n v="6"/>
    <n v="0.7"/>
    <n v="4"/>
    <n v="1.8397881932160114"/>
    <n v="0.75"/>
    <n v="0"/>
    <x v="1"/>
    <n v="0.87739007897501331"/>
  </r>
  <r>
    <x v="257"/>
    <n v="2.4500518771238999"/>
    <n v="3.335"/>
    <n v="7"/>
    <n v="0.25"/>
    <n v="5"/>
    <n v="2.4523011624969864"/>
    <n v="1"/>
    <n v="0"/>
    <x v="1"/>
    <n v="0.87739007897501331"/>
  </r>
  <r>
    <x v="258"/>
    <n v="2.43192110209089"/>
    <n v="3.35"/>
    <n v="1"/>
    <n v="0"/>
    <n v="1"/>
    <n v="0"/>
    <n v="0"/>
    <n v="2.4523011624969864"/>
    <x v="55"/>
    <n v="0.88269883750301359"/>
  </r>
  <r>
    <x v="259"/>
    <n v="2.4478292625910401"/>
    <n v="3.35"/>
    <n v="2"/>
    <n v="0"/>
    <n v="2"/>
    <n v="0"/>
    <n v="0"/>
    <n v="0"/>
    <x v="1"/>
    <n v="0.88269883750301359"/>
  </r>
  <r>
    <x v="260"/>
    <n v="2.4460987781161698"/>
    <n v="3.35"/>
    <n v="5"/>
    <n v="0.05"/>
    <n v="3"/>
    <n v="0.1223049389058085"/>
    <n v="0.05"/>
    <n v="0"/>
    <x v="1"/>
    <n v="0.88269883750301359"/>
  </r>
  <r>
    <x v="261"/>
    <n v="2.4375323431689502"/>
    <n v="3.35"/>
    <n v="6"/>
    <n v="0.7"/>
    <n v="4"/>
    <n v="1.8285775791240735"/>
    <n v="0.75"/>
    <n v="0"/>
    <x v="1"/>
    <n v="0.88269883750301359"/>
  </r>
  <r>
    <x v="262"/>
    <n v="2.4323883653727401"/>
    <n v="3.35"/>
    <n v="7"/>
    <n v="0.25"/>
    <n v="5"/>
    <n v="2.4366746704672586"/>
    <n v="1"/>
    <n v="0"/>
    <x v="1"/>
    <n v="0.88269883750301359"/>
  </r>
  <r>
    <x v="263"/>
    <n v="2.4323453281375"/>
    <n v="3.2749999999999999"/>
    <n v="1"/>
    <n v="0"/>
    <n v="1"/>
    <n v="0"/>
    <n v="0"/>
    <n v="2.4366746704672586"/>
    <x v="56"/>
    <n v="0.91332532953274148"/>
  </r>
  <r>
    <x v="264"/>
    <n v="2.3795080679074299"/>
    <n v="3.2749999999999999"/>
    <n v="2"/>
    <n v="0"/>
    <n v="2"/>
    <n v="0"/>
    <n v="0"/>
    <n v="0"/>
    <x v="1"/>
    <n v="0.91332532953274148"/>
  </r>
  <r>
    <x v="265"/>
    <n v="2.37447920783596"/>
    <n v="3.2749999999999999"/>
    <n v="5"/>
    <n v="0.05"/>
    <n v="3"/>
    <n v="0.118723960391798"/>
    <n v="0.05"/>
    <n v="0"/>
    <x v="1"/>
    <n v="0.91332532953274148"/>
  </r>
  <r>
    <x v="266"/>
    <n v="2.3535373905486399"/>
    <n v="3.2749999999999999"/>
    <n v="6"/>
    <n v="0.7"/>
    <n v="4"/>
    <n v="1.7662001337758457"/>
    <n v="0.75"/>
    <n v="0"/>
    <x v="1"/>
    <n v="0.91332532953274148"/>
  </r>
  <r>
    <x v="267"/>
    <n v="2.31035596660836"/>
    <n v="3.2749999999999999"/>
    <n v="7"/>
    <n v="0.25"/>
    <n v="5"/>
    <n v="2.3437891254279357"/>
    <n v="1"/>
    <n v="0"/>
    <x v="1"/>
    <n v="0.91332532953274148"/>
  </r>
  <r>
    <x v="268"/>
    <n v="2.3421036791460899"/>
    <n v="3.3449999999999998"/>
    <n v="1"/>
    <n v="0"/>
    <n v="1"/>
    <n v="0"/>
    <n v="0"/>
    <n v="2.3437891254279357"/>
    <x v="57"/>
    <n v="0.9312108745720642"/>
  </r>
  <r>
    <x v="269"/>
    <n v="2.4561501214153099"/>
    <n v="3.3449999999999998"/>
    <n v="2"/>
    <n v="0"/>
    <n v="2"/>
    <n v="0"/>
    <n v="0"/>
    <n v="0"/>
    <x v="1"/>
    <n v="0.9312108745720642"/>
  </r>
  <r>
    <x v="270"/>
    <n v="2.4724031733010898"/>
    <n v="3.3449999999999998"/>
    <n v="5"/>
    <n v="0.05"/>
    <n v="3"/>
    <n v="0.12362015866505449"/>
    <n v="0.05"/>
    <n v="0"/>
    <x v="1"/>
    <n v="0.9312108745720642"/>
  </r>
  <r>
    <x v="271"/>
    <n v="2.48894298716524"/>
    <n v="3.3449999999999998"/>
    <n v="6"/>
    <n v="0.7"/>
    <n v="4"/>
    <n v="1.8658802496807223"/>
    <n v="0.75"/>
    <n v="0"/>
    <x v="1"/>
    <n v="0.9312108745720642"/>
  </r>
  <r>
    <x v="272"/>
    <n v="2.4724453435903899"/>
    <n v="3.3449999999999998"/>
    <n v="7"/>
    <n v="0.25"/>
    <n v="5"/>
    <n v="2.4839915855783197"/>
    <n v="1"/>
    <n v="0"/>
    <x v="1"/>
    <n v="0.9312108745720642"/>
  </r>
  <r>
    <x v="273"/>
    <n v="2.49665490312618"/>
    <n v="3.4349999999999996"/>
    <n v="1"/>
    <n v="0"/>
    <n v="1"/>
    <n v="0"/>
    <n v="0"/>
    <n v="2.4839915855783197"/>
    <x v="58"/>
    <n v="0.86100841442168008"/>
  </r>
  <r>
    <x v="274"/>
    <n v="2.5868571182044802"/>
    <n v="3.4349999999999996"/>
    <n v="2"/>
    <n v="0"/>
    <n v="2"/>
    <n v="0"/>
    <n v="0"/>
    <n v="0"/>
    <x v="1"/>
    <n v="0.86100841442168008"/>
  </r>
  <r>
    <x v="275"/>
    <n v="2.6209995675214"/>
    <n v="3.4349999999999996"/>
    <n v="5"/>
    <n v="0.05"/>
    <n v="3"/>
    <n v="0.13104997837606999"/>
    <n v="0.05"/>
    <n v="0"/>
    <x v="1"/>
    <n v="0.86100841442168008"/>
  </r>
  <r>
    <x v="276"/>
    <n v="2.6627244928863401"/>
    <n v="3.4349999999999996"/>
    <n v="6"/>
    <n v="0.7"/>
    <n v="4"/>
    <n v="1.9949571233965078"/>
    <n v="0.75"/>
    <n v="0"/>
    <x v="1"/>
    <n v="0.86100841442168008"/>
  </r>
  <r>
    <x v="277"/>
    <n v="2.6618664133932302"/>
    <n v="3.4349999999999996"/>
    <n v="7"/>
    <n v="0.25"/>
    <n v="5"/>
    <n v="2.6604237267448152"/>
    <n v="1"/>
    <n v="0"/>
    <x v="1"/>
    <n v="0.86100841442168008"/>
  </r>
  <r>
    <x v="278"/>
    <n v="2.5638774739999999"/>
    <n v="3.5149999999999997"/>
    <n v="1"/>
    <n v="0"/>
    <n v="1"/>
    <n v="0"/>
    <n v="0"/>
    <n v="2.6604237267448152"/>
    <x v="59"/>
    <n v="0.77457627325518441"/>
  </r>
  <r>
    <x v="279"/>
    <n v="2.6858134280305799"/>
    <n v="3.5149999999999997"/>
    <n v="2"/>
    <n v="0"/>
    <n v="2"/>
    <n v="0"/>
    <n v="0"/>
    <n v="0"/>
    <x v="1"/>
    <n v="0.77457627325518441"/>
  </r>
  <r>
    <x v="280"/>
    <n v="2.7128835423314301"/>
    <n v="3.5149999999999997"/>
    <n v="5"/>
    <n v="0.05"/>
    <n v="3"/>
    <n v="0.13564417711657151"/>
    <n v="0.05"/>
    <n v="0"/>
    <x v="1"/>
    <n v="0.77457627325518441"/>
  </r>
  <r>
    <x v="281"/>
    <n v="2.6645260639550199"/>
    <n v="3.5149999999999997"/>
    <n v="6"/>
    <n v="0.7"/>
    <n v="4"/>
    <n v="2.0008124218850853"/>
    <n v="0.75"/>
    <n v="0"/>
    <x v="1"/>
    <n v="0.77457627325518441"/>
  </r>
  <r>
    <x v="282"/>
    <n v="2.78843998218461"/>
    <n v="3.5149999999999997"/>
    <n v="7"/>
    <n v="0.25"/>
    <n v="5"/>
    <n v="2.6979224174312377"/>
    <n v="1"/>
    <n v="0"/>
    <x v="1"/>
    <n v="0.77457627325518441"/>
  </r>
  <r>
    <x v="283"/>
    <n v="2.8219074459123799"/>
    <n v="3.7600000000000002"/>
    <n v="1"/>
    <n v="0"/>
    <n v="1"/>
    <n v="0"/>
    <n v="0"/>
    <n v="2.6979224174312377"/>
    <x v="60"/>
    <n v="0.81707758256876195"/>
  </r>
  <r>
    <x v="284"/>
    <n v="2.8149731764108399"/>
    <n v="3.7600000000000002"/>
    <n v="2"/>
    <n v="0"/>
    <n v="2"/>
    <n v="0"/>
    <n v="0"/>
    <n v="0"/>
    <x v="1"/>
    <n v="0.81707758256876195"/>
  </r>
  <r>
    <x v="285"/>
    <n v="2.9439593784478002"/>
    <n v="3.7600000000000002"/>
    <n v="6"/>
    <n v="0.7"/>
    <n v="3"/>
    <n v="2.0607715649134599"/>
    <n v="0.7"/>
    <n v="0"/>
    <x v="1"/>
    <n v="0.81707758256876195"/>
  </r>
  <r>
    <x v="286"/>
    <n v="2.9196928046626902"/>
    <n v="3.7600000000000002"/>
    <n v="7"/>
    <n v="0.25"/>
    <n v="4"/>
    <n v="2.7906947660791324"/>
    <n v="0.95"/>
    <n v="0"/>
    <x v="1"/>
    <n v="0.81707758256876195"/>
  </r>
  <r>
    <x v="287"/>
    <n v="2.9046454407398898"/>
    <n v="3.835"/>
    <n v="1"/>
    <n v="0"/>
    <n v="1"/>
    <n v="0"/>
    <n v="0"/>
    <n v="2.9375734379780343"/>
    <x v="61"/>
    <n v="0.82242656202196596"/>
  </r>
  <r>
    <x v="288"/>
    <n v="2.95731349620652"/>
    <n v="3.835"/>
    <n v="2"/>
    <n v="0"/>
    <n v="2"/>
    <n v="0"/>
    <n v="0"/>
    <n v="0"/>
    <x v="1"/>
    <n v="0.82242656202196596"/>
  </r>
  <r>
    <x v="289"/>
    <n v="2.9603245306419401"/>
    <n v="3.835"/>
    <n v="5"/>
    <n v="0.05"/>
    <n v="3"/>
    <n v="0.14801622653209701"/>
    <n v="0.05"/>
    <n v="0"/>
    <x v="1"/>
    <n v="0.82242656202196596"/>
  </r>
  <r>
    <x v="290"/>
    <n v="2.9897357672895799"/>
    <n v="3.835"/>
    <n v="6"/>
    <n v="0.7"/>
    <n v="4"/>
    <n v="2.2408312636348029"/>
    <n v="0.75"/>
    <n v="0"/>
    <x v="1"/>
    <n v="0.82242656202196596"/>
  </r>
  <r>
    <x v="291"/>
    <n v="2.9737219853978498"/>
    <n v="3.835"/>
    <n v="7"/>
    <n v="0.25"/>
    <n v="5"/>
    <n v="2.9842617599842653"/>
    <n v="1"/>
    <n v="0"/>
    <x v="1"/>
    <n v="0.82242656202196596"/>
  </r>
  <r>
    <x v="292"/>
    <n v="2.9363931746100702"/>
    <n v="3.9049999999999998"/>
    <n v="1"/>
    <n v="0"/>
    <n v="1"/>
    <n v="0"/>
    <n v="0"/>
    <n v="2.9842617599842653"/>
    <x v="62"/>
    <n v="0.85073824001573461"/>
  </r>
  <r>
    <x v="293"/>
    <n v="2.9931159990094902"/>
    <n v="3.9049999999999998"/>
    <n v="2"/>
    <n v="0"/>
    <n v="2"/>
    <n v="0"/>
    <n v="0"/>
    <n v="0"/>
    <x v="1"/>
    <n v="0.85073824001573461"/>
  </r>
  <r>
    <x v="294"/>
    <n v="3.0187503286824402"/>
    <n v="3.9049999999999998"/>
    <n v="5"/>
    <n v="0.05"/>
    <n v="3"/>
    <n v="0.15093751643412201"/>
    <n v="0.05"/>
    <n v="0"/>
    <x v="1"/>
    <n v="0.85073824001573461"/>
  </r>
  <r>
    <x v="295"/>
    <n v="2.9886237940572"/>
    <n v="3.9049999999999998"/>
    <n v="6"/>
    <n v="0.7"/>
    <n v="4"/>
    <n v="2.2429741722741618"/>
    <n v="0.75"/>
    <n v="0"/>
    <x v="1"/>
    <n v="0.85073824001573461"/>
  </r>
  <r>
    <x v="296"/>
    <n v="3.0172986003180302"/>
    <n v="3.9049999999999998"/>
    <n v="7"/>
    <n v="0.25"/>
    <n v="5"/>
    <n v="2.9972988223536694"/>
    <n v="1"/>
    <n v="0"/>
    <x v="1"/>
    <n v="0.85073824001573461"/>
  </r>
  <r>
    <x v="297"/>
    <n v="2.97051771574304"/>
    <n v="3.8800000000000003"/>
    <n v="1"/>
    <n v="0"/>
    <n v="1"/>
    <n v="0"/>
    <n v="0"/>
    <n v="2.9972988223536694"/>
    <x v="63"/>
    <n v="0.9077011776463304"/>
  </r>
  <r>
    <x v="298"/>
    <n v="2.93282407442446"/>
    <n v="3.8800000000000003"/>
    <n v="2"/>
    <n v="0"/>
    <n v="2"/>
    <n v="0"/>
    <n v="0"/>
    <n v="0"/>
    <x v="1"/>
    <n v="0.9077011776463304"/>
  </r>
  <r>
    <x v="299"/>
    <n v="2.9838518305616502"/>
    <n v="3.8800000000000003"/>
    <n v="5"/>
    <n v="0.05"/>
    <n v="3"/>
    <n v="0.14919259152808251"/>
    <n v="0.05"/>
    <n v="0"/>
    <x v="1"/>
    <n v="0.9077011776463304"/>
  </r>
  <r>
    <x v="300"/>
    <n v="2.9821306488123902"/>
    <n v="3.8800000000000003"/>
    <n v="6"/>
    <n v="0.7"/>
    <n v="4"/>
    <n v="2.2366840456967552"/>
    <n v="0.75"/>
    <n v="0"/>
    <x v="1"/>
    <n v="0.9077011776463304"/>
  </r>
  <r>
    <x v="301"/>
    <n v="3.1273804098375502"/>
    <n v="3.8800000000000003"/>
    <n v="7"/>
    <n v="0.25"/>
    <n v="5"/>
    <n v="3.0185291481561425"/>
    <n v="1"/>
    <n v="0"/>
    <x v="1"/>
    <n v="0.9077011776463304"/>
  </r>
  <r>
    <x v="302"/>
    <n v="3.2731873242540099"/>
    <n v="4.41"/>
    <n v="1"/>
    <n v="0"/>
    <n v="1"/>
    <n v="0"/>
    <n v="0"/>
    <n v="3.0185291481561425"/>
    <x v="64"/>
    <n v="0.86147085184385785"/>
  </r>
  <r>
    <x v="303"/>
    <n v="3.4290560333253501"/>
    <n v="4.41"/>
    <n v="2"/>
    <n v="0"/>
    <n v="2"/>
    <n v="0"/>
    <n v="0"/>
    <n v="0"/>
    <x v="1"/>
    <n v="0.86147085184385785"/>
  </r>
  <r>
    <x v="304"/>
    <n v="3.4842821250923999"/>
    <n v="4.41"/>
    <n v="5"/>
    <n v="0.05"/>
    <n v="3"/>
    <n v="0.17421410625462"/>
    <n v="0.05"/>
    <n v="0"/>
    <x v="1"/>
    <n v="0.86147085184385785"/>
  </r>
  <r>
    <x v="305"/>
    <n v="3.4979073592115801"/>
    <n v="4.41"/>
    <n v="6"/>
    <n v="0.7"/>
    <n v="4"/>
    <n v="2.6227492577027256"/>
    <n v="0.75"/>
    <n v="0"/>
    <x v="1"/>
    <n v="0.86147085184385785"/>
  </r>
  <r>
    <x v="306"/>
    <n v="3.44274839511578"/>
    <n v="4.41"/>
    <n v="7"/>
    <n v="0.25"/>
    <n v="5"/>
    <n v="3.4834363564816706"/>
    <n v="1"/>
    <n v="0"/>
    <x v="1"/>
    <n v="0.86147085184385785"/>
  </r>
  <r>
    <x v="306"/>
    <n v="3.44274839511578"/>
    <n v="4.2149999999999999"/>
    <n v="7"/>
    <n v="0.25"/>
    <n v="1"/>
    <n v="0.860687098778945"/>
    <n v="0.25"/>
    <n v="3.4834363564816706"/>
    <x v="65"/>
    <n v="0.92656364351832954"/>
  </r>
  <r>
    <x v="307"/>
    <n v="3.3206581307608101"/>
    <n v="4.2149999999999999"/>
    <n v="1"/>
    <n v="0"/>
    <n v="1"/>
    <n v="0"/>
    <n v="0"/>
    <n v="0"/>
    <x v="1"/>
    <n v="0.92656364351832954"/>
  </r>
  <r>
    <x v="308"/>
    <n v="3.3094496735702101"/>
    <n v="4.2149999999999999"/>
    <n v="2"/>
    <n v="0"/>
    <n v="2"/>
    <n v="0"/>
    <n v="0"/>
    <n v="0"/>
    <x v="1"/>
    <n v="0.92656364351832954"/>
  </r>
  <r>
    <x v="309"/>
    <n v="3.2979461773808199"/>
    <n v="4.2149999999999999"/>
    <n v="5"/>
    <n v="0.05"/>
    <n v="3"/>
    <n v="0.164897308869041"/>
    <n v="0.05"/>
    <n v="0"/>
    <x v="1"/>
    <n v="0.92656364351832954"/>
  </r>
  <r>
    <x v="310"/>
    <n v="3.3118182496923301"/>
    <n v="4.2149999999999999"/>
    <n v="6"/>
    <n v="0.7"/>
    <n v="4"/>
    <n v="2.4831700836536719"/>
    <n v="0.75"/>
    <n v="0"/>
    <x v="1"/>
    <n v="0.92656364351832954"/>
  </r>
  <r>
    <x v="311"/>
    <n v="3.6732513531495798"/>
    <n v="4.46"/>
    <n v="2"/>
    <n v="0"/>
    <n v="1"/>
    <n v="0"/>
    <n v="0"/>
    <n v="3.3108934448715623"/>
    <x v="66"/>
    <n v="0.90410655512843752"/>
  </r>
  <r>
    <x v="312"/>
    <n v="3.5446391609564598"/>
    <n v="4.46"/>
    <n v="5"/>
    <n v="0.05"/>
    <n v="2"/>
    <n v="0.17723195804782299"/>
    <n v="0.05"/>
    <n v="0"/>
    <x v="1"/>
    <n v="0.90410655512843752"/>
  </r>
  <r>
    <x v="313"/>
    <n v="3.4880159980232399"/>
    <n v="4.46"/>
    <n v="6"/>
    <n v="0.7"/>
    <n v="3"/>
    <n v="2.6188431566640906"/>
    <n v="0.75"/>
    <n v="0"/>
    <x v="1"/>
    <n v="0.90410655512843752"/>
  </r>
  <r>
    <x v="314"/>
    <n v="3.58537205832996"/>
    <n v="4.46"/>
    <n v="7"/>
    <n v="0.25"/>
    <n v="4"/>
    <n v="3.5151861712465804"/>
    <n v="1"/>
    <n v="0"/>
    <x v="1"/>
    <n v="0.90410655512843752"/>
  </r>
  <r>
    <x v="315"/>
    <n v="3.4679725505405199"/>
    <n v="4.2949999999999999"/>
    <n v="1"/>
    <n v="0"/>
    <n v="1"/>
    <n v="0"/>
    <n v="0"/>
    <n v="3.5151861712465804"/>
    <x v="67"/>
    <n v="0.94481382875341957"/>
  </r>
  <r>
    <x v="316"/>
    <n v="3.4748173662638"/>
    <n v="4.2949999999999999"/>
    <n v="2"/>
    <n v="0"/>
    <n v="2"/>
    <n v="0"/>
    <n v="0"/>
    <n v="0"/>
    <x v="1"/>
    <n v="0.94481382875341957"/>
  </r>
  <r>
    <x v="317"/>
    <n v="3.40503285889704"/>
    <n v="4.2949999999999999"/>
    <n v="5"/>
    <n v="0.05"/>
    <n v="3"/>
    <n v="0.17025164294485201"/>
    <n v="0.05"/>
    <n v="0"/>
    <x v="1"/>
    <n v="0.94481382875341957"/>
  </r>
  <r>
    <x v="318"/>
    <n v="3.3914708524147601"/>
    <n v="4.2949999999999999"/>
    <n v="6"/>
    <n v="0.7"/>
    <n v="4"/>
    <n v="2.5442812396351839"/>
    <n v="0.75"/>
    <n v="0"/>
    <x v="1"/>
    <n v="0.94481382875341957"/>
  </r>
  <r>
    <x v="319"/>
    <n v="3.34386583598301"/>
    <n v="4.2949999999999999"/>
    <n v="7"/>
    <n v="0.25"/>
    <n v="5"/>
    <n v="3.3802476986309364"/>
    <n v="1"/>
    <n v="0"/>
    <x v="1"/>
    <n v="0.94481382875341957"/>
  </r>
  <r>
    <x v="320"/>
    <n v="3.38884755763491"/>
    <n v="4.26"/>
    <n v="1"/>
    <n v="0"/>
    <n v="1"/>
    <n v="0"/>
    <n v="0"/>
    <n v="3.3802476986309364"/>
    <x v="68"/>
    <n v="0.91475230136906349"/>
  </r>
  <r>
    <x v="321"/>
    <n v="3.3313912756576198"/>
    <n v="4.26"/>
    <n v="2"/>
    <n v="0"/>
    <n v="2"/>
    <n v="0"/>
    <n v="0"/>
    <n v="0"/>
    <x v="1"/>
    <n v="0.91475230136906349"/>
  </r>
  <r>
    <x v="322"/>
    <n v="3.3220828709767098"/>
    <n v="4.26"/>
    <n v="5"/>
    <n v="0.05"/>
    <n v="3"/>
    <n v="0.16610414354883551"/>
    <n v="0.05"/>
    <n v="0"/>
    <x v="1"/>
    <n v="0.91475230136906349"/>
  </r>
  <r>
    <x v="323"/>
    <n v="3.3639050543487601"/>
    <n v="4.26"/>
    <n v="6"/>
    <n v="0.7"/>
    <n v="4"/>
    <n v="2.5208376815929672"/>
    <n v="0.75"/>
    <n v="0"/>
    <x v="1"/>
    <n v="0.91475230136906349"/>
  </r>
  <r>
    <x v="324"/>
    <n v="3.4296755954575699"/>
    <n v="4.26"/>
    <n v="7"/>
    <n v="0.25"/>
    <n v="5"/>
    <n v="3.3782565804573599"/>
    <n v="1"/>
    <n v="0"/>
    <x v="1"/>
    <n v="0.91475230136906349"/>
  </r>
  <r>
    <x v="325"/>
    <n v="3.4407863915877401"/>
    <n v="4.3149999999999995"/>
    <n v="1"/>
    <n v="0"/>
    <n v="1"/>
    <n v="0"/>
    <n v="0"/>
    <n v="3.3782565804573599"/>
    <x v="69"/>
    <n v="0.88174341954263991"/>
  </r>
  <r>
    <x v="326"/>
    <n v="3.3953206082541598"/>
    <n v="4.3149999999999995"/>
    <n v="2"/>
    <n v="0"/>
    <n v="2"/>
    <n v="0"/>
    <n v="0"/>
    <n v="0"/>
    <x v="1"/>
    <n v="0.88174341954263991"/>
  </r>
  <r>
    <x v="327"/>
    <n v="3.4061464314062202"/>
    <n v="4.3149999999999995"/>
    <n v="5"/>
    <n v="0.05"/>
    <n v="3"/>
    <n v="0.17030732157031103"/>
    <n v="0.05"/>
    <n v="0"/>
    <x v="1"/>
    <n v="0.88174341954263991"/>
  </r>
  <r>
    <x v="328"/>
    <n v="3.4285967572115399"/>
    <n v="4.3149999999999995"/>
    <n v="6"/>
    <n v="0.7"/>
    <n v="4"/>
    <n v="2.5703250516183886"/>
    <n v="0.75"/>
    <n v="0"/>
    <x v="1"/>
    <n v="0.88174341954263991"/>
  </r>
  <r>
    <x v="329"/>
    <n v="3.4095392657433901"/>
    <n v="4.3149999999999995"/>
    <n v="7"/>
    <n v="0.25"/>
    <n v="5"/>
    <n v="3.4227098680542363"/>
    <n v="1"/>
    <n v="0"/>
    <x v="1"/>
    <n v="0.88174341954263991"/>
  </r>
  <r>
    <x v="330"/>
    <n v="3.5328707550914098"/>
    <n v="4.3250000000000002"/>
    <n v="1"/>
    <n v="0"/>
    <n v="1"/>
    <n v="0"/>
    <n v="0"/>
    <n v="3.4227098680542363"/>
    <x v="70"/>
    <n v="0.89229013194576323"/>
  </r>
  <r>
    <x v="331"/>
    <n v="3.4035662511479701"/>
    <n v="4.3250000000000002"/>
    <n v="2"/>
    <n v="0"/>
    <n v="2"/>
    <n v="0"/>
    <n v="0"/>
    <n v="0"/>
    <x v="1"/>
    <n v="0.89229013194576323"/>
  </r>
  <r>
    <x v="332"/>
    <n v="3.4178117990662802"/>
    <n v="4.3250000000000002"/>
    <n v="5"/>
    <n v="0.05"/>
    <n v="3"/>
    <n v="0.17089058995331402"/>
    <n v="0.05"/>
    <n v="0"/>
    <x v="1"/>
    <n v="0.89229013194576323"/>
  </r>
  <r>
    <x v="333"/>
    <n v="3.44308693748463"/>
    <n v="4.3250000000000002"/>
    <n v="6"/>
    <n v="0.7"/>
    <n v="4"/>
    <n v="2.5810514461925549"/>
    <n v="0.75"/>
    <n v="0"/>
    <x v="1"/>
    <n v="0.89229013194576323"/>
  </r>
  <r>
    <x v="334"/>
    <n v="3.40952934683791"/>
    <n v="4.3250000000000002"/>
    <n v="7"/>
    <n v="0.25"/>
    <n v="5"/>
    <n v="3.4334337829020325"/>
    <n v="1"/>
    <n v="0"/>
    <x v="1"/>
    <n v="0.89229013194576323"/>
  </r>
  <r>
    <x v="335"/>
    <n v="3.3814879030485301"/>
    <n v="4.3250000000000002"/>
    <n v="1"/>
    <n v="0"/>
    <n v="1"/>
    <n v="0"/>
    <n v="0"/>
    <n v="3.4334337829020325"/>
    <x v="71"/>
    <n v="0.89156621709796768"/>
  </r>
  <r>
    <x v="336"/>
    <n v="3.3639509131930398"/>
    <n v="4.3250000000000002"/>
    <n v="2"/>
    <n v="0"/>
    <n v="2"/>
    <n v="0"/>
    <n v="0"/>
    <n v="0"/>
    <x v="1"/>
    <n v="0.89156621709796768"/>
  </r>
  <r>
    <x v="337"/>
    <n v="3.38388390000057"/>
    <n v="4.3250000000000002"/>
    <n v="5"/>
    <n v="0.05"/>
    <n v="3"/>
    <n v="0.16919419500002852"/>
    <n v="0.05"/>
    <n v="0"/>
    <x v="1"/>
    <n v="0.89156621709796768"/>
  </r>
  <r>
    <x v="338"/>
    <n v="3.48659769885389"/>
    <n v="4.3250000000000002"/>
    <n v="6"/>
    <n v="0.7"/>
    <n v="4"/>
    <n v="2.6098125841977513"/>
    <n v="0.75"/>
    <n v="0"/>
    <x v="1"/>
    <n v="0.89156621709796768"/>
  </r>
  <r>
    <x v="339"/>
    <n v="3.48408848788866"/>
    <n v="4.3250000000000002"/>
    <n v="7"/>
    <n v="0.25"/>
    <n v="5"/>
    <n v="3.4808347061699161"/>
    <n v="1"/>
    <n v="0"/>
    <x v="1"/>
    <n v="0.89156621709796768"/>
  </r>
  <r>
    <x v="340"/>
    <n v="3.5424603238556802"/>
    <n v="4.53"/>
    <n v="1"/>
    <n v="0"/>
    <n v="1"/>
    <n v="0"/>
    <n v="0"/>
    <n v="3.4808347061699161"/>
    <x v="72"/>
    <n v="0.8441652938300841"/>
  </r>
  <r>
    <x v="341"/>
    <n v="3.63422852757154"/>
    <n v="4.53"/>
    <n v="2"/>
    <n v="0"/>
    <n v="2"/>
    <n v="0"/>
    <n v="0"/>
    <n v="0"/>
    <x v="1"/>
    <n v="0.8441652938300841"/>
  </r>
  <r>
    <x v="342"/>
    <n v="3.71104784086622"/>
    <n v="4.53"/>
    <n v="5"/>
    <n v="0.05"/>
    <n v="3"/>
    <n v="0.185552392043311"/>
    <n v="0.05"/>
    <n v="0"/>
    <x v="1"/>
    <n v="0.8441652938300841"/>
  </r>
  <r>
    <x v="343"/>
    <n v="3.63068303363114"/>
    <n v="4.53"/>
    <n v="6"/>
    <n v="0.7"/>
    <n v="4"/>
    <n v="2.7270305155851089"/>
    <n v="0.75"/>
    <n v="0"/>
    <x v="1"/>
    <n v="0.8441652938300841"/>
  </r>
  <r>
    <x v="344"/>
    <n v="3.6746442970123199"/>
    <n v="4.53"/>
    <n v="7"/>
    <n v="0.25"/>
    <n v="5"/>
    <n v="3.6456915898381888"/>
    <n v="1"/>
    <n v="0"/>
    <x v="1"/>
    <n v="0.8441652938300841"/>
  </r>
  <r>
    <x v="345"/>
    <n v="3.7101937917241501"/>
    <n v="4.4349999999999996"/>
    <n v="1"/>
    <n v="0"/>
    <n v="1"/>
    <n v="0"/>
    <n v="0"/>
    <n v="3.6456915898381888"/>
    <x v="73"/>
    <n v="0.8843084101618115"/>
  </r>
  <r>
    <x v="346"/>
    <n v="3.6014591745782401"/>
    <n v="4.4349999999999996"/>
    <n v="2"/>
    <n v="0"/>
    <n v="2"/>
    <n v="0"/>
    <n v="0"/>
    <n v="0"/>
    <x v="1"/>
    <n v="0.8843084101618115"/>
  </r>
  <r>
    <x v="347"/>
    <n v="3.5649427405180001"/>
    <n v="4.4349999999999996"/>
    <n v="5"/>
    <n v="0.05"/>
    <n v="3"/>
    <n v="0.1782471370259"/>
    <n v="0.05"/>
    <n v="0"/>
    <x v="1"/>
    <n v="0.8843084101618115"/>
  </r>
  <r>
    <x v="348"/>
    <n v="3.4950120682199999"/>
    <n v="4.4349999999999996"/>
    <n v="6"/>
    <n v="0.7"/>
    <n v="4"/>
    <n v="2.6247555847798996"/>
    <n v="0.75"/>
    <n v="0"/>
    <x v="1"/>
    <n v="0.8843084101618115"/>
  </r>
  <r>
    <x v="349"/>
    <n v="3.5645215625566"/>
    <n v="4.4349999999999996"/>
    <n v="7"/>
    <n v="0.25"/>
    <n v="5"/>
    <n v="3.5158859754190495"/>
    <n v="1"/>
    <n v="0"/>
    <x v="1"/>
    <n v="0.8843084101618115"/>
  </r>
  <r>
    <x v="350"/>
    <n v="3.5163998212649701"/>
    <n v="4.4950000000000001"/>
    <n v="1"/>
    <n v="0"/>
    <n v="1"/>
    <n v="0"/>
    <n v="0"/>
    <n v="3.5158859754190495"/>
    <x v="74"/>
    <n v="0.91911402458095015"/>
  </r>
  <r>
    <x v="351"/>
    <n v="3.5181082868119602"/>
    <n v="4.4950000000000001"/>
    <n v="2"/>
    <n v="0"/>
    <n v="2"/>
    <n v="0"/>
    <n v="0"/>
    <n v="0"/>
    <x v="1"/>
    <n v="0.91911402458095015"/>
  </r>
  <r>
    <x v="352"/>
    <n v="3.6230343632850399"/>
    <n v="4.4950000000000001"/>
    <n v="6"/>
    <n v="0.7"/>
    <n v="3"/>
    <n v="2.5361240542995276"/>
    <n v="0.7"/>
    <n v="0"/>
    <x v="1"/>
    <n v="0.91911402458095015"/>
  </r>
  <r>
    <x v="353"/>
    <n v="3.6795741616596702"/>
    <n v="4.4950000000000001"/>
    <n v="7"/>
    <n v="0.25"/>
    <n v="4"/>
    <n v="3.4560175947144449"/>
    <n v="0.95"/>
    <n v="0"/>
    <x v="1"/>
    <n v="0.91911402458095015"/>
  </r>
  <r>
    <x v="354"/>
    <n v="3.7866951063074699"/>
    <n v="4.5200000000000005"/>
    <n v="1"/>
    <n v="0"/>
    <n v="1"/>
    <n v="0"/>
    <n v="0"/>
    <n v="3.6379132575941528"/>
    <x v="75"/>
    <n v="0.85708674240584726"/>
  </r>
  <r>
    <x v="355"/>
    <n v="3.7212376856688798"/>
    <n v="4.5200000000000005"/>
    <n v="2"/>
    <n v="0"/>
    <n v="2"/>
    <n v="0"/>
    <n v="0"/>
    <n v="0"/>
    <x v="1"/>
    <n v="0.85708674240584726"/>
  </r>
  <r>
    <x v="356"/>
    <n v="3.6494917316156599"/>
    <n v="4.5200000000000005"/>
    <n v="5"/>
    <n v="0.05"/>
    <n v="3"/>
    <n v="0.182474586580783"/>
    <n v="0.05"/>
    <n v="0"/>
    <x v="1"/>
    <n v="0.85708674240584726"/>
  </r>
  <r>
    <x v="357"/>
    <n v="3.70255706458429"/>
    <n v="4.5200000000000005"/>
    <n v="6"/>
    <n v="0.7"/>
    <n v="4"/>
    <n v="2.774264531789786"/>
    <n v="0.75"/>
    <n v="0"/>
    <x v="1"/>
    <n v="0.85708674240584726"/>
  </r>
  <r>
    <x v="358"/>
    <n v="3.66717920569566"/>
    <n v="4.5200000000000005"/>
    <n v="7"/>
    <n v="0.25"/>
    <n v="5"/>
    <n v="3.6910593332137012"/>
    <n v="1"/>
    <n v="0"/>
    <x v="1"/>
    <n v="0.85708674240584726"/>
  </r>
  <r>
    <x v="359"/>
    <n v="3.6662950351399499"/>
    <n v="4.4249999999999998"/>
    <n v="1"/>
    <n v="0"/>
    <n v="1"/>
    <n v="0"/>
    <n v="0"/>
    <n v="3.6910593332137012"/>
    <x v="76"/>
    <n v="0.8289406667862993"/>
  </r>
  <r>
    <x v="360"/>
    <n v="3.65073359446493"/>
    <n v="4.4249999999999998"/>
    <n v="2"/>
    <n v="0"/>
    <n v="2"/>
    <n v="0"/>
    <n v="0"/>
    <n v="0"/>
    <x v="1"/>
    <n v="0.8289406667862993"/>
  </r>
  <r>
    <x v="361"/>
    <n v="3.6050291044242799"/>
    <n v="4.4249999999999998"/>
    <n v="5"/>
    <n v="0.05"/>
    <n v="3"/>
    <n v="0.180251455221214"/>
    <n v="0.05"/>
    <n v="0"/>
    <x v="1"/>
    <n v="0.8289406667862993"/>
  </r>
  <r>
    <x v="362"/>
    <n v="3.5862960100393702"/>
    <n v="4.4249999999999998"/>
    <n v="6"/>
    <n v="0.7"/>
    <n v="4"/>
    <n v="2.6906586622487731"/>
    <n v="0.75"/>
    <n v="0"/>
    <x v="1"/>
    <n v="0.8289406667862993"/>
  </r>
  <r>
    <x v="363"/>
    <n v="3.4041075181539902"/>
    <n v="4.4249999999999998"/>
    <n v="7"/>
    <n v="0.25"/>
    <n v="5"/>
    <n v="3.5416855417872708"/>
    <n v="1"/>
    <n v="0"/>
    <x v="1"/>
    <n v="0.8289406667862993"/>
  </r>
  <r>
    <x v="364"/>
    <n v="3.4234814698257399"/>
    <n v="4.2450000000000001"/>
    <n v="1"/>
    <n v="0"/>
    <n v="1"/>
    <n v="0"/>
    <n v="0"/>
    <n v="3.5416855417872708"/>
    <x v="77"/>
    <n v="0.88331445821272903"/>
  </r>
  <r>
    <x v="365"/>
    <n v="3.43160773905766"/>
    <n v="4.2450000000000001"/>
    <n v="2"/>
    <n v="0"/>
    <n v="2"/>
    <n v="0"/>
    <n v="0"/>
    <n v="0"/>
    <x v="1"/>
    <n v="0.88331445821272903"/>
  </r>
  <r>
    <x v="366"/>
    <n v="3.4029034600998802"/>
    <n v="4.2450000000000001"/>
    <n v="5"/>
    <n v="0.05"/>
    <n v="3"/>
    <n v="0.17014517300499402"/>
    <n v="0.05"/>
    <n v="0"/>
    <x v="1"/>
    <n v="0.88331445821272903"/>
  </r>
  <r>
    <x v="367"/>
    <n v="3.34069195374131"/>
    <n v="4.2450000000000001"/>
    <n v="6"/>
    <n v="0.7"/>
    <n v="4"/>
    <n v="2.508629540623911"/>
    <n v="0.75"/>
    <n v="0"/>
    <x v="1"/>
    <n v="0.88331445821272903"/>
  </r>
  <r>
    <x v="368"/>
    <n v="3.2961562018547901"/>
    <n v="4.2450000000000001"/>
    <n v="7"/>
    <n v="0.25"/>
    <n v="5"/>
    <n v="3.3326685910876086"/>
    <n v="1"/>
    <n v="0"/>
    <x v="1"/>
    <n v="0.88331445821272903"/>
  </r>
  <r>
    <x v="369"/>
    <n v="3.3233487722912298"/>
    <n v="4.1449999999999996"/>
    <n v="1"/>
    <n v="0"/>
    <n v="1"/>
    <n v="0"/>
    <n v="0"/>
    <n v="3.3326685910876086"/>
    <x v="78"/>
    <n v="0.91233140891239151"/>
  </r>
  <r>
    <x v="370"/>
    <n v="3.2948871217977098"/>
    <n v="4.1449999999999996"/>
    <n v="2"/>
    <n v="0"/>
    <n v="2"/>
    <n v="0"/>
    <n v="0"/>
    <n v="0"/>
    <x v="1"/>
    <n v="0.91233140891239151"/>
  </r>
  <r>
    <x v="371"/>
    <n v="3.2952489842634298"/>
    <n v="4.1449999999999996"/>
    <n v="5"/>
    <n v="0.05"/>
    <n v="3"/>
    <n v="0.16476244921317151"/>
    <n v="0.05"/>
    <n v="0"/>
    <x v="1"/>
    <n v="0.91233140891239151"/>
  </r>
  <r>
    <x v="372"/>
    <n v="3.31544213268957"/>
    <n v="4.1449999999999996"/>
    <n v="6"/>
    <n v="0.7"/>
    <n v="4"/>
    <n v="2.4855719420958704"/>
    <n v="0.75"/>
    <n v="0"/>
    <x v="1"/>
    <n v="0.91233140891239151"/>
  </r>
  <r>
    <x v="373"/>
    <n v="3.3078730296866699"/>
    <n v="4.1449999999999996"/>
    <n v="7"/>
    <n v="0.25"/>
    <n v="5"/>
    <n v="3.3125401995175379"/>
    <n v="1"/>
    <n v="0"/>
    <x v="1"/>
    <n v="0.91233140891239151"/>
  </r>
  <r>
    <x v="374"/>
    <n v="3.2850779326666601"/>
    <n v="4.1550000000000002"/>
    <n v="1"/>
    <n v="0"/>
    <n v="1"/>
    <n v="0"/>
    <n v="0"/>
    <n v="3.3125401995175379"/>
    <x v="79"/>
    <n v="0.83245980048246171"/>
  </r>
  <r>
    <x v="375"/>
    <n v="3.3143904621736602"/>
    <n v="4.1550000000000002"/>
    <n v="2"/>
    <n v="0"/>
    <n v="2"/>
    <n v="0"/>
    <n v="0"/>
    <n v="0"/>
    <x v="1"/>
    <n v="0.83245980048246171"/>
  </r>
  <r>
    <x v="376"/>
    <n v="3.3152163432269299"/>
    <n v="4.1550000000000002"/>
    <n v="5"/>
    <n v="0.05"/>
    <n v="3"/>
    <n v="0.1657608171613465"/>
    <n v="0.05"/>
    <n v="0"/>
    <x v="1"/>
    <n v="0.83245980048246171"/>
  </r>
  <r>
    <x v="377"/>
    <n v="3.32900541071837"/>
    <n v="4.1550000000000002"/>
    <n v="6"/>
    <n v="0.7"/>
    <n v="4"/>
    <n v="2.4960646046642054"/>
    <n v="0.75"/>
    <n v="0"/>
    <x v="1"/>
    <n v="0.83245980048246171"/>
  </r>
  <r>
    <x v="378"/>
    <n v="3.3312145702916398"/>
    <n v="4.1550000000000002"/>
    <n v="7"/>
    <n v="0.25"/>
    <n v="5"/>
    <n v="3.3288682472371152"/>
    <n v="1"/>
    <n v="0"/>
    <x v="1"/>
    <n v="0.83245980048246171"/>
  </r>
  <r>
    <x v="379"/>
    <n v="3.3459270723169801"/>
    <n v="4.2050000000000001"/>
    <n v="1"/>
    <n v="0"/>
    <n v="1"/>
    <n v="0"/>
    <n v="0"/>
    <n v="3.3288682472371152"/>
    <x v="80"/>
    <n v="0.82613175276288509"/>
  </r>
  <r>
    <x v="380"/>
    <n v="3.3488826952464001"/>
    <n v="4.2050000000000001"/>
    <n v="2"/>
    <n v="0"/>
    <n v="2"/>
    <n v="0"/>
    <n v="0"/>
    <n v="0"/>
    <x v="1"/>
    <n v="0.82613175276288509"/>
  </r>
  <r>
    <x v="381"/>
    <n v="3.3897329963191098"/>
    <n v="4.2050000000000001"/>
    <n v="6"/>
    <n v="0.7"/>
    <n v="3"/>
    <n v="2.3728130974233768"/>
    <n v="0.7"/>
    <n v="0"/>
    <x v="1"/>
    <n v="0.82613175276288509"/>
  </r>
  <r>
    <x v="382"/>
    <n v="3.34533036324394"/>
    <n v="4.2050000000000001"/>
    <n v="7"/>
    <n v="0.25"/>
    <n v="4"/>
    <n v="3.2091456882343619"/>
    <n v="0.95"/>
    <n v="0"/>
    <x v="1"/>
    <n v="0.82613175276288509"/>
  </r>
  <r>
    <x v="383"/>
    <n v="3.2546149111271299"/>
    <n v="4.08"/>
    <n v="1"/>
    <n v="0"/>
    <n v="1"/>
    <n v="0"/>
    <n v="0"/>
    <n v="3.3780480928782759"/>
    <x v="81"/>
    <n v="0.82695190712172417"/>
  </r>
  <r>
    <x v="384"/>
    <n v="3.2585675716606302"/>
    <n v="4.08"/>
    <n v="2"/>
    <n v="0"/>
    <n v="2"/>
    <n v="0"/>
    <n v="0"/>
    <n v="0"/>
    <x v="1"/>
    <n v="0.82695190712172417"/>
  </r>
  <r>
    <x v="385"/>
    <n v="3.2809533512237801"/>
    <n v="4.08"/>
    <n v="5"/>
    <n v="0.05"/>
    <n v="3"/>
    <n v="0.16404766756118902"/>
    <n v="0.05"/>
    <n v="0"/>
    <x v="1"/>
    <n v="0.82695190712172417"/>
  </r>
  <r>
    <x v="386"/>
    <n v="3.18365964576661"/>
    <n v="4.08"/>
    <n v="6"/>
    <n v="0.7"/>
    <n v="4"/>
    <n v="2.3926094195978158"/>
    <n v="0.75"/>
    <n v="0"/>
    <x v="1"/>
    <n v="0.82695190712172417"/>
  </r>
  <r>
    <x v="387"/>
    <n v="3.1541714940092298"/>
    <n v="4.08"/>
    <n v="7"/>
    <n v="0.25"/>
    <n v="5"/>
    <n v="3.1811522931001233"/>
    <n v="1"/>
    <n v="0"/>
    <x v="1"/>
    <n v="0.82695190712172417"/>
  </r>
  <r>
    <x v="388"/>
    <n v="3.1772287212477002"/>
    <n v="4.0249999999999995"/>
    <n v="1"/>
    <n v="0"/>
    <n v="1"/>
    <n v="0"/>
    <n v="0"/>
    <n v="3.1811522931001233"/>
    <x v="82"/>
    <n v="0.89884770689987681"/>
  </r>
  <r>
    <x v="389"/>
    <n v="3.1521212861919801"/>
    <n v="4.0249999999999995"/>
    <n v="2"/>
    <n v="0"/>
    <n v="2"/>
    <n v="0"/>
    <n v="0"/>
    <n v="0"/>
    <x v="1"/>
    <n v="0.89884770689987681"/>
  </r>
  <r>
    <x v="390"/>
    <n v="3.1593236616906499"/>
    <n v="4.0249999999999995"/>
    <n v="5"/>
    <n v="0.05"/>
    <n v="3"/>
    <n v="0.1579661830845325"/>
    <n v="0.05"/>
    <n v="0"/>
    <x v="1"/>
    <n v="0.89884770689987681"/>
  </r>
  <r>
    <x v="391"/>
    <n v="3.1543237441163701"/>
    <n v="4.0249999999999995"/>
    <n v="6"/>
    <n v="0.7"/>
    <n v="4"/>
    <n v="2.3659928039659914"/>
    <n v="0.75"/>
    <n v="0"/>
    <x v="1"/>
    <n v="0.89884770689987681"/>
  </r>
  <r>
    <x v="392"/>
    <n v="3.1611386444386498"/>
    <n v="4.0249999999999995"/>
    <n v="7"/>
    <n v="0.25"/>
    <n v="5"/>
    <n v="3.1562774650756538"/>
    <n v="1"/>
    <n v="0"/>
    <x v="1"/>
    <n v="0.89884770689987681"/>
  </r>
  <r>
    <x v="393"/>
    <n v="3.1803565883984102"/>
    <n v="4.1100000000000003"/>
    <n v="1"/>
    <n v="0"/>
    <n v="1"/>
    <n v="0"/>
    <n v="0"/>
    <n v="3.1562774650756538"/>
    <x v="83"/>
    <n v="0.8687225349243457"/>
  </r>
  <r>
    <x v="394"/>
    <n v="3.25928309164834"/>
    <n v="4.1100000000000003"/>
    <n v="2"/>
    <n v="0"/>
    <n v="2"/>
    <n v="0"/>
    <n v="0"/>
    <n v="0"/>
    <x v="1"/>
    <n v="0.8687225349243457"/>
  </r>
  <r>
    <x v="395"/>
    <n v="3.2387584524434998"/>
    <n v="4.1100000000000003"/>
    <n v="5"/>
    <n v="0.05"/>
    <n v="3"/>
    <n v="0.16193792262217499"/>
    <n v="0.05"/>
    <n v="0"/>
    <x v="1"/>
    <n v="0.8687225349243457"/>
  </r>
  <r>
    <x v="396"/>
    <n v="3.31200880777374"/>
    <n v="4.1100000000000003"/>
    <n v="6"/>
    <n v="0.7"/>
    <n v="4"/>
    <n v="2.4803440880637928"/>
    <n v="0.75"/>
    <n v="0"/>
    <x v="1"/>
    <n v="0.8687225349243457"/>
  </r>
  <r>
    <x v="397"/>
    <n v="3.2997347907142101"/>
    <n v="4.1100000000000003"/>
    <n v="7"/>
    <n v="0.25"/>
    <n v="5"/>
    <n v="3.3052777857423452"/>
    <n v="1"/>
    <n v="0"/>
    <x v="1"/>
    <n v="0.8687225349243457"/>
  </r>
  <r>
    <x v="398"/>
    <n v="3.2915305734964"/>
    <n v="4.2749999999999995"/>
    <n v="1"/>
    <n v="0"/>
    <n v="1"/>
    <n v="0"/>
    <n v="0"/>
    <n v="3.3052777857423452"/>
    <x v="84"/>
    <n v="0.80472221425765511"/>
  </r>
  <r>
    <x v="399"/>
    <n v="3.4185329478981301"/>
    <n v="4.2749999999999995"/>
    <n v="2"/>
    <n v="0"/>
    <n v="2"/>
    <n v="0"/>
    <n v="0"/>
    <n v="0"/>
    <x v="1"/>
    <n v="0.80472221425765511"/>
  </r>
  <r>
    <x v="400"/>
    <n v="3.42394236396553"/>
    <n v="4.2749999999999995"/>
    <n v="6"/>
    <n v="0.7"/>
    <n v="3"/>
    <n v="2.3967596547758707"/>
    <n v="0.7"/>
    <n v="0"/>
    <x v="1"/>
    <n v="0.80472221425765511"/>
  </r>
  <r>
    <x v="401"/>
    <n v="3.3863287913399098"/>
    <n v="4.2749999999999995"/>
    <n v="7"/>
    <n v="0.25"/>
    <n v="4"/>
    <n v="3.2433418526108482"/>
    <n v="0.95"/>
    <n v="0"/>
    <x v="1"/>
    <n v="0.80472221425765511"/>
  </r>
  <r>
    <x v="402"/>
    <n v="3.33440232330382"/>
    <n v="4.1449999999999996"/>
    <n v="1"/>
    <n v="0"/>
    <n v="1"/>
    <n v="0"/>
    <n v="0"/>
    <n v="3.4140440553798403"/>
    <x v="85"/>
    <n v="0.86095594462015912"/>
  </r>
  <r>
    <x v="403"/>
    <n v="3.3274975263328299"/>
    <n v="4.1449999999999996"/>
    <n v="2"/>
    <n v="0"/>
    <n v="2"/>
    <n v="0"/>
    <n v="0"/>
    <n v="0"/>
    <x v="1"/>
    <n v="0.86095594462015912"/>
  </r>
  <r>
    <x v="404"/>
    <n v="3.2892170945558501"/>
    <n v="4.1449999999999996"/>
    <n v="5"/>
    <n v="0.05"/>
    <n v="3"/>
    <n v="0.16446085472779251"/>
    <n v="0.05"/>
    <n v="0"/>
    <x v="1"/>
    <n v="0.86095594462015912"/>
  </r>
  <r>
    <x v="405"/>
    <n v="3.3249162804545902"/>
    <n v="4.1449999999999996"/>
    <n v="6"/>
    <n v="0.7"/>
    <n v="4"/>
    <n v="2.4919022510460054"/>
    <n v="0.75"/>
    <n v="0"/>
    <x v="1"/>
    <n v="0.86095594462015912"/>
  </r>
  <r>
    <x v="406"/>
    <n v="3.3953888640544201"/>
    <n v="4.1449999999999996"/>
    <n v="7"/>
    <n v="0.25"/>
    <n v="5"/>
    <n v="3.3407494670596103"/>
    <n v="1"/>
    <n v="0"/>
    <x v="1"/>
    <n v="0.86095594462015912"/>
  </r>
  <r>
    <x v="406"/>
    <n v="3.3953888640544201"/>
    <n v="4.2149999999999999"/>
    <n v="7"/>
    <n v="0.25"/>
    <n v="1"/>
    <n v="0.84884721601360502"/>
    <n v="0.25"/>
    <n v="3.3407494670596103"/>
    <x v="86"/>
    <n v="0.80425053294038928"/>
  </r>
  <r>
    <x v="407"/>
    <n v="3.3902241574747198"/>
    <n v="4.2149999999999999"/>
    <n v="1"/>
    <n v="0"/>
    <n v="1"/>
    <n v="0"/>
    <n v="0"/>
    <n v="0"/>
    <x v="1"/>
    <n v="0.80425053294038928"/>
  </r>
  <r>
    <x v="408"/>
    <n v="3.3765717476056198"/>
    <n v="4.2149999999999999"/>
    <n v="2"/>
    <n v="0"/>
    <n v="2"/>
    <n v="0"/>
    <n v="0"/>
    <n v="0"/>
    <x v="1"/>
    <n v="0.80425053294038928"/>
  </r>
  <r>
    <x v="409"/>
    <n v="3.3786024673164099"/>
    <n v="4.2149999999999999"/>
    <n v="5"/>
    <n v="0.05"/>
    <n v="3"/>
    <n v="0.1689301233658205"/>
    <n v="0.05"/>
    <n v="0"/>
    <x v="1"/>
    <n v="0.80425053294038928"/>
  </r>
  <r>
    <x v="410"/>
    <n v="3.36567559686896"/>
    <n v="4.2149999999999999"/>
    <n v="6"/>
    <n v="0.7"/>
    <n v="4"/>
    <n v="2.5249030411740927"/>
    <n v="0.75"/>
    <n v="0"/>
    <x v="1"/>
    <n v="0.80425053294038928"/>
  </r>
  <r>
    <x v="411"/>
    <n v="3.4152065149267101"/>
    <n v="4.335"/>
    <n v="2"/>
    <n v="0"/>
    <n v="1"/>
    <n v="0"/>
    <n v="0"/>
    <n v="3.3665373882321235"/>
    <x v="87"/>
    <n v="0.84846261176787641"/>
  </r>
  <r>
    <x v="412"/>
    <n v="3.48278493540972"/>
    <n v="4.335"/>
    <n v="5"/>
    <n v="0.05"/>
    <n v="2"/>
    <n v="0.17413924677048601"/>
    <n v="0.05"/>
    <n v="0"/>
    <x v="1"/>
    <n v="0.84846261176787641"/>
  </r>
  <r>
    <x v="413"/>
    <n v="3.4820134464127701"/>
    <n v="4.335"/>
    <n v="6"/>
    <n v="0.7"/>
    <n v="3"/>
    <n v="2.6115486592594248"/>
    <n v="0.75"/>
    <n v="0"/>
    <x v="1"/>
    <n v="0.84846261176787641"/>
  </r>
  <r>
    <x v="414"/>
    <n v="3.53796119815684"/>
    <n v="4.335"/>
    <n v="7"/>
    <n v="0.25"/>
    <n v="4"/>
    <n v="3.4960389587986347"/>
    <n v="1"/>
    <n v="0"/>
    <x v="1"/>
    <n v="0.84846261176787641"/>
  </r>
  <r>
    <x v="415"/>
    <n v="3.5521293611692002"/>
    <n v="4.3449999999999998"/>
    <n v="1"/>
    <n v="0"/>
    <n v="1"/>
    <n v="0"/>
    <n v="0"/>
    <n v="3.4960389587986347"/>
    <x v="88"/>
    <n v="0.83896104120136528"/>
  </r>
  <r>
    <x v="416"/>
    <n v="3.5357721713068302"/>
    <n v="4.3449999999999998"/>
    <n v="2"/>
    <n v="0"/>
    <n v="2"/>
    <n v="0"/>
    <n v="0"/>
    <n v="0"/>
    <x v="1"/>
    <n v="0.83896104120136528"/>
  </r>
  <r>
    <x v="417"/>
    <n v="3.5044888951704301"/>
    <n v="4.3449999999999998"/>
    <n v="5"/>
    <n v="0.05"/>
    <n v="3"/>
    <n v="0.1752244447585215"/>
    <n v="0.05"/>
    <n v="0"/>
    <x v="1"/>
    <n v="0.83896104120136528"/>
  </r>
  <r>
    <x v="418"/>
    <n v="3.46476327795386"/>
    <n v="4.3449999999999998"/>
    <n v="6"/>
    <n v="0.7"/>
    <n v="4"/>
    <n v="2.6005587393262233"/>
    <n v="0.75"/>
    <n v="0"/>
    <x v="1"/>
    <n v="0.83896104120136528"/>
  </r>
  <r>
    <x v="419"/>
    <n v="3.5156873221910101"/>
    <n v="4.3449999999999998"/>
    <n v="7"/>
    <n v="0.25"/>
    <n v="5"/>
    <n v="3.4794805698739757"/>
    <n v="1"/>
    <n v="0"/>
    <x v="1"/>
    <n v="0.83896104120136528"/>
  </r>
  <r>
    <x v="420"/>
    <n v="3.5427546786903199"/>
    <n v="4.3949999999999996"/>
    <n v="1"/>
    <n v="0"/>
    <n v="1"/>
    <n v="0"/>
    <n v="0"/>
    <n v="3.4794805698739757"/>
    <x v="89"/>
    <n v="0.86551943012602406"/>
  </r>
  <r>
    <x v="421"/>
    <n v="3.5290996894050202"/>
    <n v="4.3949999999999996"/>
    <n v="2"/>
    <n v="0"/>
    <n v="2"/>
    <n v="0"/>
    <n v="0"/>
    <n v="0"/>
    <x v="1"/>
    <n v="0.86551943012602406"/>
  </r>
  <r>
    <x v="422"/>
    <n v="3.5307245323139602"/>
    <n v="4.3949999999999996"/>
    <n v="5"/>
    <n v="0.05"/>
    <n v="3"/>
    <n v="0.17653622661569801"/>
    <n v="0.05"/>
    <n v="0"/>
    <x v="1"/>
    <n v="0.86551943012602406"/>
  </r>
  <r>
    <x v="423"/>
    <n v="3.4998898139893"/>
    <n v="4.3949999999999996"/>
    <n v="6"/>
    <n v="0.7"/>
    <n v="4"/>
    <n v="2.6264590964082082"/>
    <n v="0.75"/>
    <n v="0"/>
    <x v="1"/>
    <n v="0.86551943012602406"/>
  </r>
  <r>
    <x v="424"/>
    <n v="3.5422755368494498"/>
    <n v="4.3949999999999996"/>
    <n v="7"/>
    <n v="0.25"/>
    <n v="5"/>
    <n v="3.5120279806205708"/>
    <n v="1"/>
    <n v="0"/>
    <x v="1"/>
    <n v="0.86551943012602406"/>
  </r>
  <r>
    <x v="425"/>
    <n v="3.5894558660793101"/>
    <n v="4.4050000000000002"/>
    <n v="1"/>
    <n v="0"/>
    <n v="1"/>
    <n v="0"/>
    <n v="0"/>
    <n v="3.5120279806205708"/>
    <x v="90"/>
    <n v="0.88297201937942882"/>
  </r>
  <r>
    <x v="426"/>
    <n v="3.5207189291483099"/>
    <n v="4.4050000000000002"/>
    <n v="2"/>
    <n v="0"/>
    <n v="2"/>
    <n v="0"/>
    <n v="0"/>
    <n v="0"/>
    <x v="1"/>
    <n v="0.88297201937942882"/>
  </r>
  <r>
    <x v="427"/>
    <n v="3.5422520494722902"/>
    <n v="4.4050000000000002"/>
    <n v="5"/>
    <n v="0.05"/>
    <n v="3"/>
    <n v="0.17711260247361452"/>
    <n v="0.05"/>
    <n v="0"/>
    <x v="1"/>
    <n v="0.88297201937942882"/>
  </r>
  <r>
    <x v="428"/>
    <n v="3.6100621369380201"/>
    <n v="4.4050000000000002"/>
    <n v="6"/>
    <n v="0.7"/>
    <n v="4"/>
    <n v="2.7041560983302286"/>
    <n v="0.75"/>
    <n v="0"/>
    <x v="1"/>
    <n v="0.88297201937942882"/>
  </r>
  <r>
    <x v="429"/>
    <n v="3.6110841836329799"/>
    <n v="4.4800000000000004"/>
    <n v="1"/>
    <n v="0"/>
    <n v="1"/>
    <n v="0"/>
    <n v="0"/>
    <n v="3.605541464440305"/>
    <x v="91"/>
    <n v="0.79945853555969526"/>
  </r>
  <r>
    <x v="430"/>
    <n v="3.60938046615082"/>
    <n v="4.4800000000000004"/>
    <n v="2"/>
    <n v="0"/>
    <n v="2"/>
    <n v="0"/>
    <n v="0"/>
    <n v="0"/>
    <x v="1"/>
    <n v="0.79945853555969526"/>
  </r>
  <r>
    <x v="431"/>
    <n v="3.5746743392906399"/>
    <n v="4.4800000000000004"/>
    <n v="5"/>
    <n v="0.05"/>
    <n v="3"/>
    <n v="0.178733716964532"/>
    <n v="0.05"/>
    <n v="0"/>
    <x v="1"/>
    <n v="0.79945853555969526"/>
  </r>
  <r>
    <x v="432"/>
    <n v="3.5930254960618"/>
    <n v="4.4800000000000004"/>
    <n v="6"/>
    <n v="0.7"/>
    <n v="4"/>
    <n v="2.693851564207792"/>
    <n v="0.75"/>
    <n v="0"/>
    <x v="1"/>
    <n v="0.79945853555969526"/>
  </r>
  <r>
    <x v="433"/>
    <n v="3.5996964231875999"/>
    <n v="4.4349999999999996"/>
    <n v="1"/>
    <n v="0"/>
    <n v="1"/>
    <n v="0"/>
    <n v="0"/>
    <n v="3.5918020856103894"/>
    <x v="92"/>
    <n v="0.88819791438961104"/>
  </r>
  <r>
    <x v="434"/>
    <n v="3.6032550852643102"/>
    <n v="4.4349999999999996"/>
    <n v="2"/>
    <n v="0"/>
    <n v="2"/>
    <n v="0"/>
    <n v="0"/>
    <n v="0"/>
    <x v="1"/>
    <n v="0.88819791438961104"/>
  </r>
  <r>
    <x v="435"/>
    <n v="3.5763485946615199"/>
    <n v="4.4349999999999996"/>
    <n v="5"/>
    <n v="0.05"/>
    <n v="3"/>
    <n v="0.17881742973307602"/>
    <n v="0.05"/>
    <n v="0"/>
    <x v="1"/>
    <n v="0.88819791438961104"/>
  </r>
  <r>
    <x v="436"/>
    <n v="3.5428500405358099"/>
    <n v="4.4349999999999996"/>
    <n v="6"/>
    <n v="0.7"/>
    <n v="4"/>
    <n v="2.6588124581081427"/>
    <n v="0.75"/>
    <n v="0"/>
    <x v="1"/>
    <n v="0.88819791438961104"/>
  </r>
  <r>
    <x v="437"/>
    <n v="3.5963712535882499"/>
    <n v="4.4349999999999996"/>
    <n v="7"/>
    <n v="0.25"/>
    <n v="5"/>
    <n v="3.5579052715052053"/>
    <n v="1"/>
    <n v="0"/>
    <x v="1"/>
    <n v="0.88819791438961104"/>
  </r>
  <r>
    <x v="438"/>
    <n v="3.5749416796778899"/>
    <n v="4.335"/>
    <n v="1"/>
    <n v="0"/>
    <n v="1"/>
    <n v="0"/>
    <n v="0"/>
    <n v="3.5579052715052053"/>
    <x v="93"/>
    <n v="0.87709472849479431"/>
  </r>
  <r>
    <x v="439"/>
    <n v="3.4718387266108799"/>
    <n v="4.335"/>
    <n v="2"/>
    <n v="0"/>
    <n v="2"/>
    <n v="0"/>
    <n v="0"/>
    <n v="0"/>
    <x v="1"/>
    <n v="0.87709472849479431"/>
  </r>
  <r>
    <x v="440"/>
    <n v="3.4264575978101499"/>
    <n v="4.335"/>
    <n v="5"/>
    <n v="0.05"/>
    <n v="3"/>
    <n v="0.17132287989050751"/>
    <n v="0.05"/>
    <n v="0"/>
    <x v="1"/>
    <n v="0.87709472849479431"/>
  </r>
  <r>
    <x v="441"/>
    <n v="3.4834111891672799"/>
    <n v="4.335"/>
    <n v="6"/>
    <n v="0.7"/>
    <n v="4"/>
    <n v="2.6097107123076033"/>
    <n v="0.75"/>
    <n v="0"/>
    <x v="1"/>
    <n v="0.87709472849479431"/>
  </r>
  <r>
    <x v="442"/>
    <n v="3.4947799465752998"/>
    <n v="4.335"/>
    <n v="7"/>
    <n v="0.25"/>
    <n v="5"/>
    <n v="3.4834056989514282"/>
    <n v="1"/>
    <n v="0"/>
    <x v="1"/>
    <n v="0.87709472849479431"/>
  </r>
  <r>
    <x v="443"/>
    <n v="3.4570560243786002"/>
    <n v="4.3149999999999995"/>
    <n v="1"/>
    <n v="0"/>
    <n v="1"/>
    <n v="0"/>
    <n v="0"/>
    <n v="3.4834056989514282"/>
    <x v="94"/>
    <n v="0.85159430104857181"/>
  </r>
  <r>
    <x v="444"/>
    <n v="3.4370844050238198"/>
    <n v="4.3149999999999995"/>
    <n v="2"/>
    <n v="0"/>
    <n v="2"/>
    <n v="0"/>
    <n v="0"/>
    <n v="0"/>
    <x v="1"/>
    <n v="0.85159430104857181"/>
  </r>
  <r>
    <x v="445"/>
    <n v="3.4306167460721202"/>
    <n v="4.3149999999999995"/>
    <n v="6"/>
    <n v="0.7"/>
    <n v="3"/>
    <n v="2.401431722250484"/>
    <n v="0.7"/>
    <n v="0"/>
    <x v="1"/>
    <n v="0.85159430104857181"/>
  </r>
  <r>
    <x v="446"/>
    <n v="3.4813003413665098"/>
    <n v="4.3149999999999995"/>
    <n v="7"/>
    <n v="0.25"/>
    <n v="4"/>
    <n v="3.2717568075921113"/>
    <n v="0.95"/>
    <n v="0"/>
    <x v="1"/>
    <n v="0.85159430104857181"/>
  </r>
  <r>
    <x v="447"/>
    <n v="3.42598487814407"/>
    <n v="4.2450000000000001"/>
    <n v="1"/>
    <n v="0"/>
    <n v="1"/>
    <n v="0"/>
    <n v="0"/>
    <n v="3.4439545343074855"/>
    <x v="95"/>
    <n v="0.87104546569251395"/>
  </r>
  <r>
    <x v="448"/>
    <n v="3.3821795348389898"/>
    <n v="4.2450000000000001"/>
    <n v="2"/>
    <n v="0"/>
    <n v="2"/>
    <n v="0"/>
    <n v="0"/>
    <n v="0"/>
    <x v="1"/>
    <n v="0.87104546569251395"/>
  </r>
  <r>
    <x v="449"/>
    <n v="3.4248929817112499"/>
    <n v="4.2450000000000001"/>
    <n v="5"/>
    <n v="0.05"/>
    <n v="3"/>
    <n v="0.1712446490855625"/>
    <n v="0.05"/>
    <n v="0"/>
    <x v="1"/>
    <n v="0.87104546569251395"/>
  </r>
  <r>
    <x v="450"/>
    <n v="3.4146699129436402"/>
    <n v="4.2450000000000001"/>
    <n v="6"/>
    <n v="0.7"/>
    <n v="4"/>
    <n v="2.5615135881461102"/>
    <n v="0.75"/>
    <n v="0"/>
    <x v="1"/>
    <n v="0.87104546569251395"/>
  </r>
  <r>
    <x v="451"/>
    <n v="3.3611475085431901"/>
    <n v="4.2450000000000001"/>
    <n v="7"/>
    <n v="0.25"/>
    <n v="5"/>
    <n v="3.4018004652819078"/>
    <n v="1"/>
    <n v="0"/>
    <x v="1"/>
    <n v="0.87104546569251395"/>
  </r>
  <r>
    <x v="452"/>
    <n v="3.3710250871978902"/>
    <n v="4.1550000000000002"/>
    <n v="1"/>
    <n v="0"/>
    <n v="1"/>
    <n v="0"/>
    <n v="0"/>
    <n v="3.4018004652819078"/>
    <x v="96"/>
    <n v="0.84319953471809228"/>
  </r>
  <r>
    <x v="453"/>
    <n v="3.3406752567006799"/>
    <n v="4.1550000000000002"/>
    <n v="2"/>
    <n v="0"/>
    <n v="2"/>
    <n v="0"/>
    <n v="0"/>
    <n v="0"/>
    <x v="1"/>
    <n v="0.84319953471809228"/>
  </r>
  <r>
    <x v="454"/>
    <n v="3.2710992042590501"/>
    <n v="4.1550000000000002"/>
    <n v="5"/>
    <n v="0.05"/>
    <n v="3"/>
    <n v="0.16355496021295252"/>
    <n v="0.05"/>
    <n v="0"/>
    <x v="1"/>
    <n v="0.84319953471809228"/>
  </r>
  <r>
    <x v="455"/>
    <n v="3.3111616483337998"/>
    <n v="4.1550000000000002"/>
    <n v="6"/>
    <n v="0.7"/>
    <n v="4"/>
    <n v="2.4813681140466124"/>
    <n v="0.75"/>
    <n v="0"/>
    <x v="1"/>
    <n v="0.84319953471809228"/>
  </r>
  <r>
    <x v="456"/>
    <n v="3.3584090078904199"/>
    <n v="4.1550000000000002"/>
    <n v="7"/>
    <n v="0.25"/>
    <n v="5"/>
    <n v="3.3209703660192176"/>
    <n v="1"/>
    <n v="0"/>
    <x v="1"/>
    <n v="0.84319953471809228"/>
  </r>
  <r>
    <x v="457"/>
    <n v="3.3799296471468399"/>
    <n v="4.2050000000000001"/>
    <n v="1"/>
    <n v="0"/>
    <n v="1"/>
    <n v="0"/>
    <n v="0"/>
    <n v="3.3209703660192176"/>
    <x v="97"/>
    <n v="0.83402963398078267"/>
  </r>
  <r>
    <x v="458"/>
    <n v="3.34300170180666"/>
    <n v="4.2050000000000001"/>
    <n v="2"/>
    <n v="0"/>
    <n v="2"/>
    <n v="0"/>
    <n v="0"/>
    <n v="0"/>
    <x v="1"/>
    <n v="0.83402963398078267"/>
  </r>
  <r>
    <x v="459"/>
    <n v="3.34761054294983"/>
    <n v="4.2050000000000001"/>
    <n v="5"/>
    <n v="0.05"/>
    <n v="3"/>
    <n v="0.16738052714749152"/>
    <n v="0.05"/>
    <n v="0"/>
    <x v="1"/>
    <n v="0.83402963398078267"/>
  </r>
  <r>
    <x v="460"/>
    <n v="3.3874003692749199"/>
    <n v="4.2050000000000001"/>
    <n v="6"/>
    <n v="0.7"/>
    <n v="4"/>
    <n v="2.5385607856399353"/>
    <n v="0.75"/>
    <n v="0"/>
    <x v="1"/>
    <n v="0.83402963398078267"/>
  </r>
  <r>
    <x v="461"/>
    <n v="3.4367814236357002"/>
    <n v="4.2050000000000001"/>
    <n v="7"/>
    <n v="0.25"/>
    <n v="5"/>
    <n v="3.3977561415488604"/>
    <n v="1"/>
    <n v="0"/>
    <x v="1"/>
    <n v="0.83402963398078267"/>
  </r>
  <r>
    <x v="462"/>
    <n v="3.3963820586764299"/>
    <n v="4.2549999999999999"/>
    <n v="1"/>
    <n v="0"/>
    <n v="1"/>
    <n v="0"/>
    <n v="0"/>
    <n v="3.3977561415488604"/>
    <x v="98"/>
    <n v="0.80724385845113966"/>
  </r>
  <r>
    <x v="463"/>
    <n v="3.42404687499962"/>
    <n v="4.2549999999999999"/>
    <n v="2"/>
    <n v="0"/>
    <n v="2"/>
    <n v="0"/>
    <n v="0"/>
    <n v="0"/>
    <x v="1"/>
    <n v="0.80724385845113966"/>
  </r>
  <r>
    <x v="464"/>
    <n v="3.4022510541238402"/>
    <n v="4.2549999999999999"/>
    <n v="6"/>
    <n v="0.7"/>
    <n v="3"/>
    <n v="2.381575737886688"/>
    <n v="0.7"/>
    <n v="0"/>
    <x v="1"/>
    <n v="0.80724385845113966"/>
  </r>
  <r>
    <x v="465"/>
    <n v="3.4208462339079002"/>
    <n v="4.2549999999999999"/>
    <n v="7"/>
    <n v="0.25"/>
    <n v="4"/>
    <n v="3.236787296363663"/>
    <n v="0.95"/>
    <n v="0"/>
    <x v="1"/>
    <n v="0.80724385845113966"/>
  </r>
  <r>
    <x v="466"/>
    <n v="3.4409874974018302"/>
    <n v="4.2949999999999999"/>
    <n v="1"/>
    <n v="0"/>
    <n v="1"/>
    <n v="0"/>
    <n v="0"/>
    <n v="3.4071445224880663"/>
    <x v="99"/>
    <n v="0.84785547751193358"/>
  </r>
  <r>
    <x v="467"/>
    <n v="3.4238152467223899"/>
    <n v="4.2949999999999999"/>
    <n v="2"/>
    <n v="0"/>
    <n v="2"/>
    <n v="0"/>
    <n v="0"/>
    <n v="0"/>
    <x v="1"/>
    <n v="0.84785547751193358"/>
  </r>
  <r>
    <x v="468"/>
    <n v="3.4298763218774999"/>
    <n v="4.2949999999999999"/>
    <n v="5"/>
    <n v="0.05"/>
    <n v="3"/>
    <n v="0.17149381609387501"/>
    <n v="0.05"/>
    <n v="0"/>
    <x v="1"/>
    <n v="0.84785547751193358"/>
  </r>
  <r>
    <x v="469"/>
    <n v="3.3762483730993802"/>
    <n v="4.2949999999999999"/>
    <n v="6"/>
    <n v="0.7"/>
    <n v="4"/>
    <n v="2.5348676772634411"/>
    <n v="0.75"/>
    <n v="0"/>
    <x v="1"/>
    <n v="0.84785547751193358"/>
  </r>
  <r>
    <x v="470"/>
    <n v="3.36185561650391"/>
    <n v="4.2949999999999999"/>
    <n v="7"/>
    <n v="0.25"/>
    <n v="5"/>
    <n v="3.3753315813894185"/>
    <n v="1"/>
    <n v="0"/>
    <x v="1"/>
    <n v="0.84785547751193358"/>
  </r>
  <r>
    <x v="471"/>
    <n v="3.3370205659412702"/>
    <n v="4.2050000000000001"/>
    <n v="1"/>
    <n v="0"/>
    <n v="1"/>
    <n v="0"/>
    <n v="0"/>
    <n v="3.3753315813894185"/>
    <x v="100"/>
    <n v="0.91966841861058146"/>
  </r>
  <r>
    <x v="472"/>
    <n v="3.3514861848067001"/>
    <n v="4.2050000000000001"/>
    <n v="2"/>
    <n v="0"/>
    <n v="2"/>
    <n v="0"/>
    <n v="0"/>
    <n v="0"/>
    <x v="1"/>
    <n v="0.91966841861058146"/>
  </r>
  <r>
    <x v="473"/>
    <n v="3.32529881785555"/>
    <n v="4.2050000000000001"/>
    <n v="5"/>
    <n v="0.05"/>
    <n v="3"/>
    <n v="0.16626494089277752"/>
    <n v="0.05"/>
    <n v="0"/>
    <x v="1"/>
    <n v="0.91966841861058146"/>
  </r>
  <r>
    <x v="474"/>
    <n v="3.3983132593490502"/>
    <n v="4.2050000000000001"/>
    <n v="6"/>
    <n v="0.7"/>
    <n v="4"/>
    <n v="2.5450842224371124"/>
    <n v="0.75"/>
    <n v="0"/>
    <x v="1"/>
    <n v="0.91966841861058146"/>
  </r>
  <r>
    <x v="475"/>
    <n v="3.40151851180392"/>
    <n v="4.2050000000000001"/>
    <n v="7"/>
    <n v="0.25"/>
    <n v="5"/>
    <n v="3.3954638503880923"/>
    <n v="1"/>
    <n v="0"/>
    <x v="1"/>
    <n v="0.91966841861058146"/>
  </r>
  <r>
    <x v="476"/>
    <n v="3.4237035729301399"/>
    <n v="4.2700000000000005"/>
    <n v="1"/>
    <n v="0"/>
    <n v="1"/>
    <n v="0"/>
    <n v="0"/>
    <n v="3.3954638503880923"/>
    <x v="101"/>
    <n v="0.80953614961190778"/>
  </r>
  <r>
    <x v="477"/>
    <n v="3.4613667705973898"/>
    <n v="4.2700000000000005"/>
    <n v="2"/>
    <n v="0"/>
    <n v="2"/>
    <n v="0"/>
    <n v="0"/>
    <n v="0"/>
    <x v="1"/>
    <n v="0.80953614961190778"/>
  </r>
  <r>
    <x v="478"/>
    <n v="3.4465671397565498"/>
    <n v="4.2700000000000005"/>
    <n v="5"/>
    <n v="0.05"/>
    <n v="3"/>
    <n v="0.1723283569878275"/>
    <n v="0.05"/>
    <n v="0"/>
    <x v="1"/>
    <n v="0.80953614961190778"/>
  </r>
  <r>
    <x v="479"/>
    <n v="3.4438493655509599"/>
    <n v="4.2700000000000005"/>
    <n v="6"/>
    <n v="0.7"/>
    <n v="4"/>
    <n v="2.5830229128734992"/>
    <n v="0.75"/>
    <n v="0"/>
    <x v="1"/>
    <n v="0.80953614961190778"/>
  </r>
  <r>
    <x v="480"/>
    <n v="3.4085893370598099"/>
    <n v="4.2700000000000005"/>
    <n v="7"/>
    <n v="0.25"/>
    <n v="5"/>
    <n v="3.4351702471384518"/>
    <n v="1"/>
    <n v="0"/>
    <x v="1"/>
    <n v="0.80953614961190778"/>
  </r>
  <r>
    <x v="481"/>
    <n v="3.34843875975199"/>
    <n v="4.2200000000000006"/>
    <n v="1"/>
    <n v="0"/>
    <n v="1"/>
    <n v="0"/>
    <n v="0"/>
    <n v="3.4351702471384518"/>
    <x v="102"/>
    <n v="0.8348297528615487"/>
  </r>
  <r>
    <x v="482"/>
    <n v="3.3634875299273701"/>
    <n v="4.2200000000000006"/>
    <n v="2"/>
    <n v="0"/>
    <n v="2"/>
    <n v="0"/>
    <n v="0"/>
    <n v="0"/>
    <x v="1"/>
    <n v="0.8348297528615487"/>
  </r>
  <r>
    <x v="483"/>
    <n v="3.4174617229589801"/>
    <n v="4.2200000000000006"/>
    <n v="5"/>
    <n v="0.05"/>
    <n v="3"/>
    <n v="0.17087308614794902"/>
    <n v="0.05"/>
    <n v="0"/>
    <x v="1"/>
    <n v="0.8348297528615487"/>
  </r>
  <r>
    <x v="484"/>
    <n v="3.3942283451593398"/>
    <n v="4.2200000000000006"/>
    <n v="6"/>
    <n v="0.7"/>
    <n v="4"/>
    <n v="2.5468329277594868"/>
    <n v="0.75"/>
    <n v="0"/>
    <x v="1"/>
    <n v="0.8348297528615487"/>
  </r>
  <r>
    <x v="485"/>
    <n v="3.4724096295378999"/>
    <n v="4.2200000000000006"/>
    <n v="7"/>
    <n v="0.25"/>
    <n v="5"/>
    <n v="3.4149353351439617"/>
    <n v="1"/>
    <n v="0"/>
    <x v="1"/>
    <n v="0.8348297528615487"/>
  </r>
  <r>
    <x v="486"/>
    <n v="3.4858096996422701"/>
    <n v="4.3000000000000007"/>
    <n v="1"/>
    <n v="0"/>
    <n v="1"/>
    <n v="0"/>
    <n v="0"/>
    <n v="3.4149353351439617"/>
    <x v="103"/>
    <n v="0.80506466485603889"/>
  </r>
  <r>
    <x v="487"/>
    <n v="3.4523536219729101"/>
    <n v="4.3000000000000007"/>
    <n v="2"/>
    <n v="0"/>
    <n v="2"/>
    <n v="0"/>
    <n v="0"/>
    <n v="0"/>
    <x v="1"/>
    <n v="0.80506466485603889"/>
  </r>
  <r>
    <x v="488"/>
    <n v="3.45266754883475"/>
    <n v="4.3000000000000007"/>
    <n v="5"/>
    <n v="0.05"/>
    <n v="3"/>
    <n v="0.17263337744173751"/>
    <n v="0.05"/>
    <n v="0"/>
    <x v="1"/>
    <n v="0.80506466485603889"/>
  </r>
  <r>
    <x v="489"/>
    <n v="3.4519694257459901"/>
    <n v="4.3000000000000007"/>
    <n v="6"/>
    <n v="0.7"/>
    <n v="4"/>
    <n v="2.5890119754639307"/>
    <n v="0.75"/>
    <n v="0"/>
    <x v="1"/>
    <n v="0.80506466485603889"/>
  </r>
  <r>
    <x v="490"/>
    <n v="3.4217405544715098"/>
    <n v="4.3000000000000007"/>
    <n v="7"/>
    <n v="0.25"/>
    <n v="5"/>
    <n v="3.4444471140818083"/>
    <n v="1"/>
    <n v="0"/>
    <x v="1"/>
    <n v="0.80506466485603889"/>
  </r>
  <r>
    <x v="491"/>
    <n v="3.4052671978447102"/>
    <n v="4.335"/>
    <n v="1"/>
    <n v="0"/>
    <n v="1"/>
    <n v="0"/>
    <n v="0"/>
    <n v="3.4444471140818083"/>
    <x v="104"/>
    <n v="0.85555288591819245"/>
  </r>
  <r>
    <x v="492"/>
    <n v="3.4306094277170498"/>
    <n v="4.335"/>
    <n v="2"/>
    <n v="0"/>
    <n v="2"/>
    <n v="0"/>
    <n v="0"/>
    <n v="0"/>
    <x v="1"/>
    <n v="0.85555288591819245"/>
  </r>
  <r>
    <x v="493"/>
    <n v="3.44685935064701"/>
    <n v="4.335"/>
    <n v="5"/>
    <n v="0.05"/>
    <n v="3"/>
    <n v="0.17234296753235051"/>
    <n v="0.05"/>
    <n v="0"/>
    <x v="1"/>
    <n v="0.85555288591819245"/>
  </r>
  <r>
    <x v="494"/>
    <n v="3.4727016332033198"/>
    <n v="4.335"/>
    <n v="6"/>
    <n v="0.7"/>
    <n v="4"/>
    <n v="2.6032341107746744"/>
    <n v="0.75"/>
    <n v="0"/>
    <x v="1"/>
    <n v="0.85555288591819245"/>
  </r>
  <r>
    <x v="495"/>
    <n v="3.5066269417846301"/>
    <n v="4.335"/>
    <n v="7"/>
    <n v="0.25"/>
    <n v="5"/>
    <n v="3.4798908462208318"/>
    <n v="1"/>
    <n v="0"/>
    <x v="1"/>
    <n v="0.85555288591819245"/>
  </r>
  <r>
    <x v="496"/>
    <n v="3.4840318134841599"/>
    <n v="4.2649999999999997"/>
    <n v="1"/>
    <n v="0"/>
    <n v="1"/>
    <n v="0"/>
    <n v="0"/>
    <n v="3.4798908462208318"/>
    <x v="105"/>
    <n v="0.85510915377916819"/>
  </r>
  <r>
    <x v="497"/>
    <n v="3.4295560527023699"/>
    <n v="4.2649999999999997"/>
    <n v="2"/>
    <n v="0"/>
    <n v="2"/>
    <n v="0"/>
    <n v="0"/>
    <n v="0"/>
    <x v="1"/>
    <n v="0.85510915377916819"/>
  </r>
  <r>
    <x v="498"/>
    <n v="3.39509627944707"/>
    <n v="4.2649999999999997"/>
    <n v="5"/>
    <n v="0.05"/>
    <n v="3"/>
    <n v="0.16975481397235351"/>
    <n v="0.05"/>
    <n v="0"/>
    <x v="1"/>
    <n v="0.85510915377916819"/>
  </r>
  <r>
    <x v="499"/>
    <n v="3.3731827621311399"/>
    <n v="4.2649999999999997"/>
    <n v="6"/>
    <n v="0.7"/>
    <n v="4"/>
    <n v="2.5309827474641513"/>
    <n v="0.75"/>
    <n v="0"/>
    <x v="1"/>
    <n v="0.85510915377916819"/>
  </r>
  <r>
    <x v="500"/>
    <n v="3.3750941774744798"/>
    <n v="4.2649999999999997"/>
    <n v="7"/>
    <n v="0.25"/>
    <n v="5"/>
    <n v="3.3747562918327714"/>
    <n v="1"/>
    <n v="0"/>
    <x v="1"/>
    <n v="0.85510915377916819"/>
  </r>
  <r>
    <x v="501"/>
    <n v="3.3155243251593798"/>
    <n v="4.1949999999999994"/>
    <n v="1"/>
    <n v="0"/>
    <n v="1"/>
    <n v="0"/>
    <n v="0"/>
    <n v="3.3747562918327714"/>
    <x v="106"/>
    <n v="0.89024370816722831"/>
  </r>
  <r>
    <x v="502"/>
    <n v="3.31617276522991"/>
    <n v="4.1949999999999994"/>
    <n v="2"/>
    <n v="0"/>
    <n v="2"/>
    <n v="0"/>
    <n v="0"/>
    <n v="0"/>
    <x v="1"/>
    <n v="0.89024370816722831"/>
  </r>
  <r>
    <x v="503"/>
    <n v="3.3408272423510099"/>
    <n v="4.1949999999999994"/>
    <n v="5"/>
    <n v="0.05"/>
    <n v="3"/>
    <n v="0.1670413621175505"/>
    <n v="0.05"/>
    <n v="0"/>
    <x v="1"/>
    <n v="0.89024370816722831"/>
  </r>
  <r>
    <x v="504"/>
    <n v="3.33793129587505"/>
    <n v="4.1949999999999994"/>
    <n v="6"/>
    <n v="0.7"/>
    <n v="4"/>
    <n v="2.5035932692300853"/>
    <n v="0.75"/>
    <n v="0"/>
    <x v="1"/>
    <n v="0.89024370816722831"/>
  </r>
  <r>
    <x v="505"/>
    <n v="3.35080102179215"/>
    <n v="4.1949999999999994"/>
    <n v="7"/>
    <n v="0.25"/>
    <n v="5"/>
    <n v="3.3412935246781226"/>
    <n v="1"/>
    <n v="0"/>
    <x v="1"/>
    <n v="0.89024370816722831"/>
  </r>
  <r>
    <x v="506"/>
    <n v="3.40802093158428"/>
    <n v="4.2300000000000004"/>
    <n v="1"/>
    <n v="0"/>
    <n v="1"/>
    <n v="0"/>
    <n v="0"/>
    <n v="3.3412935246781226"/>
    <x v="107"/>
    <n v="0.85370647532187682"/>
  </r>
  <r>
    <x v="507"/>
    <n v="3.4214944697037502"/>
    <n v="4.2300000000000004"/>
    <n v="5"/>
    <n v="0.05"/>
    <n v="2"/>
    <n v="0.17107472348518751"/>
    <n v="0.05"/>
    <n v="0"/>
    <x v="1"/>
    <n v="0.85370647532187682"/>
  </r>
  <r>
    <x v="508"/>
    <n v="3.41581155049382"/>
    <n v="4.2300000000000004"/>
    <n v="6"/>
    <n v="0.7"/>
    <n v="3"/>
    <n v="2.5621428088308615"/>
    <n v="0.75"/>
    <n v="0"/>
    <x v="1"/>
    <n v="0.85370647532187682"/>
  </r>
  <r>
    <x v="509"/>
    <n v="3.3712594555921802"/>
    <n v="4.2300000000000004"/>
    <n v="7"/>
    <n v="0.25"/>
    <n v="4"/>
    <n v="3.4049576727289068"/>
    <n v="1"/>
    <n v="0"/>
    <x v="1"/>
    <n v="0.85370647532187682"/>
  </r>
  <r>
    <x v="510"/>
    <n v="3.3653149178353798"/>
    <n v="4.2149999999999999"/>
    <n v="1"/>
    <n v="0"/>
    <n v="1"/>
    <n v="0"/>
    <n v="0"/>
    <n v="3.4049576727289068"/>
    <x v="108"/>
    <n v="0.82504232727109361"/>
  </r>
  <r>
    <x v="511"/>
    <n v="3.34407232938596"/>
    <n v="4.2149999999999999"/>
    <n v="2"/>
    <n v="0"/>
    <n v="2"/>
    <n v="0"/>
    <n v="0"/>
    <n v="0"/>
    <x v="1"/>
    <n v="0.82504232727109361"/>
  </r>
  <r>
    <x v="512"/>
    <n v="3.3514611406408399"/>
    <n v="4.2149999999999999"/>
    <n v="5"/>
    <n v="0.05"/>
    <n v="3"/>
    <n v="0.16757305703204201"/>
    <n v="0.05"/>
    <n v="0"/>
    <x v="1"/>
    <n v="0.82504232727109361"/>
  </r>
  <r>
    <x v="513"/>
    <n v="3.3733743387763999"/>
    <n v="4.2149999999999999"/>
    <n v="6"/>
    <n v="0.7"/>
    <n v="4"/>
    <n v="2.5289350941755218"/>
    <n v="0.75"/>
    <n v="0"/>
    <x v="1"/>
    <n v="0.82504232727109361"/>
  </r>
  <r>
    <x v="514"/>
    <n v="3.3274269650204"/>
    <n v="4.2149999999999999"/>
    <n v="7"/>
    <n v="0.25"/>
    <n v="5"/>
    <n v="3.3607918354306219"/>
    <n v="1"/>
    <n v="0"/>
    <x v="1"/>
    <n v="0.82504232727109361"/>
  </r>
  <r>
    <x v="515"/>
    <n v="3.2875255326595201"/>
    <n v="4.1100000000000003"/>
    <n v="1"/>
    <n v="0"/>
    <n v="1"/>
    <n v="0"/>
    <n v="0"/>
    <n v="3.3607918354306219"/>
    <x v="109"/>
    <n v="0.85420816456937798"/>
  </r>
  <r>
    <x v="516"/>
    <n v="3.27582122809376"/>
    <n v="4.1100000000000003"/>
    <n v="2"/>
    <n v="0"/>
    <n v="2"/>
    <n v="0"/>
    <n v="0"/>
    <n v="0"/>
    <x v="1"/>
    <n v="0.85420816456937798"/>
  </r>
  <r>
    <x v="517"/>
    <n v="3.28849941945206"/>
    <n v="4.1100000000000003"/>
    <n v="5"/>
    <n v="0.05"/>
    <n v="3"/>
    <n v="0.164424970972603"/>
    <n v="0.05"/>
    <n v="0"/>
    <x v="1"/>
    <n v="0.85420816456937798"/>
  </r>
  <r>
    <x v="518"/>
    <n v="3.2676928756403698"/>
    <n v="4.1100000000000003"/>
    <n v="6"/>
    <n v="0.7"/>
    <n v="4"/>
    <n v="2.451809983920862"/>
    <n v="0.75"/>
    <n v="0"/>
    <x v="1"/>
    <n v="0.85420816456937798"/>
  </r>
  <r>
    <x v="519"/>
    <n v="3.2365593112173601"/>
    <n v="4.1100000000000003"/>
    <n v="7"/>
    <n v="0.25"/>
    <n v="5"/>
    <n v="3.2609498117252018"/>
    <n v="1"/>
    <n v="0"/>
    <x v="1"/>
    <n v="0.85420816456937798"/>
  </r>
  <r>
    <x v="520"/>
    <n v="3.2302009300383201"/>
    <n v="4.1000000000000005"/>
    <n v="1"/>
    <n v="0"/>
    <n v="1"/>
    <n v="0"/>
    <n v="0"/>
    <n v="3.2609498117252018"/>
    <x v="110"/>
    <n v="0.8490501882747985"/>
  </r>
  <r>
    <x v="521"/>
    <n v="3.26793441628852"/>
    <n v="4.1000000000000005"/>
    <n v="2"/>
    <n v="0"/>
    <n v="2"/>
    <n v="0"/>
    <n v="0"/>
    <n v="0"/>
    <x v="1"/>
    <n v="0.8490501882747985"/>
  </r>
  <r>
    <x v="522"/>
    <n v="3.2957313796738501"/>
    <n v="4.1000000000000005"/>
    <n v="5"/>
    <n v="0.05"/>
    <n v="3"/>
    <n v="0.16478656898369251"/>
    <n v="0.05"/>
    <n v="0"/>
    <x v="1"/>
    <n v="0.8490501882747985"/>
  </r>
  <r>
    <x v="523"/>
    <n v="3.2728026621506001"/>
    <n v="4.1000000000000005"/>
    <n v="6"/>
    <n v="0.7"/>
    <n v="4"/>
    <n v="2.4557484324891123"/>
    <n v="0.75"/>
    <n v="0"/>
    <x v="1"/>
    <n v="0.8490501882747985"/>
  </r>
  <r>
    <x v="524"/>
    <n v="3.1970892272743101"/>
    <n v="4.1000000000000005"/>
    <n v="7"/>
    <n v="0.25"/>
    <n v="5"/>
    <n v="3.2550207393076898"/>
    <n v="1"/>
    <n v="0"/>
    <x v="1"/>
    <n v="0.8490501882747985"/>
  </r>
  <r>
    <x v="525"/>
    <n v="3.1795097734540301"/>
    <n v="4.04"/>
    <n v="1"/>
    <n v="0"/>
    <n v="1"/>
    <n v="0"/>
    <n v="0"/>
    <n v="3.2550207393076898"/>
    <x v="111"/>
    <n v="0.84497926069231077"/>
  </r>
  <r>
    <x v="526"/>
    <n v="3.2071722937792901"/>
    <n v="4.04"/>
    <n v="2"/>
    <n v="0"/>
    <n v="2"/>
    <n v="0"/>
    <n v="0"/>
    <n v="0"/>
    <x v="1"/>
    <n v="0.84497926069231077"/>
  </r>
  <r>
    <x v="527"/>
    <n v="3.2249711814966302"/>
    <n v="4.04"/>
    <n v="5"/>
    <n v="0.05"/>
    <n v="3"/>
    <n v="0.16124855907483152"/>
    <n v="0.05"/>
    <n v="0"/>
    <x v="1"/>
    <n v="0.84497926069231077"/>
  </r>
  <r>
    <x v="528"/>
    <n v="3.1906249352690699"/>
    <n v="4.04"/>
    <n v="6"/>
    <n v="0.7"/>
    <n v="4"/>
    <n v="2.39468601376318"/>
    <n v="0.75"/>
    <n v="0"/>
    <x v="1"/>
    <n v="0.84497926069231077"/>
  </r>
  <r>
    <x v="529"/>
    <n v="3.2003729321605299"/>
    <n v="4.04"/>
    <n v="7"/>
    <n v="0.25"/>
    <n v="5"/>
    <n v="3.1947792468033125"/>
    <n v="1"/>
    <n v="0"/>
    <x v="1"/>
    <n v="0.84497926069231077"/>
  </r>
  <r>
    <x v="530"/>
    <n v="3.2144312113226099"/>
    <n v="4.0200000000000005"/>
    <n v="1"/>
    <n v="0"/>
    <n v="1"/>
    <n v="0"/>
    <n v="0"/>
    <n v="3.1947792468033125"/>
    <x v="112"/>
    <n v="0.84522075319668755"/>
  </r>
  <r>
    <x v="531"/>
    <n v="3.2062850314999101"/>
    <n v="4.0200000000000005"/>
    <n v="2"/>
    <n v="0"/>
    <n v="2"/>
    <n v="0"/>
    <n v="0"/>
    <n v="0"/>
    <x v="1"/>
    <n v="0.84522075319668755"/>
  </r>
  <r>
    <x v="532"/>
    <n v="3.1863361498629699"/>
    <n v="4.0200000000000005"/>
    <n v="6"/>
    <n v="0.7"/>
    <n v="3"/>
    <n v="2.2304353049040788"/>
    <n v="0.7"/>
    <n v="0"/>
    <x v="1"/>
    <n v="0.84522075319668755"/>
  </r>
  <r>
    <x v="533"/>
    <n v="3.0965824543668101"/>
    <n v="4.0200000000000005"/>
    <n v="7"/>
    <n v="0.25"/>
    <n v="4"/>
    <n v="3.0045809184957815"/>
    <n v="0.95"/>
    <n v="0"/>
    <x v="1"/>
    <n v="0.84522075319668755"/>
  </r>
  <r>
    <x v="534"/>
    <n v="3.12360003836893"/>
    <n v="4.0149999999999997"/>
    <n v="1"/>
    <n v="0"/>
    <n v="1"/>
    <n v="0"/>
    <n v="0"/>
    <n v="3.1627167563113492"/>
    <x v="113"/>
    <n v="0.85728324368865128"/>
  </r>
  <r>
    <x v="535"/>
    <n v="3.1327170492887499"/>
    <n v="4.0149999999999997"/>
    <n v="2"/>
    <n v="0"/>
    <n v="2"/>
    <n v="0"/>
    <n v="0"/>
    <n v="0"/>
    <x v="1"/>
    <n v="0.85728324368865128"/>
  </r>
  <r>
    <x v="536"/>
    <n v="3.2077358231055602"/>
    <n v="4.0149999999999997"/>
    <n v="5"/>
    <n v="0.05"/>
    <n v="3"/>
    <n v="0.16038679115527801"/>
    <n v="0.05"/>
    <n v="0"/>
    <x v="1"/>
    <n v="0.85728324368865128"/>
  </r>
  <r>
    <x v="537"/>
    <n v="3.2594551208520199"/>
    <n v="4.0149999999999997"/>
    <n v="6"/>
    <n v="0.7"/>
    <n v="4"/>
    <n v="2.442005375751692"/>
    <n v="0.75"/>
    <n v="0"/>
    <x v="1"/>
    <n v="0.85728324368865128"/>
  </r>
  <r>
    <x v="538"/>
    <n v="3.2635254657079802"/>
    <n v="4.0149999999999997"/>
    <n v="7"/>
    <n v="0.25"/>
    <n v="5"/>
    <n v="3.257886742178687"/>
    <n v="1"/>
    <n v="0"/>
    <x v="1"/>
    <n v="0.85728324368865128"/>
  </r>
  <r>
    <x v="539"/>
    <n v="3.2377628105001701"/>
    <n v="4.1000000000000005"/>
    <n v="1"/>
    <n v="0"/>
    <n v="1"/>
    <n v="0"/>
    <n v="0"/>
    <n v="3.257886742178687"/>
    <x v="114"/>
    <n v="0.75711325782131267"/>
  </r>
  <r>
    <x v="540"/>
    <n v="3.24953377621733"/>
    <n v="4.1000000000000005"/>
    <n v="2"/>
    <n v="0"/>
    <n v="2"/>
    <n v="0"/>
    <n v="0"/>
    <n v="0"/>
    <x v="1"/>
    <n v="0.75711325782131267"/>
  </r>
  <r>
    <x v="541"/>
    <n v="3.2647835350343399"/>
    <n v="4.1000000000000005"/>
    <n v="5"/>
    <n v="0.05"/>
    <n v="3"/>
    <n v="0.16323917675171701"/>
    <n v="0.05"/>
    <n v="0"/>
    <x v="1"/>
    <n v="0.75711325782131267"/>
  </r>
  <r>
    <x v="542"/>
    <n v="3.2863723435874199"/>
    <n v="4.1000000000000005"/>
    <n v="6"/>
    <n v="0.7"/>
    <n v="4"/>
    <n v="2.4636998172629108"/>
    <n v="0.75"/>
    <n v="0"/>
    <x v="1"/>
    <n v="0.75711325782131267"/>
  </r>
  <r>
    <x v="543"/>
    <n v="3.2835967922496798"/>
    <n v="4.1000000000000005"/>
    <n v="7"/>
    <n v="0.25"/>
    <n v="5"/>
    <n v="3.2845990153253308"/>
    <n v="1"/>
    <n v="0"/>
    <x v="1"/>
    <n v="0.75711325782131267"/>
  </r>
  <r>
    <x v="544"/>
    <n v="3.2368252535266899"/>
    <n v="4.07"/>
    <n v="1"/>
    <n v="0"/>
    <n v="1"/>
    <n v="0"/>
    <n v="0"/>
    <n v="3.2845990153253308"/>
    <x v="115"/>
    <n v="0.8154009846746697"/>
  </r>
  <r>
    <x v="545"/>
    <n v="3.2532056158969298"/>
    <n v="4.07"/>
    <n v="2"/>
    <n v="0"/>
    <n v="2"/>
    <n v="0"/>
    <n v="0"/>
    <n v="0"/>
    <x v="1"/>
    <n v="0.8154009846746697"/>
  </r>
  <r>
    <x v="546"/>
    <n v="3.2401980086341502"/>
    <n v="4.07"/>
    <n v="5"/>
    <n v="0.05"/>
    <n v="3"/>
    <n v="0.16200990043170752"/>
    <n v="0.05"/>
    <n v="0"/>
    <x v="1"/>
    <n v="0.8154009846746697"/>
  </r>
  <r>
    <x v="547"/>
    <n v="3.2955237008358602"/>
    <n v="4.07"/>
    <n v="6"/>
    <n v="0.7"/>
    <n v="4"/>
    <n v="2.4688764910168097"/>
    <n v="0.75"/>
    <n v="0"/>
    <x v="1"/>
    <n v="0.8154009846746697"/>
  </r>
  <r>
    <x v="548"/>
    <n v="3.2554507349207298"/>
    <n v="4.07"/>
    <n v="7"/>
    <n v="0.25"/>
    <n v="5"/>
    <n v="3.2827391747469923"/>
    <n v="1"/>
    <n v="0"/>
    <x v="1"/>
    <n v="0.8154009846746697"/>
  </r>
  <r>
    <x v="549"/>
    <n v="3.2406996477189098"/>
    <n v="4.0149999999999997"/>
    <n v="1"/>
    <n v="0"/>
    <n v="1"/>
    <n v="0"/>
    <n v="0"/>
    <n v="3.2827391747469923"/>
    <x v="116"/>
    <n v="0.787260825253008"/>
  </r>
  <r>
    <x v="550"/>
    <n v="3.2387092672418598"/>
    <n v="4.0149999999999997"/>
    <n v="2"/>
    <n v="0"/>
    <n v="2"/>
    <n v="0"/>
    <n v="0"/>
    <n v="0"/>
    <x v="1"/>
    <n v="0.787260825253008"/>
  </r>
  <r>
    <x v="551"/>
    <n v="3.2420059350164898"/>
    <n v="4.0149999999999997"/>
    <n v="5"/>
    <n v="0.05"/>
    <n v="3"/>
    <n v="0.16210029675082449"/>
    <n v="0.05"/>
    <n v="0"/>
    <x v="1"/>
    <n v="0.787260825253008"/>
  </r>
  <r>
    <x v="552"/>
    <n v="3.2180523990892298"/>
    <n v="4.0149999999999997"/>
    <n v="6"/>
    <n v="0.7"/>
    <n v="4"/>
    <n v="2.4147369761132853"/>
    <n v="0.75"/>
    <n v="0"/>
    <x v="1"/>
    <n v="0.787260825253008"/>
  </r>
  <r>
    <x v="553"/>
    <n v="3.1948973800231402"/>
    <n v="4.0149999999999997"/>
    <n v="7"/>
    <n v="0.25"/>
    <n v="5"/>
    <n v="3.2134613211190706"/>
    <n v="1"/>
    <n v="0"/>
    <x v="1"/>
    <n v="0.787260825253008"/>
  </r>
  <r>
    <x v="554"/>
    <n v="3.1705026484021301"/>
    <n v="3.9950000000000001"/>
    <n v="1"/>
    <n v="0"/>
    <n v="1"/>
    <n v="0"/>
    <n v="0"/>
    <n v="3.2134613211190706"/>
    <x v="117"/>
    <n v="0.80153867888092911"/>
  </r>
  <r>
    <x v="555"/>
    <n v="3.1723768258530498"/>
    <n v="3.9950000000000001"/>
    <n v="2"/>
    <n v="0"/>
    <n v="2"/>
    <n v="0"/>
    <n v="0"/>
    <n v="0"/>
    <x v="1"/>
    <n v="0.80153867888092911"/>
  </r>
  <r>
    <x v="556"/>
    <n v="3.16005861973392"/>
    <n v="3.9950000000000001"/>
    <n v="5"/>
    <n v="0.05"/>
    <n v="3"/>
    <n v="0.15800293098669602"/>
    <n v="0.05"/>
    <n v="0"/>
    <x v="1"/>
    <n v="0.80153867888092911"/>
  </r>
  <r>
    <x v="557"/>
    <n v="3.2107808202984001"/>
    <n v="3.9950000000000001"/>
    <n v="6"/>
    <n v="0.7"/>
    <n v="4"/>
    <n v="2.4055495051955758"/>
    <n v="0.75"/>
    <n v="0"/>
    <x v="1"/>
    <n v="0.80153867888092911"/>
  </r>
  <r>
    <x v="558"/>
    <n v="3.25804857470149"/>
    <n v="3.9950000000000001"/>
    <n v="7"/>
    <n v="0.25"/>
    <n v="5"/>
    <n v="3.2200616488709484"/>
    <n v="1"/>
    <n v="0"/>
    <x v="1"/>
    <n v="0.80153867888092911"/>
  </r>
  <r>
    <x v="559"/>
    <n v="3.2816971853818702"/>
    <n v="4.0750000000000002"/>
    <n v="1"/>
    <n v="0"/>
    <n v="1"/>
    <n v="0"/>
    <n v="0"/>
    <n v="3.2200616488709484"/>
    <x v="118"/>
    <n v="0.77493835112905174"/>
  </r>
  <r>
    <x v="560"/>
    <n v="3.2664759262762"/>
    <n v="4.0750000000000002"/>
    <n v="5"/>
    <n v="0.05"/>
    <n v="2"/>
    <n v="0.16332379631381"/>
    <n v="0.05"/>
    <n v="0"/>
    <x v="1"/>
    <n v="0.77493835112905174"/>
  </r>
  <r>
    <x v="561"/>
    <n v="3.2329417252497299"/>
    <n v="4.0750000000000002"/>
    <n v="6"/>
    <n v="0.7"/>
    <n v="3"/>
    <n v="2.4263830039886209"/>
    <n v="0.75"/>
    <n v="0"/>
    <x v="1"/>
    <n v="0.77493835112905174"/>
  </r>
  <r>
    <x v="562"/>
    <n v="3.2185084565507598"/>
    <n v="4.0750000000000002"/>
    <n v="7"/>
    <n v="0.25"/>
    <n v="4"/>
    <n v="3.2310101181263109"/>
    <n v="1"/>
    <n v="0"/>
    <x v="1"/>
    <n v="0.77493835112905174"/>
  </r>
  <r>
    <x v="563"/>
    <n v="3.20098644724558"/>
    <n v="4.03"/>
    <n v="1"/>
    <n v="0"/>
    <n v="1"/>
    <n v="0"/>
    <n v="0"/>
    <n v="3.2310101181263109"/>
    <x v="119"/>
    <n v="0.84398988187368928"/>
  </r>
  <r>
    <x v="564"/>
    <n v="3.1874045932907902"/>
    <n v="4.03"/>
    <n v="2"/>
    <n v="0"/>
    <n v="2"/>
    <n v="0"/>
    <n v="0"/>
    <n v="0"/>
    <x v="1"/>
    <n v="0.84398988187368928"/>
  </r>
  <r>
    <x v="565"/>
    <n v="3.22381281335216"/>
    <n v="4.03"/>
    <n v="5"/>
    <n v="0.05"/>
    <n v="3"/>
    <n v="0.16119064066760802"/>
    <n v="0.05"/>
    <n v="0"/>
    <x v="1"/>
    <n v="0.84398988187368928"/>
  </r>
  <r>
    <x v="566"/>
    <n v="3.2327612765480098"/>
    <n v="4.03"/>
    <n v="6"/>
    <n v="0.7"/>
    <n v="4"/>
    <n v="2.4241235342512146"/>
    <n v="0.75"/>
    <n v="0"/>
    <x v="1"/>
    <n v="0.84398988187368928"/>
  </r>
  <r>
    <x v="567"/>
    <n v="3.23587971649664"/>
    <n v="4.03"/>
    <n v="7"/>
    <n v="0.25"/>
    <n v="5"/>
    <n v="3.2330934633753747"/>
    <n v="1"/>
    <n v="0"/>
    <x v="1"/>
    <n v="0.84398988187368928"/>
  </r>
  <r>
    <x v="568"/>
    <n v="3.1839990162061"/>
    <n v="4.03"/>
    <n v="1"/>
    <n v="0"/>
    <n v="1"/>
    <n v="0"/>
    <n v="0"/>
    <n v="3.2330934633753747"/>
    <x v="120"/>
    <n v="0.79690653662462552"/>
  </r>
  <r>
    <x v="569"/>
    <n v="3.1834552504580702"/>
    <n v="4.03"/>
    <n v="2"/>
    <n v="0"/>
    <n v="2"/>
    <n v="0"/>
    <n v="0"/>
    <n v="0"/>
    <x v="1"/>
    <n v="0.79690653662462552"/>
  </r>
  <r>
    <x v="570"/>
    <n v="3.1797287048205698"/>
    <n v="4.03"/>
    <n v="5"/>
    <n v="0.05"/>
    <n v="3"/>
    <n v="0.15898643524102851"/>
    <n v="0.05"/>
    <n v="0"/>
    <x v="1"/>
    <n v="0.79690653662462552"/>
  </r>
  <r>
    <x v="571"/>
    <n v="3.1713427686584299"/>
    <n v="4.03"/>
    <n v="6"/>
    <n v="0.7"/>
    <n v="4"/>
    <n v="2.3789263733019292"/>
    <n v="0.75"/>
    <n v="0"/>
    <x v="1"/>
    <n v="0.79690653662462552"/>
  </r>
  <r>
    <x v="572"/>
    <n v="3.18443166753908"/>
    <n v="4.03"/>
    <n v="7"/>
    <n v="0.25"/>
    <n v="5"/>
    <n v="3.1750342901866992"/>
    <n v="1"/>
    <n v="0"/>
    <x v="1"/>
    <n v="0.79690653662462552"/>
  </r>
  <r>
    <x v="573"/>
    <n v="3.2359256063250199"/>
    <n v="4.0200000000000005"/>
    <n v="1"/>
    <n v="0"/>
    <n v="1"/>
    <n v="0"/>
    <n v="0"/>
    <n v="3.1750342901866992"/>
    <x v="121"/>
    <n v="0.854965709813301"/>
  </r>
  <r>
    <x v="574"/>
    <n v="3.1915306555493599"/>
    <n v="4.0200000000000005"/>
    <n v="2"/>
    <n v="0"/>
    <n v="2"/>
    <n v="0"/>
    <n v="0"/>
    <n v="0"/>
    <x v="1"/>
    <n v="0.854965709813301"/>
  </r>
  <r>
    <x v="575"/>
    <n v="3.2049602013827001"/>
    <n v="4.0200000000000005"/>
    <n v="5"/>
    <n v="0.05"/>
    <n v="3"/>
    <n v="0.16024801006913503"/>
    <n v="0.05"/>
    <n v="0"/>
    <x v="1"/>
    <n v="0.854965709813301"/>
  </r>
  <r>
    <x v="576"/>
    <n v="3.1823757597493798"/>
    <n v="4.0200000000000005"/>
    <n v="6"/>
    <n v="0.7"/>
    <n v="4"/>
    <n v="2.3879110418937008"/>
    <n v="0.75"/>
    <n v="0"/>
    <x v="1"/>
    <n v="0.854965709813301"/>
  </r>
  <r>
    <x v="577"/>
    <n v="3.2657922043638301"/>
    <n v="4.0200000000000005"/>
    <n v="7"/>
    <n v="0.25"/>
    <n v="5"/>
    <n v="3.2043590929846584"/>
    <n v="1"/>
    <n v="0"/>
    <x v="1"/>
    <n v="0.854965709813301"/>
  </r>
  <r>
    <x v="578"/>
    <n v="3.2761065930147799"/>
    <n v="4.0649999999999995"/>
    <n v="1"/>
    <n v="0"/>
    <n v="1"/>
    <n v="0"/>
    <n v="0"/>
    <n v="3.2043590929846584"/>
    <x v="122"/>
    <n v="0.81564090701534209"/>
  </r>
  <r>
    <x v="579"/>
    <n v="3.2284236378811801"/>
    <n v="4.0649999999999995"/>
    <n v="2"/>
    <n v="0"/>
    <n v="2"/>
    <n v="0"/>
    <n v="0"/>
    <n v="0"/>
    <x v="1"/>
    <n v="0.81564090701534209"/>
  </r>
  <r>
    <x v="580"/>
    <n v="3.2178217897536898"/>
    <n v="4.0649999999999995"/>
    <n v="5"/>
    <n v="0.05"/>
    <n v="3"/>
    <n v="0.16089108948768449"/>
    <n v="0.05"/>
    <n v="0"/>
    <x v="1"/>
    <n v="0.81564090701534209"/>
  </r>
  <r>
    <x v="581"/>
    <n v="3.21632428795722"/>
    <n v="4.0649999999999995"/>
    <n v="6"/>
    <n v="0.7"/>
    <n v="4"/>
    <n v="2.4123180910577382"/>
    <n v="0.75"/>
    <n v="0"/>
    <x v="1"/>
    <n v="0.81564090701534209"/>
  </r>
  <r>
    <x v="582"/>
    <n v="3.2168042301856699"/>
    <n v="4.0649999999999995"/>
    <n v="7"/>
    <n v="0.25"/>
    <n v="5"/>
    <n v="3.2165191486041556"/>
    <n v="1"/>
    <n v="0"/>
    <x v="1"/>
    <n v="0.81564090701534209"/>
  </r>
  <r>
    <x v="583"/>
    <n v="3.1812952620623198"/>
    <n v="4.0200000000000005"/>
    <n v="1"/>
    <n v="0"/>
    <n v="1"/>
    <n v="0"/>
    <n v="0"/>
    <n v="3.2165191486041556"/>
    <x v="123"/>
    <n v="0.84848085139584395"/>
  </r>
  <r>
    <x v="584"/>
    <n v="3.1721768972748698"/>
    <n v="4.0200000000000005"/>
    <n v="2"/>
    <n v="0"/>
    <n v="2"/>
    <n v="0"/>
    <n v="0"/>
    <n v="0"/>
    <x v="1"/>
    <n v="0.84848085139584395"/>
  </r>
  <r>
    <x v="585"/>
    <n v="3.1826449451887"/>
    <n v="4.0200000000000005"/>
    <n v="5"/>
    <n v="0.05"/>
    <n v="3"/>
    <n v="0.15913224725943501"/>
    <n v="0.05"/>
    <n v="0"/>
    <x v="1"/>
    <n v="0.84848085139584395"/>
  </r>
  <r>
    <x v="586"/>
    <n v="3.1921232293895798"/>
    <n v="4.0200000000000005"/>
    <n v="6"/>
    <n v="0.7"/>
    <n v="4"/>
    <n v="2.3936185078321408"/>
    <n v="0.75"/>
    <n v="0"/>
    <x v="1"/>
    <n v="0.84848085139584395"/>
  </r>
  <r>
    <x v="587"/>
    <n v="3.1611594965890202"/>
    <n v="4.0200000000000005"/>
    <n v="7"/>
    <n v="0.25"/>
    <n v="5"/>
    <n v="3.1839083819793959"/>
    <n v="1"/>
    <n v="0"/>
    <x v="1"/>
    <n v="0.84848085139584395"/>
  </r>
  <r>
    <x v="588"/>
    <n v="3.1399551635126901"/>
    <n v="3.9749999999999996"/>
    <n v="1"/>
    <n v="0"/>
    <n v="1"/>
    <n v="0"/>
    <n v="0"/>
    <n v="3.1839083819793959"/>
    <x v="124"/>
    <n v="0.83609161802060461"/>
  </r>
  <r>
    <x v="589"/>
    <n v="3.0935764216510502"/>
    <n v="3.9749999999999996"/>
    <n v="2"/>
    <n v="0"/>
    <n v="2"/>
    <n v="0"/>
    <n v="0"/>
    <n v="0"/>
    <x v="1"/>
    <n v="0.83609161802060461"/>
  </r>
  <r>
    <x v="590"/>
    <n v="3.1399786597886301"/>
    <n v="3.9749999999999996"/>
    <n v="5"/>
    <n v="0.05"/>
    <n v="3"/>
    <n v="0.15699893298943152"/>
    <n v="0.05"/>
    <n v="0"/>
    <x v="1"/>
    <n v="0.83609161802060461"/>
  </r>
  <r>
    <x v="591"/>
    <n v="3.1648384217316798"/>
    <n v="3.9749999999999996"/>
    <n v="6"/>
    <n v="0.7"/>
    <n v="4"/>
    <n v="2.3723858282016073"/>
    <n v="0.75"/>
    <n v="0"/>
    <x v="1"/>
    <n v="0.83609161802060461"/>
  </r>
  <r>
    <x v="592"/>
    <n v="3.1828839679523702"/>
    <n v="3.9749999999999996"/>
    <n v="7"/>
    <n v="0.25"/>
    <n v="5"/>
    <n v="3.1681068201897"/>
    <n v="1"/>
    <n v="0"/>
    <x v="1"/>
    <n v="0.83609161802060461"/>
  </r>
  <r>
    <x v="593"/>
    <n v="3.1567795766011701"/>
    <n v="3.9749999999999996"/>
    <n v="1"/>
    <n v="0"/>
    <n v="1"/>
    <n v="0"/>
    <n v="0"/>
    <n v="3.1681068201897"/>
    <x v="125"/>
    <n v="0.80689317981029962"/>
  </r>
  <r>
    <x v="594"/>
    <n v="3.1508216358267802"/>
    <n v="3.9749999999999996"/>
    <n v="2"/>
    <n v="0"/>
    <n v="2"/>
    <n v="0"/>
    <n v="0"/>
    <n v="0"/>
    <x v="1"/>
    <n v="0.80689317981029962"/>
  </r>
  <r>
    <x v="595"/>
    <n v="3.1385592562937199"/>
    <n v="3.9749999999999996"/>
    <n v="5"/>
    <n v="0.05"/>
    <n v="3"/>
    <n v="0.15692796281468602"/>
    <n v="0.05"/>
    <n v="0"/>
    <x v="1"/>
    <n v="0.80689317981029962"/>
  </r>
  <r>
    <x v="596"/>
    <n v="3.12943696082093"/>
    <n v="3.9749999999999996"/>
    <n v="6"/>
    <n v="0.7"/>
    <n v="4"/>
    <n v="2.3475338353893367"/>
    <n v="0.75"/>
    <n v="0"/>
    <x v="1"/>
    <n v="0.80689317981029962"/>
  </r>
  <r>
    <x v="597"/>
    <n v="3.09887022841253"/>
    <n v="3.9749999999999996"/>
    <n v="7"/>
    <n v="0.25"/>
    <n v="5"/>
    <n v="3.1222513924924691"/>
    <n v="1"/>
    <n v="0"/>
    <x v="1"/>
    <n v="0.80689317981029962"/>
  </r>
  <r>
    <x v="598"/>
    <n v="3.0781225342059799"/>
    <n v="3.9749999999999996"/>
    <n v="1"/>
    <n v="0"/>
    <n v="1"/>
    <n v="0"/>
    <n v="0"/>
    <n v="3.1222513924924691"/>
    <x v="126"/>
    <n v="0.85274860750753056"/>
  </r>
  <r>
    <x v="599"/>
    <n v="3.0803371977218901"/>
    <n v="3.9749999999999996"/>
    <n v="2"/>
    <n v="0"/>
    <n v="2"/>
    <n v="0"/>
    <n v="0"/>
    <n v="0"/>
    <x v="1"/>
    <n v="0.85274860750753056"/>
  </r>
  <r>
    <x v="600"/>
    <n v="3.1334692922129599"/>
    <n v="3.9749999999999996"/>
    <n v="6"/>
    <n v="0.7"/>
    <n v="3"/>
    <n v="2.1934285045490718"/>
    <n v="0.7"/>
    <n v="0"/>
    <x v="1"/>
    <n v="0.85274860750753056"/>
  </r>
  <r>
    <x v="601"/>
    <n v="3.1253552915520499"/>
    <n v="3.9749999999999996"/>
    <n v="7"/>
    <n v="0.25"/>
    <n v="4"/>
    <n v="2.9747673274370845"/>
    <n v="0.95"/>
    <n v="0"/>
    <x v="1"/>
    <n v="0.85274860750753056"/>
  </r>
  <r>
    <x v="602"/>
    <n v="3.1528316914569898"/>
    <n v="3.9950000000000001"/>
    <n v="1"/>
    <n v="0"/>
    <n v="1"/>
    <n v="0"/>
    <n v="0"/>
    <n v="3.1313340288811418"/>
    <x v="127"/>
    <n v="0.84366597111885788"/>
  </r>
  <r>
    <x v="603"/>
    <n v="3.1681849384338299"/>
    <n v="3.9950000000000001"/>
    <n v="2"/>
    <n v="0"/>
    <n v="2"/>
    <n v="0"/>
    <n v="0"/>
    <n v="0"/>
    <x v="1"/>
    <n v="0.84366597111885788"/>
  </r>
  <r>
    <x v="604"/>
    <n v="3.1760802516618698"/>
    <n v="3.9950000000000001"/>
    <n v="5"/>
    <n v="0.05"/>
    <n v="3"/>
    <n v="0.15880401258309351"/>
    <n v="0.05"/>
    <n v="0"/>
    <x v="1"/>
    <n v="0.84366597111885788"/>
  </r>
  <r>
    <x v="605"/>
    <n v="3.20426354311416"/>
    <n v="3.9950000000000001"/>
    <n v="6"/>
    <n v="0.7"/>
    <n v="4"/>
    <n v="2.4017884927630053"/>
    <n v="0.75"/>
    <n v="0"/>
    <x v="1"/>
    <n v="0.84366597111885788"/>
  </r>
  <r>
    <x v="606"/>
    <n v="3.23966504008277"/>
    <n v="3.9950000000000001"/>
    <n v="7"/>
    <n v="0.25"/>
    <n v="5"/>
    <n v="3.2117047527836977"/>
    <n v="1"/>
    <n v="0"/>
    <x v="1"/>
    <n v="0.84366597111885788"/>
  </r>
  <r>
    <x v="607"/>
    <n v="3.2385398598967701"/>
    <n v="4.1050000000000004"/>
    <n v="1"/>
    <n v="0"/>
    <n v="1"/>
    <n v="0"/>
    <n v="0"/>
    <n v="3.2117047527836977"/>
    <x v="128"/>
    <n v="0.78329524721630239"/>
  </r>
  <r>
    <x v="608"/>
    <n v="3.3013053863626398"/>
    <n v="4.1050000000000004"/>
    <n v="2"/>
    <n v="0"/>
    <n v="2"/>
    <n v="0"/>
    <n v="0"/>
    <n v="0"/>
    <x v="1"/>
    <n v="0.78329524721630239"/>
  </r>
  <r>
    <x v="609"/>
    <n v="3.2813411057709199"/>
    <n v="4.1050000000000004"/>
    <n v="5"/>
    <n v="0.05"/>
    <n v="3"/>
    <n v="0.16406705528854601"/>
    <n v="0.05"/>
    <n v="0"/>
    <x v="1"/>
    <n v="0.78329524721630239"/>
  </r>
  <r>
    <x v="610"/>
    <n v="3.28408302284724"/>
    <n v="4.1050000000000004"/>
    <n v="6"/>
    <n v="0.7"/>
    <n v="4"/>
    <n v="2.4629251712816136"/>
    <n v="0.75"/>
    <n v="0"/>
    <x v="1"/>
    <n v="0.78329524721630239"/>
  </r>
  <r>
    <x v="611"/>
    <n v="3.2889456294412902"/>
    <n v="4.1050000000000004"/>
    <n v="7"/>
    <n v="0.25"/>
    <n v="5"/>
    <n v="3.2851615786419361"/>
    <n v="1"/>
    <n v="0"/>
    <x v="1"/>
    <n v="0.78329524721630239"/>
  </r>
  <r>
    <x v="612"/>
    <n v="3.3001731665241301"/>
    <n v="4.0750000000000002"/>
    <n v="1"/>
    <n v="0"/>
    <n v="1"/>
    <n v="0"/>
    <n v="0"/>
    <n v="3.2851615786419361"/>
    <x v="129"/>
    <n v="0.81983842135806428"/>
  </r>
  <r>
    <x v="613"/>
    <n v="3.2564979130093699"/>
    <n v="4.0750000000000002"/>
    <n v="2"/>
    <n v="0"/>
    <n v="2"/>
    <n v="0"/>
    <n v="0"/>
    <n v="0"/>
    <x v="1"/>
    <n v="0.81983842135806428"/>
  </r>
  <r>
    <x v="614"/>
    <n v="3.2397623305872298"/>
    <n v="4.0750000000000002"/>
    <n v="5"/>
    <n v="0.05"/>
    <n v="3"/>
    <n v="0.16198811652936151"/>
    <n v="0.05"/>
    <n v="0"/>
    <x v="1"/>
    <n v="0.81983842135806428"/>
  </r>
  <r>
    <x v="615"/>
    <n v="3.2147148443632201"/>
    <n v="4.0750000000000002"/>
    <n v="6"/>
    <n v="0.7"/>
    <n v="4"/>
    <n v="2.4122885075836153"/>
    <n v="0.75"/>
    <n v="0"/>
    <x v="1"/>
    <n v="0.81983842135806428"/>
  </r>
  <r>
    <x v="616"/>
    <n v="3.24020380359058"/>
    <n v="4.0750000000000002"/>
    <n v="7"/>
    <n v="0.25"/>
    <n v="5"/>
    <n v="3.2223394584812604"/>
    <n v="1"/>
    <n v="0"/>
    <x v="1"/>
    <n v="0.81983842135806428"/>
  </r>
  <r>
    <x v="617"/>
    <n v="3.19667473354923"/>
    <n v="4.04"/>
    <n v="1"/>
    <n v="0"/>
    <n v="1"/>
    <n v="0"/>
    <n v="0"/>
    <n v="3.2223394584812604"/>
    <x v="130"/>
    <n v="0.85266054151873982"/>
  </r>
  <r>
    <x v="618"/>
    <n v="3.21516848659176"/>
    <n v="4.04"/>
    <n v="2"/>
    <n v="0"/>
    <n v="2"/>
    <n v="0"/>
    <n v="0"/>
    <n v="0"/>
    <x v="1"/>
    <n v="0.85266054151873982"/>
  </r>
  <r>
    <x v="619"/>
    <n v="3.1926835363021802"/>
    <n v="4.04"/>
    <n v="5"/>
    <n v="0.05"/>
    <n v="3"/>
    <n v="0.15963417681510902"/>
    <n v="0.05"/>
    <n v="0"/>
    <x v="1"/>
    <n v="0.85266054151873982"/>
  </r>
  <r>
    <x v="620"/>
    <n v="3.2078957125058598"/>
    <n v="4.04"/>
    <n v="6"/>
    <n v="0.7"/>
    <n v="4"/>
    <n v="2.4051611755692104"/>
    <n v="0.75"/>
    <n v="0"/>
    <x v="1"/>
    <n v="0.85266054151873982"/>
  </r>
  <r>
    <x v="621"/>
    <n v="3.1187867017573798"/>
    <n v="4.04"/>
    <n v="7"/>
    <n v="0.25"/>
    <n v="5"/>
    <n v="3.1848578510085552"/>
    <n v="1"/>
    <n v="0"/>
    <x v="1"/>
    <n v="0.85266054151873982"/>
  </r>
  <r>
    <x v="622"/>
    <n v="3.13610168579967"/>
    <n v="3.9950000000000001"/>
    <n v="1"/>
    <n v="0"/>
    <n v="1"/>
    <n v="0"/>
    <n v="0"/>
    <n v="3.1848578510085552"/>
    <x v="131"/>
    <n v="0.85514214899144481"/>
  </r>
  <r>
    <x v="623"/>
    <n v="3.14080245533752"/>
    <n v="3.9950000000000001"/>
    <n v="2"/>
    <n v="0"/>
    <n v="2"/>
    <n v="0"/>
    <n v="0"/>
    <n v="0"/>
    <x v="1"/>
    <n v="0.85514214899144481"/>
  </r>
  <r>
    <x v="624"/>
    <n v="3.12297819640008"/>
    <n v="3.9950000000000001"/>
    <n v="5"/>
    <n v="0.05"/>
    <n v="3"/>
    <n v="0.15614890982000401"/>
    <n v="0.05"/>
    <n v="0"/>
    <x v="1"/>
    <n v="0.85514214899144481"/>
  </r>
  <r>
    <x v="625"/>
    <n v="3.05716566753143"/>
    <n v="3.9950000000000001"/>
    <n v="6"/>
    <n v="0.7"/>
    <n v="4"/>
    <n v="2.2961648770920049"/>
    <n v="0.75"/>
    <n v="0"/>
    <x v="1"/>
    <n v="0.85514214899144481"/>
  </r>
  <r>
    <x v="626"/>
    <n v="3.00695688776984"/>
    <n v="3.9950000000000001"/>
    <n v="7"/>
    <n v="0.25"/>
    <n v="5"/>
    <n v="3.047904099034465"/>
    <n v="1"/>
    <n v="0"/>
    <x v="1"/>
    <n v="0.85514214899144481"/>
  </r>
  <r>
    <x v="627"/>
    <n v="3.0093512074845101"/>
    <n v="3.8450000000000002"/>
    <n v="1"/>
    <n v="0"/>
    <n v="1"/>
    <n v="0"/>
    <n v="0"/>
    <n v="3.047904099034465"/>
    <x v="132"/>
    <n v="0.94709590096553509"/>
  </r>
  <r>
    <x v="628"/>
    <n v="3.0064713691768699"/>
    <n v="3.8450000000000002"/>
    <n v="2"/>
    <n v="0"/>
    <n v="2"/>
    <n v="0"/>
    <n v="0"/>
    <n v="0"/>
    <x v="1"/>
    <n v="0.94709590096553509"/>
  </r>
  <r>
    <x v="629"/>
    <n v="2.9156735260487601"/>
    <n v="3.8450000000000002"/>
    <n v="6"/>
    <n v="0.7"/>
    <n v="3"/>
    <n v="2.0409714682341318"/>
    <n v="0.7"/>
    <n v="0"/>
    <x v="1"/>
    <n v="0.94709590096553509"/>
  </r>
  <r>
    <x v="630"/>
    <n v="2.8012763487796"/>
    <n v="3.8450000000000002"/>
    <n v="7"/>
    <n v="0.25"/>
    <n v="4"/>
    <n v="2.7412905554290319"/>
    <n v="0.95"/>
    <n v="0"/>
    <x v="1"/>
    <n v="0.94709590096553509"/>
  </r>
  <r>
    <x v="631"/>
    <n v="2.88997696662019"/>
    <n v="3.7949999999999999"/>
    <n v="1"/>
    <n v="0"/>
    <n v="1"/>
    <n v="0"/>
    <n v="0"/>
    <n v="2.8855690057147707"/>
    <x v="133"/>
    <n v="0.95943099428522949"/>
  </r>
  <r>
    <x v="632"/>
    <n v="2.9089681552965998"/>
    <n v="3.7949999999999999"/>
    <n v="2"/>
    <n v="0"/>
    <n v="2"/>
    <n v="0"/>
    <n v="0"/>
    <n v="0"/>
    <x v="1"/>
    <n v="0.95943099428522949"/>
  </r>
  <r>
    <x v="633"/>
    <n v="2.88228276625992"/>
    <n v="3.7949999999999999"/>
    <n v="5"/>
    <n v="0.05"/>
    <n v="3"/>
    <n v="0.14411413831299599"/>
    <n v="0.05"/>
    <n v="0"/>
    <x v="1"/>
    <n v="0.95943099428522949"/>
  </r>
  <r>
    <x v="634"/>
    <n v="2.90260596221672"/>
    <n v="3.7949999999999999"/>
    <n v="6"/>
    <n v="0.7"/>
    <n v="4"/>
    <n v="2.1759383118646998"/>
    <n v="0.75"/>
    <n v="0"/>
    <x v="1"/>
    <n v="0.95943099428522949"/>
  </r>
  <r>
    <x v="635"/>
    <n v="2.91560839979166"/>
    <n v="3.7949999999999999"/>
    <n v="7"/>
    <n v="0.25"/>
    <n v="5"/>
    <n v="2.9048404118126148"/>
    <n v="1"/>
    <n v="0"/>
    <x v="1"/>
    <n v="0.95943099428522949"/>
  </r>
  <r>
    <x v="636"/>
    <n v="2.9569729972046299"/>
    <n v="3.855"/>
    <n v="1"/>
    <n v="0"/>
    <n v="1"/>
    <n v="0"/>
    <n v="0"/>
    <n v="2.9048404118126148"/>
    <x v="134"/>
    <n v="0.89015958818738516"/>
  </r>
  <r>
    <x v="637"/>
    <n v="2.9670641789919698"/>
    <n v="3.855"/>
    <n v="2"/>
    <n v="0"/>
    <n v="2"/>
    <n v="0"/>
    <n v="0"/>
    <n v="0"/>
    <x v="1"/>
    <n v="0.89015958818738516"/>
  </r>
  <r>
    <x v="638"/>
    <n v="2.95063055740501"/>
    <n v="3.855"/>
    <n v="5"/>
    <n v="0.05"/>
    <n v="3"/>
    <n v="0.14753152787025051"/>
    <n v="0.05"/>
    <n v="0"/>
    <x v="1"/>
    <n v="0.89015958818738516"/>
  </r>
  <r>
    <x v="639"/>
    <n v="2.9732615646767"/>
    <n v="3.855"/>
    <n v="6"/>
    <n v="0.7"/>
    <n v="4"/>
    <n v="2.2288146231439403"/>
    <n v="0.75"/>
    <n v="0"/>
    <x v="1"/>
    <n v="0.89015958818738516"/>
  </r>
  <r>
    <x v="640"/>
    <n v="3.0090985385111702"/>
    <n v="3.855"/>
    <n v="7"/>
    <n v="0.25"/>
    <n v="5"/>
    <n v="2.9810892577717327"/>
    <n v="1"/>
    <n v="0"/>
    <x v="1"/>
    <n v="0.89015958818738516"/>
  </r>
  <r>
    <x v="641"/>
    <n v="2.9884141965756501"/>
    <n v="3.8949999999999996"/>
    <n v="1"/>
    <n v="0"/>
    <n v="1"/>
    <n v="0"/>
    <n v="0"/>
    <n v="2.9810892577717327"/>
    <x v="135"/>
    <n v="0.87391074222826726"/>
  </r>
  <r>
    <x v="642"/>
    <n v="3.0097405474457601"/>
    <n v="3.8949999999999996"/>
    <n v="2"/>
    <n v="0"/>
    <n v="2"/>
    <n v="0"/>
    <n v="0"/>
    <n v="0"/>
    <x v="1"/>
    <n v="0.87391074222826726"/>
  </r>
  <r>
    <x v="643"/>
    <n v="3.04727792085342"/>
    <n v="3.8949999999999996"/>
    <n v="5"/>
    <n v="0.05"/>
    <n v="3"/>
    <n v="0.152363896042671"/>
    <n v="0.05"/>
    <n v="0"/>
    <x v="1"/>
    <n v="0.87391074222826726"/>
  </r>
  <r>
    <x v="644"/>
    <n v="3.0442418004482401"/>
    <n v="3.8949999999999996"/>
    <n v="6"/>
    <n v="0.7"/>
    <n v="4"/>
    <n v="2.2833331563564387"/>
    <n v="0.75"/>
    <n v="0"/>
    <x v="1"/>
    <n v="0.87391074222826726"/>
  </r>
  <r>
    <x v="645"/>
    <n v="3.04444949772784"/>
    <n v="3.8949999999999996"/>
    <n v="7"/>
    <n v="0.25"/>
    <n v="5"/>
    <n v="3.0444455307883986"/>
    <n v="1"/>
    <n v="0"/>
    <x v="1"/>
    <n v="0.87391074222826726"/>
  </r>
  <r>
    <x v="646"/>
    <n v="3.05201083744713"/>
    <n v="3.8849999999999998"/>
    <n v="1"/>
    <n v="0"/>
    <n v="1"/>
    <n v="0"/>
    <n v="0"/>
    <n v="3.0444455307883986"/>
    <x v="136"/>
    <n v="0.85055446921160094"/>
  </r>
  <r>
    <x v="647"/>
    <n v="3.00136099640791"/>
    <n v="3.8849999999999998"/>
    <n v="2"/>
    <n v="0"/>
    <n v="2"/>
    <n v="0"/>
    <n v="0"/>
    <n v="0"/>
    <x v="1"/>
    <n v="0.85055446921160094"/>
  </r>
  <r>
    <x v="648"/>
    <n v="3.0363365323845302"/>
    <n v="3.8849999999999998"/>
    <n v="5"/>
    <n v="0.05"/>
    <n v="3"/>
    <n v="0.15181682661922652"/>
    <n v="0.05"/>
    <n v="0"/>
    <x v="1"/>
    <n v="0.85055446921160094"/>
  </r>
  <r>
    <x v="649"/>
    <n v="3.03648433223462"/>
    <n v="3.8849999999999998"/>
    <n v="7"/>
    <n v="0.25"/>
    <n v="4"/>
    <n v="0.91093790967788157"/>
    <n v="0.3"/>
    <n v="0"/>
    <x v="1"/>
    <n v="0.85055446921160094"/>
  </r>
  <r>
    <x v="650"/>
    <n v="3.0240880311784402"/>
    <n v="3.8650000000000002"/>
    <n v="1"/>
    <n v="0"/>
    <n v="1"/>
    <n v="0"/>
    <n v="0"/>
    <n v="3.0364596989262722"/>
    <x v="137"/>
    <n v="0.84854030107372758"/>
  </r>
  <r>
    <x v="651"/>
    <n v="2.9883080633805301"/>
    <n v="3.8650000000000002"/>
    <n v="2"/>
    <n v="0"/>
    <n v="2"/>
    <n v="0"/>
    <n v="0"/>
    <n v="0"/>
    <x v="1"/>
    <n v="0.84854030107372758"/>
  </r>
  <r>
    <x v="652"/>
    <n v="2.9940977333827501"/>
    <n v="3.8650000000000002"/>
    <n v="5"/>
    <n v="0.05"/>
    <n v="3"/>
    <n v="0.1497048866691375"/>
    <n v="0.05"/>
    <n v="0"/>
    <x v="1"/>
    <n v="0.84854030107372758"/>
  </r>
  <r>
    <x v="653"/>
    <n v="2.98225794262494"/>
    <n v="3.8650000000000002"/>
    <n v="6"/>
    <n v="0.7"/>
    <n v="4"/>
    <n v="2.2372854465065952"/>
    <n v="0.75"/>
    <n v="0"/>
    <x v="1"/>
    <n v="0.84854030107372758"/>
  </r>
  <r>
    <x v="654"/>
    <n v="3.0039537946355401"/>
    <n v="3.8650000000000002"/>
    <n v="7"/>
    <n v="0.25"/>
    <n v="5"/>
    <n v="2.9882738951654804"/>
    <n v="1"/>
    <n v="0"/>
    <x v="1"/>
    <n v="0.84854030107372758"/>
  </r>
  <r>
    <x v="654"/>
    <n v="3.0039537946355401"/>
    <n v="3.8450000000000002"/>
    <n v="7"/>
    <n v="0.25"/>
    <n v="1"/>
    <n v="0.75098844865888503"/>
    <n v="0.25"/>
    <n v="2.9882738951654804"/>
    <x v="138"/>
    <n v="0.87672610483451985"/>
  </r>
  <r>
    <x v="655"/>
    <n v="2.9824542230370898"/>
    <n v="3.8450000000000002"/>
    <n v="1"/>
    <n v="0"/>
    <n v="1"/>
    <n v="0"/>
    <n v="0"/>
    <n v="0"/>
    <x v="1"/>
    <n v="0.87672610483451985"/>
  </r>
  <r>
    <x v="656"/>
    <n v="2.96503071609644"/>
    <n v="3.8450000000000002"/>
    <n v="2"/>
    <n v="0"/>
    <n v="2"/>
    <n v="0"/>
    <n v="0"/>
    <n v="0"/>
    <x v="1"/>
    <n v="0.87672610483451985"/>
  </r>
  <r>
    <x v="657"/>
    <n v="2.9533754292471799"/>
    <n v="3.8450000000000002"/>
    <n v="5"/>
    <n v="0.05"/>
    <n v="3"/>
    <n v="0.14766877146235899"/>
    <n v="0.05"/>
    <n v="0"/>
    <x v="1"/>
    <n v="0.87672610483451985"/>
  </r>
  <r>
    <x v="658"/>
    <n v="2.8987235748393099"/>
    <n v="3.8450000000000002"/>
    <n v="6"/>
    <n v="0.7"/>
    <n v="4"/>
    <n v="2.1767752738498758"/>
    <n v="0.75"/>
    <n v="0"/>
    <x v="1"/>
    <n v="0.87672610483451985"/>
  </r>
  <r>
    <x v="659"/>
    <n v="2.84568526355815"/>
    <n v="3.7650000000000001"/>
    <n v="2"/>
    <n v="0"/>
    <n v="1"/>
    <n v="0"/>
    <n v="0"/>
    <n v="2.9023670317998342"/>
    <x v="139"/>
    <n v="0.94263296820016595"/>
  </r>
  <r>
    <x v="660"/>
    <n v="2.8622800897906999"/>
    <n v="3.7650000000000001"/>
    <n v="5"/>
    <n v="0.05"/>
    <n v="2"/>
    <n v="0.14311400448953501"/>
    <n v="0.05"/>
    <n v="0"/>
    <x v="1"/>
    <n v="0.94263296820016595"/>
  </r>
  <r>
    <x v="661"/>
    <n v="2.92504129119764"/>
    <n v="3.7650000000000001"/>
    <n v="6"/>
    <n v="0.7"/>
    <n v="3"/>
    <n v="2.1906429083278831"/>
    <n v="0.75"/>
    <n v="0"/>
    <x v="1"/>
    <n v="0.94263296820016595"/>
  </r>
  <r>
    <x v="662"/>
    <n v="2.9323159668402701"/>
    <n v="3.7650000000000001"/>
    <n v="7"/>
    <n v="0.25"/>
    <n v="4"/>
    <n v="2.9237219000379504"/>
    <n v="1"/>
    <n v="0"/>
    <x v="1"/>
    <n v="0.94263296820016595"/>
  </r>
  <r>
    <x v="663"/>
    <n v="2.90250988237801"/>
    <n v="3.8050000000000002"/>
    <n v="1"/>
    <n v="0"/>
    <n v="1"/>
    <n v="0"/>
    <n v="0"/>
    <n v="2.9237219000379504"/>
    <x v="140"/>
    <n v="0.84127809996204972"/>
  </r>
  <r>
    <x v="664"/>
    <n v="2.9546349103912699"/>
    <n v="3.8050000000000002"/>
    <n v="2"/>
    <n v="0"/>
    <n v="2"/>
    <n v="0"/>
    <n v="0"/>
    <n v="0"/>
    <x v="1"/>
    <n v="0.84127809996204972"/>
  </r>
  <r>
    <x v="665"/>
    <n v="2.9087586637234901"/>
    <n v="3.8050000000000002"/>
    <n v="5"/>
    <n v="0.05"/>
    <n v="3"/>
    <n v="0.14543793318617451"/>
    <n v="0.05"/>
    <n v="0"/>
    <x v="1"/>
    <n v="0.84127809996204972"/>
  </r>
  <r>
    <x v="666"/>
    <n v="2.8860238028398202"/>
    <n v="3.8050000000000002"/>
    <n v="6"/>
    <n v="0.7"/>
    <n v="4"/>
    <n v="2.1656545951740482"/>
    <n v="0.75"/>
    <n v="0"/>
    <x v="1"/>
    <n v="0.84127809996204972"/>
  </r>
  <r>
    <x v="667"/>
    <n v="2.8515070487427501"/>
    <n v="3.8050000000000002"/>
    <n v="7"/>
    <n v="0.25"/>
    <n v="5"/>
    <n v="2.8785313573597358"/>
    <n v="1"/>
    <n v="0"/>
    <x v="1"/>
    <n v="0.84127809996204972"/>
  </r>
  <r>
    <x v="668"/>
    <n v="2.8634343397483599"/>
    <n v="3.6999999999999997"/>
    <n v="1"/>
    <n v="0"/>
    <n v="1"/>
    <n v="0"/>
    <n v="0"/>
    <n v="2.8785313573597358"/>
    <x v="141"/>
    <n v="0.92646864264026441"/>
  </r>
  <r>
    <x v="669"/>
    <n v="2.80057780204395"/>
    <n v="3.6999999999999997"/>
    <n v="2"/>
    <n v="0"/>
    <n v="2"/>
    <n v="0"/>
    <n v="0"/>
    <n v="0"/>
    <x v="1"/>
    <n v="0.92646864264026441"/>
  </r>
  <r>
    <x v="670"/>
    <n v="2.8291749929655099"/>
    <n v="3.6999999999999997"/>
    <n v="5"/>
    <n v="0.05"/>
    <n v="3"/>
    <n v="0.14145874964827551"/>
    <n v="0.05"/>
    <n v="0"/>
    <x v="1"/>
    <n v="0.92646864264026441"/>
  </r>
  <r>
    <x v="671"/>
    <n v="2.7872489970640002"/>
    <n v="3.6999999999999997"/>
    <n v="6"/>
    <n v="0.7"/>
    <n v="4"/>
    <n v="2.0925330475930752"/>
    <n v="0.75"/>
    <n v="0"/>
    <x v="1"/>
    <n v="0.92646864264026441"/>
  </r>
  <r>
    <x v="672"/>
    <n v="2.8371501312702399"/>
    <n v="3.6999999999999997"/>
    <n v="7"/>
    <n v="0.25"/>
    <n v="5"/>
    <n v="2.8018205804106353"/>
    <n v="1"/>
    <n v="0"/>
    <x v="1"/>
    <n v="0.92646864264026441"/>
  </r>
  <r>
    <x v="672"/>
    <n v="2.8371501312702399"/>
    <n v="3.73"/>
    <n v="7"/>
    <n v="0.25"/>
    <n v="1"/>
    <n v="0.70928753281755996"/>
    <n v="0.25"/>
    <n v="2.8018205804106353"/>
    <x v="142"/>
    <n v="0.89817941958936443"/>
  </r>
  <r>
    <x v="673"/>
    <n v="2.8582300067965201"/>
    <n v="3.73"/>
    <n v="1"/>
    <n v="0"/>
    <n v="1"/>
    <n v="0"/>
    <n v="0"/>
    <n v="0"/>
    <x v="1"/>
    <n v="0.89817941958936443"/>
  </r>
  <r>
    <x v="674"/>
    <n v="2.8337398573021799"/>
    <n v="3.73"/>
    <n v="2"/>
    <n v="0"/>
    <n v="2"/>
    <n v="0"/>
    <n v="0"/>
    <n v="0"/>
    <x v="1"/>
    <n v="0.89817941958936443"/>
  </r>
  <r>
    <x v="675"/>
    <n v="2.8256441971088901"/>
    <n v="3.73"/>
    <n v="5"/>
    <n v="0.05"/>
    <n v="3"/>
    <n v="0.14128220985544451"/>
    <n v="0.05"/>
    <n v="0"/>
    <x v="1"/>
    <n v="0.89817941958936443"/>
  </r>
  <r>
    <x v="676"/>
    <n v="2.91032440435752"/>
    <n v="3.73"/>
    <n v="6"/>
    <n v="0.7"/>
    <n v="4"/>
    <n v="2.1785092929057086"/>
    <n v="0.75"/>
    <n v="0"/>
    <x v="1"/>
    <n v="0.89817941958936443"/>
  </r>
  <r>
    <x v="677"/>
    <n v="2.90975275027838"/>
    <n v="3.77"/>
    <n v="7"/>
    <n v="0.25"/>
    <n v="5"/>
    <n v="2.9059474804753034"/>
    <n v="1"/>
    <n v="0"/>
    <x v="1"/>
    <n v="0.89817941958936443"/>
  </r>
  <r>
    <x v="678"/>
    <n v="2.8912427168811901"/>
    <n v="3.77"/>
    <n v="2"/>
    <n v="0"/>
    <n v="1"/>
    <n v="0"/>
    <n v="0"/>
    <n v="2.9059474804753034"/>
    <x v="143"/>
    <n v="0.86405251952469664"/>
  </r>
  <r>
    <x v="679"/>
    <n v="2.8609798255384802"/>
    <n v="3.77"/>
    <n v="5"/>
    <n v="0.05"/>
    <n v="2"/>
    <n v="0.14304899127692403"/>
    <n v="0.05"/>
    <n v="0"/>
    <x v="1"/>
    <n v="0.86405251952469664"/>
  </r>
  <r>
    <x v="680"/>
    <n v="2.8519980737177399"/>
    <n v="3.77"/>
    <n v="6"/>
    <n v="0.7"/>
    <n v="3"/>
    <n v="2.1394476428793419"/>
    <n v="0.75"/>
    <n v="0"/>
    <x v="1"/>
    <n v="0.86405251952469664"/>
  </r>
  <r>
    <x v="681"/>
    <n v="2.7854452423976599"/>
    <n v="3.63"/>
    <n v="2"/>
    <n v="0"/>
    <n v="1"/>
    <n v="0"/>
    <n v="0"/>
    <n v="2.8525968571724558"/>
    <x v="144"/>
    <n v="0.9174031428275442"/>
  </r>
  <r>
    <x v="682"/>
    <n v="2.6962701266687499"/>
    <n v="3.63"/>
    <n v="5"/>
    <n v="0.05"/>
    <n v="2"/>
    <n v="0.1348135063334375"/>
    <n v="0.05"/>
    <n v="0"/>
    <x v="1"/>
    <n v="0.9174031428275442"/>
  </r>
  <r>
    <x v="683"/>
    <n v="2.61636453709349"/>
    <n v="3.63"/>
    <n v="6"/>
    <n v="0.7"/>
    <n v="3"/>
    <n v="1.9662686822988804"/>
    <n v="0.75"/>
    <n v="0"/>
    <x v="1"/>
    <n v="0.9174031428275442"/>
  </r>
  <r>
    <x v="684"/>
    <n v="2.6248431051869581"/>
    <n v="3.63"/>
    <n v="7"/>
    <n v="0.25"/>
    <n v="4"/>
    <n v="2.6224794585956199"/>
    <n v="1"/>
    <n v="0"/>
    <x v="1"/>
    <n v="0.9174031428275442"/>
  </r>
  <r>
    <x v="685"/>
    <n v="2.6774292062275329"/>
    <n v="3.56"/>
    <n v="1"/>
    <n v="0"/>
    <n v="1"/>
    <n v="0"/>
    <n v="0"/>
    <n v="2.6224794585956199"/>
    <x v="145"/>
    <n v="1.00752054140438"/>
  </r>
  <r>
    <x v="686"/>
    <n v="2.6462920309129299"/>
    <n v="3.56"/>
    <n v="2"/>
    <n v="0"/>
    <n v="2"/>
    <n v="0"/>
    <n v="0"/>
    <n v="0"/>
    <x v="1"/>
    <n v="1.00752054140438"/>
  </r>
  <r>
    <x v="687"/>
    <n v="2.5936190223084101"/>
    <n v="3.56"/>
    <n v="5"/>
    <n v="0.05"/>
    <n v="3"/>
    <n v="0.12968095111542052"/>
    <n v="0.05"/>
    <n v="0"/>
    <x v="1"/>
    <n v="1.00752054140438"/>
  </r>
  <r>
    <x v="688"/>
    <n v="2.57954379421794"/>
    <n v="3.56"/>
    <n v="6"/>
    <n v="0.7"/>
    <n v="4"/>
    <n v="1.9353616070679782"/>
    <n v="0.75"/>
    <n v="0"/>
    <x v="1"/>
    <n v="1.00752054140438"/>
  </r>
  <r>
    <x v="689"/>
    <n v="2.49106608048328"/>
    <n v="3.56"/>
    <n v="7"/>
    <n v="0.25"/>
    <n v="5"/>
    <n v="2.5581281271887981"/>
    <n v="1"/>
    <n v="0"/>
    <x v="1"/>
    <n v="1.00752054140438"/>
  </r>
  <r>
    <x v="690"/>
    <n v="2.4553295319883701"/>
    <n v="3.5549999999999997"/>
    <n v="1"/>
    <n v="0"/>
    <n v="1"/>
    <n v="0"/>
    <n v="0"/>
    <n v="2.5581281271887981"/>
    <x v="146"/>
    <n v="1.0018718728112019"/>
  </r>
  <r>
    <x v="691"/>
    <n v="2.5454794820645601"/>
    <n v="3.5549999999999997"/>
    <n v="2"/>
    <n v="0"/>
    <n v="2"/>
    <n v="0"/>
    <n v="0"/>
    <n v="0"/>
    <x v="1"/>
    <n v="1.0018718728112019"/>
  </r>
  <r>
    <x v="692"/>
    <n v="2.55737179181423"/>
    <n v="3.5549999999999997"/>
    <n v="6"/>
    <n v="0.7"/>
    <n v="3"/>
    <n v="1.7901602542699608"/>
    <n v="0.7"/>
    <n v="0"/>
    <x v="1"/>
    <n v="1.0018718728112019"/>
  </r>
  <r>
    <x v="693"/>
    <n v="2.6084944348331098"/>
    <n v="3.5549999999999997"/>
    <n v="7"/>
    <n v="0.25"/>
    <n v="4"/>
    <n v="2.4422838629782384"/>
    <n v="0.95"/>
    <n v="0"/>
    <x v="1"/>
    <n v="1.0018718728112019"/>
  </r>
  <r>
    <x v="694"/>
    <n v="2.6170205733531602"/>
    <n v="3.56"/>
    <n v="1"/>
    <n v="0"/>
    <n v="1"/>
    <n v="0"/>
    <n v="0"/>
    <n v="2.5708251189244615"/>
    <x v="147"/>
    <n v="0.98417488107553819"/>
  </r>
  <r>
    <x v="695"/>
    <n v="2.5688065849413189"/>
    <n v="3.56"/>
    <n v="2"/>
    <n v="0"/>
    <n v="2"/>
    <n v="0"/>
    <n v="0"/>
    <n v="0"/>
    <x v="1"/>
    <n v="0.98417488107553819"/>
  </r>
  <r>
    <x v="696"/>
    <n v="2.5964187919228277"/>
    <n v="3.56"/>
    <n v="5"/>
    <n v="0.05"/>
    <n v="3"/>
    <n v="0.12982093959614138"/>
    <n v="0.05"/>
    <n v="0"/>
    <x v="1"/>
    <n v="0.98417488107553819"/>
  </r>
  <r>
    <x v="697"/>
    <n v="2.58566791572217"/>
    <n v="3.56"/>
    <n v="6"/>
    <n v="0.7"/>
    <n v="4"/>
    <n v="1.9397884806016603"/>
    <n v="0.75"/>
    <n v="0"/>
    <x v="1"/>
    <n v="0.98417488107553819"/>
  </r>
  <r>
    <x v="698"/>
    <n v="2.5075854882079498"/>
    <n v="3.56"/>
    <n v="7"/>
    <n v="0.25"/>
    <n v="5"/>
    <n v="2.5666848526536477"/>
    <n v="1"/>
    <n v="0"/>
    <x v="1"/>
    <n v="0.98417488107553819"/>
  </r>
  <r>
    <x v="699"/>
    <n v="2.5133603709402799"/>
    <n v="3.5149999999999997"/>
    <n v="1"/>
    <n v="0"/>
    <n v="1"/>
    <n v="0"/>
    <n v="0"/>
    <n v="2.5666848526536477"/>
    <x v="148"/>
    <n v="0.9933151473463524"/>
  </r>
  <r>
    <x v="700"/>
    <n v="2.4526687901347302"/>
    <n v="3.5149999999999997"/>
    <n v="2"/>
    <n v="0"/>
    <n v="2"/>
    <n v="0"/>
    <n v="0"/>
    <n v="0"/>
    <x v="1"/>
    <n v="0.9933151473463524"/>
  </r>
  <r>
    <x v="701"/>
    <n v="2.4482414321452199"/>
    <n v="3.5149999999999997"/>
    <n v="5"/>
    <n v="0.05"/>
    <n v="3"/>
    <n v="0.122412071607261"/>
    <n v="0.05"/>
    <n v="0"/>
    <x v="1"/>
    <n v="0.9933151473463524"/>
  </r>
  <r>
    <x v="702"/>
    <n v="2.5386092043872699"/>
    <n v="3.5149999999999997"/>
    <n v="6"/>
    <n v="0.7"/>
    <n v="4"/>
    <n v="1.8994385146783497"/>
    <n v="0.75"/>
    <n v="0"/>
    <x v="1"/>
    <n v="0.9933151473463524"/>
  </r>
  <r>
    <x v="703"/>
    <n v="2.56620444102245"/>
    <n v="3.5149999999999997"/>
    <n v="7"/>
    <n v="0.25"/>
    <n v="5"/>
    <n v="2.5409896249339621"/>
    <n v="1"/>
    <n v="0"/>
    <x v="1"/>
    <n v="0.9933151473463524"/>
  </r>
  <r>
    <x v="704"/>
    <n v="2.5588939804772202"/>
    <n v="3.59"/>
    <n v="1"/>
    <n v="0"/>
    <n v="1"/>
    <n v="0"/>
    <n v="0"/>
    <n v="2.5409896249339621"/>
    <x v="149"/>
    <n v="0.9740103750660376"/>
  </r>
  <r>
    <x v="705"/>
    <n v="2.6748566998957601"/>
    <n v="3.59"/>
    <n v="2"/>
    <n v="0"/>
    <n v="2"/>
    <n v="0"/>
    <n v="0"/>
    <n v="0"/>
    <x v="1"/>
    <n v="0.9740103750660376"/>
  </r>
  <r>
    <x v="706"/>
    <n v="2.6856648240007002"/>
    <n v="3.59"/>
    <n v="5"/>
    <n v="0.05"/>
    <n v="3"/>
    <n v="0.13428324120003501"/>
    <n v="0.05"/>
    <n v="0"/>
    <x v="1"/>
    <n v="0.9740103750660376"/>
  </r>
  <r>
    <x v="707"/>
    <n v="2.7450619013759301"/>
    <n v="3.59"/>
    <n v="6"/>
    <n v="0.7"/>
    <n v="4"/>
    <n v="2.0558265721631859"/>
    <n v="0.75"/>
    <n v="0"/>
    <x v="1"/>
    <n v="0.9740103750660376"/>
  </r>
  <r>
    <x v="708"/>
    <n v="2.7390944645368598"/>
    <n v="3.59"/>
    <n v="7"/>
    <n v="0.25"/>
    <n v="5"/>
    <n v="2.7406001882974009"/>
    <n v="1"/>
    <n v="0"/>
    <x v="1"/>
    <n v="0.9740103750660376"/>
  </r>
  <r>
    <x v="709"/>
    <n v="2.7217472845669599"/>
    <n v="3.6599999999999997"/>
    <n v="1"/>
    <n v="0"/>
    <n v="1"/>
    <n v="0"/>
    <n v="0"/>
    <n v="2.7406001882974009"/>
    <x v="150"/>
    <n v="0.84939981170259893"/>
  </r>
  <r>
    <x v="710"/>
    <n v="2.7439532601441399"/>
    <n v="3.6599999999999997"/>
    <n v="2"/>
    <n v="0"/>
    <n v="2"/>
    <n v="0"/>
    <n v="0"/>
    <n v="0"/>
    <x v="1"/>
    <n v="0.84939981170259893"/>
  </r>
  <r>
    <x v="711"/>
    <n v="2.8647464299960101"/>
    <n v="3.6599999999999997"/>
    <n v="6"/>
    <n v="0.7"/>
    <n v="3"/>
    <n v="2.0053225009972069"/>
    <n v="0.7"/>
    <n v="0"/>
    <x v="1"/>
    <n v="0.84939981170259893"/>
  </r>
  <r>
    <x v="712"/>
    <n v="2.80663775198708"/>
    <n v="3.6599999999999997"/>
    <n v="7"/>
    <n v="0.25"/>
    <n v="4"/>
    <n v="2.7069819389939767"/>
    <n v="0.95"/>
    <n v="0"/>
    <x v="1"/>
    <n v="0.84939981170259893"/>
  </r>
  <r>
    <x v="713"/>
    <n v="2.8310816393070799"/>
    <n v="3.6999999999999997"/>
    <n v="1"/>
    <n v="0"/>
    <n v="1"/>
    <n v="0"/>
    <n v="0"/>
    <n v="2.8494546726252388"/>
    <x v="151"/>
    <n v="0.81054532737476093"/>
  </r>
  <r>
    <x v="714"/>
    <n v="2.8495343936509898"/>
    <n v="3.6999999999999997"/>
    <n v="2"/>
    <n v="0"/>
    <n v="2"/>
    <n v="0"/>
    <n v="0"/>
    <n v="0"/>
    <x v="1"/>
    <n v="0.81054532737476093"/>
  </r>
  <r>
    <x v="715"/>
    <n v="2.8051692512697501"/>
    <n v="3.6999999999999997"/>
    <n v="5"/>
    <n v="0.05"/>
    <n v="3"/>
    <n v="0.14025846256348751"/>
    <n v="0.05"/>
    <n v="0"/>
    <x v="1"/>
    <n v="0.81054532737476093"/>
  </r>
  <r>
    <x v="716"/>
    <n v="2.7456841844873301"/>
    <n v="3.6999999999999997"/>
    <n v="6"/>
    <n v="0.7"/>
    <n v="4"/>
    <n v="2.0622373917046186"/>
    <n v="0.75"/>
    <n v="0"/>
    <x v="1"/>
    <n v="0.81054532737476093"/>
  </r>
  <r>
    <x v="717"/>
    <n v="2.7262373083687401"/>
    <n v="3.6999999999999997"/>
    <n v="7"/>
    <n v="0.25"/>
    <n v="5"/>
    <n v="2.7437967187968035"/>
    <n v="1"/>
    <n v="0"/>
    <x v="1"/>
    <n v="0.81054532737476093"/>
  </r>
  <r>
    <x v="718"/>
    <n v="2.7641939622688101"/>
    <n v="3.65"/>
    <n v="1"/>
    <n v="0"/>
    <n v="1"/>
    <n v="0"/>
    <n v="0"/>
    <n v="2.7437967187968035"/>
    <x v="152"/>
    <n v="0.9562032812031962"/>
  </r>
  <r>
    <x v="719"/>
    <n v="2.7365985708724101"/>
    <n v="3.65"/>
    <n v="2"/>
    <n v="0"/>
    <n v="2"/>
    <n v="0"/>
    <n v="0"/>
    <n v="0"/>
    <x v="1"/>
    <n v="0.9562032812031962"/>
  </r>
  <r>
    <x v="720"/>
    <n v="2.7916349569467398"/>
    <n v="3.65"/>
    <n v="5"/>
    <n v="0.05"/>
    <n v="3"/>
    <n v="0.13958174784733698"/>
    <n v="0.05"/>
    <n v="0"/>
    <x v="1"/>
    <n v="0.9562032812031962"/>
  </r>
  <r>
    <x v="721"/>
    <n v="2.8341999400292899"/>
    <n v="3.65"/>
    <n v="6"/>
    <n v="0.7"/>
    <n v="4"/>
    <n v="2.1235217058678399"/>
    <n v="0.75"/>
    <n v="0"/>
    <x v="1"/>
    <n v="0.9562032812031962"/>
  </r>
  <r>
    <x v="722"/>
    <n v="2.8241837227534399"/>
    <n v="3.65"/>
    <n v="7"/>
    <n v="0.25"/>
    <n v="5"/>
    <n v="2.8295676365561997"/>
    <n v="1"/>
    <n v="0"/>
    <x v="1"/>
    <n v="0.9562032812031962"/>
  </r>
  <r>
    <x v="723"/>
    <n v="2.81556157497667"/>
    <n v="3.76"/>
    <n v="1"/>
    <n v="0"/>
    <n v="1"/>
    <n v="0"/>
    <n v="0"/>
    <n v="2.8295676365561997"/>
    <x v="153"/>
    <n v="0.82043236344380022"/>
  </r>
  <r>
    <x v="724"/>
    <n v="2.9303170109018999"/>
    <n v="3.76"/>
    <n v="2"/>
    <n v="0"/>
    <n v="2"/>
    <n v="0"/>
    <n v="0"/>
    <n v="0"/>
    <x v="1"/>
    <n v="0.82043236344380022"/>
  </r>
  <r>
    <x v="725"/>
    <n v="2.90222752352993"/>
    <n v="3.76"/>
    <n v="5"/>
    <n v="0.05"/>
    <n v="3"/>
    <n v="0.1451113761764965"/>
    <n v="0.05"/>
    <n v="0"/>
    <x v="1"/>
    <n v="0.82043236344380022"/>
  </r>
  <r>
    <x v="726"/>
    <n v="2.84635033680676"/>
    <n v="3.76"/>
    <n v="6"/>
    <n v="0.7"/>
    <n v="4"/>
    <n v="2.1375566119412284"/>
    <n v="0.75"/>
    <n v="0"/>
    <x v="1"/>
    <n v="0.82043236344380022"/>
  </r>
  <r>
    <x v="727"/>
    <n v="2.8278353033181198"/>
    <n v="3.76"/>
    <n v="7"/>
    <n v="0.25"/>
    <n v="5"/>
    <n v="2.8445154377707582"/>
    <n v="1"/>
    <n v="0"/>
    <x v="1"/>
    <n v="0.820432363443800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7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0">
  <location ref="A3:C156" firstHeaderRow="0" firstDataRow="1" firstDataCol="1" rowPageCount="1" colPageCount="1"/>
  <pivotFields count="11">
    <pivotField axis="axisRow" showAll="0">
      <items count="7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300">
        <item m="1" x="235"/>
        <item m="1" x="210"/>
        <item m="1" x="231"/>
        <item m="1" x="182"/>
        <item m="1" x="234"/>
        <item m="1" x="185"/>
        <item m="1" x="170"/>
        <item m="1" x="172"/>
        <item m="1" x="259"/>
        <item m="1" x="260"/>
        <item m="1" x="174"/>
        <item m="1" x="254"/>
        <item m="1" x="258"/>
        <item m="1" x="281"/>
        <item m="1" x="295"/>
        <item m="1" x="178"/>
        <item m="1" x="242"/>
        <item m="1" x="206"/>
        <item m="1" x="246"/>
        <item m="1" x="199"/>
        <item m="1" x="202"/>
        <item m="1" x="245"/>
        <item m="1" x="296"/>
        <item m="1" x="227"/>
        <item m="1" x="267"/>
        <item m="1" x="285"/>
        <item m="1" x="222"/>
        <item m="1" x="215"/>
        <item m="1" x="232"/>
        <item m="1" x="265"/>
        <item x="71"/>
        <item x="45"/>
        <item m="1" x="243"/>
        <item m="1" x="219"/>
        <item m="1" x="181"/>
        <item m="1" x="288"/>
        <item m="1" x="286"/>
        <item m="1" x="251"/>
        <item m="1" x="168"/>
        <item m="1" x="163"/>
        <item m="1" x="171"/>
        <item m="1" x="221"/>
        <item m="1" x="197"/>
        <item m="1" x="180"/>
        <item m="1" x="208"/>
        <item m="1" x="190"/>
        <item m="1" x="201"/>
        <item m="1" x="186"/>
        <item m="1" x="191"/>
        <item m="1" x="220"/>
        <item m="1" x="273"/>
        <item m="1" x="291"/>
        <item m="1" x="225"/>
        <item m="1" x="184"/>
        <item m="1" x="207"/>
        <item x="12"/>
        <item m="1" x="249"/>
        <item m="1" x="248"/>
        <item m="1" x="252"/>
        <item m="1" x="253"/>
        <item m="1" x="255"/>
        <item m="1" x="238"/>
        <item m="1" x="283"/>
        <item m="1" x="162"/>
        <item m="1" x="257"/>
        <item m="1" x="183"/>
        <item m="1" x="230"/>
        <item m="1" x="161"/>
        <item m="1" x="261"/>
        <item m="1" x="205"/>
        <item m="1" x="275"/>
        <item m="1" x="187"/>
        <item m="1" x="196"/>
        <item m="1" x="176"/>
        <item m="1" x="194"/>
        <item m="1" x="292"/>
        <item m="1" x="247"/>
        <item m="1" x="192"/>
        <item m="1" x="233"/>
        <item m="1" x="278"/>
        <item m="1" x="179"/>
        <item m="1" x="195"/>
        <item m="1" x="159"/>
        <item m="1" x="209"/>
        <item m="1" x="237"/>
        <item m="1" x="241"/>
        <item m="1" x="277"/>
        <item m="1" x="287"/>
        <item m="1" x="294"/>
        <item m="1" x="193"/>
        <item m="1" x="204"/>
        <item h="1" x="0"/>
        <item m="1" x="173"/>
        <item m="1" x="297"/>
        <item m="1" x="175"/>
        <item m="1" x="167"/>
        <item m="1" x="223"/>
        <item m="1" x="236"/>
        <item m="1" x="156"/>
        <item m="1" x="279"/>
        <item m="1" x="240"/>
        <item m="1" x="293"/>
        <item m="1" x="272"/>
        <item m="1" x="298"/>
        <item m="1" x="284"/>
        <item m="1" x="203"/>
        <item m="1" x="290"/>
        <item m="1" x="244"/>
        <item m="1" x="157"/>
        <item m="1" x="164"/>
        <item m="1" x="264"/>
        <item m="1" x="274"/>
        <item m="1" x="154"/>
        <item m="1" x="263"/>
        <item m="1" x="160"/>
        <item m="1" x="189"/>
        <item m="1" x="212"/>
        <item m="1" x="270"/>
        <item m="1" x="177"/>
        <item x="120"/>
        <item m="1" x="276"/>
        <item m="1" x="250"/>
        <item m="1" x="166"/>
        <item m="1" x="280"/>
        <item x="125"/>
        <item x="126"/>
        <item m="1" x="165"/>
        <item m="1" x="155"/>
        <item m="1" x="214"/>
        <item m="1" x="213"/>
        <item m="1" x="158"/>
        <item m="1" x="262"/>
        <item m="1" x="217"/>
        <item m="1" x="228"/>
        <item m="1" x="188"/>
        <item m="1" x="289"/>
        <item m="1" x="268"/>
        <item m="1" x="216"/>
        <item m="1" x="239"/>
        <item m="1" x="271"/>
        <item m="1" x="269"/>
        <item m="1" x="218"/>
        <item x="143"/>
        <item m="1" x="256"/>
        <item h="1" x="1"/>
        <item m="1" x="229"/>
        <item m="1" x="169"/>
        <item m="1" x="266"/>
        <item m="1" x="198"/>
        <item m="1" x="226"/>
        <item m="1" x="224"/>
        <item m="1" x="200"/>
        <item m="1" x="211"/>
        <item h="1" m="1" x="282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49"/>
        <item x="150"/>
        <item x="151"/>
        <item x="152"/>
        <item x="153"/>
        <item t="default"/>
      </items>
    </pivotField>
    <pivotField showAll="0" defaultSubtotal="0"/>
  </pivotFields>
  <rowFields count="1">
    <field x="0"/>
  </rowFields>
  <rowItems count="153">
    <i>
      <x v="6"/>
    </i>
    <i>
      <x v="11"/>
    </i>
    <i>
      <x v="16"/>
    </i>
    <i>
      <x v="21"/>
    </i>
    <i>
      <x v="26"/>
    </i>
    <i>
      <x v="31"/>
    </i>
    <i>
      <x v="36"/>
    </i>
    <i>
      <x v="40"/>
    </i>
    <i>
      <x v="45"/>
    </i>
    <i>
      <x v="50"/>
    </i>
    <i>
      <x v="55"/>
    </i>
    <i>
      <x v="60"/>
    </i>
    <i>
      <x v="64"/>
    </i>
    <i>
      <x v="69"/>
    </i>
    <i>
      <x v="74"/>
    </i>
    <i>
      <x v="79"/>
    </i>
    <i>
      <x v="84"/>
    </i>
    <i>
      <x v="89"/>
    </i>
    <i>
      <x v="94"/>
    </i>
    <i>
      <x v="99"/>
    </i>
    <i>
      <x v="104"/>
    </i>
    <i>
      <x v="108"/>
    </i>
    <i>
      <x v="113"/>
    </i>
    <i>
      <x v="118"/>
    </i>
    <i>
      <x v="123"/>
    </i>
    <i>
      <x v="128"/>
    </i>
    <i>
      <x v="132"/>
    </i>
    <i>
      <x v="137"/>
    </i>
    <i>
      <x v="142"/>
    </i>
    <i>
      <x v="146"/>
    </i>
    <i>
      <x v="151"/>
    </i>
    <i>
      <x v="154"/>
    </i>
    <i>
      <x v="159"/>
    </i>
    <i>
      <x v="163"/>
    </i>
    <i>
      <x v="168"/>
    </i>
    <i>
      <x v="173"/>
    </i>
    <i>
      <x v="178"/>
    </i>
    <i>
      <x v="182"/>
    </i>
    <i>
      <x v="186"/>
    </i>
    <i>
      <x v="191"/>
    </i>
    <i>
      <x v="196"/>
    </i>
    <i>
      <x v="200"/>
    </i>
    <i>
      <x v="205"/>
    </i>
    <i>
      <x v="210"/>
    </i>
    <i>
      <x v="215"/>
    </i>
    <i>
      <x v="219"/>
    </i>
    <i>
      <x v="224"/>
    </i>
    <i>
      <x v="229"/>
    </i>
    <i>
      <x v="234"/>
    </i>
    <i>
      <x v="239"/>
    </i>
    <i>
      <x v="244"/>
    </i>
    <i>
      <x v="248"/>
    </i>
    <i>
      <x v="253"/>
    </i>
    <i>
      <x v="258"/>
    </i>
    <i>
      <x v="263"/>
    </i>
    <i>
      <x v="268"/>
    </i>
    <i>
      <x v="273"/>
    </i>
    <i>
      <x v="278"/>
    </i>
    <i>
      <x v="283"/>
    </i>
    <i>
      <x v="287"/>
    </i>
    <i>
      <x v="292"/>
    </i>
    <i>
      <x v="297"/>
    </i>
    <i>
      <x v="302"/>
    </i>
    <i>
      <x v="306"/>
    </i>
    <i>
      <x v="311"/>
    </i>
    <i>
      <x v="315"/>
    </i>
    <i>
      <x v="320"/>
    </i>
    <i>
      <x v="325"/>
    </i>
    <i>
      <x v="330"/>
    </i>
    <i>
      <x v="335"/>
    </i>
    <i>
      <x v="340"/>
    </i>
    <i>
      <x v="345"/>
    </i>
    <i>
      <x v="350"/>
    </i>
    <i>
      <x v="354"/>
    </i>
    <i>
      <x v="359"/>
    </i>
    <i>
      <x v="364"/>
    </i>
    <i>
      <x v="369"/>
    </i>
    <i>
      <x v="374"/>
    </i>
    <i>
      <x v="379"/>
    </i>
    <i>
      <x v="383"/>
    </i>
    <i>
      <x v="388"/>
    </i>
    <i>
      <x v="393"/>
    </i>
    <i>
      <x v="398"/>
    </i>
    <i>
      <x v="402"/>
    </i>
    <i>
      <x v="406"/>
    </i>
    <i>
      <x v="411"/>
    </i>
    <i>
      <x v="415"/>
    </i>
    <i>
      <x v="420"/>
    </i>
    <i>
      <x v="425"/>
    </i>
    <i>
      <x v="429"/>
    </i>
    <i>
      <x v="433"/>
    </i>
    <i>
      <x v="438"/>
    </i>
    <i>
      <x v="443"/>
    </i>
    <i>
      <x v="447"/>
    </i>
    <i>
      <x v="452"/>
    </i>
    <i>
      <x v="457"/>
    </i>
    <i>
      <x v="462"/>
    </i>
    <i>
      <x v="466"/>
    </i>
    <i>
      <x v="471"/>
    </i>
    <i>
      <x v="476"/>
    </i>
    <i>
      <x v="481"/>
    </i>
    <i>
      <x v="486"/>
    </i>
    <i>
      <x v="491"/>
    </i>
    <i>
      <x v="496"/>
    </i>
    <i>
      <x v="501"/>
    </i>
    <i>
      <x v="506"/>
    </i>
    <i>
      <x v="510"/>
    </i>
    <i>
      <x v="515"/>
    </i>
    <i>
      <x v="520"/>
    </i>
    <i>
      <x v="525"/>
    </i>
    <i>
      <x v="530"/>
    </i>
    <i>
      <x v="534"/>
    </i>
    <i>
      <x v="539"/>
    </i>
    <i>
      <x v="544"/>
    </i>
    <i>
      <x v="549"/>
    </i>
    <i>
      <x v="554"/>
    </i>
    <i>
      <x v="559"/>
    </i>
    <i>
      <x v="563"/>
    </i>
    <i>
      <x v="568"/>
    </i>
    <i>
      <x v="573"/>
    </i>
    <i>
      <x v="578"/>
    </i>
    <i>
      <x v="583"/>
    </i>
    <i>
      <x v="588"/>
    </i>
    <i>
      <x v="593"/>
    </i>
    <i>
      <x v="598"/>
    </i>
    <i>
      <x v="602"/>
    </i>
    <i>
      <x v="607"/>
    </i>
    <i>
      <x v="612"/>
    </i>
    <i>
      <x v="617"/>
    </i>
    <i>
      <x v="622"/>
    </i>
    <i>
      <x v="627"/>
    </i>
    <i>
      <x v="631"/>
    </i>
    <i>
      <x v="636"/>
    </i>
    <i>
      <x v="641"/>
    </i>
    <i>
      <x v="646"/>
    </i>
    <i>
      <x v="650"/>
    </i>
    <i>
      <x v="654"/>
    </i>
    <i>
      <x v="659"/>
    </i>
    <i>
      <x v="663"/>
    </i>
    <i>
      <x v="668"/>
    </i>
    <i>
      <x v="672"/>
    </i>
    <i>
      <x v="678"/>
    </i>
    <i>
      <x v="681"/>
    </i>
    <i>
      <x v="685"/>
    </i>
    <i>
      <x v="690"/>
    </i>
    <i>
      <x v="694"/>
    </i>
    <i>
      <x v="699"/>
    </i>
    <i>
      <x v="704"/>
    </i>
    <i>
      <x v="709"/>
    </i>
    <i>
      <x v="713"/>
    </i>
    <i>
      <x v="718"/>
    </i>
    <i>
      <x v="723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8" unboundColumnsRight="8">
    <queryTableFields count="11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K737" tableType="queryTable" totalsRowShown="0" headerRowDxfId="12" dataDxfId="11">
  <tableColumns count="11">
    <tableColumn id="10" uniqueName="10" name="AsOfDate" queryTableFieldId="51" dataDxfId="10" dataCellStyle="Normal 2 7"/>
    <tableColumn id="5" uniqueName="5" name="SeriesNumValue" queryTableFieldId="68" dataDxfId="9"/>
    <tableColumn id="1" uniqueName="1" name="Rate" queryTableFieldId="69" dataDxfId="8"/>
    <tableColumn id="2" uniqueName="2" name="Weekday" queryTableFieldId="70" dataDxfId="7" dataCellStyle="Normal 2 7">
      <calculatedColumnFormula>WEEKDAY(A5,14)</calculatedColumnFormula>
    </tableColumn>
    <tableColumn id="3" uniqueName="3" name="Weight" queryTableFieldId="75" dataDxfId="6" dataCellStyle="Normal 2 7">
      <calculatedColumnFormula>VLOOKUP(D5,O$5:P$11,2,FALSE)</calculatedColumnFormula>
    </tableColumn>
    <tableColumn id="4" uniqueName="4" name="Counter" queryTableFieldId="74" dataDxfId="5" dataCellStyle="Normal 2 7">
      <calculatedColumnFormula>IF(AND(D5&gt;D4,F4&lt;6),F4+1,1)</calculatedColumnFormula>
    </tableColumn>
    <tableColumn id="6" uniqueName="6" name="Accumulated Weighted CC" queryTableFieldId="73" dataDxfId="4" dataCellStyle="Normal 2 7">
      <calculatedColumnFormula>IF(F5&gt;F4,G4+B5*E5,B5*E5)</calculatedColumnFormula>
    </tableColumn>
    <tableColumn id="7" uniqueName="7" name="AccumulatedWeight" queryTableFieldId="72" dataDxfId="3" dataCellStyle="Normal 2 7">
      <calculatedColumnFormula>IF(AND(F5&lt;6,F5&gt;F4),E5+H4,E5)</calculatedColumnFormula>
    </tableColumn>
    <tableColumn id="8" uniqueName="8" name="WA CC" queryTableFieldId="71" dataDxfId="2" dataCellStyle="Normal 2 7">
      <calculatedColumnFormula>IF(F4&gt;F5,G4/H4,0)</calculatedColumnFormula>
    </tableColumn>
    <tableColumn id="9" uniqueName="9" name="Servicing Spread" queryTableFieldId="76" dataDxfId="1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0" dataCellStyle="Normal 2 7">
      <calculatedColumnFormula>IF(CurrentMtgRatesDataTable8[[#This Row],[Servicing Spread]]&lt;=0,K4,CurrentMtgRatesDataTable8[[#This Row],[Servicing Spread]])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tabSelected="1" topLeftCell="B1" zoomScale="90" zoomScaleNormal="90" workbookViewId="0">
      <selection activeCell="O4" sqref="O4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0.425781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746</v>
      </c>
      <c r="U1" t="s">
        <v>1</v>
      </c>
      <c r="V1" s="2" t="s">
        <v>4</v>
      </c>
    </row>
    <row r="2" spans="19:22">
      <c r="S2" s="1" t="s">
        <v>2</v>
      </c>
      <c r="T2" s="3">
        <v>42081</v>
      </c>
    </row>
    <row r="3" spans="19:22">
      <c r="S3" s="1" t="s">
        <v>3</v>
      </c>
      <c r="T3" s="4" t="str">
        <f>"S:\Users\Lien\Daily Report\3.Servicing Spread and FNCL Survey Rate\Servicing Spread and FNCL Survey Rate " &amp; TEXT(CurrentCloseDate, "yyyy-mm-dd") &amp; ".pdf"</f>
        <v>S:\Users\Lien\Daily Report\3.Servicing Spread and FNCL Survey Rate\Servicing Spread and FNCL Survey Rate 2015-03-18.pdf</v>
      </c>
    </row>
    <row r="8" spans="19:22">
      <c r="S8" t="s">
        <v>764</v>
      </c>
      <c r="T8" s="10">
        <f>IF(CurrentCloseDate-WEEKDAY(CurrentCloseDate,2)+4&lt;CurrentCloseDate,CurrentCloseDate-WEEKDAY(CurrentCloseDate,2)+4,CurrentCloseDate-WEEKDAY(CurrentCloseDate,2)+4)-7</f>
        <v>42075</v>
      </c>
    </row>
    <row r="9" spans="19:22">
      <c r="S9" t="s">
        <v>765</v>
      </c>
      <c r="T9" s="10">
        <f>LastSurveyDate-1</f>
        <v>42074</v>
      </c>
    </row>
    <row r="50" spans="6:13">
      <c r="M50" s="36" t="s">
        <v>767</v>
      </c>
    </row>
    <row r="54" spans="6:13">
      <c r="F54" s="37" t="s">
        <v>766</v>
      </c>
      <c r="G54" s="38">
        <f>LastSurveyDate</f>
        <v>42075</v>
      </c>
    </row>
    <row r="55" spans="6:13">
      <c r="F55" s="32"/>
      <c r="G55" s="22" t="s">
        <v>18</v>
      </c>
      <c r="H55" s="27" t="s">
        <v>734</v>
      </c>
      <c r="I55" s="29" t="s">
        <v>735</v>
      </c>
      <c r="J55" s="27" t="s">
        <v>736</v>
      </c>
      <c r="K55" s="30" t="s">
        <v>737</v>
      </c>
      <c r="L55" s="27" t="s">
        <v>738</v>
      </c>
    </row>
    <row r="56" spans="6:13">
      <c r="F56" s="25" t="s">
        <v>732</v>
      </c>
      <c r="G56" s="31" t="str">
        <f>'Historic Change'!C4&amp;"%"</f>
        <v>3.76%</v>
      </c>
      <c r="H56" s="34">
        <f>('Historic Change'!$C$4-'Historic Change'!E4)*100</f>
        <v>10.999999999999988</v>
      </c>
      <c r="I56" s="33">
        <f>('Historic Change'!$C$4-'Historic Change'!F4)*100</f>
        <v>16.999999999999993</v>
      </c>
      <c r="J56" s="34">
        <f>('Historic Change'!$C$4-'Historic Change'!G4)*100</f>
        <v>-4.5000000000000373</v>
      </c>
      <c r="K56" s="35">
        <f>('Historic Change'!$C$4-'Historic Change'!H4)*100</f>
        <v>-23.500000000000032</v>
      </c>
      <c r="L56" s="34">
        <f>('Historic Change'!$C$4-'Historic Change'!I4)*100</f>
        <v>-43.499999999999957</v>
      </c>
    </row>
    <row r="57" spans="6:13">
      <c r="F57" s="25" t="s">
        <v>739</v>
      </c>
      <c r="G57" s="23">
        <f>'Historic Change'!C5*100</f>
        <v>82.04323634438002</v>
      </c>
      <c r="H57" s="34">
        <f>('Historic Change'!$C$5-'Historic Change'!E5)*100</f>
        <v>-13.577091775939598</v>
      </c>
      <c r="I57" s="33">
        <f>('Historic Change'!$C$5-'Historic Change'!F5)*100</f>
        <v>-15.357801162223739</v>
      </c>
      <c r="J57" s="34">
        <f>('Historic Change'!$C$5-'Historic Change'!G5)*100</f>
        <v>-2.0845736518249502</v>
      </c>
      <c r="K57" s="35">
        <f>('Historic Change'!$C$5-'Historic Change'!H5)*100</f>
        <v>-3.4709785547644589</v>
      </c>
      <c r="L57" s="34">
        <f>('Historic Change'!$C$5-'Historic Change'!I5)*100</f>
        <v>-6.9811344723428093</v>
      </c>
    </row>
  </sheetData>
  <dataValidations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6" orientation="landscape" horizontalDpi="1200" verticalDpi="1200" r:id="rId1"/>
  <headerFooter scaleWithDoc="0">
    <oddHeader>&amp;L&amp;G&amp;C&amp;"-,Bold"&amp;10&amp;K2E398A
&amp;15Servicing Spread and FHLMC Survey Rate&amp;R&amp;"-,Bold"&amp;10&amp;K2E398A
As of 2015-03-18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P851"/>
  <sheetViews>
    <sheetView workbookViewId="0">
      <selection activeCell="N14" sqref="N14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2" width="14.140625" style="5" customWidth="1"/>
    <col min="13" max="13" width="13.85546875" style="5" bestFit="1" customWidth="1"/>
    <col min="14" max="14" width="12.5703125" style="5" bestFit="1" customWidth="1"/>
    <col min="15" max="15" width="12" style="5" bestFit="1" customWidth="1"/>
    <col min="16" max="16" width="15.140625" style="5" bestFit="1" customWidth="1"/>
    <col min="17" max="17" width="14.140625" style="5" bestFit="1" customWidth="1"/>
    <col min="18" max="18" width="14.140625" style="5" customWidth="1"/>
    <col min="19" max="21" width="12" style="5" bestFit="1" customWidth="1"/>
    <col min="22" max="22" width="8" style="5" bestFit="1" customWidth="1"/>
    <col min="23" max="23" width="12" style="5" bestFit="1" customWidth="1"/>
    <col min="24" max="24" width="5.7109375" style="5" bestFit="1" customWidth="1"/>
    <col min="25" max="26" width="12" style="5" bestFit="1" customWidth="1"/>
    <col min="27" max="27" width="17.5703125" style="5" bestFit="1" customWidth="1"/>
    <col min="28" max="28" width="8.85546875" style="5" bestFit="1" customWidth="1"/>
    <col min="29" max="30" width="16" style="5" bestFit="1" customWidth="1"/>
    <col min="31" max="31" width="14.7109375" style="5" bestFit="1" customWidth="1"/>
    <col min="32" max="32" width="16" style="5" bestFit="1" customWidth="1"/>
    <col min="33" max="33" width="17.5703125" style="5" bestFit="1" customWidth="1"/>
    <col min="34" max="34" width="12.140625" style="5" bestFit="1" customWidth="1"/>
    <col min="35" max="35" width="8.5703125" style="5" bestFit="1" customWidth="1"/>
    <col min="36" max="36" width="15.28515625" style="5" customWidth="1"/>
    <col min="37" max="37" width="11.7109375" style="5" bestFit="1" customWidth="1"/>
    <col min="38" max="38" width="10.28515625" style="5" bestFit="1" customWidth="1"/>
    <col min="39" max="39" width="12" style="5" bestFit="1" customWidth="1"/>
    <col min="40" max="40" width="14.42578125" style="5" customWidth="1"/>
    <col min="41" max="41" width="18.5703125" style="5" bestFit="1" customWidth="1"/>
    <col min="42" max="42" width="10.7109375" style="5" bestFit="1" customWidth="1"/>
    <col min="43" max="43" width="16.42578125" style="5" bestFit="1" customWidth="1"/>
    <col min="44" max="44" width="16.140625" style="5" bestFit="1" customWidth="1"/>
    <col min="45" max="45" width="14.42578125" style="5" customWidth="1"/>
    <col min="46" max="46" width="12.28515625" style="5" customWidth="1"/>
    <col min="47" max="16384" width="9.140625" style="5"/>
  </cols>
  <sheetData>
    <row r="3" spans="1:16" ht="23.25">
      <c r="A3" s="6" t="s">
        <v>725</v>
      </c>
    </row>
    <row r="4" spans="1:16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</row>
    <row r="5" spans="1:16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VLOOKUP(D5,O$5:P$11,2,FALSE)</f>
        <v>0.25</v>
      </c>
      <c r="F5" s="14">
        <f t="shared" ref="F5:F68" si="2">IF(AND(D5&gt;D4,F4&lt;6),F4+1,1)</f>
        <v>1</v>
      </c>
      <c r="G5" s="14">
        <f t="shared" ref="G5:G68" si="3">IF(F5&gt;F4,G4+B5*E5,B5*E5)</f>
        <v>0.77719963737608</v>
      </c>
      <c r="H5" s="14">
        <f t="shared" ref="H5:H68" si="4">IF(AND(F5&lt;6,F5&gt;F4),E5+H4,E5)</f>
        <v>0.25</v>
      </c>
      <c r="I5" s="14" t="e">
        <f t="shared" ref="I5:I68" si="5">IF(F4&gt;F5,G4/H4,0)</f>
        <v>#VALUE!</v>
      </c>
      <c r="J5" s="15" t="e">
        <f>IF(CurrentMtgRatesDataTable8[[#This Row],[WA CC]]&lt;&gt;0,C4-CurrentMtgRatesDataTable8[[#This Row],[WA CC]],0)</f>
        <v>#VALUE!</v>
      </c>
      <c r="K5" s="16" t="e">
        <f>IF(CurrentMtgRatesDataTable8[[#This Row],[Servicing Spread]]&lt;=0,K4,CurrentMtgRatesDataTable8[[#This Row],[Servicing Spread]])</f>
        <v>#VALUE!</v>
      </c>
      <c r="N5" s="7" t="s">
        <v>11</v>
      </c>
      <c r="O5" s="7">
        <v>5</v>
      </c>
      <c r="P5" s="7">
        <v>0.05</v>
      </c>
    </row>
    <row r="6" spans="1:16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</v>
      </c>
      <c r="F6" s="14">
        <f t="shared" si="2"/>
        <v>1</v>
      </c>
      <c r="G6" s="14">
        <f t="shared" si="3"/>
        <v>0</v>
      </c>
      <c r="H6" s="14">
        <f t="shared" si="4"/>
        <v>0</v>
      </c>
      <c r="I6" s="14">
        <f t="shared" si="5"/>
        <v>0</v>
      </c>
      <c r="J6" s="15">
        <f>IF(CurrentMtgRatesDataTable8[[#This Row],[WA CC]]&lt;&gt;0,C5-CurrentMtgRatesDataTable8[[#This Row],[WA CC]],0)</f>
        <v>0</v>
      </c>
      <c r="K6" s="16" t="e">
        <f>IF(CurrentMtgRatesDataTable8[[#This Row],[Servicing Spread]]&lt;=0,K5,CurrentMtgRatesDataTable8[[#This Row],[Servicing Spread]])</f>
        <v>#VALUE!</v>
      </c>
      <c r="N6" s="7" t="s">
        <v>12</v>
      </c>
      <c r="O6" s="7">
        <v>6</v>
      </c>
      <c r="P6" s="7">
        <v>0.7</v>
      </c>
    </row>
    <row r="7" spans="1:16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</v>
      </c>
      <c r="F7" s="14">
        <f t="shared" si="2"/>
        <v>2</v>
      </c>
      <c r="G7" s="14">
        <f t="shared" si="3"/>
        <v>0</v>
      </c>
      <c r="H7" s="14">
        <f t="shared" si="4"/>
        <v>0</v>
      </c>
      <c r="I7" s="14">
        <f t="shared" si="5"/>
        <v>0</v>
      </c>
      <c r="J7" s="15">
        <f>IF(CurrentMtgRatesDataTable8[[#This Row],[WA CC]]&lt;&gt;0,C6-CurrentMtgRatesDataTable8[[#This Row],[WA CC]],0)</f>
        <v>0</v>
      </c>
      <c r="K7" s="16" t="e">
        <f>IF(CurrentMtgRatesDataTable8[[#This Row],[Servicing Spread]]&lt;=0,K6,CurrentMtgRatesDataTable8[[#This Row],[Servicing Spread]])</f>
        <v>#VALUE!</v>
      </c>
      <c r="N7" s="7" t="s">
        <v>13</v>
      </c>
      <c r="O7" s="7">
        <v>7</v>
      </c>
      <c r="P7" s="7">
        <v>0.25</v>
      </c>
    </row>
    <row r="8" spans="1:16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0.05</v>
      </c>
      <c r="F8" s="14">
        <f t="shared" si="2"/>
        <v>3</v>
      </c>
      <c r="G8" s="14">
        <f t="shared" si="3"/>
        <v>0.14557580574196449</v>
      </c>
      <c r="H8" s="14">
        <f t="shared" si="4"/>
        <v>0.05</v>
      </c>
      <c r="I8" s="14">
        <f t="shared" si="5"/>
        <v>0</v>
      </c>
      <c r="J8" s="15">
        <f>IF(CurrentMtgRatesDataTable8[[#This Row],[WA CC]]&lt;&gt;0,C7-CurrentMtgRatesDataTable8[[#This Row],[WA CC]],0)</f>
        <v>0</v>
      </c>
      <c r="K8" s="16" t="e">
        <f>IF(CurrentMtgRatesDataTable8[[#This Row],[Servicing Spread]]&lt;=0,K7,CurrentMtgRatesDataTable8[[#This Row],[Servicing Spread]])</f>
        <v>#VALUE!</v>
      </c>
      <c r="N8" s="7" t="s">
        <v>14</v>
      </c>
      <c r="O8" s="7">
        <v>1</v>
      </c>
      <c r="P8" s="7">
        <v>0</v>
      </c>
    </row>
    <row r="9" spans="1:16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0.7</v>
      </c>
      <c r="F9" s="14">
        <f t="shared" si="2"/>
        <v>4</v>
      </c>
      <c r="G9" s="14">
        <f t="shared" si="3"/>
        <v>2.1832654734401169</v>
      </c>
      <c r="H9" s="14">
        <f t="shared" si="4"/>
        <v>0.75</v>
      </c>
      <c r="I9" s="14">
        <f t="shared" si="5"/>
        <v>0</v>
      </c>
      <c r="J9" s="15">
        <f>IF(CurrentMtgRatesDataTable8[[#This Row],[WA CC]]&lt;&gt;0,C8-CurrentMtgRatesDataTable8[[#This Row],[WA CC]],0)</f>
        <v>0</v>
      </c>
      <c r="K9" s="16" t="e">
        <f>IF(CurrentMtgRatesDataTable8[[#This Row],[Servicing Spread]]&lt;=0,K8,CurrentMtgRatesDataTable8[[#This Row],[Servicing Spread]])</f>
        <v>#VALUE!</v>
      </c>
      <c r="N9" s="7" t="s">
        <v>15</v>
      </c>
      <c r="O9" s="7">
        <v>2</v>
      </c>
      <c r="P9" s="7">
        <v>0</v>
      </c>
    </row>
    <row r="10" spans="1:16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0.25</v>
      </c>
      <c r="F10" s="14">
        <f t="shared" si="2"/>
        <v>5</v>
      </c>
      <c r="G10" s="14">
        <f t="shared" si="3"/>
        <v>2.915961259649487</v>
      </c>
      <c r="H10" s="14">
        <f t="shared" si="4"/>
        <v>1</v>
      </c>
      <c r="I10" s="14">
        <f t="shared" si="5"/>
        <v>0</v>
      </c>
      <c r="J10" s="15">
        <f>IF(CurrentMtgRatesDataTable8[[#This Row],[WA CC]]&lt;&gt;0,C9-CurrentMtgRatesDataTable8[[#This Row],[WA CC]],0)</f>
        <v>0</v>
      </c>
      <c r="K10" s="16" t="e">
        <f>IF(CurrentMtgRatesDataTable8[[#This Row],[Servicing Spread]]&lt;=0,K9,CurrentMtgRatesDataTable8[[#This Row],[Servicing Spread]])</f>
        <v>#VALUE!</v>
      </c>
      <c r="N10" s="7" t="s">
        <v>16</v>
      </c>
      <c r="O10" s="7">
        <v>3</v>
      </c>
      <c r="P10" s="7">
        <v>0</v>
      </c>
    </row>
    <row r="11" spans="1:16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</v>
      </c>
      <c r="F11" s="14">
        <f t="shared" si="2"/>
        <v>1</v>
      </c>
      <c r="G11" s="14">
        <f t="shared" si="3"/>
        <v>0</v>
      </c>
      <c r="H11" s="14">
        <f t="shared" si="4"/>
        <v>0</v>
      </c>
      <c r="I11" s="14">
        <f t="shared" si="5"/>
        <v>2.915961259649487</v>
      </c>
      <c r="J11" s="15">
        <f>IF(CurrentMtgRatesDataTable8[[#This Row],[WA CC]]&lt;&gt;0,C10-CurrentMtgRatesDataTable8[[#This Row],[WA CC]],0)</f>
        <v>0.88903874035051267</v>
      </c>
      <c r="K11" s="16">
        <f>IF(CurrentMtgRatesDataTable8[[#This Row],[Servicing Spread]]&lt;=0,K10,CurrentMtgRatesDataTable8[[#This Row],[Servicing Spread]])</f>
        <v>0.88903874035051267</v>
      </c>
      <c r="N11" s="7" t="s">
        <v>17</v>
      </c>
      <c r="O11" s="7">
        <v>4</v>
      </c>
      <c r="P11" s="7">
        <v>0</v>
      </c>
    </row>
    <row r="12" spans="1:16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</v>
      </c>
      <c r="F12" s="14">
        <f t="shared" si="2"/>
        <v>2</v>
      </c>
      <c r="G12" s="14">
        <f t="shared" si="3"/>
        <v>0</v>
      </c>
      <c r="H12" s="14">
        <f t="shared" si="4"/>
        <v>0</v>
      </c>
      <c r="I12" s="14">
        <f t="shared" si="5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0.88903874035051267</v>
      </c>
    </row>
    <row r="13" spans="1:16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0.05</v>
      </c>
      <c r="F13" s="14">
        <f t="shared" si="2"/>
        <v>3</v>
      </c>
      <c r="G13" s="14">
        <f t="shared" si="3"/>
        <v>0.14590416077767251</v>
      </c>
      <c r="H13" s="14">
        <f t="shared" si="4"/>
        <v>0.05</v>
      </c>
      <c r="I13" s="14">
        <f t="shared" si="5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0.88903874035051267</v>
      </c>
    </row>
    <row r="14" spans="1:16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0.7</v>
      </c>
      <c r="F14" s="14">
        <f t="shared" si="2"/>
        <v>4</v>
      </c>
      <c r="G14" s="14">
        <f t="shared" si="3"/>
        <v>2.2158738377997231</v>
      </c>
      <c r="H14" s="14">
        <f t="shared" si="4"/>
        <v>0.75</v>
      </c>
      <c r="I14" s="14">
        <f t="shared" si="5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0.88903874035051267</v>
      </c>
    </row>
    <row r="15" spans="1:16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0.25</v>
      </c>
      <c r="F15" s="14">
        <f t="shared" si="2"/>
        <v>5</v>
      </c>
      <c r="G15" s="14">
        <f t="shared" si="3"/>
        <v>2.9484879714213008</v>
      </c>
      <c r="H15" s="14">
        <f t="shared" si="4"/>
        <v>1</v>
      </c>
      <c r="I15" s="14">
        <f t="shared" si="5"/>
        <v>0</v>
      </c>
      <c r="J15" s="15">
        <f>IF(CurrentMtgRatesDataTable8[[#This Row],[WA CC]]&lt;&gt;0,C14-CurrentMtgRatesDataTable8[[#This Row],[WA CC]],0)</f>
        <v>0</v>
      </c>
      <c r="K15" s="16">
        <f>IF(CurrentMtgRatesDataTable8[[#This Row],[Servicing Spread]]&lt;=0,K14,CurrentMtgRatesDataTable8[[#This Row],[Servicing Spread]])</f>
        <v>0.88903874035051267</v>
      </c>
    </row>
    <row r="16" spans="1:16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</v>
      </c>
      <c r="F16" s="14">
        <f t="shared" si="2"/>
        <v>1</v>
      </c>
      <c r="G16" s="14">
        <f t="shared" si="3"/>
        <v>0</v>
      </c>
      <c r="H16" s="14">
        <f t="shared" si="4"/>
        <v>0</v>
      </c>
      <c r="I16" s="14">
        <f t="shared" si="5"/>
        <v>2.9484879714213008</v>
      </c>
      <c r="J16" s="15">
        <f>IF(CurrentMtgRatesDataTable8[[#This Row],[WA CC]]&lt;&gt;0,C15-CurrentMtgRatesDataTable8[[#This Row],[WA CC]],0)</f>
        <v>0.90151202857869928</v>
      </c>
      <c r="K16" s="16">
        <f>IF(CurrentMtgRatesDataTable8[[#This Row],[Servicing Spread]]&lt;=0,K15,CurrentMtgRatesDataTable8[[#This Row],[Servicing Spread]])</f>
        <v>0.90151202857869928</v>
      </c>
    </row>
    <row r="17" spans="1:11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</v>
      </c>
      <c r="F17" s="14">
        <f t="shared" si="2"/>
        <v>2</v>
      </c>
      <c r="G17" s="14">
        <f t="shared" si="3"/>
        <v>0</v>
      </c>
      <c r="H17" s="14">
        <f t="shared" si="4"/>
        <v>0</v>
      </c>
      <c r="I17" s="14">
        <f t="shared" si="5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0.90151202857869928</v>
      </c>
    </row>
    <row r="18" spans="1:11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0.05</v>
      </c>
      <c r="F18" s="14">
        <f t="shared" si="2"/>
        <v>3</v>
      </c>
      <c r="G18" s="14">
        <f t="shared" si="3"/>
        <v>0.14354070754454501</v>
      </c>
      <c r="H18" s="14">
        <f t="shared" si="4"/>
        <v>0.05</v>
      </c>
      <c r="I18" s="14">
        <f t="shared" si="5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0.90151202857869928</v>
      </c>
    </row>
    <row r="19" spans="1:11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0.7</v>
      </c>
      <c r="F19" s="14">
        <f t="shared" si="2"/>
        <v>4</v>
      </c>
      <c r="G19" s="14">
        <f t="shared" si="3"/>
        <v>2.1742197914028929</v>
      </c>
      <c r="H19" s="14">
        <f t="shared" si="4"/>
        <v>0.75</v>
      </c>
      <c r="I19" s="14">
        <f t="shared" si="5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0.90151202857869928</v>
      </c>
    </row>
    <row r="20" spans="1:11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0.25</v>
      </c>
      <c r="F20" s="14">
        <f t="shared" si="2"/>
        <v>5</v>
      </c>
      <c r="G20" s="14">
        <f t="shared" si="3"/>
        <v>2.9048226567531428</v>
      </c>
      <c r="H20" s="14">
        <f t="shared" si="4"/>
        <v>1</v>
      </c>
      <c r="I20" s="14">
        <f t="shared" si="5"/>
        <v>0</v>
      </c>
      <c r="J20" s="15">
        <f>IF(CurrentMtgRatesDataTable8[[#This Row],[WA CC]]&lt;&gt;0,C19-CurrentMtgRatesDataTable8[[#This Row],[WA CC]],0)</f>
        <v>0</v>
      </c>
      <c r="K20" s="16">
        <f>IF(CurrentMtgRatesDataTable8[[#This Row],[Servicing Spread]]&lt;=0,K19,CurrentMtgRatesDataTable8[[#This Row],[Servicing Spread]])</f>
        <v>0.90151202857869928</v>
      </c>
    </row>
    <row r="21" spans="1:11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</v>
      </c>
      <c r="F21" s="14">
        <f t="shared" si="2"/>
        <v>1</v>
      </c>
      <c r="G21" s="14">
        <f t="shared" si="3"/>
        <v>0</v>
      </c>
      <c r="H21" s="14">
        <f t="shared" si="4"/>
        <v>0</v>
      </c>
      <c r="I21" s="14">
        <f t="shared" si="5"/>
        <v>2.9048226567531428</v>
      </c>
      <c r="J21" s="15">
        <f>IF(CurrentMtgRatesDataTable8[[#This Row],[WA CC]]&lt;&gt;0,C20-CurrentMtgRatesDataTable8[[#This Row],[WA CC]],0)</f>
        <v>0.90017734324685694</v>
      </c>
      <c r="K21" s="16">
        <f>IF(CurrentMtgRatesDataTable8[[#This Row],[Servicing Spread]]&lt;=0,K20,CurrentMtgRatesDataTable8[[#This Row],[Servicing Spread]])</f>
        <v>0.90017734324685694</v>
      </c>
    </row>
    <row r="22" spans="1:11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</v>
      </c>
      <c r="F22" s="14">
        <f t="shared" si="2"/>
        <v>2</v>
      </c>
      <c r="G22" s="14">
        <f t="shared" si="3"/>
        <v>0</v>
      </c>
      <c r="H22" s="14">
        <f t="shared" si="4"/>
        <v>0</v>
      </c>
      <c r="I22" s="14">
        <f t="shared" si="5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0.90017734324685694</v>
      </c>
    </row>
    <row r="23" spans="1:11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0.05</v>
      </c>
      <c r="F23" s="14">
        <f t="shared" si="2"/>
        <v>3</v>
      </c>
      <c r="G23" s="14">
        <f t="shared" si="3"/>
        <v>0.14292970858389001</v>
      </c>
      <c r="H23" s="14">
        <f t="shared" si="4"/>
        <v>0.05</v>
      </c>
      <c r="I23" s="14">
        <f t="shared" si="5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0.90017734324685694</v>
      </c>
    </row>
    <row r="24" spans="1:11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0.7</v>
      </c>
      <c r="F24" s="14">
        <f t="shared" si="2"/>
        <v>4</v>
      </c>
      <c r="G24" s="14">
        <f t="shared" si="3"/>
        <v>2.1665236112215189</v>
      </c>
      <c r="H24" s="14">
        <f t="shared" si="4"/>
        <v>0.75</v>
      </c>
      <c r="I24" s="14">
        <f t="shared" si="5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0.90017734324685694</v>
      </c>
    </row>
    <row r="25" spans="1:11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0.25</v>
      </c>
      <c r="F25" s="14">
        <f t="shared" si="2"/>
        <v>5</v>
      </c>
      <c r="G25" s="14">
        <f t="shared" si="3"/>
        <v>2.8848688499737238</v>
      </c>
      <c r="H25" s="14">
        <f t="shared" si="4"/>
        <v>1</v>
      </c>
      <c r="I25" s="14">
        <f t="shared" si="5"/>
        <v>0</v>
      </c>
      <c r="J25" s="15">
        <f>IF(CurrentMtgRatesDataTable8[[#This Row],[WA CC]]&lt;&gt;0,C24-CurrentMtgRatesDataTable8[[#This Row],[WA CC]],0)</f>
        <v>0</v>
      </c>
      <c r="K25" s="16">
        <f>IF(CurrentMtgRatesDataTable8[[#This Row],[Servicing Spread]]&lt;=0,K24,CurrentMtgRatesDataTable8[[#This Row],[Servicing Spread]])</f>
        <v>0.90017734324685694</v>
      </c>
    </row>
    <row r="26" spans="1:11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</v>
      </c>
      <c r="F26" s="14">
        <f t="shared" si="2"/>
        <v>1</v>
      </c>
      <c r="G26" s="14">
        <f t="shared" si="3"/>
        <v>0</v>
      </c>
      <c r="H26" s="14">
        <f t="shared" si="4"/>
        <v>0</v>
      </c>
      <c r="I26" s="14">
        <f t="shared" si="5"/>
        <v>2.8848688499737238</v>
      </c>
      <c r="J26" s="15">
        <f>IF(CurrentMtgRatesDataTable8[[#This Row],[WA CC]]&lt;&gt;0,C25-CurrentMtgRatesDataTable8[[#This Row],[WA CC]],0)</f>
        <v>0.9051311500262762</v>
      </c>
      <c r="K26" s="16">
        <f>IF(CurrentMtgRatesDataTable8[[#This Row],[Servicing Spread]]&lt;=0,K25,CurrentMtgRatesDataTable8[[#This Row],[Servicing Spread]])</f>
        <v>0.9051311500262762</v>
      </c>
    </row>
    <row r="27" spans="1:11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</v>
      </c>
      <c r="F27" s="14">
        <f t="shared" si="2"/>
        <v>2</v>
      </c>
      <c r="G27" s="14">
        <f t="shared" si="3"/>
        <v>0</v>
      </c>
      <c r="H27" s="14">
        <f t="shared" si="4"/>
        <v>0</v>
      </c>
      <c r="I27" s="14">
        <f t="shared" si="5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0.9051311500262762</v>
      </c>
    </row>
    <row r="28" spans="1:11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0.05</v>
      </c>
      <c r="F28" s="14">
        <f t="shared" si="2"/>
        <v>3</v>
      </c>
      <c r="G28" s="14">
        <f t="shared" si="3"/>
        <v>0.14292368470898201</v>
      </c>
      <c r="H28" s="14">
        <f t="shared" si="4"/>
        <v>0.05</v>
      </c>
      <c r="I28" s="14">
        <f t="shared" si="5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0.9051311500262762</v>
      </c>
    </row>
    <row r="29" spans="1:11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0.7</v>
      </c>
      <c r="F29" s="14">
        <f t="shared" si="2"/>
        <v>4</v>
      </c>
      <c r="G29" s="14">
        <f t="shared" si="3"/>
        <v>2.1349153100627607</v>
      </c>
      <c r="H29" s="14">
        <f t="shared" si="4"/>
        <v>0.75</v>
      </c>
      <c r="I29" s="14">
        <f t="shared" si="5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0.9051311500262762</v>
      </c>
    </row>
    <row r="30" spans="1:11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0.25</v>
      </c>
      <c r="F30" s="14">
        <f t="shared" si="2"/>
        <v>5</v>
      </c>
      <c r="G30" s="14">
        <f t="shared" si="3"/>
        <v>2.8431063845227356</v>
      </c>
      <c r="H30" s="14">
        <f t="shared" si="4"/>
        <v>1</v>
      </c>
      <c r="I30" s="14">
        <f t="shared" si="5"/>
        <v>0</v>
      </c>
      <c r="J30" s="15">
        <f>IF(CurrentMtgRatesDataTable8[[#This Row],[WA CC]]&lt;&gt;0,C29-CurrentMtgRatesDataTable8[[#This Row],[WA CC]],0)</f>
        <v>0</v>
      </c>
      <c r="K30" s="16">
        <f>IF(CurrentMtgRatesDataTable8[[#This Row],[Servicing Spread]]&lt;=0,K29,CurrentMtgRatesDataTable8[[#This Row],[Servicing Spread]])</f>
        <v>0.9051311500262762</v>
      </c>
    </row>
    <row r="31" spans="1:11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</v>
      </c>
      <c r="F31" s="14">
        <f t="shared" si="2"/>
        <v>1</v>
      </c>
      <c r="G31" s="14">
        <f t="shared" si="3"/>
        <v>0</v>
      </c>
      <c r="H31" s="14">
        <f t="shared" si="4"/>
        <v>0</v>
      </c>
      <c r="I31" s="14">
        <f t="shared" si="5"/>
        <v>2.8431063845227356</v>
      </c>
      <c r="J31" s="15">
        <f>IF(CurrentMtgRatesDataTable8[[#This Row],[WA CC]]&lt;&gt;0,C30-CurrentMtgRatesDataTable8[[#This Row],[WA CC]],0)</f>
        <v>0.91189361547726433</v>
      </c>
      <c r="K31" s="16">
        <f>IF(CurrentMtgRatesDataTable8[[#This Row],[Servicing Spread]]&lt;=0,K30,CurrentMtgRatesDataTable8[[#This Row],[Servicing Spread]])</f>
        <v>0.91189361547726433</v>
      </c>
    </row>
    <row r="32" spans="1:11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</v>
      </c>
      <c r="F32" s="14">
        <f t="shared" si="2"/>
        <v>2</v>
      </c>
      <c r="G32" s="14">
        <f t="shared" si="3"/>
        <v>0</v>
      </c>
      <c r="H32" s="14">
        <f t="shared" si="4"/>
        <v>0</v>
      </c>
      <c r="I32" s="14">
        <f t="shared" si="5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0.91189361547726433</v>
      </c>
    </row>
    <row r="33" spans="1:11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0.05</v>
      </c>
      <c r="F33" s="14">
        <f t="shared" si="2"/>
        <v>3</v>
      </c>
      <c r="G33" s="14">
        <f t="shared" si="3"/>
        <v>0.13869874559183001</v>
      </c>
      <c r="H33" s="14">
        <f t="shared" si="4"/>
        <v>0.05</v>
      </c>
      <c r="I33" s="14">
        <f t="shared" si="5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0.91189361547726433</v>
      </c>
    </row>
    <row r="34" spans="1:11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0.7</v>
      </c>
      <c r="F34" s="14">
        <f t="shared" si="2"/>
        <v>4</v>
      </c>
      <c r="G34" s="14">
        <f t="shared" si="3"/>
        <v>2.0774951771831218</v>
      </c>
      <c r="H34" s="14">
        <f t="shared" si="4"/>
        <v>0.75</v>
      </c>
      <c r="I34" s="14">
        <f t="shared" si="5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0.91189361547726433</v>
      </c>
    </row>
    <row r="35" spans="1:11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0.25</v>
      </c>
      <c r="F35" s="14">
        <f t="shared" si="2"/>
        <v>5</v>
      </c>
      <c r="G35" s="14">
        <f t="shared" si="3"/>
        <v>2.762527351766932</v>
      </c>
      <c r="H35" s="14">
        <f t="shared" si="4"/>
        <v>1</v>
      </c>
      <c r="I35" s="14">
        <f t="shared" si="5"/>
        <v>0</v>
      </c>
      <c r="J35" s="15">
        <f>IF(CurrentMtgRatesDataTable8[[#This Row],[WA CC]]&lt;&gt;0,C34-CurrentMtgRatesDataTable8[[#This Row],[WA CC]],0)</f>
        <v>0</v>
      </c>
      <c r="K35" s="16">
        <f>IF(CurrentMtgRatesDataTable8[[#This Row],[Servicing Spread]]&lt;=0,K34,CurrentMtgRatesDataTable8[[#This Row],[Servicing Spread]])</f>
        <v>0.91189361547726433</v>
      </c>
    </row>
    <row r="36" spans="1:11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</v>
      </c>
      <c r="F36" s="14">
        <f t="shared" si="2"/>
        <v>1</v>
      </c>
      <c r="G36" s="14">
        <f t="shared" si="3"/>
        <v>0</v>
      </c>
      <c r="H36" s="14">
        <f t="shared" si="4"/>
        <v>0</v>
      </c>
      <c r="I36" s="14">
        <f t="shared" si="5"/>
        <v>2.762527351766932</v>
      </c>
      <c r="J36" s="15">
        <f>IF(CurrentMtgRatesDataTable8[[#This Row],[WA CC]]&lt;&gt;0,C35-CurrentMtgRatesDataTable8[[#This Row],[WA CC]],0)</f>
        <v>0.95247264823306788</v>
      </c>
      <c r="K36" s="16">
        <f>IF(CurrentMtgRatesDataTable8[[#This Row],[Servicing Spread]]&lt;=0,K35,CurrentMtgRatesDataTable8[[#This Row],[Servicing Spread]])</f>
        <v>0.95247264823306788</v>
      </c>
    </row>
    <row r="37" spans="1:11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</v>
      </c>
      <c r="F37" s="14">
        <f t="shared" si="2"/>
        <v>2</v>
      </c>
      <c r="G37" s="14">
        <f t="shared" si="3"/>
        <v>0</v>
      </c>
      <c r="H37" s="14">
        <f t="shared" si="4"/>
        <v>0</v>
      </c>
      <c r="I37" s="14">
        <f t="shared" si="5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0.95247264823306788</v>
      </c>
    </row>
    <row r="38" spans="1:11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0.05</v>
      </c>
      <c r="F38" s="14">
        <f t="shared" si="2"/>
        <v>3</v>
      </c>
      <c r="G38" s="14">
        <f t="shared" si="3"/>
        <v>0.136678505314347</v>
      </c>
      <c r="H38" s="14">
        <f t="shared" si="4"/>
        <v>0.05</v>
      </c>
      <c r="I38" s="14">
        <f t="shared" si="5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0.95247264823306788</v>
      </c>
    </row>
    <row r="39" spans="1:11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0.7</v>
      </c>
      <c r="F39" s="14">
        <f t="shared" si="2"/>
        <v>4</v>
      </c>
      <c r="G39" s="14">
        <f t="shared" si="3"/>
        <v>2.0754640150705819</v>
      </c>
      <c r="H39" s="14">
        <f t="shared" si="4"/>
        <v>0.75</v>
      </c>
      <c r="I39" s="14">
        <f t="shared" si="5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0.95247264823306788</v>
      </c>
    </row>
    <row r="40" spans="1:11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0.25</v>
      </c>
      <c r="F40" s="14">
        <f t="shared" si="2"/>
        <v>5</v>
      </c>
      <c r="G40" s="14">
        <f t="shared" si="3"/>
        <v>2.7592343268187594</v>
      </c>
      <c r="H40" s="14">
        <f t="shared" si="4"/>
        <v>1</v>
      </c>
      <c r="I40" s="14">
        <f t="shared" si="5"/>
        <v>0</v>
      </c>
      <c r="J40" s="15">
        <f>IF(CurrentMtgRatesDataTable8[[#This Row],[WA CC]]&lt;&gt;0,C39-CurrentMtgRatesDataTable8[[#This Row],[WA CC]],0)</f>
        <v>0</v>
      </c>
      <c r="K40" s="16">
        <f>IF(CurrentMtgRatesDataTable8[[#This Row],[Servicing Spread]]&lt;=0,K39,CurrentMtgRatesDataTable8[[#This Row],[Servicing Spread]])</f>
        <v>0.95247264823306788</v>
      </c>
    </row>
    <row r="41" spans="1:11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</v>
      </c>
      <c r="F41" s="14">
        <f t="shared" si="2"/>
        <v>1</v>
      </c>
      <c r="G41" s="14">
        <f t="shared" si="3"/>
        <v>0</v>
      </c>
      <c r="H41" s="14">
        <f t="shared" si="4"/>
        <v>0</v>
      </c>
      <c r="I41" s="14">
        <f t="shared" si="5"/>
        <v>2.7592343268187594</v>
      </c>
      <c r="J41" s="15">
        <f>IF(CurrentMtgRatesDataTable8[[#This Row],[WA CC]]&lt;&gt;0,C40-CurrentMtgRatesDataTable8[[#This Row],[WA CC]],0)</f>
        <v>0.97076567318124063</v>
      </c>
      <c r="K41" s="16">
        <f>IF(CurrentMtgRatesDataTable8[[#This Row],[Servicing Spread]]&lt;=0,K40,CurrentMtgRatesDataTable8[[#This Row],[Servicing Spread]])</f>
        <v>0.97076567318124063</v>
      </c>
    </row>
    <row r="42" spans="1:11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</v>
      </c>
      <c r="F42" s="14">
        <f t="shared" si="2"/>
        <v>2</v>
      </c>
      <c r="G42" s="14">
        <f t="shared" si="3"/>
        <v>0</v>
      </c>
      <c r="H42" s="14">
        <f t="shared" si="4"/>
        <v>0</v>
      </c>
      <c r="I42" s="14">
        <f t="shared" si="5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0.97076567318124063</v>
      </c>
    </row>
    <row r="43" spans="1:11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0.7</v>
      </c>
      <c r="F43" s="14">
        <f t="shared" si="2"/>
        <v>3</v>
      </c>
      <c r="G43" s="14">
        <f t="shared" si="3"/>
        <v>1.9400414920544418</v>
      </c>
      <c r="H43" s="14">
        <f t="shared" si="4"/>
        <v>0.7</v>
      </c>
      <c r="I43" s="14">
        <f t="shared" si="5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0.97076567318124063</v>
      </c>
    </row>
    <row r="44" spans="1:11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0.25</v>
      </c>
      <c r="F44" s="14">
        <f t="shared" si="2"/>
        <v>4</v>
      </c>
      <c r="G44" s="14">
        <f t="shared" si="3"/>
        <v>2.6112575574760069</v>
      </c>
      <c r="H44" s="14">
        <f t="shared" si="4"/>
        <v>0.95</v>
      </c>
      <c r="I44" s="14">
        <f t="shared" si="5"/>
        <v>0</v>
      </c>
      <c r="J44" s="15">
        <f>IF(CurrentMtgRatesDataTable8[[#This Row],[WA CC]]&lt;&gt;0,C43-CurrentMtgRatesDataTable8[[#This Row],[WA CC]],0)</f>
        <v>0</v>
      </c>
      <c r="K44" s="16">
        <f>IF(CurrentMtgRatesDataTable8[[#This Row],[Servicing Spread]]&lt;=0,K43,CurrentMtgRatesDataTable8[[#This Row],[Servicing Spread]])</f>
        <v>0.97076567318124063</v>
      </c>
    </row>
    <row r="45" spans="1:11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</v>
      </c>
      <c r="F45" s="14">
        <f t="shared" si="2"/>
        <v>1</v>
      </c>
      <c r="G45" s="14">
        <f t="shared" si="3"/>
        <v>0</v>
      </c>
      <c r="H45" s="14">
        <f t="shared" si="4"/>
        <v>0</v>
      </c>
      <c r="I45" s="14">
        <f t="shared" si="5"/>
        <v>2.748692165764218</v>
      </c>
      <c r="J45" s="15">
        <f>IF(CurrentMtgRatesDataTable8[[#This Row],[WA CC]]&lt;&gt;0,C44-CurrentMtgRatesDataTable8[[#This Row],[WA CC]],0)</f>
        <v>0.95130783423578213</v>
      </c>
      <c r="K45" s="16">
        <f>IF(CurrentMtgRatesDataTable8[[#This Row],[Servicing Spread]]&lt;=0,K44,CurrentMtgRatesDataTable8[[#This Row],[Servicing Spread]])</f>
        <v>0.95130783423578213</v>
      </c>
    </row>
    <row r="46" spans="1:11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</v>
      </c>
      <c r="F46" s="14">
        <f t="shared" si="2"/>
        <v>2</v>
      </c>
      <c r="G46" s="14">
        <f t="shared" si="3"/>
        <v>0</v>
      </c>
      <c r="H46" s="14">
        <f t="shared" si="4"/>
        <v>0</v>
      </c>
      <c r="I46" s="14">
        <f t="shared" si="5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0.95130783423578213</v>
      </c>
    </row>
    <row r="47" spans="1:11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0.05</v>
      </c>
      <c r="F47" s="14">
        <f t="shared" si="2"/>
        <v>3</v>
      </c>
      <c r="G47" s="14">
        <f t="shared" si="3"/>
        <v>0.1311128027260835</v>
      </c>
      <c r="H47" s="14">
        <f t="shared" si="4"/>
        <v>0.05</v>
      </c>
      <c r="I47" s="14">
        <f t="shared" si="5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0.95130783423578213</v>
      </c>
    </row>
    <row r="48" spans="1:11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0.7</v>
      </c>
      <c r="F48" s="14">
        <f t="shared" si="2"/>
        <v>4</v>
      </c>
      <c r="G48" s="14">
        <f t="shared" si="3"/>
        <v>2.0016241179850613</v>
      </c>
      <c r="H48" s="14">
        <f t="shared" si="4"/>
        <v>0.75</v>
      </c>
      <c r="I48" s="14">
        <f t="shared" si="5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0.95130783423578213</v>
      </c>
    </row>
    <row r="49" spans="1:11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0.25</v>
      </c>
      <c r="F49" s="14">
        <f t="shared" si="2"/>
        <v>5</v>
      </c>
      <c r="G49" s="14">
        <f t="shared" si="3"/>
        <v>2.6783716004836915</v>
      </c>
      <c r="H49" s="14">
        <f t="shared" si="4"/>
        <v>1</v>
      </c>
      <c r="I49" s="14">
        <f t="shared" si="5"/>
        <v>0</v>
      </c>
      <c r="J49" s="15">
        <f>IF(CurrentMtgRatesDataTable8[[#This Row],[WA CC]]&lt;&gt;0,C48-CurrentMtgRatesDataTable8[[#This Row],[WA CC]],0)</f>
        <v>0</v>
      </c>
      <c r="K49" s="16">
        <f>IF(CurrentMtgRatesDataTable8[[#This Row],[Servicing Spread]]&lt;=0,K48,CurrentMtgRatesDataTable8[[#This Row],[Servicing Spread]])</f>
        <v>0.95130783423578213</v>
      </c>
    </row>
    <row r="50" spans="1:11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</v>
      </c>
      <c r="F50" s="14">
        <f t="shared" si="2"/>
        <v>1</v>
      </c>
      <c r="G50" s="14">
        <f t="shared" si="3"/>
        <v>0</v>
      </c>
      <c r="H50" s="14">
        <f t="shared" si="4"/>
        <v>0</v>
      </c>
      <c r="I50" s="14">
        <f t="shared" si="5"/>
        <v>2.6783716004836915</v>
      </c>
      <c r="J50" s="15">
        <f>IF(CurrentMtgRatesDataTable8[[#This Row],[WA CC]]&lt;&gt;0,C49-CurrentMtgRatesDataTable8[[#This Row],[WA CC]],0)</f>
        <v>0.91662839951630826</v>
      </c>
      <c r="K50" s="16">
        <f>IF(CurrentMtgRatesDataTable8[[#This Row],[Servicing Spread]]&lt;=0,K49,CurrentMtgRatesDataTable8[[#This Row],[Servicing Spread]])</f>
        <v>0.91662839951630826</v>
      </c>
    </row>
    <row r="51" spans="1:11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</v>
      </c>
      <c r="F51" s="14">
        <f t="shared" si="2"/>
        <v>2</v>
      </c>
      <c r="G51" s="14">
        <f t="shared" si="3"/>
        <v>0</v>
      </c>
      <c r="H51" s="14">
        <f t="shared" si="4"/>
        <v>0</v>
      </c>
      <c r="I51" s="14">
        <f t="shared" si="5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0.91662839951630826</v>
      </c>
    </row>
    <row r="52" spans="1:11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0.05</v>
      </c>
      <c r="F52" s="14">
        <f t="shared" si="2"/>
        <v>3</v>
      </c>
      <c r="G52" s="14">
        <f t="shared" si="3"/>
        <v>0.13199484480624252</v>
      </c>
      <c r="H52" s="14">
        <f t="shared" si="4"/>
        <v>0.05</v>
      </c>
      <c r="I52" s="14">
        <f t="shared" si="5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0.91662839951630826</v>
      </c>
    </row>
    <row r="53" spans="1:11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0.7</v>
      </c>
      <c r="F53" s="14">
        <f t="shared" si="2"/>
        <v>4</v>
      </c>
      <c r="G53" s="14">
        <f t="shared" si="3"/>
        <v>2.0191660696417335</v>
      </c>
      <c r="H53" s="14">
        <f t="shared" si="4"/>
        <v>0.75</v>
      </c>
      <c r="I53" s="14">
        <f t="shared" si="5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0.91662839951630826</v>
      </c>
    </row>
    <row r="54" spans="1:11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0.25</v>
      </c>
      <c r="F54" s="14">
        <f t="shared" si="2"/>
        <v>5</v>
      </c>
      <c r="G54" s="14">
        <f t="shared" si="3"/>
        <v>2.6823072246443886</v>
      </c>
      <c r="H54" s="14">
        <f t="shared" si="4"/>
        <v>1</v>
      </c>
      <c r="I54" s="14">
        <f t="shared" si="5"/>
        <v>0</v>
      </c>
      <c r="J54" s="15">
        <f>IF(CurrentMtgRatesDataTable8[[#This Row],[WA CC]]&lt;&gt;0,C53-CurrentMtgRatesDataTable8[[#This Row],[WA CC]],0)</f>
        <v>0</v>
      </c>
      <c r="K54" s="16">
        <f>IF(CurrentMtgRatesDataTable8[[#This Row],[Servicing Spread]]&lt;=0,K53,CurrentMtgRatesDataTable8[[#This Row],[Servicing Spread]])</f>
        <v>0.91662839951630826</v>
      </c>
    </row>
    <row r="55" spans="1:11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</v>
      </c>
      <c r="F55" s="14">
        <f t="shared" si="2"/>
        <v>1</v>
      </c>
      <c r="G55" s="14">
        <f t="shared" si="3"/>
        <v>0</v>
      </c>
      <c r="H55" s="14">
        <f t="shared" si="4"/>
        <v>0</v>
      </c>
      <c r="I55" s="14">
        <f t="shared" si="5"/>
        <v>2.6823072246443886</v>
      </c>
      <c r="J55" s="15">
        <f>IF(CurrentMtgRatesDataTable8[[#This Row],[WA CC]]&lt;&gt;0,C54-CurrentMtgRatesDataTable8[[#This Row],[WA CC]],0)</f>
        <v>0.95269277535561114</v>
      </c>
      <c r="K55" s="16">
        <f>IF(CurrentMtgRatesDataTable8[[#This Row],[Servicing Spread]]&lt;=0,K54,CurrentMtgRatesDataTable8[[#This Row],[Servicing Spread]])</f>
        <v>0.95269277535561114</v>
      </c>
    </row>
    <row r="56" spans="1:11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</v>
      </c>
      <c r="F56" s="14">
        <f t="shared" si="2"/>
        <v>2</v>
      </c>
      <c r="G56" s="14">
        <f t="shared" si="3"/>
        <v>0</v>
      </c>
      <c r="H56" s="14">
        <f t="shared" si="4"/>
        <v>0</v>
      </c>
      <c r="I56" s="14">
        <f t="shared" si="5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0.95269277535561114</v>
      </c>
    </row>
    <row r="57" spans="1:11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0.05</v>
      </c>
      <c r="F57" s="14">
        <f t="shared" si="2"/>
        <v>3</v>
      </c>
      <c r="G57" s="14">
        <f t="shared" si="3"/>
        <v>0.12975751434473501</v>
      </c>
      <c r="H57" s="14">
        <f t="shared" si="4"/>
        <v>0.05</v>
      </c>
      <c r="I57" s="14">
        <f t="shared" si="5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0.95269277535561114</v>
      </c>
    </row>
    <row r="58" spans="1:11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0.7</v>
      </c>
      <c r="F58" s="14">
        <f t="shared" si="2"/>
        <v>4</v>
      </c>
      <c r="G58" s="14">
        <f t="shared" si="3"/>
        <v>1.9489880829449489</v>
      </c>
      <c r="H58" s="14">
        <f t="shared" si="4"/>
        <v>0.75</v>
      </c>
      <c r="I58" s="14">
        <f t="shared" si="5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0.95269277535561114</v>
      </c>
    </row>
    <row r="59" spans="1:11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0.25</v>
      </c>
      <c r="F59" s="14">
        <f t="shared" si="2"/>
        <v>5</v>
      </c>
      <c r="G59" s="14">
        <f t="shared" si="3"/>
        <v>2.6095410857342136</v>
      </c>
      <c r="H59" s="14">
        <f t="shared" si="4"/>
        <v>1</v>
      </c>
      <c r="I59" s="14">
        <f t="shared" si="5"/>
        <v>0</v>
      </c>
      <c r="J59" s="15">
        <f>IF(CurrentMtgRatesDataTable8[[#This Row],[WA CC]]&lt;&gt;0,C58-CurrentMtgRatesDataTable8[[#This Row],[WA CC]],0)</f>
        <v>0</v>
      </c>
      <c r="K59" s="16">
        <f>IF(CurrentMtgRatesDataTable8[[#This Row],[Servicing Spread]]&lt;=0,K58,CurrentMtgRatesDataTable8[[#This Row],[Servicing Spread]])</f>
        <v>0.95269277535561114</v>
      </c>
    </row>
    <row r="60" spans="1:11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</v>
      </c>
      <c r="F60" s="14">
        <f t="shared" si="2"/>
        <v>1</v>
      </c>
      <c r="G60" s="14">
        <f t="shared" si="3"/>
        <v>0</v>
      </c>
      <c r="H60" s="14">
        <f t="shared" si="4"/>
        <v>0</v>
      </c>
      <c r="I60" s="14">
        <f t="shared" si="5"/>
        <v>2.6095410857342136</v>
      </c>
      <c r="J60" s="15">
        <f>IF(CurrentMtgRatesDataTable8[[#This Row],[WA CC]]&lt;&gt;0,C59-CurrentMtgRatesDataTable8[[#This Row],[WA CC]],0)</f>
        <v>0.97545891426578635</v>
      </c>
      <c r="K60" s="16">
        <f>IF(CurrentMtgRatesDataTable8[[#This Row],[Servicing Spread]]&lt;=0,K59,CurrentMtgRatesDataTable8[[#This Row],[Servicing Spread]])</f>
        <v>0.97545891426578635</v>
      </c>
    </row>
    <row r="61" spans="1:11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</v>
      </c>
      <c r="F61" s="14">
        <f t="shared" si="2"/>
        <v>2</v>
      </c>
      <c r="G61" s="14">
        <f t="shared" si="3"/>
        <v>0</v>
      </c>
      <c r="H61" s="14">
        <f t="shared" si="4"/>
        <v>0</v>
      </c>
      <c r="I61" s="14">
        <f t="shared" si="5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0.97545891426578635</v>
      </c>
    </row>
    <row r="62" spans="1:11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0.05</v>
      </c>
      <c r="F62" s="14">
        <f t="shared" si="2"/>
        <v>3</v>
      </c>
      <c r="G62" s="14">
        <f t="shared" si="3"/>
        <v>0.1289250306358535</v>
      </c>
      <c r="H62" s="14">
        <f t="shared" si="4"/>
        <v>0.05</v>
      </c>
      <c r="I62" s="14">
        <f t="shared" si="5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0.97545891426578635</v>
      </c>
    </row>
    <row r="63" spans="1:11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0.7</v>
      </c>
      <c r="F63" s="14">
        <f t="shared" si="2"/>
        <v>4</v>
      </c>
      <c r="G63" s="14">
        <f t="shared" si="3"/>
        <v>1.9603960813170065</v>
      </c>
      <c r="H63" s="14">
        <f t="shared" si="4"/>
        <v>0.75</v>
      </c>
      <c r="I63" s="14">
        <f t="shared" si="5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0.97545891426578635</v>
      </c>
    </row>
    <row r="64" spans="1:11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0.25</v>
      </c>
      <c r="F64" s="14">
        <f t="shared" si="2"/>
        <v>5</v>
      </c>
      <c r="G64" s="14">
        <f t="shared" si="3"/>
        <v>2.6075641750522691</v>
      </c>
      <c r="H64" s="14">
        <f t="shared" si="4"/>
        <v>1</v>
      </c>
      <c r="I64" s="14">
        <f t="shared" si="5"/>
        <v>0</v>
      </c>
      <c r="J64" s="15">
        <f>IF(CurrentMtgRatesDataTable8[[#This Row],[WA CC]]&lt;&gt;0,C63-CurrentMtgRatesDataTable8[[#This Row],[WA CC]],0)</f>
        <v>0</v>
      </c>
      <c r="K64" s="16">
        <f>IF(CurrentMtgRatesDataTable8[[#This Row],[Servicing Spread]]&lt;=0,K63,CurrentMtgRatesDataTable8[[#This Row],[Servicing Spread]])</f>
        <v>0.97545891426578635</v>
      </c>
    </row>
    <row r="65" spans="1:11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</v>
      </c>
      <c r="F65" s="14">
        <f t="shared" si="2"/>
        <v>1</v>
      </c>
      <c r="G65" s="14">
        <f t="shared" si="3"/>
        <v>0</v>
      </c>
      <c r="H65" s="14">
        <f t="shared" si="4"/>
        <v>0</v>
      </c>
      <c r="I65" s="14">
        <f t="shared" si="5"/>
        <v>2.6075641750522691</v>
      </c>
      <c r="J65" s="15">
        <f>IF(CurrentMtgRatesDataTable8[[#This Row],[WA CC]]&lt;&gt;0,C64-CurrentMtgRatesDataTable8[[#This Row],[WA CC]],0)</f>
        <v>0.97743582494773085</v>
      </c>
      <c r="K65" s="16">
        <f>IF(CurrentMtgRatesDataTable8[[#This Row],[Servicing Spread]]&lt;=0,K64,CurrentMtgRatesDataTable8[[#This Row],[Servicing Spread]])</f>
        <v>0.97743582494773085</v>
      </c>
    </row>
    <row r="66" spans="1:11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</v>
      </c>
      <c r="F66" s="14">
        <f t="shared" si="2"/>
        <v>2</v>
      </c>
      <c r="G66" s="14">
        <f t="shared" si="3"/>
        <v>0</v>
      </c>
      <c r="H66" s="14">
        <f t="shared" si="4"/>
        <v>0</v>
      </c>
      <c r="I66" s="14">
        <f t="shared" si="5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0.97743582494773085</v>
      </c>
    </row>
    <row r="67" spans="1:11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0.05</v>
      </c>
      <c r="F67" s="14">
        <f t="shared" si="2"/>
        <v>3</v>
      </c>
      <c r="G67" s="14">
        <f t="shared" si="3"/>
        <v>0.12726592208385251</v>
      </c>
      <c r="H67" s="14">
        <f t="shared" si="4"/>
        <v>0.05</v>
      </c>
      <c r="I67" s="14">
        <f t="shared" si="5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0.97743582494773085</v>
      </c>
    </row>
    <row r="68" spans="1:11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0.7</v>
      </c>
      <c r="F68" s="14">
        <f t="shared" si="2"/>
        <v>4</v>
      </c>
      <c r="G68" s="14">
        <f t="shared" si="3"/>
        <v>1.9355634645673265</v>
      </c>
      <c r="H68" s="14">
        <f t="shared" si="4"/>
        <v>0.75</v>
      </c>
      <c r="I68" s="14">
        <f t="shared" si="5"/>
        <v>0</v>
      </c>
      <c r="J68" s="15">
        <f>IF(CurrentMtgRatesDataTable8[[#This Row],[WA CC]]&lt;&gt;0,C67-CurrentMtgRatesDataTable8[[#This Row],[WA CC]],0)</f>
        <v>0</v>
      </c>
      <c r="K68" s="16">
        <f>IF(CurrentMtgRatesDataTable8[[#This Row],[Servicing Spread]]&lt;=0,K67,CurrentMtgRatesDataTable8[[#This Row],[Servicing Spread]])</f>
        <v>0.97743582494773085</v>
      </c>
    </row>
    <row r="69" spans="1:11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VLOOKUP(D69,O$5:P$11,2,FALSE)</f>
        <v>0</v>
      </c>
      <c r="F69" s="14">
        <f t="shared" ref="F69:F132" si="8">IF(AND(D69&gt;D68,F68&lt;6),F68+1,1)</f>
        <v>1</v>
      </c>
      <c r="G69" s="14">
        <f t="shared" ref="G69:G132" si="9">IF(F69&gt;F68,G68+B69*E69,B69*E69)</f>
        <v>0</v>
      </c>
      <c r="H69" s="14">
        <f t="shared" ref="H69:H132" si="10">IF(AND(F69&lt;6,F69&gt;F68),E69+H68,E69)</f>
        <v>0</v>
      </c>
      <c r="I69" s="14">
        <f t="shared" ref="I69:I132" si="11">IF(F68&gt;F69,G68/H68,0)</f>
        <v>2.5807512860897686</v>
      </c>
      <c r="J69" s="15">
        <f>IF(CurrentMtgRatesDataTable8[[#This Row],[WA CC]]&lt;&gt;0,C68-CurrentMtgRatesDataTable8[[#This Row],[WA CC]],0)</f>
        <v>0.98924871391023173</v>
      </c>
      <c r="K69" s="16">
        <f>IF(CurrentMtgRatesDataTable8[[#This Row],[Servicing Spread]]&lt;=0,K68,CurrentMtgRatesDataTable8[[#This Row],[Servicing Spread]])</f>
        <v>0.98924871391023173</v>
      </c>
    </row>
    <row r="70" spans="1:11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</v>
      </c>
      <c r="F70" s="14">
        <f t="shared" si="8"/>
        <v>2</v>
      </c>
      <c r="G70" s="14">
        <f t="shared" si="9"/>
        <v>0</v>
      </c>
      <c r="H70" s="14">
        <f t="shared" si="10"/>
        <v>0</v>
      </c>
      <c r="I70" s="14">
        <f t="shared" si="11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0.98924871391023173</v>
      </c>
    </row>
    <row r="71" spans="1:11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0.05</v>
      </c>
      <c r="F71" s="14">
        <f t="shared" si="8"/>
        <v>3</v>
      </c>
      <c r="G71" s="14">
        <f t="shared" si="9"/>
        <v>0.1224598605029015</v>
      </c>
      <c r="H71" s="14">
        <f t="shared" si="10"/>
        <v>0.05</v>
      </c>
      <c r="I71" s="14">
        <f t="shared" si="11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0.98924871391023173</v>
      </c>
    </row>
    <row r="72" spans="1:11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0.7</v>
      </c>
      <c r="F72" s="14">
        <f t="shared" si="8"/>
        <v>4</v>
      </c>
      <c r="G72" s="14">
        <f t="shared" si="9"/>
        <v>1.8185807339934275</v>
      </c>
      <c r="H72" s="14">
        <f t="shared" si="10"/>
        <v>0.75</v>
      </c>
      <c r="I72" s="14">
        <f t="shared" si="11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0.98924871391023173</v>
      </c>
    </row>
    <row r="73" spans="1:11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0.25</v>
      </c>
      <c r="F73" s="14">
        <f t="shared" si="8"/>
        <v>5</v>
      </c>
      <c r="G73" s="14">
        <f t="shared" si="9"/>
        <v>2.4214850516587152</v>
      </c>
      <c r="H73" s="14">
        <f t="shared" si="10"/>
        <v>1</v>
      </c>
      <c r="I73" s="14">
        <f t="shared" si="11"/>
        <v>0</v>
      </c>
      <c r="J73" s="15">
        <f>IF(CurrentMtgRatesDataTable8[[#This Row],[WA CC]]&lt;&gt;0,C72-CurrentMtgRatesDataTable8[[#This Row],[WA CC]],0)</f>
        <v>0</v>
      </c>
      <c r="K73" s="16">
        <f>IF(CurrentMtgRatesDataTable8[[#This Row],[Servicing Spread]]&lt;=0,K72,CurrentMtgRatesDataTable8[[#This Row],[Servicing Spread]])</f>
        <v>0.98924871391023173</v>
      </c>
    </row>
    <row r="74" spans="1:11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</v>
      </c>
      <c r="F74" s="14">
        <f t="shared" si="8"/>
        <v>1</v>
      </c>
      <c r="G74" s="14">
        <f t="shared" si="9"/>
        <v>0</v>
      </c>
      <c r="H74" s="14">
        <f t="shared" si="10"/>
        <v>0</v>
      </c>
      <c r="I74" s="14">
        <f t="shared" si="11"/>
        <v>2.4214850516587152</v>
      </c>
      <c r="J74" s="15">
        <f>IF(CurrentMtgRatesDataTable8[[#This Row],[WA CC]]&lt;&gt;0,C73-CurrentMtgRatesDataTable8[[#This Row],[WA CC]],0)</f>
        <v>1.0635149483412847</v>
      </c>
      <c r="K74" s="16">
        <f>IF(CurrentMtgRatesDataTable8[[#This Row],[Servicing Spread]]&lt;=0,K73,CurrentMtgRatesDataTable8[[#This Row],[Servicing Spread]])</f>
        <v>1.0635149483412847</v>
      </c>
    </row>
    <row r="75" spans="1:11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</v>
      </c>
      <c r="F75" s="14">
        <f t="shared" si="8"/>
        <v>2</v>
      </c>
      <c r="G75" s="14">
        <f t="shared" si="9"/>
        <v>0</v>
      </c>
      <c r="H75" s="14">
        <f t="shared" si="10"/>
        <v>0</v>
      </c>
      <c r="I75" s="14">
        <f t="shared" si="11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1.0635149483412847</v>
      </c>
    </row>
    <row r="76" spans="1:11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0.05</v>
      </c>
      <c r="F76" s="14">
        <f t="shared" si="8"/>
        <v>3</v>
      </c>
      <c r="G76" s="14">
        <f t="shared" si="9"/>
        <v>0.11984211859114452</v>
      </c>
      <c r="H76" s="14">
        <f t="shared" si="10"/>
        <v>0.05</v>
      </c>
      <c r="I76" s="14">
        <f t="shared" si="11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1.0635149483412847</v>
      </c>
    </row>
    <row r="77" spans="1:11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0.7</v>
      </c>
      <c r="F77" s="14">
        <f t="shared" si="8"/>
        <v>4</v>
      </c>
      <c r="G77" s="14">
        <f t="shared" si="9"/>
        <v>1.8251092615402764</v>
      </c>
      <c r="H77" s="14">
        <f t="shared" si="10"/>
        <v>0.75</v>
      </c>
      <c r="I77" s="14">
        <f t="shared" si="11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1.0635149483412847</v>
      </c>
    </row>
    <row r="78" spans="1:11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0.25</v>
      </c>
      <c r="F78" s="14">
        <f t="shared" si="8"/>
        <v>5</v>
      </c>
      <c r="G78" s="14">
        <f t="shared" si="9"/>
        <v>2.4190718672409917</v>
      </c>
      <c r="H78" s="14">
        <f t="shared" si="10"/>
        <v>1</v>
      </c>
      <c r="I78" s="14">
        <f t="shared" si="11"/>
        <v>0</v>
      </c>
      <c r="J78" s="15">
        <f>IF(CurrentMtgRatesDataTable8[[#This Row],[WA CC]]&lt;&gt;0,C77-CurrentMtgRatesDataTable8[[#This Row],[WA CC]],0)</f>
        <v>0</v>
      </c>
      <c r="K78" s="16">
        <f>IF(CurrentMtgRatesDataTable8[[#This Row],[Servicing Spread]]&lt;=0,K77,CurrentMtgRatesDataTable8[[#This Row],[Servicing Spread]])</f>
        <v>1.0635149483412847</v>
      </c>
    </row>
    <row r="79" spans="1:11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</v>
      </c>
      <c r="F79" s="14">
        <f t="shared" si="8"/>
        <v>1</v>
      </c>
      <c r="G79" s="14">
        <f t="shared" si="9"/>
        <v>0</v>
      </c>
      <c r="H79" s="14">
        <f t="shared" si="10"/>
        <v>0</v>
      </c>
      <c r="I79" s="14">
        <f t="shared" si="11"/>
        <v>2.4190718672409917</v>
      </c>
      <c r="J79" s="15">
        <f>IF(CurrentMtgRatesDataTable8[[#This Row],[WA CC]]&lt;&gt;0,C78-CurrentMtgRatesDataTable8[[#This Row],[WA CC]],0)</f>
        <v>1.035928132759008</v>
      </c>
      <c r="K79" s="16">
        <f>IF(CurrentMtgRatesDataTable8[[#This Row],[Servicing Spread]]&lt;=0,K78,CurrentMtgRatesDataTable8[[#This Row],[Servicing Spread]])</f>
        <v>1.035928132759008</v>
      </c>
    </row>
    <row r="80" spans="1:11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</v>
      </c>
      <c r="F80" s="14">
        <f t="shared" si="8"/>
        <v>2</v>
      </c>
      <c r="G80" s="14">
        <f t="shared" si="9"/>
        <v>0</v>
      </c>
      <c r="H80" s="14">
        <f t="shared" si="10"/>
        <v>0</v>
      </c>
      <c r="I80" s="14">
        <f t="shared" si="11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1.035928132759008</v>
      </c>
    </row>
    <row r="81" spans="1:11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0.05</v>
      </c>
      <c r="F81" s="14">
        <f t="shared" si="8"/>
        <v>3</v>
      </c>
      <c r="G81" s="14">
        <f t="shared" si="9"/>
        <v>0.11386159284127101</v>
      </c>
      <c r="H81" s="14">
        <f t="shared" si="10"/>
        <v>0.05</v>
      </c>
      <c r="I81" s="14">
        <f t="shared" si="11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1.035928132759008</v>
      </c>
    </row>
    <row r="82" spans="1:11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0.7</v>
      </c>
      <c r="F82" s="14">
        <f t="shared" si="8"/>
        <v>4</v>
      </c>
      <c r="G82" s="14">
        <f t="shared" si="9"/>
        <v>1.6868861855172337</v>
      </c>
      <c r="H82" s="14">
        <f t="shared" si="10"/>
        <v>0.75</v>
      </c>
      <c r="I82" s="14">
        <f t="shared" si="11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1.035928132759008</v>
      </c>
    </row>
    <row r="83" spans="1:11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0.25</v>
      </c>
      <c r="F83" s="14">
        <f t="shared" si="8"/>
        <v>5</v>
      </c>
      <c r="G83" s="14">
        <f t="shared" si="9"/>
        <v>2.2527281915710864</v>
      </c>
      <c r="H83" s="14">
        <f t="shared" si="10"/>
        <v>1</v>
      </c>
      <c r="I83" s="14">
        <f t="shared" si="11"/>
        <v>0</v>
      </c>
      <c r="J83" s="15">
        <f>IF(CurrentMtgRatesDataTable8[[#This Row],[WA CC]]&lt;&gt;0,C82-CurrentMtgRatesDataTable8[[#This Row],[WA CC]],0)</f>
        <v>0</v>
      </c>
      <c r="K83" s="16">
        <f>IF(CurrentMtgRatesDataTable8[[#This Row],[Servicing Spread]]&lt;=0,K82,CurrentMtgRatesDataTable8[[#This Row],[Servicing Spread]])</f>
        <v>1.035928132759008</v>
      </c>
    </row>
    <row r="84" spans="1:11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</v>
      </c>
      <c r="F84" s="14">
        <f t="shared" si="8"/>
        <v>1</v>
      </c>
      <c r="G84" s="14">
        <f t="shared" si="9"/>
        <v>0</v>
      </c>
      <c r="H84" s="14">
        <f t="shared" si="10"/>
        <v>0</v>
      </c>
      <c r="I84" s="14">
        <f t="shared" si="11"/>
        <v>2.2527281915710864</v>
      </c>
      <c r="J84" s="15">
        <f>IF(CurrentMtgRatesDataTable8[[#This Row],[WA CC]]&lt;&gt;0,C83-CurrentMtgRatesDataTable8[[#This Row],[WA CC]],0)</f>
        <v>1.1622718084289136</v>
      </c>
      <c r="K84" s="16">
        <f>IF(CurrentMtgRatesDataTable8[[#This Row],[Servicing Spread]]&lt;=0,K83,CurrentMtgRatesDataTable8[[#This Row],[Servicing Spread]])</f>
        <v>1.1622718084289136</v>
      </c>
    </row>
    <row r="85" spans="1:11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</v>
      </c>
      <c r="F85" s="14">
        <f t="shared" si="8"/>
        <v>2</v>
      </c>
      <c r="G85" s="14">
        <f t="shared" si="9"/>
        <v>0</v>
      </c>
      <c r="H85" s="14">
        <f t="shared" si="10"/>
        <v>0</v>
      </c>
      <c r="I85" s="14">
        <f t="shared" si="11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1.1622718084289136</v>
      </c>
    </row>
    <row r="86" spans="1:11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0.05</v>
      </c>
      <c r="F86" s="14">
        <f t="shared" si="8"/>
        <v>3</v>
      </c>
      <c r="G86" s="14">
        <f t="shared" si="9"/>
        <v>0.11682553767232701</v>
      </c>
      <c r="H86" s="14">
        <f t="shared" si="10"/>
        <v>0.05</v>
      </c>
      <c r="I86" s="14">
        <f t="shared" si="11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1.1622718084289136</v>
      </c>
    </row>
    <row r="87" spans="1:11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0.7</v>
      </c>
      <c r="F87" s="14">
        <f t="shared" si="8"/>
        <v>4</v>
      </c>
      <c r="G87" s="14">
        <f t="shared" si="9"/>
        <v>1.737042788605671</v>
      </c>
      <c r="H87" s="14">
        <f t="shared" si="10"/>
        <v>0.75</v>
      </c>
      <c r="I87" s="14">
        <f t="shared" si="11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1.1622718084289136</v>
      </c>
    </row>
    <row r="88" spans="1:11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0.25</v>
      </c>
      <c r="F88" s="14">
        <f t="shared" si="8"/>
        <v>5</v>
      </c>
      <c r="G88" s="14">
        <f t="shared" si="9"/>
        <v>2.3285131410115461</v>
      </c>
      <c r="H88" s="14">
        <f t="shared" si="10"/>
        <v>1</v>
      </c>
      <c r="I88" s="14">
        <f t="shared" si="11"/>
        <v>0</v>
      </c>
      <c r="J88" s="15">
        <f>IF(CurrentMtgRatesDataTable8[[#This Row],[WA CC]]&lt;&gt;0,C87-CurrentMtgRatesDataTable8[[#This Row],[WA CC]],0)</f>
        <v>0</v>
      </c>
      <c r="K88" s="16">
        <f>IF(CurrentMtgRatesDataTable8[[#This Row],[Servicing Spread]]&lt;=0,K87,CurrentMtgRatesDataTable8[[#This Row],[Servicing Spread]])</f>
        <v>1.1622718084289136</v>
      </c>
    </row>
    <row r="89" spans="1:11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</v>
      </c>
      <c r="F89" s="14">
        <f t="shared" si="8"/>
        <v>1</v>
      </c>
      <c r="G89" s="14">
        <f t="shared" si="9"/>
        <v>0</v>
      </c>
      <c r="H89" s="14">
        <f t="shared" si="10"/>
        <v>0</v>
      </c>
      <c r="I89" s="14">
        <f t="shared" si="11"/>
        <v>2.3285131410115461</v>
      </c>
      <c r="J89" s="15">
        <f>IF(CurrentMtgRatesDataTable8[[#This Row],[WA CC]]&lt;&gt;0,C88-CurrentMtgRatesDataTable8[[#This Row],[WA CC]],0)</f>
        <v>1.1464868589884536</v>
      </c>
      <c r="K89" s="16">
        <f>IF(CurrentMtgRatesDataTable8[[#This Row],[Servicing Spread]]&lt;=0,K88,CurrentMtgRatesDataTable8[[#This Row],[Servicing Spread]])</f>
        <v>1.1464868589884536</v>
      </c>
    </row>
    <row r="90" spans="1:11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</v>
      </c>
      <c r="F90" s="14">
        <f t="shared" si="8"/>
        <v>2</v>
      </c>
      <c r="G90" s="14">
        <f t="shared" si="9"/>
        <v>0</v>
      </c>
      <c r="H90" s="14">
        <f t="shared" si="10"/>
        <v>0</v>
      </c>
      <c r="I90" s="14">
        <f t="shared" si="11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1.1464868589884536</v>
      </c>
    </row>
    <row r="91" spans="1:11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0.05</v>
      </c>
      <c r="F91" s="14">
        <f t="shared" si="8"/>
        <v>3</v>
      </c>
      <c r="G91" s="14">
        <f t="shared" si="9"/>
        <v>0.12051277231454049</v>
      </c>
      <c r="H91" s="14">
        <f t="shared" si="10"/>
        <v>0.05</v>
      </c>
      <c r="I91" s="14">
        <f t="shared" si="11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1.1464868589884536</v>
      </c>
    </row>
    <row r="92" spans="1:11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0.7</v>
      </c>
      <c r="F92" s="14">
        <f t="shared" si="8"/>
        <v>4</v>
      </c>
      <c r="G92" s="14">
        <f t="shared" si="9"/>
        <v>1.8458923591643475</v>
      </c>
      <c r="H92" s="14">
        <f t="shared" si="10"/>
        <v>0.75</v>
      </c>
      <c r="I92" s="14">
        <f t="shared" si="11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1.1464868589884536</v>
      </c>
    </row>
    <row r="93" spans="1:11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0.25</v>
      </c>
      <c r="F93" s="14">
        <f t="shared" si="8"/>
        <v>5</v>
      </c>
      <c r="G93" s="14">
        <f t="shared" si="9"/>
        <v>2.4593618050947947</v>
      </c>
      <c r="H93" s="14">
        <f t="shared" si="10"/>
        <v>1</v>
      </c>
      <c r="I93" s="14">
        <f t="shared" si="11"/>
        <v>0</v>
      </c>
      <c r="J93" s="15">
        <f>IF(CurrentMtgRatesDataTable8[[#This Row],[WA CC]]&lt;&gt;0,C92-CurrentMtgRatesDataTable8[[#This Row],[WA CC]],0)</f>
        <v>0</v>
      </c>
      <c r="K93" s="16">
        <f>IF(CurrentMtgRatesDataTable8[[#This Row],[Servicing Spread]]&lt;=0,K92,CurrentMtgRatesDataTable8[[#This Row],[Servicing Spread]])</f>
        <v>1.1464868589884536</v>
      </c>
    </row>
    <row r="94" spans="1:11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</v>
      </c>
      <c r="F94" s="14">
        <f t="shared" si="8"/>
        <v>1</v>
      </c>
      <c r="G94" s="14">
        <f t="shared" si="9"/>
        <v>0</v>
      </c>
      <c r="H94" s="14">
        <f t="shared" si="10"/>
        <v>0</v>
      </c>
      <c r="I94" s="14">
        <f t="shared" si="11"/>
        <v>2.4593618050947947</v>
      </c>
      <c r="J94" s="15">
        <f>IF(CurrentMtgRatesDataTable8[[#This Row],[WA CC]]&lt;&gt;0,C93-CurrentMtgRatesDataTable8[[#This Row],[WA CC]],0)</f>
        <v>1.030638194905205</v>
      </c>
      <c r="K94" s="16">
        <f>IF(CurrentMtgRatesDataTable8[[#This Row],[Servicing Spread]]&lt;=0,K93,CurrentMtgRatesDataTable8[[#This Row],[Servicing Spread]])</f>
        <v>1.030638194905205</v>
      </c>
    </row>
    <row r="95" spans="1:11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</v>
      </c>
      <c r="F95" s="14">
        <f t="shared" si="8"/>
        <v>2</v>
      </c>
      <c r="G95" s="14">
        <f t="shared" si="9"/>
        <v>0</v>
      </c>
      <c r="H95" s="14">
        <f t="shared" si="10"/>
        <v>0</v>
      </c>
      <c r="I95" s="14">
        <f t="shared" si="11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1.030638194905205</v>
      </c>
    </row>
    <row r="96" spans="1:11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0.05</v>
      </c>
      <c r="F96" s="14">
        <f t="shared" si="8"/>
        <v>3</v>
      </c>
      <c r="G96" s="14">
        <f t="shared" si="9"/>
        <v>0.12163098939669051</v>
      </c>
      <c r="H96" s="14">
        <f t="shared" si="10"/>
        <v>0.05</v>
      </c>
      <c r="I96" s="14">
        <f t="shared" si="11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1.030638194905205</v>
      </c>
    </row>
    <row r="97" spans="1:11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0.7</v>
      </c>
      <c r="F97" s="14">
        <f t="shared" si="8"/>
        <v>4</v>
      </c>
      <c r="G97" s="14">
        <f t="shared" si="9"/>
        <v>1.8738783140235171</v>
      </c>
      <c r="H97" s="14">
        <f t="shared" si="10"/>
        <v>0.75</v>
      </c>
      <c r="I97" s="14">
        <f t="shared" si="11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1.030638194905205</v>
      </c>
    </row>
    <row r="98" spans="1:11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0.25</v>
      </c>
      <c r="F98" s="14">
        <f t="shared" si="8"/>
        <v>5</v>
      </c>
      <c r="G98" s="14">
        <f t="shared" si="9"/>
        <v>2.5334117055241046</v>
      </c>
      <c r="H98" s="14">
        <f t="shared" si="10"/>
        <v>1</v>
      </c>
      <c r="I98" s="14">
        <f t="shared" si="11"/>
        <v>0</v>
      </c>
      <c r="J98" s="15">
        <f>IF(CurrentMtgRatesDataTable8[[#This Row],[WA CC]]&lt;&gt;0,C97-CurrentMtgRatesDataTable8[[#This Row],[WA CC]],0)</f>
        <v>0</v>
      </c>
      <c r="K98" s="16">
        <f>IF(CurrentMtgRatesDataTable8[[#This Row],[Servicing Spread]]&lt;=0,K97,CurrentMtgRatesDataTable8[[#This Row],[Servicing Spread]])</f>
        <v>1.030638194905205</v>
      </c>
    </row>
    <row r="99" spans="1:11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</v>
      </c>
      <c r="F99" s="14">
        <f t="shared" si="8"/>
        <v>1</v>
      </c>
      <c r="G99" s="14">
        <f t="shared" si="9"/>
        <v>0</v>
      </c>
      <c r="H99" s="14">
        <f t="shared" si="10"/>
        <v>0</v>
      </c>
      <c r="I99" s="14">
        <f t="shared" si="11"/>
        <v>2.5334117055241046</v>
      </c>
      <c r="J99" s="15">
        <f>IF(CurrentMtgRatesDataTable8[[#This Row],[WA CC]]&lt;&gt;0,C98-CurrentMtgRatesDataTable8[[#This Row],[WA CC]],0)</f>
        <v>0.98658829447589547</v>
      </c>
      <c r="K99" s="16">
        <f>IF(CurrentMtgRatesDataTable8[[#This Row],[Servicing Spread]]&lt;=0,K98,CurrentMtgRatesDataTable8[[#This Row],[Servicing Spread]])</f>
        <v>0.98658829447589547</v>
      </c>
    </row>
    <row r="100" spans="1:11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</v>
      </c>
      <c r="F100" s="14">
        <f t="shared" si="8"/>
        <v>2</v>
      </c>
      <c r="G100" s="14">
        <f t="shared" si="9"/>
        <v>0</v>
      </c>
      <c r="H100" s="14">
        <f t="shared" si="10"/>
        <v>0</v>
      </c>
      <c r="I100" s="14">
        <f t="shared" si="11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0.98658829447589547</v>
      </c>
    </row>
    <row r="101" spans="1:11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0.05</v>
      </c>
      <c r="F101" s="14">
        <f t="shared" si="8"/>
        <v>3</v>
      </c>
      <c r="G101" s="14">
        <f t="shared" si="9"/>
        <v>0.13093384930819701</v>
      </c>
      <c r="H101" s="14">
        <f t="shared" si="10"/>
        <v>0.05</v>
      </c>
      <c r="I101" s="14">
        <f t="shared" si="11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0.98658829447589547</v>
      </c>
    </row>
    <row r="102" spans="1:11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0.7</v>
      </c>
      <c r="F102" s="14">
        <f t="shared" si="8"/>
        <v>4</v>
      </c>
      <c r="G102" s="14">
        <f t="shared" si="9"/>
        <v>1.96905784041096</v>
      </c>
      <c r="H102" s="14">
        <f t="shared" si="10"/>
        <v>0.75</v>
      </c>
      <c r="I102" s="14">
        <f t="shared" si="11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0.98658829447589547</v>
      </c>
    </row>
    <row r="103" spans="1:11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0.25</v>
      </c>
      <c r="F103" s="14">
        <f t="shared" si="8"/>
        <v>5</v>
      </c>
      <c r="G103" s="14">
        <f t="shared" si="9"/>
        <v>2.5970755315122052</v>
      </c>
      <c r="H103" s="14">
        <f t="shared" si="10"/>
        <v>1</v>
      </c>
      <c r="I103" s="14">
        <f t="shared" si="11"/>
        <v>0</v>
      </c>
      <c r="J103" s="15">
        <f>IF(CurrentMtgRatesDataTable8[[#This Row],[WA CC]]&lt;&gt;0,C102-CurrentMtgRatesDataTable8[[#This Row],[WA CC]],0)</f>
        <v>0</v>
      </c>
      <c r="K103" s="16">
        <f>IF(CurrentMtgRatesDataTable8[[#This Row],[Servicing Spread]]&lt;=0,K102,CurrentMtgRatesDataTable8[[#This Row],[Servicing Spread]])</f>
        <v>0.98658829447589547</v>
      </c>
    </row>
    <row r="104" spans="1:11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</v>
      </c>
      <c r="F104" s="14">
        <f t="shared" si="8"/>
        <v>1</v>
      </c>
      <c r="G104" s="14">
        <f t="shared" si="9"/>
        <v>0</v>
      </c>
      <c r="H104" s="14">
        <f t="shared" si="10"/>
        <v>0</v>
      </c>
      <c r="I104" s="14">
        <f t="shared" si="11"/>
        <v>2.5970755315122052</v>
      </c>
      <c r="J104" s="15">
        <f>IF(CurrentMtgRatesDataTable8[[#This Row],[WA CC]]&lt;&gt;0,C103-CurrentMtgRatesDataTable8[[#This Row],[WA CC]],0)</f>
        <v>0.9879244684877948</v>
      </c>
      <c r="K104" s="16">
        <f>IF(CurrentMtgRatesDataTable8[[#This Row],[Servicing Spread]]&lt;=0,K103,CurrentMtgRatesDataTable8[[#This Row],[Servicing Spread]])</f>
        <v>0.9879244684877948</v>
      </c>
    </row>
    <row r="105" spans="1:11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</v>
      </c>
      <c r="F105" s="14">
        <f t="shared" si="8"/>
        <v>2</v>
      </c>
      <c r="G105" s="14">
        <f t="shared" si="9"/>
        <v>0</v>
      </c>
      <c r="H105" s="14">
        <f t="shared" si="10"/>
        <v>0</v>
      </c>
      <c r="I105" s="14">
        <f t="shared" si="11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0.9879244684877948</v>
      </c>
    </row>
    <row r="106" spans="1:11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0.05</v>
      </c>
      <c r="F106" s="14">
        <f t="shared" si="8"/>
        <v>3</v>
      </c>
      <c r="G106" s="14">
        <f t="shared" si="9"/>
        <v>0.12203763150451702</v>
      </c>
      <c r="H106" s="14">
        <f t="shared" si="10"/>
        <v>0.05</v>
      </c>
      <c r="I106" s="14">
        <f t="shared" si="11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0.9879244684877948</v>
      </c>
    </row>
    <row r="107" spans="1:11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0.7</v>
      </c>
      <c r="F107" s="14">
        <f t="shared" si="8"/>
        <v>4</v>
      </c>
      <c r="G107" s="14">
        <f t="shared" si="9"/>
        <v>1.809764525464421</v>
      </c>
      <c r="H107" s="14">
        <f t="shared" si="10"/>
        <v>0.75</v>
      </c>
      <c r="I107" s="14">
        <f t="shared" si="11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0.9879244684877948</v>
      </c>
    </row>
    <row r="108" spans="1:11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0.25</v>
      </c>
      <c r="F108" s="14">
        <f t="shared" si="8"/>
        <v>5</v>
      </c>
      <c r="G108" s="14">
        <f t="shared" si="9"/>
        <v>2.4269605367273086</v>
      </c>
      <c r="H108" s="14">
        <f t="shared" si="10"/>
        <v>1</v>
      </c>
      <c r="I108" s="14">
        <f t="shared" si="11"/>
        <v>0</v>
      </c>
      <c r="J108" s="15">
        <f>IF(CurrentMtgRatesDataTable8[[#This Row],[WA CC]]&lt;&gt;0,C107-CurrentMtgRatesDataTable8[[#This Row],[WA CC]],0)</f>
        <v>0</v>
      </c>
      <c r="K108" s="16">
        <f>IF(CurrentMtgRatesDataTable8[[#This Row],[Servicing Spread]]&lt;=0,K107,CurrentMtgRatesDataTable8[[#This Row],[Servicing Spread]])</f>
        <v>0.9879244684877948</v>
      </c>
    </row>
    <row r="109" spans="1:11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</v>
      </c>
      <c r="F109" s="14">
        <f t="shared" si="8"/>
        <v>1</v>
      </c>
      <c r="G109" s="14">
        <f t="shared" si="9"/>
        <v>0</v>
      </c>
      <c r="H109" s="14">
        <f t="shared" si="10"/>
        <v>0</v>
      </c>
      <c r="I109" s="14">
        <f t="shared" si="11"/>
        <v>2.4269605367273086</v>
      </c>
      <c r="J109" s="15">
        <f>IF(CurrentMtgRatesDataTable8[[#This Row],[WA CC]]&lt;&gt;0,C108-CurrentMtgRatesDataTable8[[#This Row],[WA CC]],0)</f>
        <v>1.0630394632726912</v>
      </c>
      <c r="K109" s="16">
        <f>IF(CurrentMtgRatesDataTable8[[#This Row],[Servicing Spread]]&lt;=0,K108,CurrentMtgRatesDataTable8[[#This Row],[Servicing Spread]])</f>
        <v>1.0630394632726912</v>
      </c>
    </row>
    <row r="110" spans="1:11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</v>
      </c>
      <c r="F110" s="14">
        <f t="shared" si="8"/>
        <v>2</v>
      </c>
      <c r="G110" s="14">
        <f t="shared" si="9"/>
        <v>0</v>
      </c>
      <c r="H110" s="14">
        <f t="shared" si="10"/>
        <v>0</v>
      </c>
      <c r="I110" s="14">
        <f t="shared" si="11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1.0630394632726912</v>
      </c>
    </row>
    <row r="111" spans="1:11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0.7</v>
      </c>
      <c r="F111" s="14">
        <f t="shared" si="8"/>
        <v>3</v>
      </c>
      <c r="G111" s="14">
        <f t="shared" si="9"/>
        <v>1.6689168539341268</v>
      </c>
      <c r="H111" s="14">
        <f t="shared" si="10"/>
        <v>0.7</v>
      </c>
      <c r="I111" s="14">
        <f t="shared" si="11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1.0630394632726912</v>
      </c>
    </row>
    <row r="112" spans="1:11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0.25</v>
      </c>
      <c r="F112" s="14">
        <f t="shared" si="8"/>
        <v>4</v>
      </c>
      <c r="G112" s="14">
        <f t="shared" si="9"/>
        <v>2.267735871672067</v>
      </c>
      <c r="H112" s="14">
        <f t="shared" si="10"/>
        <v>0.95</v>
      </c>
      <c r="I112" s="14">
        <f t="shared" si="11"/>
        <v>0</v>
      </c>
      <c r="J112" s="15">
        <f>IF(CurrentMtgRatesDataTable8[[#This Row],[WA CC]]&lt;&gt;0,C111-CurrentMtgRatesDataTable8[[#This Row],[WA CC]],0)</f>
        <v>0</v>
      </c>
      <c r="K112" s="16">
        <f>IF(CurrentMtgRatesDataTable8[[#This Row],[Servicing Spread]]&lt;=0,K111,CurrentMtgRatesDataTable8[[#This Row],[Servicing Spread]])</f>
        <v>1.0630394632726912</v>
      </c>
    </row>
    <row r="113" spans="1:11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</v>
      </c>
      <c r="F113" s="14">
        <f t="shared" si="8"/>
        <v>1</v>
      </c>
      <c r="G113" s="14">
        <f t="shared" si="9"/>
        <v>0</v>
      </c>
      <c r="H113" s="14">
        <f t="shared" si="10"/>
        <v>0</v>
      </c>
      <c r="I113" s="14">
        <f t="shared" si="11"/>
        <v>2.3870903912337549</v>
      </c>
      <c r="J113" s="15">
        <f>IF(CurrentMtgRatesDataTable8[[#This Row],[WA CC]]&lt;&gt;0,C112-CurrentMtgRatesDataTable8[[#This Row],[WA CC]],0)</f>
        <v>1.0879096087662448</v>
      </c>
      <c r="K113" s="16">
        <f>IF(CurrentMtgRatesDataTable8[[#This Row],[Servicing Spread]]&lt;=0,K112,CurrentMtgRatesDataTable8[[#This Row],[Servicing Spread]])</f>
        <v>1.0879096087662448</v>
      </c>
    </row>
    <row r="114" spans="1:11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</v>
      </c>
      <c r="F114" s="14">
        <f t="shared" si="8"/>
        <v>2</v>
      </c>
      <c r="G114" s="14">
        <f t="shared" si="9"/>
        <v>0</v>
      </c>
      <c r="H114" s="14">
        <f t="shared" si="10"/>
        <v>0</v>
      </c>
      <c r="I114" s="14">
        <f t="shared" si="11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1.0879096087662448</v>
      </c>
    </row>
    <row r="115" spans="1:11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0.05</v>
      </c>
      <c r="F115" s="14">
        <f t="shared" si="8"/>
        <v>3</v>
      </c>
      <c r="G115" s="14">
        <f t="shared" si="9"/>
        <v>0.11889232782767101</v>
      </c>
      <c r="H115" s="14">
        <f t="shared" si="10"/>
        <v>0.05</v>
      </c>
      <c r="I115" s="14">
        <f t="shared" si="11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1.0879096087662448</v>
      </c>
    </row>
    <row r="116" spans="1:11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0.7</v>
      </c>
      <c r="F116" s="14">
        <f t="shared" si="8"/>
        <v>4</v>
      </c>
      <c r="G116" s="14">
        <f t="shared" si="9"/>
        <v>1.794490374606474</v>
      </c>
      <c r="H116" s="14">
        <f t="shared" si="10"/>
        <v>0.75</v>
      </c>
      <c r="I116" s="14">
        <f t="shared" si="11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1.0879096087662448</v>
      </c>
    </row>
    <row r="117" spans="1:11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0.25</v>
      </c>
      <c r="F117" s="14">
        <f t="shared" si="8"/>
        <v>5</v>
      </c>
      <c r="G117" s="14">
        <f t="shared" si="9"/>
        <v>2.4017945307436639</v>
      </c>
      <c r="H117" s="14">
        <f t="shared" si="10"/>
        <v>1</v>
      </c>
      <c r="I117" s="14">
        <f t="shared" si="11"/>
        <v>0</v>
      </c>
      <c r="J117" s="15">
        <f>IF(CurrentMtgRatesDataTable8[[#This Row],[WA CC]]&lt;&gt;0,C116-CurrentMtgRatesDataTable8[[#This Row],[WA CC]],0)</f>
        <v>0</v>
      </c>
      <c r="K117" s="16">
        <f>IF(CurrentMtgRatesDataTable8[[#This Row],[Servicing Spread]]&lt;=0,K116,CurrentMtgRatesDataTable8[[#This Row],[Servicing Spread]])</f>
        <v>1.0879096087662448</v>
      </c>
    </row>
    <row r="118" spans="1:11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</v>
      </c>
      <c r="F118" s="14">
        <f t="shared" si="8"/>
        <v>1</v>
      </c>
      <c r="G118" s="14">
        <f t="shared" si="9"/>
        <v>0</v>
      </c>
      <c r="H118" s="14">
        <f t="shared" si="10"/>
        <v>0</v>
      </c>
      <c r="I118" s="14">
        <f t="shared" si="11"/>
        <v>2.4017945307436639</v>
      </c>
      <c r="J118" s="15">
        <f>IF(CurrentMtgRatesDataTable8[[#This Row],[WA CC]]&lt;&gt;0,C117-CurrentMtgRatesDataTable8[[#This Row],[WA CC]],0)</f>
        <v>1.0482054692563358</v>
      </c>
      <c r="K118" s="16">
        <f>IF(CurrentMtgRatesDataTable8[[#This Row],[Servicing Spread]]&lt;=0,K117,CurrentMtgRatesDataTable8[[#This Row],[Servicing Spread]])</f>
        <v>1.0482054692563358</v>
      </c>
    </row>
    <row r="119" spans="1:11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</v>
      </c>
      <c r="F119" s="14">
        <f t="shared" si="8"/>
        <v>2</v>
      </c>
      <c r="G119" s="14">
        <f t="shared" si="9"/>
        <v>0</v>
      </c>
      <c r="H119" s="14">
        <f t="shared" si="10"/>
        <v>0</v>
      </c>
      <c r="I119" s="14">
        <f t="shared" si="11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1.0482054692563358</v>
      </c>
    </row>
    <row r="120" spans="1:11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0.05</v>
      </c>
      <c r="F120" s="14">
        <f t="shared" si="8"/>
        <v>3</v>
      </c>
      <c r="G120" s="14">
        <f t="shared" si="9"/>
        <v>0.11405825363085552</v>
      </c>
      <c r="H120" s="14">
        <f t="shared" si="10"/>
        <v>0.05</v>
      </c>
      <c r="I120" s="14">
        <f t="shared" si="11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1.0482054692563358</v>
      </c>
    </row>
    <row r="121" spans="1:11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0.7</v>
      </c>
      <c r="F121" s="14">
        <f t="shared" si="8"/>
        <v>4</v>
      </c>
      <c r="G121" s="14">
        <f t="shared" si="9"/>
        <v>1.7026372871449575</v>
      </c>
      <c r="H121" s="14">
        <f t="shared" si="10"/>
        <v>0.75</v>
      </c>
      <c r="I121" s="14">
        <f t="shared" si="11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1.0482054692563358</v>
      </c>
    </row>
    <row r="122" spans="1:11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0.25</v>
      </c>
      <c r="F122" s="14">
        <f t="shared" si="8"/>
        <v>5</v>
      </c>
      <c r="G122" s="14">
        <f t="shared" si="9"/>
        <v>2.2553514335380651</v>
      </c>
      <c r="H122" s="14">
        <f t="shared" si="10"/>
        <v>1</v>
      </c>
      <c r="I122" s="14">
        <f t="shared" si="11"/>
        <v>0</v>
      </c>
      <c r="J122" s="15">
        <f>IF(CurrentMtgRatesDataTable8[[#This Row],[WA CC]]&lt;&gt;0,C121-CurrentMtgRatesDataTable8[[#This Row],[WA CC]],0)</f>
        <v>0</v>
      </c>
      <c r="K122" s="16">
        <f>IF(CurrentMtgRatesDataTable8[[#This Row],[Servicing Spread]]&lt;=0,K121,CurrentMtgRatesDataTable8[[#This Row],[Servicing Spread]])</f>
        <v>1.0482054692563358</v>
      </c>
    </row>
    <row r="123" spans="1:11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</v>
      </c>
      <c r="F123" s="14">
        <f t="shared" si="8"/>
        <v>1</v>
      </c>
      <c r="G123" s="14">
        <f t="shared" si="9"/>
        <v>0</v>
      </c>
      <c r="H123" s="14">
        <f t="shared" si="10"/>
        <v>0</v>
      </c>
      <c r="I123" s="14">
        <f t="shared" si="11"/>
        <v>2.2553514335380651</v>
      </c>
      <c r="J123" s="15">
        <f>IF(CurrentMtgRatesDataTable8[[#This Row],[WA CC]]&lt;&gt;0,C122-CurrentMtgRatesDataTable8[[#This Row],[WA CC]],0)</f>
        <v>1.134648566461935</v>
      </c>
      <c r="K123" s="16">
        <f>IF(CurrentMtgRatesDataTable8[[#This Row],[Servicing Spread]]&lt;=0,K122,CurrentMtgRatesDataTable8[[#This Row],[Servicing Spread]])</f>
        <v>1.134648566461935</v>
      </c>
    </row>
    <row r="124" spans="1:11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</v>
      </c>
      <c r="F124" s="14">
        <f t="shared" si="8"/>
        <v>2</v>
      </c>
      <c r="G124" s="14">
        <f t="shared" si="9"/>
        <v>0</v>
      </c>
      <c r="H124" s="14">
        <f t="shared" si="10"/>
        <v>0</v>
      </c>
      <c r="I124" s="14">
        <f t="shared" si="11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1.134648566461935</v>
      </c>
    </row>
    <row r="125" spans="1:11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0.05</v>
      </c>
      <c r="F125" s="14">
        <f t="shared" si="8"/>
        <v>3</v>
      </c>
      <c r="G125" s="14">
        <f t="shared" si="9"/>
        <v>0.10216735385835102</v>
      </c>
      <c r="H125" s="14">
        <f t="shared" si="10"/>
        <v>0.05</v>
      </c>
      <c r="I125" s="14">
        <f t="shared" si="11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1.134648566461935</v>
      </c>
    </row>
    <row r="126" spans="1:11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0.7</v>
      </c>
      <c r="F126" s="14">
        <f t="shared" si="8"/>
        <v>4</v>
      </c>
      <c r="G126" s="14">
        <f t="shared" si="9"/>
        <v>1.4878567165242389</v>
      </c>
      <c r="H126" s="14">
        <f t="shared" si="10"/>
        <v>0.75</v>
      </c>
      <c r="I126" s="14">
        <f t="shared" si="11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1.134648566461935</v>
      </c>
    </row>
    <row r="127" spans="1:11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0.25</v>
      </c>
      <c r="F127" s="14">
        <f t="shared" si="8"/>
        <v>5</v>
      </c>
      <c r="G127" s="14">
        <f t="shared" si="9"/>
        <v>1.9812726060239765</v>
      </c>
      <c r="H127" s="14">
        <f t="shared" si="10"/>
        <v>1</v>
      </c>
      <c r="I127" s="14">
        <f t="shared" si="11"/>
        <v>0</v>
      </c>
      <c r="J127" s="15">
        <f>IF(CurrentMtgRatesDataTable8[[#This Row],[WA CC]]&lt;&gt;0,C126-CurrentMtgRatesDataTable8[[#This Row],[WA CC]],0)</f>
        <v>0</v>
      </c>
      <c r="K127" s="16">
        <f>IF(CurrentMtgRatesDataTable8[[#This Row],[Servicing Spread]]&lt;=0,K126,CurrentMtgRatesDataTable8[[#This Row],[Servicing Spread]])</f>
        <v>1.134648566461935</v>
      </c>
    </row>
    <row r="128" spans="1:11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</v>
      </c>
      <c r="F128" s="14">
        <f t="shared" si="8"/>
        <v>1</v>
      </c>
      <c r="G128" s="14">
        <f t="shared" si="9"/>
        <v>0</v>
      </c>
      <c r="H128" s="14">
        <f t="shared" si="10"/>
        <v>0</v>
      </c>
      <c r="I128" s="14">
        <f t="shared" si="11"/>
        <v>1.9812726060239765</v>
      </c>
      <c r="J128" s="15">
        <f>IF(CurrentMtgRatesDataTable8[[#This Row],[WA CC]]&lt;&gt;0,C127-CurrentMtgRatesDataTable8[[#This Row],[WA CC]],0)</f>
        <v>1.3187273939760233</v>
      </c>
      <c r="K128" s="16">
        <f>IF(CurrentMtgRatesDataTable8[[#This Row],[Servicing Spread]]&lt;=0,K127,CurrentMtgRatesDataTable8[[#This Row],[Servicing Spread]])</f>
        <v>1.3187273939760233</v>
      </c>
    </row>
    <row r="129" spans="1:11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</v>
      </c>
      <c r="F129" s="14">
        <f t="shared" si="8"/>
        <v>2</v>
      </c>
      <c r="G129" s="14">
        <f t="shared" si="9"/>
        <v>0</v>
      </c>
      <c r="H129" s="14">
        <f t="shared" si="10"/>
        <v>0</v>
      </c>
      <c r="I129" s="14">
        <f t="shared" si="11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1.3187273939760233</v>
      </c>
    </row>
    <row r="130" spans="1:11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0.05</v>
      </c>
      <c r="F130" s="14">
        <f t="shared" si="8"/>
        <v>3</v>
      </c>
      <c r="G130" s="14">
        <f t="shared" si="9"/>
        <v>9.89553084889815E-2</v>
      </c>
      <c r="H130" s="14">
        <f t="shared" si="10"/>
        <v>0.05</v>
      </c>
      <c r="I130" s="14">
        <f t="shared" si="11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1.3187273939760233</v>
      </c>
    </row>
    <row r="131" spans="1:11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0.7</v>
      </c>
      <c r="F131" s="14">
        <f t="shared" si="8"/>
        <v>4</v>
      </c>
      <c r="G131" s="14">
        <f t="shared" si="9"/>
        <v>1.4284433988131096</v>
      </c>
      <c r="H131" s="14">
        <f t="shared" si="10"/>
        <v>0.75</v>
      </c>
      <c r="I131" s="14">
        <f t="shared" si="11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1.3187273939760233</v>
      </c>
    </row>
    <row r="132" spans="1:11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0.25</v>
      </c>
      <c r="F132" s="14">
        <f t="shared" si="8"/>
        <v>5</v>
      </c>
      <c r="G132" s="14">
        <f t="shared" si="9"/>
        <v>1.922054554719647</v>
      </c>
      <c r="H132" s="14">
        <f t="shared" si="10"/>
        <v>1</v>
      </c>
      <c r="I132" s="14">
        <f t="shared" si="11"/>
        <v>0</v>
      </c>
      <c r="J132" s="15">
        <f>IF(CurrentMtgRatesDataTable8[[#This Row],[WA CC]]&lt;&gt;0,C131-CurrentMtgRatesDataTable8[[#This Row],[WA CC]],0)</f>
        <v>0</v>
      </c>
      <c r="K132" s="16">
        <f>IF(CurrentMtgRatesDataTable8[[#This Row],[Servicing Spread]]&lt;=0,K131,CurrentMtgRatesDataTable8[[#This Row],[Servicing Spread]])</f>
        <v>1.3187273939760233</v>
      </c>
    </row>
    <row r="133" spans="1:11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VLOOKUP(D133,O$5:P$11,2,FALSE)</f>
        <v>0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</v>
      </c>
      <c r="H133" s="14">
        <f t="shared" ref="H133:H196" si="16">IF(AND(F133&lt;6,F133&gt;F132),E133+H132,E133)</f>
        <v>0</v>
      </c>
      <c r="I133" s="14">
        <f t="shared" ref="I133:I196" si="17">IF(F132&gt;F133,G132/H132,0)</f>
        <v>1.922054554719647</v>
      </c>
      <c r="J133" s="15">
        <f>IF(CurrentMtgRatesDataTable8[[#This Row],[WA CC]]&lt;&gt;0,C132-CurrentMtgRatesDataTable8[[#This Row],[WA CC]],0)</f>
        <v>1.3379454452803528</v>
      </c>
      <c r="K133" s="16">
        <f>IF(CurrentMtgRatesDataTable8[[#This Row],[Servicing Spread]]&lt;=0,K132,CurrentMtgRatesDataTable8[[#This Row],[Servicing Spread]])</f>
        <v>1.3379454452803528</v>
      </c>
    </row>
    <row r="134" spans="1:11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</v>
      </c>
      <c r="F134" s="14">
        <f t="shared" si="14"/>
        <v>2</v>
      </c>
      <c r="G134" s="14">
        <f t="shared" si="15"/>
        <v>0</v>
      </c>
      <c r="H134" s="14">
        <f t="shared" si="16"/>
        <v>0</v>
      </c>
      <c r="I134" s="14">
        <f t="shared" si="17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1.3379454452803528</v>
      </c>
    </row>
    <row r="135" spans="1:11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0.7</v>
      </c>
      <c r="F135" s="14">
        <f t="shared" si="14"/>
        <v>3</v>
      </c>
      <c r="G135" s="14">
        <f t="shared" si="15"/>
        <v>1.4785394430811971</v>
      </c>
      <c r="H135" s="14">
        <f t="shared" si="16"/>
        <v>0.7</v>
      </c>
      <c r="I135" s="14">
        <f t="shared" si="17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1.3379454452803528</v>
      </c>
    </row>
    <row r="136" spans="1:11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0.25</v>
      </c>
      <c r="F136" s="14">
        <f t="shared" si="14"/>
        <v>4</v>
      </c>
      <c r="G136" s="14">
        <f t="shared" si="15"/>
        <v>1.9927140438027822</v>
      </c>
      <c r="H136" s="14">
        <f t="shared" si="16"/>
        <v>0.95</v>
      </c>
      <c r="I136" s="14">
        <f t="shared" si="17"/>
        <v>0</v>
      </c>
      <c r="J136" s="15">
        <f>IF(CurrentMtgRatesDataTable8[[#This Row],[WA CC]]&lt;&gt;0,C135-CurrentMtgRatesDataTable8[[#This Row],[WA CC]],0)</f>
        <v>0</v>
      </c>
      <c r="K136" s="16">
        <f>IF(CurrentMtgRatesDataTable8[[#This Row],[Servicing Spread]]&lt;=0,K135,CurrentMtgRatesDataTable8[[#This Row],[Servicing Spread]])</f>
        <v>1.3379454452803528</v>
      </c>
    </row>
    <row r="137" spans="1:11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</v>
      </c>
      <c r="F137" s="14">
        <f t="shared" si="14"/>
        <v>1</v>
      </c>
      <c r="G137" s="14">
        <f t="shared" si="15"/>
        <v>0</v>
      </c>
      <c r="H137" s="14">
        <f t="shared" si="16"/>
        <v>0</v>
      </c>
      <c r="I137" s="14">
        <f t="shared" si="17"/>
        <v>2.0975937303187182</v>
      </c>
      <c r="J137" s="15">
        <f>IF(CurrentMtgRatesDataTable8[[#This Row],[WA CC]]&lt;&gt;0,C136-CurrentMtgRatesDataTable8[[#This Row],[WA CC]],0)</f>
        <v>1.2174062696812817</v>
      </c>
      <c r="K137" s="16">
        <f>IF(CurrentMtgRatesDataTable8[[#This Row],[Servicing Spread]]&lt;=0,K136,CurrentMtgRatesDataTable8[[#This Row],[Servicing Spread]])</f>
        <v>1.2174062696812817</v>
      </c>
    </row>
    <row r="138" spans="1:11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</v>
      </c>
      <c r="F138" s="14">
        <f t="shared" si="14"/>
        <v>2</v>
      </c>
      <c r="G138" s="14">
        <f t="shared" si="15"/>
        <v>0</v>
      </c>
      <c r="H138" s="14">
        <f t="shared" si="16"/>
        <v>0</v>
      </c>
      <c r="I138" s="14">
        <f t="shared" si="17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1.2174062696812817</v>
      </c>
    </row>
    <row r="139" spans="1:11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0.05</v>
      </c>
      <c r="F139" s="14">
        <f t="shared" si="14"/>
        <v>3</v>
      </c>
      <c r="G139" s="14">
        <f t="shared" si="15"/>
        <v>0.10216991748712501</v>
      </c>
      <c r="H139" s="14">
        <f t="shared" si="16"/>
        <v>0.05</v>
      </c>
      <c r="I139" s="14">
        <f t="shared" si="17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1.2174062696812817</v>
      </c>
    </row>
    <row r="140" spans="1:11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0.7</v>
      </c>
      <c r="F140" s="14">
        <f t="shared" si="14"/>
        <v>4</v>
      </c>
      <c r="G140" s="14">
        <f t="shared" si="15"/>
        <v>1.5653890983078931</v>
      </c>
      <c r="H140" s="14">
        <f t="shared" si="16"/>
        <v>0.75</v>
      </c>
      <c r="I140" s="14">
        <f t="shared" si="17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1.2174062696812817</v>
      </c>
    </row>
    <row r="141" spans="1:11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0.25</v>
      </c>
      <c r="F141" s="14">
        <f t="shared" si="14"/>
        <v>5</v>
      </c>
      <c r="G141" s="14">
        <f t="shared" si="15"/>
        <v>2.1153740299154657</v>
      </c>
      <c r="H141" s="14">
        <f t="shared" si="16"/>
        <v>1</v>
      </c>
      <c r="I141" s="14">
        <f t="shared" si="17"/>
        <v>0</v>
      </c>
      <c r="J141" s="15">
        <f>IF(CurrentMtgRatesDataTable8[[#This Row],[WA CC]]&lt;&gt;0,C140-CurrentMtgRatesDataTable8[[#This Row],[WA CC]],0)</f>
        <v>0</v>
      </c>
      <c r="K141" s="16">
        <f>IF(CurrentMtgRatesDataTable8[[#This Row],[Servicing Spread]]&lt;=0,K140,CurrentMtgRatesDataTable8[[#This Row],[Servicing Spread]])</f>
        <v>1.2174062696812817</v>
      </c>
    </row>
    <row r="142" spans="1:11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</v>
      </c>
      <c r="F142" s="14">
        <f t="shared" si="14"/>
        <v>1</v>
      </c>
      <c r="G142" s="14">
        <f t="shared" si="15"/>
        <v>0</v>
      </c>
      <c r="H142" s="14">
        <f t="shared" si="16"/>
        <v>0</v>
      </c>
      <c r="I142" s="14">
        <f t="shared" si="17"/>
        <v>2.1153740299154657</v>
      </c>
      <c r="J142" s="15">
        <f>IF(CurrentMtgRatesDataTable8[[#This Row],[WA CC]]&lt;&gt;0,C141-CurrentMtgRatesDataTable8[[#This Row],[WA CC]],0)</f>
        <v>1.1796259700845342</v>
      </c>
      <c r="K142" s="16">
        <f>IF(CurrentMtgRatesDataTable8[[#This Row],[Servicing Spread]]&lt;=0,K141,CurrentMtgRatesDataTable8[[#This Row],[Servicing Spread]])</f>
        <v>1.1796259700845342</v>
      </c>
    </row>
    <row r="143" spans="1:11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</v>
      </c>
      <c r="F143" s="14">
        <f t="shared" si="14"/>
        <v>2</v>
      </c>
      <c r="G143" s="14">
        <f t="shared" si="15"/>
        <v>0</v>
      </c>
      <c r="H143" s="14">
        <f t="shared" si="16"/>
        <v>0</v>
      </c>
      <c r="I143" s="14">
        <f t="shared" si="17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1.1796259700845342</v>
      </c>
    </row>
    <row r="144" spans="1:11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0.05</v>
      </c>
      <c r="F144" s="14">
        <f t="shared" si="14"/>
        <v>3</v>
      </c>
      <c r="G144" s="14">
        <f t="shared" si="15"/>
        <v>0.110240018637555</v>
      </c>
      <c r="H144" s="14">
        <f t="shared" si="16"/>
        <v>0.05</v>
      </c>
      <c r="I144" s="14">
        <f t="shared" si="17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1.1796259700845342</v>
      </c>
    </row>
    <row r="145" spans="1:11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0.7</v>
      </c>
      <c r="F145" s="14">
        <f t="shared" si="14"/>
        <v>4</v>
      </c>
      <c r="G145" s="14">
        <f t="shared" si="15"/>
        <v>1.6420585723935419</v>
      </c>
      <c r="H145" s="14">
        <f t="shared" si="16"/>
        <v>0.75</v>
      </c>
      <c r="I145" s="14">
        <f t="shared" si="17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1.1796259700845342</v>
      </c>
    </row>
    <row r="146" spans="1:11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0.25</v>
      </c>
      <c r="F146" s="14">
        <f t="shared" si="14"/>
        <v>5</v>
      </c>
      <c r="G146" s="14">
        <f t="shared" si="15"/>
        <v>2.1983123546610868</v>
      </c>
      <c r="H146" s="14">
        <f t="shared" si="16"/>
        <v>1</v>
      </c>
      <c r="I146" s="14">
        <f t="shared" si="17"/>
        <v>0</v>
      </c>
      <c r="J146" s="15">
        <f>IF(CurrentMtgRatesDataTable8[[#This Row],[WA CC]]&lt;&gt;0,C145-CurrentMtgRatesDataTable8[[#This Row],[WA CC]],0)</f>
        <v>0</v>
      </c>
      <c r="K146" s="16">
        <f>IF(CurrentMtgRatesDataTable8[[#This Row],[Servicing Spread]]&lt;=0,K145,CurrentMtgRatesDataTable8[[#This Row],[Servicing Spread]])</f>
        <v>1.1796259700845342</v>
      </c>
    </row>
    <row r="147" spans="1:11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</v>
      </c>
      <c r="F147" s="14">
        <f t="shared" si="14"/>
        <v>1</v>
      </c>
      <c r="G147" s="14">
        <f t="shared" si="15"/>
        <v>0</v>
      </c>
      <c r="H147" s="14">
        <f t="shared" si="16"/>
        <v>0</v>
      </c>
      <c r="I147" s="14">
        <f t="shared" si="17"/>
        <v>2.1983123546610868</v>
      </c>
      <c r="J147" s="15">
        <f>IF(CurrentMtgRatesDataTable8[[#This Row],[WA CC]]&lt;&gt;0,C146-CurrentMtgRatesDataTable8[[#This Row],[WA CC]],0)</f>
        <v>1.1366876453389132</v>
      </c>
      <c r="K147" s="16">
        <f>IF(CurrentMtgRatesDataTable8[[#This Row],[Servicing Spread]]&lt;=0,K146,CurrentMtgRatesDataTable8[[#This Row],[Servicing Spread]])</f>
        <v>1.1366876453389132</v>
      </c>
    </row>
    <row r="148" spans="1:11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</v>
      </c>
      <c r="F148" s="14">
        <f t="shared" si="14"/>
        <v>2</v>
      </c>
      <c r="G148" s="14">
        <f t="shared" si="15"/>
        <v>0</v>
      </c>
      <c r="H148" s="14">
        <f t="shared" si="16"/>
        <v>0</v>
      </c>
      <c r="I148" s="14">
        <f t="shared" si="17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1.1366876453389132</v>
      </c>
    </row>
    <row r="149" spans="1:11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0.05</v>
      </c>
      <c r="F149" s="14">
        <f t="shared" si="14"/>
        <v>3</v>
      </c>
      <c r="G149" s="14">
        <f t="shared" si="15"/>
        <v>0.10879316001745301</v>
      </c>
      <c r="H149" s="14">
        <f t="shared" si="16"/>
        <v>0.05</v>
      </c>
      <c r="I149" s="14">
        <f t="shared" si="17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1.1366876453389132</v>
      </c>
    </row>
    <row r="150" spans="1:11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0.25</v>
      </c>
      <c r="F150" s="14">
        <f t="shared" si="14"/>
        <v>4</v>
      </c>
      <c r="G150" s="14">
        <f t="shared" si="15"/>
        <v>0.64438059633991296</v>
      </c>
      <c r="H150" s="14">
        <f t="shared" si="16"/>
        <v>0.3</v>
      </c>
      <c r="I150" s="14">
        <f t="shared" si="17"/>
        <v>0</v>
      </c>
      <c r="J150" s="15">
        <f>IF(CurrentMtgRatesDataTable8[[#This Row],[WA CC]]&lt;&gt;0,C149-CurrentMtgRatesDataTable8[[#This Row],[WA CC]],0)</f>
        <v>0</v>
      </c>
      <c r="K150" s="16">
        <f>IF(CurrentMtgRatesDataTable8[[#This Row],[Servicing Spread]]&lt;=0,K149,CurrentMtgRatesDataTable8[[#This Row],[Servicing Spread]])</f>
        <v>1.1366876453389132</v>
      </c>
    </row>
    <row r="151" spans="1:11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</v>
      </c>
      <c r="F151" s="14">
        <f t="shared" si="14"/>
        <v>1</v>
      </c>
      <c r="G151" s="14">
        <f t="shared" si="15"/>
        <v>0</v>
      </c>
      <c r="H151" s="14">
        <f t="shared" si="16"/>
        <v>0</v>
      </c>
      <c r="I151" s="14">
        <f t="shared" si="17"/>
        <v>2.1479353211330432</v>
      </c>
      <c r="J151" s="15">
        <f>IF(CurrentMtgRatesDataTable8[[#This Row],[WA CC]]&lt;&gt;0,C150-CurrentMtgRatesDataTable8[[#This Row],[WA CC]],0)</f>
        <v>1.1670646788669568</v>
      </c>
      <c r="K151" s="16">
        <f>IF(CurrentMtgRatesDataTable8[[#This Row],[Servicing Spread]]&lt;=0,K150,CurrentMtgRatesDataTable8[[#This Row],[Servicing Spread]])</f>
        <v>1.1670646788669568</v>
      </c>
    </row>
    <row r="152" spans="1:11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</v>
      </c>
      <c r="F152" s="14">
        <f t="shared" si="14"/>
        <v>2</v>
      </c>
      <c r="G152" s="14">
        <f t="shared" si="15"/>
        <v>0</v>
      </c>
      <c r="H152" s="14">
        <f t="shared" si="16"/>
        <v>0</v>
      </c>
      <c r="I152" s="14">
        <f t="shared" si="17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1.1670646788669568</v>
      </c>
    </row>
    <row r="153" spans="1:11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0.05</v>
      </c>
      <c r="F153" s="14">
        <f t="shared" si="14"/>
        <v>3</v>
      </c>
      <c r="G153" s="14">
        <f t="shared" si="15"/>
        <v>0.10739710759830801</v>
      </c>
      <c r="H153" s="14">
        <f t="shared" si="16"/>
        <v>0.05</v>
      </c>
      <c r="I153" s="14">
        <f t="shared" si="17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1.1670646788669568</v>
      </c>
    </row>
    <row r="154" spans="1:11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0.7</v>
      </c>
      <c r="F154" s="14">
        <f t="shared" si="14"/>
        <v>4</v>
      </c>
      <c r="G154" s="14">
        <f t="shared" si="15"/>
        <v>1.6816208968047259</v>
      </c>
      <c r="H154" s="14">
        <f t="shared" si="16"/>
        <v>0.75</v>
      </c>
      <c r="I154" s="14">
        <f t="shared" si="17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1.1670646788669568</v>
      </c>
    </row>
    <row r="155" spans="1:11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0.25</v>
      </c>
      <c r="F155" s="14">
        <f t="shared" si="14"/>
        <v>5</v>
      </c>
      <c r="G155" s="14">
        <f t="shared" si="15"/>
        <v>2.2046140112479407</v>
      </c>
      <c r="H155" s="14">
        <f t="shared" si="16"/>
        <v>1</v>
      </c>
      <c r="I155" s="14">
        <f t="shared" si="17"/>
        <v>0</v>
      </c>
      <c r="J155" s="15">
        <f>IF(CurrentMtgRatesDataTable8[[#This Row],[WA CC]]&lt;&gt;0,C154-CurrentMtgRatesDataTable8[[#This Row],[WA CC]],0)</f>
        <v>0</v>
      </c>
      <c r="K155" s="16">
        <f>IF(CurrentMtgRatesDataTable8[[#This Row],[Servicing Spread]]&lt;=0,K154,CurrentMtgRatesDataTable8[[#This Row],[Servicing Spread]])</f>
        <v>1.1670646788669568</v>
      </c>
    </row>
    <row r="156" spans="1:11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</v>
      </c>
      <c r="F156" s="14">
        <f t="shared" si="14"/>
        <v>1</v>
      </c>
      <c r="G156" s="14">
        <f t="shared" si="15"/>
        <v>0</v>
      </c>
      <c r="H156" s="14">
        <f t="shared" si="16"/>
        <v>0</v>
      </c>
      <c r="I156" s="14">
        <f t="shared" si="17"/>
        <v>2.2046140112479407</v>
      </c>
      <c r="J156" s="15">
        <f>IF(CurrentMtgRatesDataTable8[[#This Row],[WA CC]]&lt;&gt;0,C155-CurrentMtgRatesDataTable8[[#This Row],[WA CC]],0)</f>
        <v>1.1203859887520591</v>
      </c>
      <c r="K156" s="16">
        <f>IF(CurrentMtgRatesDataTable8[[#This Row],[Servicing Spread]]&lt;=0,K155,CurrentMtgRatesDataTable8[[#This Row],[Servicing Spread]])</f>
        <v>1.1203859887520591</v>
      </c>
    </row>
    <row r="157" spans="1:11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</v>
      </c>
      <c r="F157" s="14">
        <f t="shared" si="14"/>
        <v>2</v>
      </c>
      <c r="G157" s="14">
        <f t="shared" si="15"/>
        <v>0</v>
      </c>
      <c r="H157" s="14">
        <f t="shared" si="16"/>
        <v>0</v>
      </c>
      <c r="I157" s="14">
        <f t="shared" si="17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1.1203859887520591</v>
      </c>
    </row>
    <row r="158" spans="1:11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0.7</v>
      </c>
      <c r="F158" s="14">
        <f t="shared" si="14"/>
        <v>3</v>
      </c>
      <c r="G158" s="14">
        <f t="shared" si="15"/>
        <v>1.458084529038788</v>
      </c>
      <c r="H158" s="14">
        <f t="shared" si="16"/>
        <v>0.7</v>
      </c>
      <c r="I158" s="14">
        <f t="shared" si="17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1.1203859887520591</v>
      </c>
    </row>
    <row r="159" spans="1:11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0.25</v>
      </c>
      <c r="F159" s="14">
        <f t="shared" si="14"/>
        <v>4</v>
      </c>
      <c r="G159" s="14">
        <f t="shared" si="15"/>
        <v>1.9916730491517707</v>
      </c>
      <c r="H159" s="14">
        <f t="shared" si="16"/>
        <v>0.95</v>
      </c>
      <c r="I159" s="14">
        <f t="shared" si="17"/>
        <v>0</v>
      </c>
      <c r="J159" s="15">
        <f>IF(CurrentMtgRatesDataTable8[[#This Row],[WA CC]]&lt;&gt;0,C158-CurrentMtgRatesDataTable8[[#This Row],[WA CC]],0)</f>
        <v>0</v>
      </c>
      <c r="K159" s="16">
        <f>IF(CurrentMtgRatesDataTable8[[#This Row],[Servicing Spread]]&lt;=0,K158,CurrentMtgRatesDataTable8[[#This Row],[Servicing Spread]])</f>
        <v>1.1203859887520591</v>
      </c>
    </row>
    <row r="160" spans="1:11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0.25</v>
      </c>
      <c r="F160" s="14">
        <f t="shared" si="14"/>
        <v>1</v>
      </c>
      <c r="G160" s="14">
        <f t="shared" si="15"/>
        <v>0.53358852011298252</v>
      </c>
      <c r="H160" s="14">
        <f t="shared" si="16"/>
        <v>0.25</v>
      </c>
      <c r="I160" s="14">
        <f t="shared" si="17"/>
        <v>2.096497946475548</v>
      </c>
      <c r="J160" s="15">
        <f>IF(CurrentMtgRatesDataTable8[[#This Row],[WA CC]]&lt;&gt;0,C159-CurrentMtgRatesDataTable8[[#This Row],[WA CC]],0)</f>
        <v>1.1685020535244517</v>
      </c>
      <c r="K160" s="16">
        <f>IF(CurrentMtgRatesDataTable8[[#This Row],[Servicing Spread]]&lt;=0,K159,CurrentMtgRatesDataTable8[[#This Row],[Servicing Spread]])</f>
        <v>1.1685020535244517</v>
      </c>
    </row>
    <row r="161" spans="1:11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</v>
      </c>
      <c r="F161" s="14">
        <f t="shared" si="14"/>
        <v>1</v>
      </c>
      <c r="G161" s="14">
        <f t="shared" si="15"/>
        <v>0</v>
      </c>
      <c r="H161" s="14">
        <f t="shared" si="16"/>
        <v>0</v>
      </c>
      <c r="I161" s="14">
        <f t="shared" si="17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1.1685020535244517</v>
      </c>
    </row>
    <row r="162" spans="1:11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</v>
      </c>
      <c r="F162" s="14">
        <f t="shared" si="14"/>
        <v>2</v>
      </c>
      <c r="G162" s="14">
        <f t="shared" si="15"/>
        <v>0</v>
      </c>
      <c r="H162" s="14">
        <f t="shared" si="16"/>
        <v>0</v>
      </c>
      <c r="I162" s="14">
        <f t="shared" si="17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1.1685020535244517</v>
      </c>
    </row>
    <row r="163" spans="1:11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0.05</v>
      </c>
      <c r="F163" s="14">
        <f t="shared" si="14"/>
        <v>3</v>
      </c>
      <c r="G163" s="14">
        <f t="shared" si="15"/>
        <v>0.103498384723413</v>
      </c>
      <c r="H163" s="14">
        <f t="shared" si="16"/>
        <v>0.05</v>
      </c>
      <c r="I163" s="14">
        <f t="shared" si="17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1.1685020535244517</v>
      </c>
    </row>
    <row r="164" spans="1:11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0.7</v>
      </c>
      <c r="F164" s="14">
        <f t="shared" si="14"/>
        <v>4</v>
      </c>
      <c r="G164" s="14">
        <f t="shared" si="15"/>
        <v>1.6029272108070278</v>
      </c>
      <c r="H164" s="14">
        <f t="shared" si="16"/>
        <v>0.75</v>
      </c>
      <c r="I164" s="14">
        <f t="shared" si="17"/>
        <v>0</v>
      </c>
      <c r="J164" s="15">
        <f>IF(CurrentMtgRatesDataTable8[[#This Row],[WA CC]]&lt;&gt;0,C163-CurrentMtgRatesDataTable8[[#This Row],[WA CC]],0)</f>
        <v>0</v>
      </c>
      <c r="K164" s="16">
        <f>IF(CurrentMtgRatesDataTable8[[#This Row],[Servicing Spread]]&lt;=0,K163,CurrentMtgRatesDataTable8[[#This Row],[Servicing Spread]])</f>
        <v>1.1685020535244517</v>
      </c>
    </row>
    <row r="165" spans="1:11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</v>
      </c>
      <c r="F165" s="14">
        <f t="shared" si="14"/>
        <v>1</v>
      </c>
      <c r="G165" s="14">
        <f t="shared" si="15"/>
        <v>0</v>
      </c>
      <c r="H165" s="14">
        <f t="shared" si="16"/>
        <v>0</v>
      </c>
      <c r="I165" s="14">
        <f t="shared" si="17"/>
        <v>2.1372362810760372</v>
      </c>
      <c r="J165" s="15">
        <f>IF(CurrentMtgRatesDataTable8[[#This Row],[WA CC]]&lt;&gt;0,C164-CurrentMtgRatesDataTable8[[#This Row],[WA CC]],0)</f>
        <v>1.0977637189239626</v>
      </c>
      <c r="K165" s="16">
        <f>IF(CurrentMtgRatesDataTable8[[#This Row],[Servicing Spread]]&lt;=0,K164,CurrentMtgRatesDataTable8[[#This Row],[Servicing Spread]])</f>
        <v>1.0977637189239626</v>
      </c>
    </row>
    <row r="166" spans="1:11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0.05</v>
      </c>
      <c r="F166" s="14">
        <f t="shared" si="14"/>
        <v>2</v>
      </c>
      <c r="G166" s="14">
        <f t="shared" si="15"/>
        <v>0.10664494367102351</v>
      </c>
      <c r="H166" s="14">
        <f t="shared" si="16"/>
        <v>0.05</v>
      </c>
      <c r="I166" s="14">
        <f t="shared" si="17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1.0977637189239626</v>
      </c>
    </row>
    <row r="167" spans="1:11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0.7</v>
      </c>
      <c r="F167" s="14">
        <f t="shared" si="14"/>
        <v>3</v>
      </c>
      <c r="G167" s="14">
        <f t="shared" si="15"/>
        <v>1.5374792106307575</v>
      </c>
      <c r="H167" s="14">
        <f t="shared" si="16"/>
        <v>0.75</v>
      </c>
      <c r="I167" s="14">
        <f t="shared" si="17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1.0977637189239626</v>
      </c>
    </row>
    <row r="168" spans="1:11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0.25</v>
      </c>
      <c r="F168" s="14">
        <f t="shared" si="14"/>
        <v>4</v>
      </c>
      <c r="G168" s="14">
        <f t="shared" si="15"/>
        <v>2.0502227750389501</v>
      </c>
      <c r="H168" s="14">
        <f t="shared" si="16"/>
        <v>1</v>
      </c>
      <c r="I168" s="14">
        <f t="shared" si="17"/>
        <v>0</v>
      </c>
      <c r="J168" s="15">
        <f>IF(CurrentMtgRatesDataTable8[[#This Row],[WA CC]]&lt;&gt;0,C167-CurrentMtgRatesDataTable8[[#This Row],[WA CC]],0)</f>
        <v>0</v>
      </c>
      <c r="K168" s="16">
        <f>IF(CurrentMtgRatesDataTable8[[#This Row],[Servicing Spread]]&lt;=0,K167,CurrentMtgRatesDataTable8[[#This Row],[Servicing Spread]])</f>
        <v>1.0977637189239626</v>
      </c>
    </row>
    <row r="169" spans="1:11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</v>
      </c>
      <c r="F169" s="14">
        <f t="shared" si="14"/>
        <v>1</v>
      </c>
      <c r="G169" s="14">
        <f t="shared" si="15"/>
        <v>0</v>
      </c>
      <c r="H169" s="14">
        <f t="shared" si="16"/>
        <v>0</v>
      </c>
      <c r="I169" s="14">
        <f t="shared" si="17"/>
        <v>2.0502227750389501</v>
      </c>
      <c r="J169" s="15">
        <f>IF(CurrentMtgRatesDataTable8[[#This Row],[WA CC]]&lt;&gt;0,C168-CurrentMtgRatesDataTable8[[#This Row],[WA CC]],0)</f>
        <v>1.2197772249610499</v>
      </c>
      <c r="K169" s="16">
        <f>IF(CurrentMtgRatesDataTable8[[#This Row],[Servicing Spread]]&lt;=0,K168,CurrentMtgRatesDataTable8[[#This Row],[Servicing Spread]])</f>
        <v>1.2197772249610499</v>
      </c>
    </row>
    <row r="170" spans="1:11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</v>
      </c>
      <c r="F170" s="14">
        <f t="shared" si="14"/>
        <v>2</v>
      </c>
      <c r="G170" s="14">
        <f t="shared" si="15"/>
        <v>0</v>
      </c>
      <c r="H170" s="14">
        <f t="shared" si="16"/>
        <v>0</v>
      </c>
      <c r="I170" s="14">
        <f t="shared" si="17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1.2197772249610499</v>
      </c>
    </row>
    <row r="171" spans="1:11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0.05</v>
      </c>
      <c r="F171" s="14">
        <f t="shared" si="14"/>
        <v>3</v>
      </c>
      <c r="G171" s="14">
        <f t="shared" si="15"/>
        <v>0.104311128557282</v>
      </c>
      <c r="H171" s="14">
        <f t="shared" si="16"/>
        <v>0.05</v>
      </c>
      <c r="I171" s="14">
        <f t="shared" si="17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1.2197772249610499</v>
      </c>
    </row>
    <row r="172" spans="1:11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0.7</v>
      </c>
      <c r="F172" s="14">
        <f t="shared" si="14"/>
        <v>4</v>
      </c>
      <c r="G172" s="14">
        <f t="shared" si="15"/>
        <v>1.5517922942748898</v>
      </c>
      <c r="H172" s="14">
        <f t="shared" si="16"/>
        <v>0.75</v>
      </c>
      <c r="I172" s="14">
        <f t="shared" si="17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1.2197772249610499</v>
      </c>
    </row>
    <row r="173" spans="1:11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0.25</v>
      </c>
      <c r="F173" s="14">
        <f t="shared" si="14"/>
        <v>5</v>
      </c>
      <c r="G173" s="14">
        <f t="shared" si="15"/>
        <v>2.0717776673255246</v>
      </c>
      <c r="H173" s="14">
        <f t="shared" si="16"/>
        <v>1</v>
      </c>
      <c r="I173" s="14">
        <f t="shared" si="17"/>
        <v>0</v>
      </c>
      <c r="J173" s="15">
        <f>IF(CurrentMtgRatesDataTable8[[#This Row],[WA CC]]&lt;&gt;0,C172-CurrentMtgRatesDataTable8[[#This Row],[WA CC]],0)</f>
        <v>0</v>
      </c>
      <c r="K173" s="16">
        <f>IF(CurrentMtgRatesDataTable8[[#This Row],[Servicing Spread]]&lt;=0,K172,CurrentMtgRatesDataTable8[[#This Row],[Servicing Spread]])</f>
        <v>1.2197772249610499</v>
      </c>
    </row>
    <row r="174" spans="1:11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</v>
      </c>
      <c r="F174" s="14">
        <f t="shared" si="14"/>
        <v>1</v>
      </c>
      <c r="G174" s="14">
        <f t="shared" si="15"/>
        <v>0</v>
      </c>
      <c r="H174" s="14">
        <f t="shared" si="16"/>
        <v>0</v>
      </c>
      <c r="I174" s="14">
        <f t="shared" si="17"/>
        <v>2.0717776673255246</v>
      </c>
      <c r="J174" s="15">
        <f>IF(CurrentMtgRatesDataTable8[[#This Row],[WA CC]]&lt;&gt;0,C173-CurrentMtgRatesDataTable8[[#This Row],[WA CC]],0)</f>
        <v>1.1932223326744751</v>
      </c>
      <c r="K174" s="16">
        <f>IF(CurrentMtgRatesDataTable8[[#This Row],[Servicing Spread]]&lt;=0,K173,CurrentMtgRatesDataTable8[[#This Row],[Servicing Spread]])</f>
        <v>1.1932223326744751</v>
      </c>
    </row>
    <row r="175" spans="1:11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</v>
      </c>
      <c r="F175" s="14">
        <f t="shared" si="14"/>
        <v>2</v>
      </c>
      <c r="G175" s="14">
        <f t="shared" si="15"/>
        <v>0</v>
      </c>
      <c r="H175" s="14">
        <f t="shared" si="16"/>
        <v>0</v>
      </c>
      <c r="I175" s="14">
        <f t="shared" si="17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1.1932223326744751</v>
      </c>
    </row>
    <row r="176" spans="1:11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0.05</v>
      </c>
      <c r="F176" s="14">
        <f t="shared" si="14"/>
        <v>3</v>
      </c>
      <c r="G176" s="14">
        <f t="shared" si="15"/>
        <v>0.10631599789736801</v>
      </c>
      <c r="H176" s="14">
        <f t="shared" si="16"/>
        <v>0.05</v>
      </c>
      <c r="I176" s="14">
        <f t="shared" si="17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1.1932223326744751</v>
      </c>
    </row>
    <row r="177" spans="1:11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0.7</v>
      </c>
      <c r="F177" s="14">
        <f t="shared" si="14"/>
        <v>4</v>
      </c>
      <c r="G177" s="14">
        <f t="shared" si="15"/>
        <v>1.5943092928548941</v>
      </c>
      <c r="H177" s="14">
        <f t="shared" si="16"/>
        <v>0.75</v>
      </c>
      <c r="I177" s="14">
        <f t="shared" si="17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1.1932223326744751</v>
      </c>
    </row>
    <row r="178" spans="1:11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0.25</v>
      </c>
      <c r="F178" s="14">
        <f t="shared" si="14"/>
        <v>5</v>
      </c>
      <c r="G178" s="14">
        <f t="shared" si="15"/>
        <v>2.1367706040754593</v>
      </c>
      <c r="H178" s="14">
        <f t="shared" si="16"/>
        <v>1</v>
      </c>
      <c r="I178" s="14">
        <f t="shared" si="17"/>
        <v>0</v>
      </c>
      <c r="J178" s="15">
        <f>IF(CurrentMtgRatesDataTable8[[#This Row],[WA CC]]&lt;&gt;0,C177-CurrentMtgRatesDataTable8[[#This Row],[WA CC]],0)</f>
        <v>0</v>
      </c>
      <c r="K178" s="16">
        <f>IF(CurrentMtgRatesDataTable8[[#This Row],[Servicing Spread]]&lt;=0,K177,CurrentMtgRatesDataTable8[[#This Row],[Servicing Spread]])</f>
        <v>1.1932223326744751</v>
      </c>
    </row>
    <row r="179" spans="1:11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</v>
      </c>
      <c r="F179" s="14">
        <f t="shared" si="14"/>
        <v>1</v>
      </c>
      <c r="G179" s="14">
        <f t="shared" si="15"/>
        <v>0</v>
      </c>
      <c r="H179" s="14">
        <f t="shared" si="16"/>
        <v>0</v>
      </c>
      <c r="I179" s="14">
        <f t="shared" si="17"/>
        <v>2.1367706040754593</v>
      </c>
      <c r="J179" s="15">
        <f>IF(CurrentMtgRatesDataTable8[[#This Row],[WA CC]]&lt;&gt;0,C178-CurrentMtgRatesDataTable8[[#This Row],[WA CC]],0)</f>
        <v>1.1082293959245404</v>
      </c>
      <c r="K179" s="16">
        <f>IF(CurrentMtgRatesDataTable8[[#This Row],[Servicing Spread]]&lt;=0,K178,CurrentMtgRatesDataTable8[[#This Row],[Servicing Spread]])</f>
        <v>1.1082293959245404</v>
      </c>
    </row>
    <row r="180" spans="1:11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</v>
      </c>
      <c r="F180" s="14">
        <f t="shared" si="14"/>
        <v>2</v>
      </c>
      <c r="G180" s="14">
        <f t="shared" si="15"/>
        <v>0</v>
      </c>
      <c r="H180" s="14">
        <f t="shared" si="16"/>
        <v>0</v>
      </c>
      <c r="I180" s="14">
        <f t="shared" si="17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1.1082293959245404</v>
      </c>
    </row>
    <row r="181" spans="1:11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0.05</v>
      </c>
      <c r="F181" s="14">
        <f t="shared" si="14"/>
        <v>3</v>
      </c>
      <c r="G181" s="14">
        <f t="shared" si="15"/>
        <v>0.10930434715944251</v>
      </c>
      <c r="H181" s="14">
        <f t="shared" si="16"/>
        <v>0.05</v>
      </c>
      <c r="I181" s="14">
        <f t="shared" si="17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1.1082293959245404</v>
      </c>
    </row>
    <row r="182" spans="1:11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0.7</v>
      </c>
      <c r="F182" s="14">
        <f t="shared" si="14"/>
        <v>4</v>
      </c>
      <c r="G182" s="14">
        <f t="shared" si="15"/>
        <v>1.6877785952952415</v>
      </c>
      <c r="H182" s="14">
        <f t="shared" si="16"/>
        <v>0.75</v>
      </c>
      <c r="I182" s="14">
        <f t="shared" si="17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1.1082293959245404</v>
      </c>
    </row>
    <row r="183" spans="1:11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0.25</v>
      </c>
      <c r="F183" s="14">
        <f t="shared" si="14"/>
        <v>5</v>
      </c>
      <c r="G183" s="14">
        <f t="shared" si="15"/>
        <v>2.2398430855442339</v>
      </c>
      <c r="H183" s="14">
        <f t="shared" si="16"/>
        <v>1</v>
      </c>
      <c r="I183" s="14">
        <f t="shared" si="17"/>
        <v>0</v>
      </c>
      <c r="J183" s="15">
        <f>IF(CurrentMtgRatesDataTable8[[#This Row],[WA CC]]&lt;&gt;0,C182-CurrentMtgRatesDataTable8[[#This Row],[WA CC]],0)</f>
        <v>0</v>
      </c>
      <c r="K183" s="16">
        <f>IF(CurrentMtgRatesDataTable8[[#This Row],[Servicing Spread]]&lt;=0,K182,CurrentMtgRatesDataTable8[[#This Row],[Servicing Spread]])</f>
        <v>1.1082293959245404</v>
      </c>
    </row>
    <row r="184" spans="1:11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</v>
      </c>
      <c r="F184" s="14">
        <f t="shared" si="14"/>
        <v>1</v>
      </c>
      <c r="G184" s="14">
        <f t="shared" si="15"/>
        <v>0</v>
      </c>
      <c r="H184" s="14">
        <f t="shared" si="16"/>
        <v>0</v>
      </c>
      <c r="I184" s="14">
        <f t="shared" si="17"/>
        <v>2.2398430855442339</v>
      </c>
      <c r="J184" s="15">
        <f>IF(CurrentMtgRatesDataTable8[[#This Row],[WA CC]]&lt;&gt;0,C183-CurrentMtgRatesDataTable8[[#This Row],[WA CC]],0)</f>
        <v>1.055156914455766</v>
      </c>
      <c r="K184" s="16">
        <f>IF(CurrentMtgRatesDataTable8[[#This Row],[Servicing Spread]]&lt;=0,K183,CurrentMtgRatesDataTable8[[#This Row],[Servicing Spread]])</f>
        <v>1.055156914455766</v>
      </c>
    </row>
    <row r="185" spans="1:11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</v>
      </c>
      <c r="F185" s="14">
        <f t="shared" si="14"/>
        <v>2</v>
      </c>
      <c r="G185" s="14">
        <f t="shared" si="15"/>
        <v>0</v>
      </c>
      <c r="H185" s="14">
        <f t="shared" si="16"/>
        <v>0</v>
      </c>
      <c r="I185" s="14">
        <f t="shared" si="17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1.055156914455766</v>
      </c>
    </row>
    <row r="186" spans="1:11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0.05</v>
      </c>
      <c r="F186" s="14">
        <f t="shared" si="14"/>
        <v>3</v>
      </c>
      <c r="G186" s="14">
        <f t="shared" si="15"/>
        <v>0.10890830092114201</v>
      </c>
      <c r="H186" s="14">
        <f t="shared" si="16"/>
        <v>0.05</v>
      </c>
      <c r="I186" s="14">
        <f t="shared" si="17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1.055156914455766</v>
      </c>
    </row>
    <row r="187" spans="1:11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0.25</v>
      </c>
      <c r="F187" s="14">
        <f t="shared" si="14"/>
        <v>4</v>
      </c>
      <c r="G187" s="14">
        <f t="shared" si="15"/>
        <v>0.64828543877880696</v>
      </c>
      <c r="H187" s="14">
        <f t="shared" si="16"/>
        <v>0.3</v>
      </c>
      <c r="I187" s="14">
        <f t="shared" si="17"/>
        <v>0</v>
      </c>
      <c r="J187" s="15">
        <f>IF(CurrentMtgRatesDataTable8[[#This Row],[WA CC]]&lt;&gt;0,C186-CurrentMtgRatesDataTable8[[#This Row],[WA CC]],0)</f>
        <v>0</v>
      </c>
      <c r="K187" s="16">
        <f>IF(CurrentMtgRatesDataTable8[[#This Row],[Servicing Spread]]&lt;=0,K186,CurrentMtgRatesDataTable8[[#This Row],[Servicing Spread]])</f>
        <v>1.055156914455766</v>
      </c>
    </row>
    <row r="188" spans="1:11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</v>
      </c>
      <c r="F188" s="14">
        <f t="shared" si="14"/>
        <v>1</v>
      </c>
      <c r="G188" s="14">
        <f t="shared" si="15"/>
        <v>0</v>
      </c>
      <c r="H188" s="14">
        <f t="shared" si="16"/>
        <v>0</v>
      </c>
      <c r="I188" s="14">
        <f t="shared" si="17"/>
        <v>2.1609514625960231</v>
      </c>
      <c r="J188" s="15">
        <f>IF(CurrentMtgRatesDataTable8[[#This Row],[WA CC]]&lt;&gt;0,C187-CurrentMtgRatesDataTable8[[#This Row],[WA CC]],0)</f>
        <v>1.1140485374039768</v>
      </c>
      <c r="K188" s="16">
        <f>IF(CurrentMtgRatesDataTable8[[#This Row],[Servicing Spread]]&lt;=0,K187,CurrentMtgRatesDataTable8[[#This Row],[Servicing Spread]])</f>
        <v>1.1140485374039768</v>
      </c>
    </row>
    <row r="189" spans="1:11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</v>
      </c>
      <c r="F189" s="14">
        <f t="shared" si="14"/>
        <v>2</v>
      </c>
      <c r="G189" s="14">
        <f t="shared" si="15"/>
        <v>0</v>
      </c>
      <c r="H189" s="14">
        <f t="shared" si="16"/>
        <v>0</v>
      </c>
      <c r="I189" s="14">
        <f t="shared" si="17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1.1140485374039768</v>
      </c>
    </row>
    <row r="190" spans="1:11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0.05</v>
      </c>
      <c r="F190" s="14">
        <f t="shared" si="14"/>
        <v>3</v>
      </c>
      <c r="G190" s="14">
        <f t="shared" si="15"/>
        <v>0.1075865355629355</v>
      </c>
      <c r="H190" s="14">
        <f t="shared" si="16"/>
        <v>0.05</v>
      </c>
      <c r="I190" s="14">
        <f t="shared" si="17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1.1140485374039768</v>
      </c>
    </row>
    <row r="191" spans="1:11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0.25</v>
      </c>
      <c r="F191" s="14">
        <f t="shared" si="14"/>
        <v>4</v>
      </c>
      <c r="G191" s="14">
        <f t="shared" si="15"/>
        <v>0.66208084303764303</v>
      </c>
      <c r="H191" s="14">
        <f t="shared" si="16"/>
        <v>0.3</v>
      </c>
      <c r="I191" s="14">
        <f t="shared" si="17"/>
        <v>0</v>
      </c>
      <c r="J191" s="15">
        <f>IF(CurrentMtgRatesDataTable8[[#This Row],[WA CC]]&lt;&gt;0,C190-CurrentMtgRatesDataTable8[[#This Row],[WA CC]],0)</f>
        <v>0</v>
      </c>
      <c r="K191" s="16">
        <f>IF(CurrentMtgRatesDataTable8[[#This Row],[Servicing Spread]]&lt;=0,K190,CurrentMtgRatesDataTable8[[#This Row],[Servicing Spread]])</f>
        <v>1.1140485374039768</v>
      </c>
    </row>
    <row r="192" spans="1:11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</v>
      </c>
      <c r="F192" s="14">
        <f t="shared" si="14"/>
        <v>1</v>
      </c>
      <c r="G192" s="14">
        <f t="shared" si="15"/>
        <v>0</v>
      </c>
      <c r="H192" s="14">
        <f t="shared" si="16"/>
        <v>0</v>
      </c>
      <c r="I192" s="14">
        <f t="shared" si="17"/>
        <v>2.2069361434588104</v>
      </c>
      <c r="J192" s="15">
        <f>IF(CurrentMtgRatesDataTable8[[#This Row],[WA CC]]&lt;&gt;0,C191-CurrentMtgRatesDataTable8[[#This Row],[WA CC]],0)</f>
        <v>1.0580638565411893</v>
      </c>
      <c r="K192" s="16">
        <f>IF(CurrentMtgRatesDataTable8[[#This Row],[Servicing Spread]]&lt;=0,K191,CurrentMtgRatesDataTable8[[#This Row],[Servicing Spread]])</f>
        <v>1.0580638565411893</v>
      </c>
    </row>
    <row r="193" spans="1:11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</v>
      </c>
      <c r="F193" s="14">
        <f t="shared" si="14"/>
        <v>2</v>
      </c>
      <c r="G193" s="14">
        <f t="shared" si="15"/>
        <v>0</v>
      </c>
      <c r="H193" s="14">
        <f t="shared" si="16"/>
        <v>0</v>
      </c>
      <c r="I193" s="14">
        <f t="shared" si="17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1.0580638565411893</v>
      </c>
    </row>
    <row r="194" spans="1:11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0.05</v>
      </c>
      <c r="F194" s="14">
        <f t="shared" si="14"/>
        <v>3</v>
      </c>
      <c r="G194" s="14">
        <f t="shared" si="15"/>
        <v>0.11566210770632901</v>
      </c>
      <c r="H194" s="14">
        <f t="shared" si="16"/>
        <v>0.05</v>
      </c>
      <c r="I194" s="14">
        <f t="shared" si="17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1.0580638565411893</v>
      </c>
    </row>
    <row r="195" spans="1:11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0.7</v>
      </c>
      <c r="F195" s="14">
        <f t="shared" si="14"/>
        <v>4</v>
      </c>
      <c r="G195" s="14">
        <f t="shared" si="15"/>
        <v>1.7167162621210719</v>
      </c>
      <c r="H195" s="14">
        <f t="shared" si="16"/>
        <v>0.75</v>
      </c>
      <c r="I195" s="14">
        <f t="shared" si="17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1.0580638565411893</v>
      </c>
    </row>
    <row r="196" spans="1:11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0.25</v>
      </c>
      <c r="F196" s="14">
        <f t="shared" si="14"/>
        <v>5</v>
      </c>
      <c r="G196" s="14">
        <f t="shared" si="15"/>
        <v>2.2802756966580695</v>
      </c>
      <c r="H196" s="14">
        <f t="shared" si="16"/>
        <v>1</v>
      </c>
      <c r="I196" s="14">
        <f t="shared" si="17"/>
        <v>0</v>
      </c>
      <c r="J196" s="15">
        <f>IF(CurrentMtgRatesDataTable8[[#This Row],[WA CC]]&lt;&gt;0,C195-CurrentMtgRatesDataTable8[[#This Row],[WA CC]],0)</f>
        <v>0</v>
      </c>
      <c r="K196" s="16">
        <f>IF(CurrentMtgRatesDataTable8[[#This Row],[Servicing Spread]]&lt;=0,K195,CurrentMtgRatesDataTable8[[#This Row],[Servicing Spread]])</f>
        <v>1.0580638565411893</v>
      </c>
    </row>
    <row r="197" spans="1:11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VLOOKUP(D197,O$5:P$11,2,FALSE)</f>
        <v>0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</v>
      </c>
      <c r="H197" s="14">
        <f t="shared" ref="H197:H260" si="22">IF(AND(F197&lt;6,F197&gt;F196),E197+H196,E197)</f>
        <v>0</v>
      </c>
      <c r="I197" s="14">
        <f t="shared" ref="I197:I260" si="23">IF(F196&gt;F197,G196/H196,0)</f>
        <v>2.2802756966580695</v>
      </c>
      <c r="J197" s="15">
        <f>IF(CurrentMtgRatesDataTable8[[#This Row],[WA CC]]&lt;&gt;0,C196-CurrentMtgRatesDataTable8[[#This Row],[WA CC]],0)</f>
        <v>1.0447243033419302</v>
      </c>
      <c r="K197" s="16">
        <f>IF(CurrentMtgRatesDataTable8[[#This Row],[Servicing Spread]]&lt;=0,K196,CurrentMtgRatesDataTable8[[#This Row],[Servicing Spread]])</f>
        <v>1.0447243033419302</v>
      </c>
    </row>
    <row r="198" spans="1:11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</v>
      </c>
      <c r="F198" s="14">
        <f t="shared" si="20"/>
        <v>2</v>
      </c>
      <c r="G198" s="14">
        <f t="shared" si="21"/>
        <v>0</v>
      </c>
      <c r="H198" s="14">
        <f t="shared" si="22"/>
        <v>0</v>
      </c>
      <c r="I198" s="14">
        <f t="shared" si="23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1.0447243033419302</v>
      </c>
    </row>
    <row r="199" spans="1:11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0.05</v>
      </c>
      <c r="F199" s="14">
        <f t="shared" si="20"/>
        <v>3</v>
      </c>
      <c r="G199" s="14">
        <f t="shared" si="21"/>
        <v>0.11392004954887001</v>
      </c>
      <c r="H199" s="14">
        <f t="shared" si="22"/>
        <v>0.05</v>
      </c>
      <c r="I199" s="14">
        <f t="shared" si="23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1.0447243033419302</v>
      </c>
    </row>
    <row r="200" spans="1:11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0.7</v>
      </c>
      <c r="F200" s="14">
        <f t="shared" si="20"/>
        <v>4</v>
      </c>
      <c r="G200" s="14">
        <f t="shared" si="21"/>
        <v>1.719609818647075</v>
      </c>
      <c r="H200" s="14">
        <f t="shared" si="22"/>
        <v>0.75</v>
      </c>
      <c r="I200" s="14">
        <f t="shared" si="23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1.0447243033419302</v>
      </c>
    </row>
    <row r="201" spans="1:11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0.25</v>
      </c>
      <c r="F201" s="14">
        <f t="shared" si="20"/>
        <v>5</v>
      </c>
      <c r="G201" s="14">
        <f t="shared" si="21"/>
        <v>2.2932122758581723</v>
      </c>
      <c r="H201" s="14">
        <f t="shared" si="22"/>
        <v>1</v>
      </c>
      <c r="I201" s="14">
        <f t="shared" si="23"/>
        <v>0</v>
      </c>
      <c r="J201" s="15">
        <f>IF(CurrentMtgRatesDataTable8[[#This Row],[WA CC]]&lt;&gt;0,C200-CurrentMtgRatesDataTable8[[#This Row],[WA CC]],0)</f>
        <v>0</v>
      </c>
      <c r="K201" s="16">
        <f>IF(CurrentMtgRatesDataTable8[[#This Row],[Servicing Spread]]&lt;=0,K200,CurrentMtgRatesDataTable8[[#This Row],[Servicing Spread]])</f>
        <v>1.0447243033419302</v>
      </c>
    </row>
    <row r="202" spans="1:11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</v>
      </c>
      <c r="F202" s="14">
        <f t="shared" si="20"/>
        <v>1</v>
      </c>
      <c r="G202" s="14">
        <f t="shared" si="21"/>
        <v>0</v>
      </c>
      <c r="H202" s="14">
        <f t="shared" si="22"/>
        <v>0</v>
      </c>
      <c r="I202" s="14">
        <f t="shared" si="23"/>
        <v>2.2932122758581723</v>
      </c>
      <c r="J202" s="15">
        <f>IF(CurrentMtgRatesDataTable8[[#This Row],[WA CC]]&lt;&gt;0,C201-CurrentMtgRatesDataTable8[[#This Row],[WA CC]],0)</f>
        <v>1.0117877241418274</v>
      </c>
      <c r="K202" s="16">
        <f>IF(CurrentMtgRatesDataTable8[[#This Row],[Servicing Spread]]&lt;=0,K201,CurrentMtgRatesDataTable8[[#This Row],[Servicing Spread]])</f>
        <v>1.0117877241418274</v>
      </c>
    </row>
    <row r="203" spans="1:11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</v>
      </c>
      <c r="F203" s="14">
        <f t="shared" si="20"/>
        <v>2</v>
      </c>
      <c r="G203" s="14">
        <f t="shared" si="21"/>
        <v>0</v>
      </c>
      <c r="H203" s="14">
        <f t="shared" si="22"/>
        <v>0</v>
      </c>
      <c r="I203" s="14">
        <f t="shared" si="23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1.0117877241418274</v>
      </c>
    </row>
    <row r="204" spans="1:11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0.7</v>
      </c>
      <c r="F204" s="14">
        <f t="shared" si="20"/>
        <v>3</v>
      </c>
      <c r="G204" s="14">
        <f t="shared" si="21"/>
        <v>1.6465454197232039</v>
      </c>
      <c r="H204" s="14">
        <f t="shared" si="22"/>
        <v>0.7</v>
      </c>
      <c r="I204" s="14">
        <f t="shared" si="23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1.0117877241418274</v>
      </c>
    </row>
    <row r="205" spans="1:11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0.25</v>
      </c>
      <c r="F205" s="14">
        <f t="shared" si="20"/>
        <v>4</v>
      </c>
      <c r="G205" s="14">
        <f t="shared" si="21"/>
        <v>2.2323735528731614</v>
      </c>
      <c r="H205" s="14">
        <f t="shared" si="22"/>
        <v>0.95</v>
      </c>
      <c r="I205" s="14">
        <f t="shared" si="23"/>
        <v>0</v>
      </c>
      <c r="J205" s="15">
        <f>IF(CurrentMtgRatesDataTable8[[#This Row],[WA CC]]&lt;&gt;0,C204-CurrentMtgRatesDataTable8[[#This Row],[WA CC]],0)</f>
        <v>0</v>
      </c>
      <c r="K205" s="16">
        <f>IF(CurrentMtgRatesDataTable8[[#This Row],[Servicing Spread]]&lt;=0,K204,CurrentMtgRatesDataTable8[[#This Row],[Servicing Spread]])</f>
        <v>1.0117877241418274</v>
      </c>
    </row>
    <row r="206" spans="1:11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</v>
      </c>
      <c r="F206" s="14">
        <f t="shared" si="20"/>
        <v>1</v>
      </c>
      <c r="G206" s="14">
        <f t="shared" si="21"/>
        <v>0</v>
      </c>
      <c r="H206" s="14">
        <f t="shared" si="22"/>
        <v>0</v>
      </c>
      <c r="I206" s="14">
        <f t="shared" si="23"/>
        <v>2.3498668977612227</v>
      </c>
      <c r="J206" s="15">
        <f>IF(CurrentMtgRatesDataTable8[[#This Row],[WA CC]]&lt;&gt;0,C205-CurrentMtgRatesDataTable8[[#This Row],[WA CC]],0)</f>
        <v>0.99513310223877705</v>
      </c>
      <c r="K206" s="16">
        <f>IF(CurrentMtgRatesDataTable8[[#This Row],[Servicing Spread]]&lt;=0,K205,CurrentMtgRatesDataTable8[[#This Row],[Servicing Spread]])</f>
        <v>0.99513310223877705</v>
      </c>
    </row>
    <row r="207" spans="1:11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</v>
      </c>
      <c r="F207" s="14">
        <f t="shared" si="20"/>
        <v>2</v>
      </c>
      <c r="G207" s="14">
        <f t="shared" si="21"/>
        <v>0</v>
      </c>
      <c r="H207" s="14">
        <f t="shared" si="22"/>
        <v>0</v>
      </c>
      <c r="I207" s="14">
        <f t="shared" si="23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0.99513310223877705</v>
      </c>
    </row>
    <row r="208" spans="1:11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0.05</v>
      </c>
      <c r="F208" s="14">
        <f t="shared" si="20"/>
        <v>3</v>
      </c>
      <c r="G208" s="14">
        <f t="shared" si="21"/>
        <v>0.12696641152434049</v>
      </c>
      <c r="H208" s="14">
        <f t="shared" si="22"/>
        <v>0.05</v>
      </c>
      <c r="I208" s="14">
        <f t="shared" si="23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0.99513310223877705</v>
      </c>
    </row>
    <row r="209" spans="1:11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0.7</v>
      </c>
      <c r="F209" s="14">
        <f t="shared" si="20"/>
        <v>4</v>
      </c>
      <c r="G209" s="14">
        <f t="shared" si="21"/>
        <v>1.9188328891437683</v>
      </c>
      <c r="H209" s="14">
        <f t="shared" si="22"/>
        <v>0.75</v>
      </c>
      <c r="I209" s="14">
        <f t="shared" si="23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0.99513310223877705</v>
      </c>
    </row>
    <row r="210" spans="1:11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0.25</v>
      </c>
      <c r="F210" s="14">
        <f t="shared" si="20"/>
        <v>5</v>
      </c>
      <c r="G210" s="14">
        <f t="shared" si="21"/>
        <v>2.5631560199862085</v>
      </c>
      <c r="H210" s="14">
        <f t="shared" si="22"/>
        <v>1</v>
      </c>
      <c r="I210" s="14">
        <f t="shared" si="23"/>
        <v>0</v>
      </c>
      <c r="J210" s="15">
        <f>IF(CurrentMtgRatesDataTable8[[#This Row],[WA CC]]&lt;&gt;0,C209-CurrentMtgRatesDataTable8[[#This Row],[WA CC]],0)</f>
        <v>0</v>
      </c>
      <c r="K210" s="16">
        <f>IF(CurrentMtgRatesDataTable8[[#This Row],[Servicing Spread]]&lt;=0,K209,CurrentMtgRatesDataTable8[[#This Row],[Servicing Spread]])</f>
        <v>0.99513310223877705</v>
      </c>
    </row>
    <row r="211" spans="1:11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</v>
      </c>
      <c r="F211" s="14">
        <f t="shared" si="20"/>
        <v>1</v>
      </c>
      <c r="G211" s="14">
        <f t="shared" si="21"/>
        <v>0</v>
      </c>
      <c r="H211" s="14">
        <f t="shared" si="22"/>
        <v>0</v>
      </c>
      <c r="I211" s="14">
        <f t="shared" si="23"/>
        <v>2.5631560199862085</v>
      </c>
      <c r="J211" s="15">
        <f>IF(CurrentMtgRatesDataTable8[[#This Row],[WA CC]]&lt;&gt;0,C210-CurrentMtgRatesDataTable8[[#This Row],[WA CC]],0)</f>
        <v>0.89184398001379117</v>
      </c>
      <c r="K211" s="16">
        <f>IF(CurrentMtgRatesDataTable8[[#This Row],[Servicing Spread]]&lt;=0,K210,CurrentMtgRatesDataTable8[[#This Row],[Servicing Spread]])</f>
        <v>0.89184398001379117</v>
      </c>
    </row>
    <row r="212" spans="1:11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</v>
      </c>
      <c r="F212" s="14">
        <f t="shared" si="20"/>
        <v>2</v>
      </c>
      <c r="G212" s="14">
        <f t="shared" si="21"/>
        <v>0</v>
      </c>
      <c r="H212" s="14">
        <f t="shared" si="22"/>
        <v>0</v>
      </c>
      <c r="I212" s="14">
        <f t="shared" si="23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0.89184398001379117</v>
      </c>
    </row>
    <row r="213" spans="1:11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0.05</v>
      </c>
      <c r="F213" s="14">
        <f t="shared" si="20"/>
        <v>3</v>
      </c>
      <c r="G213" s="14">
        <f t="shared" si="21"/>
        <v>0.12778135066294549</v>
      </c>
      <c r="H213" s="14">
        <f t="shared" si="22"/>
        <v>0.05</v>
      </c>
      <c r="I213" s="14">
        <f t="shared" si="23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0.89184398001379117</v>
      </c>
    </row>
    <row r="214" spans="1:11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0.7</v>
      </c>
      <c r="F214" s="14">
        <f t="shared" si="20"/>
        <v>4</v>
      </c>
      <c r="G214" s="14">
        <f t="shared" si="21"/>
        <v>1.9481451054377483</v>
      </c>
      <c r="H214" s="14">
        <f t="shared" si="22"/>
        <v>0.75</v>
      </c>
      <c r="I214" s="14">
        <f t="shared" si="23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0.89184398001379117</v>
      </c>
    </row>
    <row r="215" spans="1:11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0.25</v>
      </c>
      <c r="F215" s="14">
        <f t="shared" si="20"/>
        <v>5</v>
      </c>
      <c r="G215" s="14">
        <f t="shared" si="21"/>
        <v>2.5880031242312533</v>
      </c>
      <c r="H215" s="14">
        <f t="shared" si="22"/>
        <v>1</v>
      </c>
      <c r="I215" s="14">
        <f t="shared" si="23"/>
        <v>0</v>
      </c>
      <c r="J215" s="15">
        <f>IF(CurrentMtgRatesDataTable8[[#This Row],[WA CC]]&lt;&gt;0,C214-CurrentMtgRatesDataTable8[[#This Row],[WA CC]],0)</f>
        <v>0</v>
      </c>
      <c r="K215" s="16">
        <f>IF(CurrentMtgRatesDataTable8[[#This Row],[Servicing Spread]]&lt;=0,K214,CurrentMtgRatesDataTable8[[#This Row],[Servicing Spread]])</f>
        <v>0.89184398001379117</v>
      </c>
    </row>
    <row r="216" spans="1:11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</v>
      </c>
      <c r="F216" s="14">
        <f t="shared" si="20"/>
        <v>1</v>
      </c>
      <c r="G216" s="14">
        <f t="shared" si="21"/>
        <v>0</v>
      </c>
      <c r="H216" s="14">
        <f t="shared" si="22"/>
        <v>0</v>
      </c>
      <c r="I216" s="14">
        <f t="shared" si="23"/>
        <v>2.5880031242312533</v>
      </c>
      <c r="J216" s="15">
        <f>IF(CurrentMtgRatesDataTable8[[#This Row],[WA CC]]&lt;&gt;0,C215-CurrentMtgRatesDataTable8[[#This Row],[WA CC]],0)</f>
        <v>0.89199687576874664</v>
      </c>
      <c r="K216" s="16">
        <f>IF(CurrentMtgRatesDataTable8[[#This Row],[Servicing Spread]]&lt;=0,K215,CurrentMtgRatesDataTable8[[#This Row],[Servicing Spread]])</f>
        <v>0.89199687576874664</v>
      </c>
    </row>
    <row r="217" spans="1:11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</v>
      </c>
      <c r="F217" s="14">
        <f t="shared" si="20"/>
        <v>2</v>
      </c>
      <c r="G217" s="14">
        <f t="shared" si="21"/>
        <v>0</v>
      </c>
      <c r="H217" s="14">
        <f t="shared" si="22"/>
        <v>0</v>
      </c>
      <c r="I217" s="14">
        <f t="shared" si="23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0.89199687576874664</v>
      </c>
    </row>
    <row r="218" spans="1:11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0.05</v>
      </c>
      <c r="F218" s="14">
        <f t="shared" si="20"/>
        <v>3</v>
      </c>
      <c r="G218" s="14">
        <f t="shared" si="21"/>
        <v>0.12826542323296949</v>
      </c>
      <c r="H218" s="14">
        <f t="shared" si="22"/>
        <v>0.05</v>
      </c>
      <c r="I218" s="14">
        <f t="shared" si="23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0.89199687576874664</v>
      </c>
    </row>
    <row r="219" spans="1:11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0.7</v>
      </c>
      <c r="F219" s="14">
        <f t="shared" si="20"/>
        <v>4</v>
      </c>
      <c r="G219" s="14">
        <f t="shared" si="21"/>
        <v>1.9531737120512411</v>
      </c>
      <c r="H219" s="14">
        <f t="shared" si="22"/>
        <v>0.75</v>
      </c>
      <c r="I219" s="14">
        <f t="shared" si="23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0.89199687576874664</v>
      </c>
    </row>
    <row r="220" spans="1:11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0.25</v>
      </c>
      <c r="F220" s="14">
        <f t="shared" si="20"/>
        <v>5</v>
      </c>
      <c r="G220" s="14">
        <f t="shared" si="21"/>
        <v>2.6166036463797937</v>
      </c>
      <c r="H220" s="14">
        <f t="shared" si="22"/>
        <v>1</v>
      </c>
      <c r="I220" s="14">
        <f t="shared" si="23"/>
        <v>0</v>
      </c>
      <c r="J220" s="15">
        <f>IF(CurrentMtgRatesDataTable8[[#This Row],[WA CC]]&lt;&gt;0,C219-CurrentMtgRatesDataTable8[[#This Row],[WA CC]],0)</f>
        <v>0</v>
      </c>
      <c r="K220" s="16">
        <f>IF(CurrentMtgRatesDataTable8[[#This Row],[Servicing Spread]]&lt;=0,K219,CurrentMtgRatesDataTable8[[#This Row],[Servicing Spread]])</f>
        <v>0.89199687576874664</v>
      </c>
    </row>
    <row r="221" spans="1:11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</v>
      </c>
      <c r="F221" s="14">
        <f t="shared" si="20"/>
        <v>1</v>
      </c>
      <c r="G221" s="14">
        <f t="shared" si="21"/>
        <v>0</v>
      </c>
      <c r="H221" s="14">
        <f t="shared" si="22"/>
        <v>0</v>
      </c>
      <c r="I221" s="14">
        <f t="shared" si="23"/>
        <v>2.6166036463797937</v>
      </c>
      <c r="J221" s="15">
        <f>IF(CurrentMtgRatesDataTable8[[#This Row],[WA CC]]&lt;&gt;0,C220-CurrentMtgRatesDataTable8[[#This Row],[WA CC]],0)</f>
        <v>0.86339635362020628</v>
      </c>
      <c r="K221" s="16">
        <f>IF(CurrentMtgRatesDataTable8[[#This Row],[Servicing Spread]]&lt;=0,K220,CurrentMtgRatesDataTable8[[#This Row],[Servicing Spread]])</f>
        <v>0.86339635362020628</v>
      </c>
    </row>
    <row r="222" spans="1:11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</v>
      </c>
      <c r="F222" s="14">
        <f t="shared" si="20"/>
        <v>2</v>
      </c>
      <c r="G222" s="14">
        <f t="shared" si="21"/>
        <v>0</v>
      </c>
      <c r="H222" s="14">
        <f t="shared" si="22"/>
        <v>0</v>
      </c>
      <c r="I222" s="14">
        <f t="shared" si="23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0.86339635362020628</v>
      </c>
    </row>
    <row r="223" spans="1:11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0.7</v>
      </c>
      <c r="F223" s="14">
        <f t="shared" si="20"/>
        <v>3</v>
      </c>
      <c r="G223" s="14">
        <f t="shared" si="21"/>
        <v>1.8466148363025301</v>
      </c>
      <c r="H223" s="14">
        <f t="shared" si="22"/>
        <v>0.7</v>
      </c>
      <c r="I223" s="14">
        <f t="shared" si="23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0.86339635362020628</v>
      </c>
    </row>
    <row r="224" spans="1:11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0.25</v>
      </c>
      <c r="F224" s="14">
        <f t="shared" si="20"/>
        <v>4</v>
      </c>
      <c r="G224" s="14">
        <f t="shared" si="21"/>
        <v>2.5061072110869853</v>
      </c>
      <c r="H224" s="14">
        <f t="shared" si="22"/>
        <v>0.95</v>
      </c>
      <c r="I224" s="14">
        <f t="shared" si="23"/>
        <v>0</v>
      </c>
      <c r="J224" s="15">
        <f>IF(CurrentMtgRatesDataTable8[[#This Row],[WA CC]]&lt;&gt;0,C223-CurrentMtgRatesDataTable8[[#This Row],[WA CC]],0)</f>
        <v>0</v>
      </c>
      <c r="K224" s="16">
        <f>IF(CurrentMtgRatesDataTable8[[#This Row],[Servicing Spread]]&lt;=0,K223,CurrentMtgRatesDataTable8[[#This Row],[Servicing Spread]])</f>
        <v>0.86339635362020628</v>
      </c>
    </row>
    <row r="225" spans="1:11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</v>
      </c>
      <c r="F225" s="14">
        <f t="shared" si="20"/>
        <v>1</v>
      </c>
      <c r="G225" s="14">
        <f t="shared" si="21"/>
        <v>0</v>
      </c>
      <c r="H225" s="14">
        <f t="shared" si="22"/>
        <v>0</v>
      </c>
      <c r="I225" s="14">
        <f t="shared" si="23"/>
        <v>2.6380075906178795</v>
      </c>
      <c r="J225" s="15">
        <f>IF(CurrentMtgRatesDataTable8[[#This Row],[WA CC]]&lt;&gt;0,C224-CurrentMtgRatesDataTable8[[#This Row],[WA CC]],0)</f>
        <v>0.87199240938212075</v>
      </c>
      <c r="K225" s="16">
        <f>IF(CurrentMtgRatesDataTable8[[#This Row],[Servicing Spread]]&lt;=0,K224,CurrentMtgRatesDataTable8[[#This Row],[Servicing Spread]])</f>
        <v>0.87199240938212075</v>
      </c>
    </row>
    <row r="226" spans="1:11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</v>
      </c>
      <c r="F226" s="14">
        <f t="shared" si="20"/>
        <v>2</v>
      </c>
      <c r="G226" s="14">
        <f t="shared" si="21"/>
        <v>0</v>
      </c>
      <c r="H226" s="14">
        <f t="shared" si="22"/>
        <v>0</v>
      </c>
      <c r="I226" s="14">
        <f t="shared" si="23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0.87199240938212075</v>
      </c>
    </row>
    <row r="227" spans="1:11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0.05</v>
      </c>
      <c r="F227" s="14">
        <f t="shared" si="20"/>
        <v>3</v>
      </c>
      <c r="G227" s="14">
        <f t="shared" si="21"/>
        <v>0.12789294214966751</v>
      </c>
      <c r="H227" s="14">
        <f t="shared" si="22"/>
        <v>0.05</v>
      </c>
      <c r="I227" s="14">
        <f t="shared" si="23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0.87199240938212075</v>
      </c>
    </row>
    <row r="228" spans="1:11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0.7</v>
      </c>
      <c r="F228" s="14">
        <f t="shared" si="20"/>
        <v>4</v>
      </c>
      <c r="G228" s="14">
        <f t="shared" si="21"/>
        <v>1.9051628033528674</v>
      </c>
      <c r="H228" s="14">
        <f t="shared" si="22"/>
        <v>0.75</v>
      </c>
      <c r="I228" s="14">
        <f t="shared" si="23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0.87199240938212075</v>
      </c>
    </row>
    <row r="229" spans="1:11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0.25</v>
      </c>
      <c r="F229" s="14">
        <f t="shared" si="20"/>
        <v>5</v>
      </c>
      <c r="G229" s="14">
        <f t="shared" si="21"/>
        <v>2.5484677738812698</v>
      </c>
      <c r="H229" s="14">
        <f t="shared" si="22"/>
        <v>1</v>
      </c>
      <c r="I229" s="14">
        <f t="shared" si="23"/>
        <v>0</v>
      </c>
      <c r="J229" s="15">
        <f>IF(CurrentMtgRatesDataTable8[[#This Row],[WA CC]]&lt;&gt;0,C228-CurrentMtgRatesDataTable8[[#This Row],[WA CC]],0)</f>
        <v>0</v>
      </c>
      <c r="K229" s="16">
        <f>IF(CurrentMtgRatesDataTable8[[#This Row],[Servicing Spread]]&lt;=0,K228,CurrentMtgRatesDataTable8[[#This Row],[Servicing Spread]])</f>
        <v>0.87199240938212075</v>
      </c>
    </row>
    <row r="230" spans="1:11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</v>
      </c>
      <c r="F230" s="14">
        <f t="shared" si="20"/>
        <v>1</v>
      </c>
      <c r="G230" s="14">
        <f t="shared" si="21"/>
        <v>0</v>
      </c>
      <c r="H230" s="14">
        <f t="shared" si="22"/>
        <v>0</v>
      </c>
      <c r="I230" s="14">
        <f t="shared" si="23"/>
        <v>2.5484677738812698</v>
      </c>
      <c r="J230" s="15">
        <f>IF(CurrentMtgRatesDataTable8[[#This Row],[WA CC]]&lt;&gt;0,C229-CurrentMtgRatesDataTable8[[#This Row],[WA CC]],0)</f>
        <v>0.91153222611873019</v>
      </c>
      <c r="K230" s="16">
        <f>IF(CurrentMtgRatesDataTable8[[#This Row],[Servicing Spread]]&lt;=0,K229,CurrentMtgRatesDataTable8[[#This Row],[Servicing Spread]])</f>
        <v>0.91153222611873019</v>
      </c>
    </row>
    <row r="231" spans="1:11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</v>
      </c>
      <c r="F231" s="14">
        <f t="shared" si="20"/>
        <v>2</v>
      </c>
      <c r="G231" s="14">
        <f t="shared" si="21"/>
        <v>0</v>
      </c>
      <c r="H231" s="14">
        <f t="shared" si="22"/>
        <v>0</v>
      </c>
      <c r="I231" s="14">
        <f t="shared" si="23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0.91153222611873019</v>
      </c>
    </row>
    <row r="232" spans="1:11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0.05</v>
      </c>
      <c r="F232" s="14">
        <f t="shared" si="20"/>
        <v>3</v>
      </c>
      <c r="G232" s="14">
        <f t="shared" si="21"/>
        <v>0.12728880023220801</v>
      </c>
      <c r="H232" s="14">
        <f t="shared" si="22"/>
        <v>0.05</v>
      </c>
      <c r="I232" s="14">
        <f t="shared" si="23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0.91153222611873019</v>
      </c>
    </row>
    <row r="233" spans="1:11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0.7</v>
      </c>
      <c r="F233" s="14">
        <f t="shared" si="20"/>
        <v>4</v>
      </c>
      <c r="G233" s="14">
        <f t="shared" si="21"/>
        <v>1.9198183206666437</v>
      </c>
      <c r="H233" s="14">
        <f t="shared" si="22"/>
        <v>0.75</v>
      </c>
      <c r="I233" s="14">
        <f t="shared" si="23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0.91153222611873019</v>
      </c>
    </row>
    <row r="234" spans="1:11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0.25</v>
      </c>
      <c r="F234" s="14">
        <f t="shared" si="20"/>
        <v>5</v>
      </c>
      <c r="G234" s="14">
        <f t="shared" si="21"/>
        <v>2.5729564264853386</v>
      </c>
      <c r="H234" s="14">
        <f t="shared" si="22"/>
        <v>1</v>
      </c>
      <c r="I234" s="14">
        <f t="shared" si="23"/>
        <v>0</v>
      </c>
      <c r="J234" s="15">
        <f>IF(CurrentMtgRatesDataTable8[[#This Row],[WA CC]]&lt;&gt;0,C233-CurrentMtgRatesDataTable8[[#This Row],[WA CC]],0)</f>
        <v>0</v>
      </c>
      <c r="K234" s="16">
        <f>IF(CurrentMtgRatesDataTable8[[#This Row],[Servicing Spread]]&lt;=0,K233,CurrentMtgRatesDataTable8[[#This Row],[Servicing Spread]])</f>
        <v>0.91153222611873019</v>
      </c>
    </row>
    <row r="235" spans="1:11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</v>
      </c>
      <c r="F235" s="14">
        <f t="shared" si="20"/>
        <v>1</v>
      </c>
      <c r="G235" s="14">
        <f t="shared" si="21"/>
        <v>0</v>
      </c>
      <c r="H235" s="14">
        <f t="shared" si="22"/>
        <v>0</v>
      </c>
      <c r="I235" s="14">
        <f t="shared" si="23"/>
        <v>2.5729564264853386</v>
      </c>
      <c r="J235" s="15">
        <f>IF(CurrentMtgRatesDataTable8[[#This Row],[WA CC]]&lt;&gt;0,C234-CurrentMtgRatesDataTable8[[#This Row],[WA CC]],0)</f>
        <v>0.87204357351466122</v>
      </c>
      <c r="K235" s="16">
        <f>IF(CurrentMtgRatesDataTable8[[#This Row],[Servicing Spread]]&lt;=0,K234,CurrentMtgRatesDataTable8[[#This Row],[Servicing Spread]])</f>
        <v>0.87204357351466122</v>
      </c>
    </row>
    <row r="236" spans="1:11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</v>
      </c>
      <c r="F236" s="14">
        <f t="shared" si="20"/>
        <v>2</v>
      </c>
      <c r="G236" s="14">
        <f t="shared" si="21"/>
        <v>0</v>
      </c>
      <c r="H236" s="14">
        <f t="shared" si="22"/>
        <v>0</v>
      </c>
      <c r="I236" s="14">
        <f t="shared" si="23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0.87204357351466122</v>
      </c>
    </row>
    <row r="237" spans="1:11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0.05</v>
      </c>
      <c r="F237" s="14">
        <f t="shared" si="20"/>
        <v>3</v>
      </c>
      <c r="G237" s="14">
        <f t="shared" si="21"/>
        <v>0.13699922894741651</v>
      </c>
      <c r="H237" s="14">
        <f t="shared" si="22"/>
        <v>0.05</v>
      </c>
      <c r="I237" s="14">
        <f t="shared" si="23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0.87204357351466122</v>
      </c>
    </row>
    <row r="238" spans="1:11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0.7</v>
      </c>
      <c r="F238" s="14">
        <f t="shared" si="20"/>
        <v>4</v>
      </c>
      <c r="G238" s="14">
        <f t="shared" si="21"/>
        <v>2.0315179308859923</v>
      </c>
      <c r="H238" s="14">
        <f t="shared" si="22"/>
        <v>0.75</v>
      </c>
      <c r="I238" s="14">
        <f t="shared" si="23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0.87204357351466122</v>
      </c>
    </row>
    <row r="239" spans="1:11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0.25</v>
      </c>
      <c r="F239" s="14">
        <f t="shared" si="20"/>
        <v>5</v>
      </c>
      <c r="G239" s="14">
        <f t="shared" si="21"/>
        <v>2.7066275995823199</v>
      </c>
      <c r="H239" s="14">
        <f t="shared" si="22"/>
        <v>1</v>
      </c>
      <c r="I239" s="14">
        <f t="shared" si="23"/>
        <v>0</v>
      </c>
      <c r="J239" s="15">
        <f>IF(CurrentMtgRatesDataTable8[[#This Row],[WA CC]]&lt;&gt;0,C238-CurrentMtgRatesDataTable8[[#This Row],[WA CC]],0)</f>
        <v>0</v>
      </c>
      <c r="K239" s="16">
        <f>IF(CurrentMtgRatesDataTable8[[#This Row],[Servicing Spread]]&lt;=0,K238,CurrentMtgRatesDataTable8[[#This Row],[Servicing Spread]])</f>
        <v>0.87204357351466122</v>
      </c>
    </row>
    <row r="240" spans="1:11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</v>
      </c>
      <c r="F240" s="14">
        <f t="shared" si="20"/>
        <v>1</v>
      </c>
      <c r="G240" s="14">
        <f t="shared" si="21"/>
        <v>0</v>
      </c>
      <c r="H240" s="14">
        <f t="shared" si="22"/>
        <v>0</v>
      </c>
      <c r="I240" s="14">
        <f t="shared" si="23"/>
        <v>2.7066275995823199</v>
      </c>
      <c r="J240" s="15">
        <f>IF(CurrentMtgRatesDataTable8[[#This Row],[WA CC]]&lt;&gt;0,C239-CurrentMtgRatesDataTable8[[#This Row],[WA CC]],0)</f>
        <v>0.87337240041768016</v>
      </c>
      <c r="K240" s="16">
        <f>IF(CurrentMtgRatesDataTable8[[#This Row],[Servicing Spread]]&lt;=0,K239,CurrentMtgRatesDataTable8[[#This Row],[Servicing Spread]])</f>
        <v>0.87337240041768016</v>
      </c>
    </row>
    <row r="241" spans="1:11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</v>
      </c>
      <c r="F241" s="14">
        <f t="shared" si="20"/>
        <v>2</v>
      </c>
      <c r="G241" s="14">
        <f t="shared" si="21"/>
        <v>0</v>
      </c>
      <c r="H241" s="14">
        <f t="shared" si="22"/>
        <v>0</v>
      </c>
      <c r="I241" s="14">
        <f t="shared" si="23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0.87337240041768016</v>
      </c>
    </row>
    <row r="242" spans="1:11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0.05</v>
      </c>
      <c r="F242" s="14">
        <f t="shared" si="20"/>
        <v>3</v>
      </c>
      <c r="G242" s="14">
        <f t="shared" si="21"/>
        <v>0.13148134067655151</v>
      </c>
      <c r="H242" s="14">
        <f t="shared" si="22"/>
        <v>0.05</v>
      </c>
      <c r="I242" s="14">
        <f t="shared" si="23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0.87337240041768016</v>
      </c>
    </row>
    <row r="243" spans="1:11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0.7</v>
      </c>
      <c r="F243" s="14">
        <f t="shared" si="20"/>
        <v>4</v>
      </c>
      <c r="G243" s="14">
        <f t="shared" si="21"/>
        <v>1.9562856519135634</v>
      </c>
      <c r="H243" s="14">
        <f t="shared" si="22"/>
        <v>0.75</v>
      </c>
      <c r="I243" s="14">
        <f t="shared" si="23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0.87337240041768016</v>
      </c>
    </row>
    <row r="244" spans="1:11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0.25</v>
      </c>
      <c r="F244" s="14">
        <f t="shared" si="20"/>
        <v>5</v>
      </c>
      <c r="G244" s="14">
        <f t="shared" si="21"/>
        <v>2.6180313272534281</v>
      </c>
      <c r="H244" s="14">
        <f t="shared" si="22"/>
        <v>1</v>
      </c>
      <c r="I244" s="14">
        <f t="shared" si="23"/>
        <v>0</v>
      </c>
      <c r="J244" s="15">
        <f>IF(CurrentMtgRatesDataTable8[[#This Row],[WA CC]]&lt;&gt;0,C243-CurrentMtgRatesDataTable8[[#This Row],[WA CC]],0)</f>
        <v>0</v>
      </c>
      <c r="K244" s="16">
        <f>IF(CurrentMtgRatesDataTable8[[#This Row],[Servicing Spread]]&lt;=0,K243,CurrentMtgRatesDataTable8[[#This Row],[Servicing Spread]])</f>
        <v>0.87337240041768016</v>
      </c>
    </row>
    <row r="245" spans="1:11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</v>
      </c>
      <c r="F245" s="14">
        <f t="shared" si="20"/>
        <v>1</v>
      </c>
      <c r="G245" s="14">
        <f t="shared" si="21"/>
        <v>0</v>
      </c>
      <c r="H245" s="14">
        <f t="shared" si="22"/>
        <v>0</v>
      </c>
      <c r="I245" s="14">
        <f t="shared" si="23"/>
        <v>2.6180313272534281</v>
      </c>
      <c r="J245" s="15">
        <f>IF(CurrentMtgRatesDataTable8[[#This Row],[WA CC]]&lt;&gt;0,C244-CurrentMtgRatesDataTable8[[#This Row],[WA CC]],0)</f>
        <v>0.87196867274657208</v>
      </c>
      <c r="K245" s="16">
        <f>IF(CurrentMtgRatesDataTable8[[#This Row],[Servicing Spread]]&lt;=0,K244,CurrentMtgRatesDataTable8[[#This Row],[Servicing Spread]])</f>
        <v>0.87196867274657208</v>
      </c>
    </row>
    <row r="246" spans="1:11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</v>
      </c>
      <c r="F246" s="14">
        <f t="shared" si="20"/>
        <v>2</v>
      </c>
      <c r="G246" s="14">
        <f t="shared" si="21"/>
        <v>0</v>
      </c>
      <c r="H246" s="14">
        <f t="shared" si="22"/>
        <v>0</v>
      </c>
      <c r="I246" s="14">
        <f t="shared" si="23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0.87196867274657208</v>
      </c>
    </row>
    <row r="247" spans="1:11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0.05</v>
      </c>
      <c r="F247" s="14">
        <f t="shared" si="20"/>
        <v>3</v>
      </c>
      <c r="G247" s="14">
        <f t="shared" si="21"/>
        <v>0.13197379657984751</v>
      </c>
      <c r="H247" s="14">
        <f t="shared" si="22"/>
        <v>0.05</v>
      </c>
      <c r="I247" s="14">
        <f t="shared" si="23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0.87196867274657208</v>
      </c>
    </row>
    <row r="248" spans="1:11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0.7</v>
      </c>
      <c r="F248" s="14">
        <f t="shared" si="20"/>
        <v>4</v>
      </c>
      <c r="G248" s="14">
        <f t="shared" si="21"/>
        <v>1.9817646420916524</v>
      </c>
      <c r="H248" s="14">
        <f t="shared" si="22"/>
        <v>0.75</v>
      </c>
      <c r="I248" s="14">
        <f t="shared" si="23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0.87196867274657208</v>
      </c>
    </row>
    <row r="249" spans="1:11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0.25</v>
      </c>
      <c r="F249" s="14">
        <f t="shared" si="20"/>
        <v>5</v>
      </c>
      <c r="G249" s="14">
        <f t="shared" si="21"/>
        <v>2.6337817748425998</v>
      </c>
      <c r="H249" s="14">
        <f t="shared" si="22"/>
        <v>1</v>
      </c>
      <c r="I249" s="14">
        <f t="shared" si="23"/>
        <v>0</v>
      </c>
      <c r="J249" s="15">
        <f>IF(CurrentMtgRatesDataTable8[[#This Row],[WA CC]]&lt;&gt;0,C248-CurrentMtgRatesDataTable8[[#This Row],[WA CC]],0)</f>
        <v>0</v>
      </c>
      <c r="K249" s="16">
        <f>IF(CurrentMtgRatesDataTable8[[#This Row],[Servicing Spread]]&lt;=0,K248,CurrentMtgRatesDataTable8[[#This Row],[Servicing Spread]])</f>
        <v>0.87196867274657208</v>
      </c>
    </row>
    <row r="250" spans="1:11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</v>
      </c>
      <c r="F250" s="14">
        <f t="shared" si="20"/>
        <v>1</v>
      </c>
      <c r="G250" s="14">
        <f t="shared" si="21"/>
        <v>0</v>
      </c>
      <c r="H250" s="14">
        <f t="shared" si="22"/>
        <v>0</v>
      </c>
      <c r="I250" s="14">
        <f t="shared" si="23"/>
        <v>2.6337817748425998</v>
      </c>
      <c r="J250" s="15">
        <f>IF(CurrentMtgRatesDataTable8[[#This Row],[WA CC]]&lt;&gt;0,C249-CurrentMtgRatesDataTable8[[#This Row],[WA CC]],0)</f>
        <v>0.88621822515740023</v>
      </c>
      <c r="K250" s="16">
        <f>IF(CurrentMtgRatesDataTable8[[#This Row],[Servicing Spread]]&lt;=0,K249,CurrentMtgRatesDataTable8[[#This Row],[Servicing Spread]])</f>
        <v>0.88621822515740023</v>
      </c>
    </row>
    <row r="251" spans="1:11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0.05</v>
      </c>
      <c r="F251" s="14">
        <f t="shared" si="20"/>
        <v>2</v>
      </c>
      <c r="G251" s="14">
        <f t="shared" si="21"/>
        <v>0.12975647777761401</v>
      </c>
      <c r="H251" s="14">
        <f t="shared" si="22"/>
        <v>0.05</v>
      </c>
      <c r="I251" s="14">
        <f t="shared" si="23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0.88621822515740023</v>
      </c>
    </row>
    <row r="252" spans="1:11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0.7</v>
      </c>
      <c r="F252" s="14">
        <f t="shared" si="20"/>
        <v>3</v>
      </c>
      <c r="G252" s="14">
        <f t="shared" si="21"/>
        <v>1.9568958633649687</v>
      </c>
      <c r="H252" s="14">
        <f t="shared" si="22"/>
        <v>0.75</v>
      </c>
      <c r="I252" s="14">
        <f t="shared" si="23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0.88621822515740023</v>
      </c>
    </row>
    <row r="253" spans="1:11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0.25</v>
      </c>
      <c r="F253" s="14">
        <f t="shared" si="20"/>
        <v>4</v>
      </c>
      <c r="G253" s="14">
        <f t="shared" si="21"/>
        <v>2.5980755318971913</v>
      </c>
      <c r="H253" s="14">
        <f t="shared" si="22"/>
        <v>1</v>
      </c>
      <c r="I253" s="14">
        <f t="shared" si="23"/>
        <v>0</v>
      </c>
      <c r="J253" s="15">
        <f>IF(CurrentMtgRatesDataTable8[[#This Row],[WA CC]]&lt;&gt;0,C252-CurrentMtgRatesDataTable8[[#This Row],[WA CC]],0)</f>
        <v>0</v>
      </c>
      <c r="K253" s="16">
        <f>IF(CurrentMtgRatesDataTable8[[#This Row],[Servicing Spread]]&lt;=0,K252,CurrentMtgRatesDataTable8[[#This Row],[Servicing Spread]])</f>
        <v>0.88621822515740023</v>
      </c>
    </row>
    <row r="254" spans="1:11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</v>
      </c>
      <c r="F254" s="14">
        <f t="shared" si="20"/>
        <v>1</v>
      </c>
      <c r="G254" s="14">
        <f t="shared" si="21"/>
        <v>0</v>
      </c>
      <c r="H254" s="14">
        <f t="shared" si="22"/>
        <v>0</v>
      </c>
      <c r="I254" s="14">
        <f t="shared" si="23"/>
        <v>2.5980755318971913</v>
      </c>
      <c r="J254" s="15">
        <f>IF(CurrentMtgRatesDataTable8[[#This Row],[WA CC]]&lt;&gt;0,C253-CurrentMtgRatesDataTable8[[#This Row],[WA CC]],0)</f>
        <v>0.8919244681028089</v>
      </c>
      <c r="K254" s="16">
        <f>IF(CurrentMtgRatesDataTable8[[#This Row],[Servicing Spread]]&lt;=0,K253,CurrentMtgRatesDataTable8[[#This Row],[Servicing Spread]])</f>
        <v>0.8919244681028089</v>
      </c>
    </row>
    <row r="255" spans="1:11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</v>
      </c>
      <c r="F255" s="14">
        <f t="shared" si="20"/>
        <v>2</v>
      </c>
      <c r="G255" s="14">
        <f t="shared" si="21"/>
        <v>0</v>
      </c>
      <c r="H255" s="14">
        <f t="shared" si="22"/>
        <v>0</v>
      </c>
      <c r="I255" s="14">
        <f t="shared" si="23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0.8919244681028089</v>
      </c>
    </row>
    <row r="256" spans="1:11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0.05</v>
      </c>
      <c r="F256" s="14">
        <f t="shared" si="20"/>
        <v>3</v>
      </c>
      <c r="G256" s="14">
        <f t="shared" si="21"/>
        <v>0.1238474891137795</v>
      </c>
      <c r="H256" s="14">
        <f t="shared" si="22"/>
        <v>0.05</v>
      </c>
      <c r="I256" s="14">
        <f t="shared" si="23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0.8919244681028089</v>
      </c>
    </row>
    <row r="257" spans="1:11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0.7</v>
      </c>
      <c r="F257" s="14">
        <f t="shared" si="20"/>
        <v>4</v>
      </c>
      <c r="G257" s="14">
        <f t="shared" si="21"/>
        <v>1.8664119619011694</v>
      </c>
      <c r="H257" s="14">
        <f t="shared" si="22"/>
        <v>0.75</v>
      </c>
      <c r="I257" s="14">
        <f t="shared" si="23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0.8919244681028089</v>
      </c>
    </row>
    <row r="258" spans="1:11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0.25</v>
      </c>
      <c r="F258" s="14">
        <f t="shared" si="20"/>
        <v>5</v>
      </c>
      <c r="G258" s="14">
        <f t="shared" si="21"/>
        <v>2.502609921024987</v>
      </c>
      <c r="H258" s="14">
        <f t="shared" si="22"/>
        <v>1</v>
      </c>
      <c r="I258" s="14">
        <f t="shared" si="23"/>
        <v>0</v>
      </c>
      <c r="J258" s="15">
        <f>IF(CurrentMtgRatesDataTable8[[#This Row],[WA CC]]&lt;&gt;0,C257-CurrentMtgRatesDataTable8[[#This Row],[WA CC]],0)</f>
        <v>0</v>
      </c>
      <c r="K258" s="16">
        <f>IF(CurrentMtgRatesDataTable8[[#This Row],[Servicing Spread]]&lt;=0,K257,CurrentMtgRatesDataTable8[[#This Row],[Servicing Spread]])</f>
        <v>0.8919244681028089</v>
      </c>
    </row>
    <row r="259" spans="1:11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</v>
      </c>
      <c r="F259" s="14">
        <f t="shared" si="20"/>
        <v>1</v>
      </c>
      <c r="G259" s="14">
        <f t="shared" si="21"/>
        <v>0</v>
      </c>
      <c r="H259" s="14">
        <f t="shared" si="22"/>
        <v>0</v>
      </c>
      <c r="I259" s="14">
        <f t="shared" si="23"/>
        <v>2.502609921024987</v>
      </c>
      <c r="J259" s="15">
        <f>IF(CurrentMtgRatesDataTable8[[#This Row],[WA CC]]&lt;&gt;0,C258-CurrentMtgRatesDataTable8[[#This Row],[WA CC]],0)</f>
        <v>0.87739007897501331</v>
      </c>
      <c r="K259" s="16">
        <f>IF(CurrentMtgRatesDataTable8[[#This Row],[Servicing Spread]]&lt;=0,K258,CurrentMtgRatesDataTable8[[#This Row],[Servicing Spread]])</f>
        <v>0.87739007897501331</v>
      </c>
    </row>
    <row r="260" spans="1:11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</v>
      </c>
      <c r="F260" s="14">
        <f t="shared" si="20"/>
        <v>2</v>
      </c>
      <c r="G260" s="14">
        <f t="shared" si="21"/>
        <v>0</v>
      </c>
      <c r="H260" s="14">
        <f t="shared" si="22"/>
        <v>0</v>
      </c>
      <c r="I260" s="14">
        <f t="shared" si="23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0.87739007897501331</v>
      </c>
    </row>
    <row r="261" spans="1:11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VLOOKUP(D261,O$5:P$11,2,FALSE)</f>
        <v>0.05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0.12153298947473951</v>
      </c>
      <c r="H261" s="14">
        <f t="shared" ref="H261:H324" si="28">IF(AND(F261&lt;6,F261&gt;F260),E261+H260,E261)</f>
        <v>0.05</v>
      </c>
      <c r="I261" s="14">
        <f t="shared" ref="I261:I324" si="29">IF(F260&gt;F261,G260/H260,0)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0.87739007897501331</v>
      </c>
    </row>
    <row r="262" spans="1:11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0.7</v>
      </c>
      <c r="F262" s="14">
        <f t="shared" si="26"/>
        <v>4</v>
      </c>
      <c r="G262" s="14">
        <f t="shared" si="27"/>
        <v>1.8397881932160114</v>
      </c>
      <c r="H262" s="14">
        <f t="shared" si="28"/>
        <v>0.75</v>
      </c>
      <c r="I262" s="14">
        <f t="shared" si="29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0.87739007897501331</v>
      </c>
    </row>
    <row r="263" spans="1:11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0.25</v>
      </c>
      <c r="F263" s="14">
        <f t="shared" si="26"/>
        <v>5</v>
      </c>
      <c r="G263" s="14">
        <f t="shared" si="27"/>
        <v>2.4523011624969864</v>
      </c>
      <c r="H263" s="14">
        <f t="shared" si="28"/>
        <v>1</v>
      </c>
      <c r="I263" s="14">
        <f t="shared" si="29"/>
        <v>0</v>
      </c>
      <c r="J263" s="15">
        <f>IF(CurrentMtgRatesDataTable8[[#This Row],[WA CC]]&lt;&gt;0,C262-CurrentMtgRatesDataTable8[[#This Row],[WA CC]],0)</f>
        <v>0</v>
      </c>
      <c r="K263" s="16">
        <f>IF(CurrentMtgRatesDataTable8[[#This Row],[Servicing Spread]]&lt;=0,K262,CurrentMtgRatesDataTable8[[#This Row],[Servicing Spread]])</f>
        <v>0.87739007897501331</v>
      </c>
    </row>
    <row r="264" spans="1:11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</v>
      </c>
      <c r="F264" s="14">
        <f t="shared" si="26"/>
        <v>1</v>
      </c>
      <c r="G264" s="14">
        <f t="shared" si="27"/>
        <v>0</v>
      </c>
      <c r="H264" s="14">
        <f t="shared" si="28"/>
        <v>0</v>
      </c>
      <c r="I264" s="14">
        <f t="shared" si="29"/>
        <v>2.4523011624969864</v>
      </c>
      <c r="J264" s="15">
        <f>IF(CurrentMtgRatesDataTable8[[#This Row],[WA CC]]&lt;&gt;0,C263-CurrentMtgRatesDataTable8[[#This Row],[WA CC]],0)</f>
        <v>0.88269883750301359</v>
      </c>
      <c r="K264" s="16">
        <f>IF(CurrentMtgRatesDataTable8[[#This Row],[Servicing Spread]]&lt;=0,K263,CurrentMtgRatesDataTable8[[#This Row],[Servicing Spread]])</f>
        <v>0.88269883750301359</v>
      </c>
    </row>
    <row r="265" spans="1:11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</v>
      </c>
      <c r="F265" s="14">
        <f t="shared" si="26"/>
        <v>2</v>
      </c>
      <c r="G265" s="14">
        <f t="shared" si="27"/>
        <v>0</v>
      </c>
      <c r="H265" s="14">
        <f t="shared" si="28"/>
        <v>0</v>
      </c>
      <c r="I265" s="14">
        <f t="shared" si="29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0.88269883750301359</v>
      </c>
    </row>
    <row r="266" spans="1:11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0.05</v>
      </c>
      <c r="F266" s="14">
        <f t="shared" si="26"/>
        <v>3</v>
      </c>
      <c r="G266" s="14">
        <f t="shared" si="27"/>
        <v>0.1223049389058085</v>
      </c>
      <c r="H266" s="14">
        <f t="shared" si="28"/>
        <v>0.05</v>
      </c>
      <c r="I266" s="14">
        <f t="shared" si="29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0.88269883750301359</v>
      </c>
    </row>
    <row r="267" spans="1:11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0.7</v>
      </c>
      <c r="F267" s="14">
        <f t="shared" si="26"/>
        <v>4</v>
      </c>
      <c r="G267" s="14">
        <f t="shared" si="27"/>
        <v>1.8285775791240735</v>
      </c>
      <c r="H267" s="14">
        <f t="shared" si="28"/>
        <v>0.75</v>
      </c>
      <c r="I267" s="14">
        <f t="shared" si="29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0.88269883750301359</v>
      </c>
    </row>
    <row r="268" spans="1:11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0.25</v>
      </c>
      <c r="F268" s="14">
        <f t="shared" si="26"/>
        <v>5</v>
      </c>
      <c r="G268" s="14">
        <f t="shared" si="27"/>
        <v>2.4366746704672586</v>
      </c>
      <c r="H268" s="14">
        <f t="shared" si="28"/>
        <v>1</v>
      </c>
      <c r="I268" s="14">
        <f t="shared" si="29"/>
        <v>0</v>
      </c>
      <c r="J268" s="15">
        <f>IF(CurrentMtgRatesDataTable8[[#This Row],[WA CC]]&lt;&gt;0,C267-CurrentMtgRatesDataTable8[[#This Row],[WA CC]],0)</f>
        <v>0</v>
      </c>
      <c r="K268" s="16">
        <f>IF(CurrentMtgRatesDataTable8[[#This Row],[Servicing Spread]]&lt;=0,K267,CurrentMtgRatesDataTable8[[#This Row],[Servicing Spread]])</f>
        <v>0.88269883750301359</v>
      </c>
    </row>
    <row r="269" spans="1:11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</v>
      </c>
      <c r="F269" s="14">
        <f t="shared" si="26"/>
        <v>1</v>
      </c>
      <c r="G269" s="14">
        <f t="shared" si="27"/>
        <v>0</v>
      </c>
      <c r="H269" s="14">
        <f t="shared" si="28"/>
        <v>0</v>
      </c>
      <c r="I269" s="14">
        <f t="shared" si="29"/>
        <v>2.4366746704672586</v>
      </c>
      <c r="J269" s="15">
        <f>IF(CurrentMtgRatesDataTable8[[#This Row],[WA CC]]&lt;&gt;0,C268-CurrentMtgRatesDataTable8[[#This Row],[WA CC]],0)</f>
        <v>0.91332532953274148</v>
      </c>
      <c r="K269" s="16">
        <f>IF(CurrentMtgRatesDataTable8[[#This Row],[Servicing Spread]]&lt;=0,K268,CurrentMtgRatesDataTable8[[#This Row],[Servicing Spread]])</f>
        <v>0.91332532953274148</v>
      </c>
    </row>
    <row r="270" spans="1:11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</v>
      </c>
      <c r="F270" s="14">
        <f t="shared" si="26"/>
        <v>2</v>
      </c>
      <c r="G270" s="14">
        <f t="shared" si="27"/>
        <v>0</v>
      </c>
      <c r="H270" s="14">
        <f t="shared" si="28"/>
        <v>0</v>
      </c>
      <c r="I270" s="14">
        <f t="shared" si="29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0.91332532953274148</v>
      </c>
    </row>
    <row r="271" spans="1:11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0.05</v>
      </c>
      <c r="F271" s="14">
        <f t="shared" si="26"/>
        <v>3</v>
      </c>
      <c r="G271" s="14">
        <f t="shared" si="27"/>
        <v>0.118723960391798</v>
      </c>
      <c r="H271" s="14">
        <f t="shared" si="28"/>
        <v>0.05</v>
      </c>
      <c r="I271" s="14">
        <f t="shared" si="29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0.91332532953274148</v>
      </c>
    </row>
    <row r="272" spans="1:11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0.7</v>
      </c>
      <c r="F272" s="14">
        <f t="shared" si="26"/>
        <v>4</v>
      </c>
      <c r="G272" s="14">
        <f t="shared" si="27"/>
        <v>1.7662001337758457</v>
      </c>
      <c r="H272" s="14">
        <f t="shared" si="28"/>
        <v>0.75</v>
      </c>
      <c r="I272" s="14">
        <f t="shared" si="29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0.91332532953274148</v>
      </c>
    </row>
    <row r="273" spans="1:11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0.25</v>
      </c>
      <c r="F273" s="14">
        <f t="shared" si="26"/>
        <v>5</v>
      </c>
      <c r="G273" s="14">
        <f t="shared" si="27"/>
        <v>2.3437891254279357</v>
      </c>
      <c r="H273" s="14">
        <f t="shared" si="28"/>
        <v>1</v>
      </c>
      <c r="I273" s="14">
        <f t="shared" si="29"/>
        <v>0</v>
      </c>
      <c r="J273" s="15">
        <f>IF(CurrentMtgRatesDataTable8[[#This Row],[WA CC]]&lt;&gt;0,C272-CurrentMtgRatesDataTable8[[#This Row],[WA CC]],0)</f>
        <v>0</v>
      </c>
      <c r="K273" s="16">
        <f>IF(CurrentMtgRatesDataTable8[[#This Row],[Servicing Spread]]&lt;=0,K272,CurrentMtgRatesDataTable8[[#This Row],[Servicing Spread]])</f>
        <v>0.91332532953274148</v>
      </c>
    </row>
    <row r="274" spans="1:11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</v>
      </c>
      <c r="F274" s="14">
        <f t="shared" si="26"/>
        <v>1</v>
      </c>
      <c r="G274" s="14">
        <f t="shared" si="27"/>
        <v>0</v>
      </c>
      <c r="H274" s="14">
        <f t="shared" si="28"/>
        <v>0</v>
      </c>
      <c r="I274" s="14">
        <f t="shared" si="29"/>
        <v>2.3437891254279357</v>
      </c>
      <c r="J274" s="15">
        <f>IF(CurrentMtgRatesDataTable8[[#This Row],[WA CC]]&lt;&gt;0,C273-CurrentMtgRatesDataTable8[[#This Row],[WA CC]],0)</f>
        <v>0.9312108745720642</v>
      </c>
      <c r="K274" s="16">
        <f>IF(CurrentMtgRatesDataTable8[[#This Row],[Servicing Spread]]&lt;=0,K273,CurrentMtgRatesDataTable8[[#This Row],[Servicing Spread]])</f>
        <v>0.9312108745720642</v>
      </c>
    </row>
    <row r="275" spans="1:11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</v>
      </c>
      <c r="F275" s="14">
        <f t="shared" si="26"/>
        <v>2</v>
      </c>
      <c r="G275" s="14">
        <f t="shared" si="27"/>
        <v>0</v>
      </c>
      <c r="H275" s="14">
        <f t="shared" si="28"/>
        <v>0</v>
      </c>
      <c r="I275" s="14">
        <f t="shared" si="29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0.9312108745720642</v>
      </c>
    </row>
    <row r="276" spans="1:11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0.05</v>
      </c>
      <c r="F276" s="14">
        <f t="shared" si="26"/>
        <v>3</v>
      </c>
      <c r="G276" s="14">
        <f t="shared" si="27"/>
        <v>0.12362015866505449</v>
      </c>
      <c r="H276" s="14">
        <f t="shared" si="28"/>
        <v>0.05</v>
      </c>
      <c r="I276" s="14">
        <f t="shared" si="29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0.9312108745720642</v>
      </c>
    </row>
    <row r="277" spans="1:11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0.7</v>
      </c>
      <c r="F277" s="14">
        <f t="shared" si="26"/>
        <v>4</v>
      </c>
      <c r="G277" s="14">
        <f t="shared" si="27"/>
        <v>1.8658802496807223</v>
      </c>
      <c r="H277" s="14">
        <f t="shared" si="28"/>
        <v>0.75</v>
      </c>
      <c r="I277" s="14">
        <f t="shared" si="29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0.9312108745720642</v>
      </c>
    </row>
    <row r="278" spans="1:11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0.25</v>
      </c>
      <c r="F278" s="14">
        <f t="shared" si="26"/>
        <v>5</v>
      </c>
      <c r="G278" s="14">
        <f t="shared" si="27"/>
        <v>2.4839915855783197</v>
      </c>
      <c r="H278" s="14">
        <f t="shared" si="28"/>
        <v>1</v>
      </c>
      <c r="I278" s="14">
        <f t="shared" si="29"/>
        <v>0</v>
      </c>
      <c r="J278" s="15">
        <f>IF(CurrentMtgRatesDataTable8[[#This Row],[WA CC]]&lt;&gt;0,C277-CurrentMtgRatesDataTable8[[#This Row],[WA CC]],0)</f>
        <v>0</v>
      </c>
      <c r="K278" s="16">
        <f>IF(CurrentMtgRatesDataTable8[[#This Row],[Servicing Spread]]&lt;=0,K277,CurrentMtgRatesDataTable8[[#This Row],[Servicing Spread]])</f>
        <v>0.9312108745720642</v>
      </c>
    </row>
    <row r="279" spans="1:11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</v>
      </c>
      <c r="F279" s="14">
        <f t="shared" si="26"/>
        <v>1</v>
      </c>
      <c r="G279" s="14">
        <f t="shared" si="27"/>
        <v>0</v>
      </c>
      <c r="H279" s="14">
        <f t="shared" si="28"/>
        <v>0</v>
      </c>
      <c r="I279" s="14">
        <f t="shared" si="29"/>
        <v>2.4839915855783197</v>
      </c>
      <c r="J279" s="15">
        <f>IF(CurrentMtgRatesDataTable8[[#This Row],[WA CC]]&lt;&gt;0,C278-CurrentMtgRatesDataTable8[[#This Row],[WA CC]],0)</f>
        <v>0.86100841442168008</v>
      </c>
      <c r="K279" s="16">
        <f>IF(CurrentMtgRatesDataTable8[[#This Row],[Servicing Spread]]&lt;=0,K278,CurrentMtgRatesDataTable8[[#This Row],[Servicing Spread]])</f>
        <v>0.86100841442168008</v>
      </c>
    </row>
    <row r="280" spans="1:11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</v>
      </c>
      <c r="F280" s="14">
        <f t="shared" si="26"/>
        <v>2</v>
      </c>
      <c r="G280" s="14">
        <f t="shared" si="27"/>
        <v>0</v>
      </c>
      <c r="H280" s="14">
        <f t="shared" si="28"/>
        <v>0</v>
      </c>
      <c r="I280" s="14">
        <f t="shared" si="29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0.86100841442168008</v>
      </c>
    </row>
    <row r="281" spans="1:11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0.05</v>
      </c>
      <c r="F281" s="14">
        <f t="shared" si="26"/>
        <v>3</v>
      </c>
      <c r="G281" s="14">
        <f t="shared" si="27"/>
        <v>0.13104997837606999</v>
      </c>
      <c r="H281" s="14">
        <f t="shared" si="28"/>
        <v>0.05</v>
      </c>
      <c r="I281" s="14">
        <f t="shared" si="29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0.86100841442168008</v>
      </c>
    </row>
    <row r="282" spans="1:11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0.7</v>
      </c>
      <c r="F282" s="14">
        <f t="shared" si="26"/>
        <v>4</v>
      </c>
      <c r="G282" s="14">
        <f t="shared" si="27"/>
        <v>1.9949571233965078</v>
      </c>
      <c r="H282" s="14">
        <f t="shared" si="28"/>
        <v>0.75</v>
      </c>
      <c r="I282" s="14">
        <f t="shared" si="29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0.86100841442168008</v>
      </c>
    </row>
    <row r="283" spans="1:11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0.25</v>
      </c>
      <c r="F283" s="14">
        <f t="shared" si="26"/>
        <v>5</v>
      </c>
      <c r="G283" s="14">
        <f t="shared" si="27"/>
        <v>2.6604237267448152</v>
      </c>
      <c r="H283" s="14">
        <f t="shared" si="28"/>
        <v>1</v>
      </c>
      <c r="I283" s="14">
        <f t="shared" si="29"/>
        <v>0</v>
      </c>
      <c r="J283" s="15">
        <f>IF(CurrentMtgRatesDataTable8[[#This Row],[WA CC]]&lt;&gt;0,C282-CurrentMtgRatesDataTable8[[#This Row],[WA CC]],0)</f>
        <v>0</v>
      </c>
      <c r="K283" s="16">
        <f>IF(CurrentMtgRatesDataTable8[[#This Row],[Servicing Spread]]&lt;=0,K282,CurrentMtgRatesDataTable8[[#This Row],[Servicing Spread]])</f>
        <v>0.86100841442168008</v>
      </c>
    </row>
    <row r="284" spans="1:11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</v>
      </c>
      <c r="F284" s="14">
        <f t="shared" si="26"/>
        <v>1</v>
      </c>
      <c r="G284" s="14">
        <f t="shared" si="27"/>
        <v>0</v>
      </c>
      <c r="H284" s="14">
        <f t="shared" si="28"/>
        <v>0</v>
      </c>
      <c r="I284" s="14">
        <f t="shared" si="29"/>
        <v>2.6604237267448152</v>
      </c>
      <c r="J284" s="15">
        <f>IF(CurrentMtgRatesDataTable8[[#This Row],[WA CC]]&lt;&gt;0,C283-CurrentMtgRatesDataTable8[[#This Row],[WA CC]],0)</f>
        <v>0.77457627325518441</v>
      </c>
      <c r="K284" s="16">
        <f>IF(CurrentMtgRatesDataTable8[[#This Row],[Servicing Spread]]&lt;=0,K283,CurrentMtgRatesDataTable8[[#This Row],[Servicing Spread]])</f>
        <v>0.77457627325518441</v>
      </c>
    </row>
    <row r="285" spans="1:11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</v>
      </c>
      <c r="F285" s="14">
        <f t="shared" si="26"/>
        <v>2</v>
      </c>
      <c r="G285" s="14">
        <f t="shared" si="27"/>
        <v>0</v>
      </c>
      <c r="H285" s="14">
        <f t="shared" si="28"/>
        <v>0</v>
      </c>
      <c r="I285" s="14">
        <f t="shared" si="29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0.77457627325518441</v>
      </c>
    </row>
    <row r="286" spans="1:11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0.05</v>
      </c>
      <c r="F286" s="14">
        <f t="shared" si="26"/>
        <v>3</v>
      </c>
      <c r="G286" s="14">
        <f t="shared" si="27"/>
        <v>0.13564417711657151</v>
      </c>
      <c r="H286" s="14">
        <f t="shared" si="28"/>
        <v>0.05</v>
      </c>
      <c r="I286" s="14">
        <f t="shared" si="29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0.77457627325518441</v>
      </c>
    </row>
    <row r="287" spans="1:11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0.7</v>
      </c>
      <c r="F287" s="14">
        <f t="shared" si="26"/>
        <v>4</v>
      </c>
      <c r="G287" s="14">
        <f t="shared" si="27"/>
        <v>2.0008124218850853</v>
      </c>
      <c r="H287" s="14">
        <f t="shared" si="28"/>
        <v>0.75</v>
      </c>
      <c r="I287" s="14">
        <f t="shared" si="29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0.77457627325518441</v>
      </c>
    </row>
    <row r="288" spans="1:11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0.25</v>
      </c>
      <c r="F288" s="14">
        <f t="shared" si="26"/>
        <v>5</v>
      </c>
      <c r="G288" s="14">
        <f t="shared" si="27"/>
        <v>2.6979224174312377</v>
      </c>
      <c r="H288" s="14">
        <f t="shared" si="28"/>
        <v>1</v>
      </c>
      <c r="I288" s="14">
        <f t="shared" si="29"/>
        <v>0</v>
      </c>
      <c r="J288" s="15">
        <f>IF(CurrentMtgRatesDataTable8[[#This Row],[WA CC]]&lt;&gt;0,C287-CurrentMtgRatesDataTable8[[#This Row],[WA CC]],0)</f>
        <v>0</v>
      </c>
      <c r="K288" s="16">
        <f>IF(CurrentMtgRatesDataTable8[[#This Row],[Servicing Spread]]&lt;=0,K287,CurrentMtgRatesDataTable8[[#This Row],[Servicing Spread]])</f>
        <v>0.77457627325518441</v>
      </c>
    </row>
    <row r="289" spans="1:11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</v>
      </c>
      <c r="F289" s="14">
        <f t="shared" si="26"/>
        <v>1</v>
      </c>
      <c r="G289" s="14">
        <f t="shared" si="27"/>
        <v>0</v>
      </c>
      <c r="H289" s="14">
        <f t="shared" si="28"/>
        <v>0</v>
      </c>
      <c r="I289" s="14">
        <f t="shared" si="29"/>
        <v>2.6979224174312377</v>
      </c>
      <c r="J289" s="15">
        <f>IF(CurrentMtgRatesDataTable8[[#This Row],[WA CC]]&lt;&gt;0,C288-CurrentMtgRatesDataTable8[[#This Row],[WA CC]],0)</f>
        <v>0.81707758256876195</v>
      </c>
      <c r="K289" s="16">
        <f>IF(CurrentMtgRatesDataTable8[[#This Row],[Servicing Spread]]&lt;=0,K288,CurrentMtgRatesDataTable8[[#This Row],[Servicing Spread]])</f>
        <v>0.81707758256876195</v>
      </c>
    </row>
    <row r="290" spans="1:11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</v>
      </c>
      <c r="F290" s="14">
        <f t="shared" si="26"/>
        <v>2</v>
      </c>
      <c r="G290" s="14">
        <f t="shared" si="27"/>
        <v>0</v>
      </c>
      <c r="H290" s="14">
        <f t="shared" si="28"/>
        <v>0</v>
      </c>
      <c r="I290" s="14">
        <f t="shared" si="29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0.81707758256876195</v>
      </c>
    </row>
    <row r="291" spans="1:11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0.7</v>
      </c>
      <c r="F291" s="14">
        <f t="shared" si="26"/>
        <v>3</v>
      </c>
      <c r="G291" s="14">
        <f t="shared" si="27"/>
        <v>2.0607715649134599</v>
      </c>
      <c r="H291" s="14">
        <f t="shared" si="28"/>
        <v>0.7</v>
      </c>
      <c r="I291" s="14">
        <f t="shared" si="29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0.81707758256876195</v>
      </c>
    </row>
    <row r="292" spans="1:11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0.25</v>
      </c>
      <c r="F292" s="14">
        <f t="shared" si="26"/>
        <v>4</v>
      </c>
      <c r="G292" s="14">
        <f t="shared" si="27"/>
        <v>2.7906947660791324</v>
      </c>
      <c r="H292" s="14">
        <f t="shared" si="28"/>
        <v>0.95</v>
      </c>
      <c r="I292" s="14">
        <f t="shared" si="29"/>
        <v>0</v>
      </c>
      <c r="J292" s="15">
        <f>IF(CurrentMtgRatesDataTable8[[#This Row],[WA CC]]&lt;&gt;0,C291-CurrentMtgRatesDataTable8[[#This Row],[WA CC]],0)</f>
        <v>0</v>
      </c>
      <c r="K292" s="16">
        <f>IF(CurrentMtgRatesDataTable8[[#This Row],[Servicing Spread]]&lt;=0,K291,CurrentMtgRatesDataTable8[[#This Row],[Servicing Spread]])</f>
        <v>0.81707758256876195</v>
      </c>
    </row>
    <row r="293" spans="1:11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</v>
      </c>
      <c r="F293" s="14">
        <f t="shared" si="26"/>
        <v>1</v>
      </c>
      <c r="G293" s="14">
        <f t="shared" si="27"/>
        <v>0</v>
      </c>
      <c r="H293" s="14">
        <f t="shared" si="28"/>
        <v>0</v>
      </c>
      <c r="I293" s="14">
        <f t="shared" si="29"/>
        <v>2.9375734379780343</v>
      </c>
      <c r="J293" s="15">
        <f>IF(CurrentMtgRatesDataTable8[[#This Row],[WA CC]]&lt;&gt;0,C292-CurrentMtgRatesDataTable8[[#This Row],[WA CC]],0)</f>
        <v>0.82242656202196596</v>
      </c>
      <c r="K293" s="16">
        <f>IF(CurrentMtgRatesDataTable8[[#This Row],[Servicing Spread]]&lt;=0,K292,CurrentMtgRatesDataTable8[[#This Row],[Servicing Spread]])</f>
        <v>0.82242656202196596</v>
      </c>
    </row>
    <row r="294" spans="1:11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</v>
      </c>
      <c r="F294" s="14">
        <f t="shared" si="26"/>
        <v>2</v>
      </c>
      <c r="G294" s="14">
        <f t="shared" si="27"/>
        <v>0</v>
      </c>
      <c r="H294" s="14">
        <f t="shared" si="28"/>
        <v>0</v>
      </c>
      <c r="I294" s="14">
        <f t="shared" si="29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0.82242656202196596</v>
      </c>
    </row>
    <row r="295" spans="1:11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0.05</v>
      </c>
      <c r="F295" s="14">
        <f t="shared" si="26"/>
        <v>3</v>
      </c>
      <c r="G295" s="14">
        <f t="shared" si="27"/>
        <v>0.14801622653209701</v>
      </c>
      <c r="H295" s="14">
        <f t="shared" si="28"/>
        <v>0.05</v>
      </c>
      <c r="I295" s="14">
        <f t="shared" si="29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0.82242656202196596</v>
      </c>
    </row>
    <row r="296" spans="1:11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0.7</v>
      </c>
      <c r="F296" s="14">
        <f t="shared" si="26"/>
        <v>4</v>
      </c>
      <c r="G296" s="14">
        <f t="shared" si="27"/>
        <v>2.2408312636348029</v>
      </c>
      <c r="H296" s="14">
        <f t="shared" si="28"/>
        <v>0.75</v>
      </c>
      <c r="I296" s="14">
        <f t="shared" si="29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0.82242656202196596</v>
      </c>
    </row>
    <row r="297" spans="1:11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0.25</v>
      </c>
      <c r="F297" s="14">
        <f t="shared" si="26"/>
        <v>5</v>
      </c>
      <c r="G297" s="14">
        <f t="shared" si="27"/>
        <v>2.9842617599842653</v>
      </c>
      <c r="H297" s="14">
        <f t="shared" si="28"/>
        <v>1</v>
      </c>
      <c r="I297" s="14">
        <f t="shared" si="29"/>
        <v>0</v>
      </c>
      <c r="J297" s="15">
        <f>IF(CurrentMtgRatesDataTable8[[#This Row],[WA CC]]&lt;&gt;0,C296-CurrentMtgRatesDataTable8[[#This Row],[WA CC]],0)</f>
        <v>0</v>
      </c>
      <c r="K297" s="16">
        <f>IF(CurrentMtgRatesDataTable8[[#This Row],[Servicing Spread]]&lt;=0,K296,CurrentMtgRatesDataTable8[[#This Row],[Servicing Spread]])</f>
        <v>0.82242656202196596</v>
      </c>
    </row>
    <row r="298" spans="1:11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</v>
      </c>
      <c r="F298" s="14">
        <f t="shared" si="26"/>
        <v>1</v>
      </c>
      <c r="G298" s="14">
        <f t="shared" si="27"/>
        <v>0</v>
      </c>
      <c r="H298" s="14">
        <f t="shared" si="28"/>
        <v>0</v>
      </c>
      <c r="I298" s="14">
        <f t="shared" si="29"/>
        <v>2.9842617599842653</v>
      </c>
      <c r="J298" s="15">
        <f>IF(CurrentMtgRatesDataTable8[[#This Row],[WA CC]]&lt;&gt;0,C297-CurrentMtgRatesDataTable8[[#This Row],[WA CC]],0)</f>
        <v>0.85073824001573461</v>
      </c>
      <c r="K298" s="16">
        <f>IF(CurrentMtgRatesDataTable8[[#This Row],[Servicing Spread]]&lt;=0,K297,CurrentMtgRatesDataTable8[[#This Row],[Servicing Spread]])</f>
        <v>0.85073824001573461</v>
      </c>
    </row>
    <row r="299" spans="1:11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</v>
      </c>
      <c r="F299" s="14">
        <f t="shared" si="26"/>
        <v>2</v>
      </c>
      <c r="G299" s="14">
        <f t="shared" si="27"/>
        <v>0</v>
      </c>
      <c r="H299" s="14">
        <f t="shared" si="28"/>
        <v>0</v>
      </c>
      <c r="I299" s="14">
        <f t="shared" si="29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0.85073824001573461</v>
      </c>
    </row>
    <row r="300" spans="1:11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0.05</v>
      </c>
      <c r="F300" s="14">
        <f t="shared" si="26"/>
        <v>3</v>
      </c>
      <c r="G300" s="14">
        <f t="shared" si="27"/>
        <v>0.15093751643412201</v>
      </c>
      <c r="H300" s="14">
        <f t="shared" si="28"/>
        <v>0.05</v>
      </c>
      <c r="I300" s="14">
        <f t="shared" si="29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0.85073824001573461</v>
      </c>
    </row>
    <row r="301" spans="1:11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0.7</v>
      </c>
      <c r="F301" s="14">
        <f t="shared" si="26"/>
        <v>4</v>
      </c>
      <c r="G301" s="14">
        <f t="shared" si="27"/>
        <v>2.2429741722741618</v>
      </c>
      <c r="H301" s="14">
        <f t="shared" si="28"/>
        <v>0.75</v>
      </c>
      <c r="I301" s="14">
        <f t="shared" si="29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0.85073824001573461</v>
      </c>
    </row>
    <row r="302" spans="1:11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0.25</v>
      </c>
      <c r="F302" s="14">
        <f t="shared" si="26"/>
        <v>5</v>
      </c>
      <c r="G302" s="14">
        <f t="shared" si="27"/>
        <v>2.9972988223536694</v>
      </c>
      <c r="H302" s="14">
        <f t="shared" si="28"/>
        <v>1</v>
      </c>
      <c r="I302" s="14">
        <f t="shared" si="29"/>
        <v>0</v>
      </c>
      <c r="J302" s="15">
        <f>IF(CurrentMtgRatesDataTable8[[#This Row],[WA CC]]&lt;&gt;0,C301-CurrentMtgRatesDataTable8[[#This Row],[WA CC]],0)</f>
        <v>0</v>
      </c>
      <c r="K302" s="16">
        <f>IF(CurrentMtgRatesDataTable8[[#This Row],[Servicing Spread]]&lt;=0,K301,CurrentMtgRatesDataTable8[[#This Row],[Servicing Spread]])</f>
        <v>0.85073824001573461</v>
      </c>
    </row>
    <row r="303" spans="1:11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</v>
      </c>
      <c r="F303" s="14">
        <f t="shared" si="26"/>
        <v>1</v>
      </c>
      <c r="G303" s="14">
        <f t="shared" si="27"/>
        <v>0</v>
      </c>
      <c r="H303" s="14">
        <f t="shared" si="28"/>
        <v>0</v>
      </c>
      <c r="I303" s="14">
        <f t="shared" si="29"/>
        <v>2.9972988223536694</v>
      </c>
      <c r="J303" s="15">
        <f>IF(CurrentMtgRatesDataTable8[[#This Row],[WA CC]]&lt;&gt;0,C302-CurrentMtgRatesDataTable8[[#This Row],[WA CC]],0)</f>
        <v>0.9077011776463304</v>
      </c>
      <c r="K303" s="16">
        <f>IF(CurrentMtgRatesDataTable8[[#This Row],[Servicing Spread]]&lt;=0,K302,CurrentMtgRatesDataTable8[[#This Row],[Servicing Spread]])</f>
        <v>0.9077011776463304</v>
      </c>
    </row>
    <row r="304" spans="1:11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</v>
      </c>
      <c r="F304" s="14">
        <f t="shared" si="26"/>
        <v>2</v>
      </c>
      <c r="G304" s="14">
        <f t="shared" si="27"/>
        <v>0</v>
      </c>
      <c r="H304" s="14">
        <f t="shared" si="28"/>
        <v>0</v>
      </c>
      <c r="I304" s="14">
        <f t="shared" si="29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0.9077011776463304</v>
      </c>
    </row>
    <row r="305" spans="1:11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0.05</v>
      </c>
      <c r="F305" s="14">
        <f t="shared" si="26"/>
        <v>3</v>
      </c>
      <c r="G305" s="14">
        <f t="shared" si="27"/>
        <v>0.14919259152808251</v>
      </c>
      <c r="H305" s="14">
        <f t="shared" si="28"/>
        <v>0.05</v>
      </c>
      <c r="I305" s="14">
        <f t="shared" si="29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0.9077011776463304</v>
      </c>
    </row>
    <row r="306" spans="1:11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0.7</v>
      </c>
      <c r="F306" s="14">
        <f t="shared" si="26"/>
        <v>4</v>
      </c>
      <c r="G306" s="14">
        <f t="shared" si="27"/>
        <v>2.2366840456967552</v>
      </c>
      <c r="H306" s="14">
        <f t="shared" si="28"/>
        <v>0.75</v>
      </c>
      <c r="I306" s="14">
        <f t="shared" si="29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0.9077011776463304</v>
      </c>
    </row>
    <row r="307" spans="1:11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0.25</v>
      </c>
      <c r="F307" s="14">
        <f t="shared" si="26"/>
        <v>5</v>
      </c>
      <c r="G307" s="14">
        <f t="shared" si="27"/>
        <v>3.0185291481561425</v>
      </c>
      <c r="H307" s="14">
        <f t="shared" si="28"/>
        <v>1</v>
      </c>
      <c r="I307" s="14">
        <f t="shared" si="29"/>
        <v>0</v>
      </c>
      <c r="J307" s="15">
        <f>IF(CurrentMtgRatesDataTable8[[#This Row],[WA CC]]&lt;&gt;0,C306-CurrentMtgRatesDataTable8[[#This Row],[WA CC]],0)</f>
        <v>0</v>
      </c>
      <c r="K307" s="16">
        <f>IF(CurrentMtgRatesDataTable8[[#This Row],[Servicing Spread]]&lt;=0,K306,CurrentMtgRatesDataTable8[[#This Row],[Servicing Spread]])</f>
        <v>0.9077011776463304</v>
      </c>
    </row>
    <row r="308" spans="1:11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</v>
      </c>
      <c r="F308" s="14">
        <f t="shared" si="26"/>
        <v>1</v>
      </c>
      <c r="G308" s="14">
        <f t="shared" si="27"/>
        <v>0</v>
      </c>
      <c r="H308" s="14">
        <f t="shared" si="28"/>
        <v>0</v>
      </c>
      <c r="I308" s="14">
        <f t="shared" si="29"/>
        <v>3.0185291481561425</v>
      </c>
      <c r="J308" s="15">
        <f>IF(CurrentMtgRatesDataTable8[[#This Row],[WA CC]]&lt;&gt;0,C307-CurrentMtgRatesDataTable8[[#This Row],[WA CC]],0)</f>
        <v>0.86147085184385785</v>
      </c>
      <c r="K308" s="16">
        <f>IF(CurrentMtgRatesDataTable8[[#This Row],[Servicing Spread]]&lt;=0,K307,CurrentMtgRatesDataTable8[[#This Row],[Servicing Spread]])</f>
        <v>0.86147085184385785</v>
      </c>
    </row>
    <row r="309" spans="1:11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</v>
      </c>
      <c r="F309" s="14">
        <f t="shared" si="26"/>
        <v>2</v>
      </c>
      <c r="G309" s="14">
        <f t="shared" si="27"/>
        <v>0</v>
      </c>
      <c r="H309" s="14">
        <f t="shared" si="28"/>
        <v>0</v>
      </c>
      <c r="I309" s="14">
        <f t="shared" si="29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0.86147085184385785</v>
      </c>
    </row>
    <row r="310" spans="1:11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0.05</v>
      </c>
      <c r="F310" s="14">
        <f t="shared" si="26"/>
        <v>3</v>
      </c>
      <c r="G310" s="14">
        <f t="shared" si="27"/>
        <v>0.17421410625462</v>
      </c>
      <c r="H310" s="14">
        <f t="shared" si="28"/>
        <v>0.05</v>
      </c>
      <c r="I310" s="14">
        <f t="shared" si="29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0.86147085184385785</v>
      </c>
    </row>
    <row r="311" spans="1:11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0.7</v>
      </c>
      <c r="F311" s="14">
        <f t="shared" si="26"/>
        <v>4</v>
      </c>
      <c r="G311" s="14">
        <f t="shared" si="27"/>
        <v>2.6227492577027256</v>
      </c>
      <c r="H311" s="14">
        <f t="shared" si="28"/>
        <v>0.75</v>
      </c>
      <c r="I311" s="14">
        <f t="shared" si="29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0.86147085184385785</v>
      </c>
    </row>
    <row r="312" spans="1:11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0.25</v>
      </c>
      <c r="F312" s="14">
        <f t="shared" si="26"/>
        <v>5</v>
      </c>
      <c r="G312" s="14">
        <f t="shared" si="27"/>
        <v>3.4834363564816706</v>
      </c>
      <c r="H312" s="14">
        <f t="shared" si="28"/>
        <v>1</v>
      </c>
      <c r="I312" s="14">
        <f t="shared" si="29"/>
        <v>0</v>
      </c>
      <c r="J312" s="15">
        <f>IF(CurrentMtgRatesDataTable8[[#This Row],[WA CC]]&lt;&gt;0,C311-CurrentMtgRatesDataTable8[[#This Row],[WA CC]],0)</f>
        <v>0</v>
      </c>
      <c r="K312" s="16">
        <f>IF(CurrentMtgRatesDataTable8[[#This Row],[Servicing Spread]]&lt;=0,K311,CurrentMtgRatesDataTable8[[#This Row],[Servicing Spread]])</f>
        <v>0.86147085184385785</v>
      </c>
    </row>
    <row r="313" spans="1:11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0.25</v>
      </c>
      <c r="F313" s="14">
        <f t="shared" si="26"/>
        <v>1</v>
      </c>
      <c r="G313" s="14">
        <f t="shared" si="27"/>
        <v>0.860687098778945</v>
      </c>
      <c r="H313" s="14">
        <f t="shared" si="28"/>
        <v>0.25</v>
      </c>
      <c r="I313" s="14">
        <f t="shared" si="29"/>
        <v>3.4834363564816706</v>
      </c>
      <c r="J313" s="15">
        <f>IF(CurrentMtgRatesDataTable8[[#This Row],[WA CC]]&lt;&gt;0,C312-CurrentMtgRatesDataTable8[[#This Row],[WA CC]],0)</f>
        <v>0.92656364351832954</v>
      </c>
      <c r="K313" s="16">
        <f>IF(CurrentMtgRatesDataTable8[[#This Row],[Servicing Spread]]&lt;=0,K312,CurrentMtgRatesDataTable8[[#This Row],[Servicing Spread]])</f>
        <v>0.92656364351832954</v>
      </c>
    </row>
    <row r="314" spans="1:11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</v>
      </c>
      <c r="F314" s="14">
        <f t="shared" si="26"/>
        <v>1</v>
      </c>
      <c r="G314" s="14">
        <f t="shared" si="27"/>
        <v>0</v>
      </c>
      <c r="H314" s="14">
        <f t="shared" si="28"/>
        <v>0</v>
      </c>
      <c r="I314" s="14">
        <f t="shared" si="29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0.92656364351832954</v>
      </c>
    </row>
    <row r="315" spans="1:11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</v>
      </c>
      <c r="F315" s="14">
        <f t="shared" si="26"/>
        <v>2</v>
      </c>
      <c r="G315" s="14">
        <f t="shared" si="27"/>
        <v>0</v>
      </c>
      <c r="H315" s="14">
        <f t="shared" si="28"/>
        <v>0</v>
      </c>
      <c r="I315" s="14">
        <f t="shared" si="29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0.92656364351832954</v>
      </c>
    </row>
    <row r="316" spans="1:11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0.05</v>
      </c>
      <c r="F316" s="14">
        <f t="shared" si="26"/>
        <v>3</v>
      </c>
      <c r="G316" s="14">
        <f t="shared" si="27"/>
        <v>0.164897308869041</v>
      </c>
      <c r="H316" s="14">
        <f t="shared" si="28"/>
        <v>0.05</v>
      </c>
      <c r="I316" s="14">
        <f t="shared" si="29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0.92656364351832954</v>
      </c>
    </row>
    <row r="317" spans="1:11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0.7</v>
      </c>
      <c r="F317" s="14">
        <f t="shared" si="26"/>
        <v>4</v>
      </c>
      <c r="G317" s="14">
        <f t="shared" si="27"/>
        <v>2.4831700836536719</v>
      </c>
      <c r="H317" s="14">
        <f t="shared" si="28"/>
        <v>0.75</v>
      </c>
      <c r="I317" s="14">
        <f t="shared" si="29"/>
        <v>0</v>
      </c>
      <c r="J317" s="15">
        <f>IF(CurrentMtgRatesDataTable8[[#This Row],[WA CC]]&lt;&gt;0,C316-CurrentMtgRatesDataTable8[[#This Row],[WA CC]],0)</f>
        <v>0</v>
      </c>
      <c r="K317" s="16">
        <f>IF(CurrentMtgRatesDataTable8[[#This Row],[Servicing Spread]]&lt;=0,K316,CurrentMtgRatesDataTable8[[#This Row],[Servicing Spread]])</f>
        <v>0.92656364351832954</v>
      </c>
    </row>
    <row r="318" spans="1:11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</v>
      </c>
      <c r="F318" s="14">
        <f t="shared" si="26"/>
        <v>1</v>
      </c>
      <c r="G318" s="14">
        <f t="shared" si="27"/>
        <v>0</v>
      </c>
      <c r="H318" s="14">
        <f t="shared" si="28"/>
        <v>0</v>
      </c>
      <c r="I318" s="14">
        <f t="shared" si="29"/>
        <v>3.3108934448715623</v>
      </c>
      <c r="J318" s="15">
        <f>IF(CurrentMtgRatesDataTable8[[#This Row],[WA CC]]&lt;&gt;0,C317-CurrentMtgRatesDataTable8[[#This Row],[WA CC]],0)</f>
        <v>0.90410655512843752</v>
      </c>
      <c r="K318" s="16">
        <f>IF(CurrentMtgRatesDataTable8[[#This Row],[Servicing Spread]]&lt;=0,K317,CurrentMtgRatesDataTable8[[#This Row],[Servicing Spread]])</f>
        <v>0.90410655512843752</v>
      </c>
    </row>
    <row r="319" spans="1:11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0.05</v>
      </c>
      <c r="F319" s="14">
        <f t="shared" si="26"/>
        <v>2</v>
      </c>
      <c r="G319" s="14">
        <f t="shared" si="27"/>
        <v>0.17723195804782299</v>
      </c>
      <c r="H319" s="14">
        <f t="shared" si="28"/>
        <v>0.05</v>
      </c>
      <c r="I319" s="14">
        <f t="shared" si="29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0.90410655512843752</v>
      </c>
    </row>
    <row r="320" spans="1:11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0.7</v>
      </c>
      <c r="F320" s="14">
        <f t="shared" si="26"/>
        <v>3</v>
      </c>
      <c r="G320" s="14">
        <f t="shared" si="27"/>
        <v>2.6188431566640906</v>
      </c>
      <c r="H320" s="14">
        <f t="shared" si="28"/>
        <v>0.75</v>
      </c>
      <c r="I320" s="14">
        <f t="shared" si="29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0.90410655512843752</v>
      </c>
    </row>
    <row r="321" spans="1:11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0.25</v>
      </c>
      <c r="F321" s="14">
        <f t="shared" si="26"/>
        <v>4</v>
      </c>
      <c r="G321" s="14">
        <f t="shared" si="27"/>
        <v>3.5151861712465804</v>
      </c>
      <c r="H321" s="14">
        <f t="shared" si="28"/>
        <v>1</v>
      </c>
      <c r="I321" s="14">
        <f t="shared" si="29"/>
        <v>0</v>
      </c>
      <c r="J321" s="15">
        <f>IF(CurrentMtgRatesDataTable8[[#This Row],[WA CC]]&lt;&gt;0,C320-CurrentMtgRatesDataTable8[[#This Row],[WA CC]],0)</f>
        <v>0</v>
      </c>
      <c r="K321" s="16">
        <f>IF(CurrentMtgRatesDataTable8[[#This Row],[Servicing Spread]]&lt;=0,K320,CurrentMtgRatesDataTable8[[#This Row],[Servicing Spread]])</f>
        <v>0.90410655512843752</v>
      </c>
    </row>
    <row r="322" spans="1:11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</v>
      </c>
      <c r="F322" s="14">
        <f t="shared" si="26"/>
        <v>1</v>
      </c>
      <c r="G322" s="14">
        <f t="shared" si="27"/>
        <v>0</v>
      </c>
      <c r="H322" s="14">
        <f t="shared" si="28"/>
        <v>0</v>
      </c>
      <c r="I322" s="14">
        <f t="shared" si="29"/>
        <v>3.5151861712465804</v>
      </c>
      <c r="J322" s="15">
        <f>IF(CurrentMtgRatesDataTable8[[#This Row],[WA CC]]&lt;&gt;0,C321-CurrentMtgRatesDataTable8[[#This Row],[WA CC]],0)</f>
        <v>0.94481382875341957</v>
      </c>
      <c r="K322" s="16">
        <f>IF(CurrentMtgRatesDataTable8[[#This Row],[Servicing Spread]]&lt;=0,K321,CurrentMtgRatesDataTable8[[#This Row],[Servicing Spread]])</f>
        <v>0.94481382875341957</v>
      </c>
    </row>
    <row r="323" spans="1:11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</v>
      </c>
      <c r="F323" s="14">
        <f t="shared" si="26"/>
        <v>2</v>
      </c>
      <c r="G323" s="14">
        <f t="shared" si="27"/>
        <v>0</v>
      </c>
      <c r="H323" s="14">
        <f t="shared" si="28"/>
        <v>0</v>
      </c>
      <c r="I323" s="14">
        <f t="shared" si="29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0.94481382875341957</v>
      </c>
    </row>
    <row r="324" spans="1:11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0.05</v>
      </c>
      <c r="F324" s="14">
        <f t="shared" si="26"/>
        <v>3</v>
      </c>
      <c r="G324" s="14">
        <f t="shared" si="27"/>
        <v>0.17025164294485201</v>
      </c>
      <c r="H324" s="14">
        <f t="shared" si="28"/>
        <v>0.05</v>
      </c>
      <c r="I324" s="14">
        <f t="shared" si="29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0.94481382875341957</v>
      </c>
    </row>
    <row r="325" spans="1:11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VLOOKUP(D325,O$5:P$11,2,FALSE)</f>
        <v>0.7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2.5442812396351839</v>
      </c>
      <c r="H325" s="14">
        <f t="shared" ref="H325:H388" si="34">IF(AND(F325&lt;6,F325&gt;F324),E325+H324,E325)</f>
        <v>0.75</v>
      </c>
      <c r="I325" s="14">
        <f t="shared" ref="I325:I388" si="35">IF(F324&gt;F325,G324/H324,0)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0.94481382875341957</v>
      </c>
    </row>
    <row r="326" spans="1:11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0.25</v>
      </c>
      <c r="F326" s="14">
        <f t="shared" si="32"/>
        <v>5</v>
      </c>
      <c r="G326" s="14">
        <f t="shared" si="33"/>
        <v>3.3802476986309364</v>
      </c>
      <c r="H326" s="14">
        <f t="shared" si="34"/>
        <v>1</v>
      </c>
      <c r="I326" s="14">
        <f t="shared" si="35"/>
        <v>0</v>
      </c>
      <c r="J326" s="15">
        <f>IF(CurrentMtgRatesDataTable8[[#This Row],[WA CC]]&lt;&gt;0,C325-CurrentMtgRatesDataTable8[[#This Row],[WA CC]],0)</f>
        <v>0</v>
      </c>
      <c r="K326" s="16">
        <f>IF(CurrentMtgRatesDataTable8[[#This Row],[Servicing Spread]]&lt;=0,K325,CurrentMtgRatesDataTable8[[#This Row],[Servicing Spread]])</f>
        <v>0.94481382875341957</v>
      </c>
    </row>
    <row r="327" spans="1:11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</v>
      </c>
      <c r="F327" s="14">
        <f t="shared" si="32"/>
        <v>1</v>
      </c>
      <c r="G327" s="14">
        <f t="shared" si="33"/>
        <v>0</v>
      </c>
      <c r="H327" s="14">
        <f t="shared" si="34"/>
        <v>0</v>
      </c>
      <c r="I327" s="14">
        <f t="shared" si="35"/>
        <v>3.3802476986309364</v>
      </c>
      <c r="J327" s="15">
        <f>IF(CurrentMtgRatesDataTable8[[#This Row],[WA CC]]&lt;&gt;0,C326-CurrentMtgRatesDataTable8[[#This Row],[WA CC]],0)</f>
        <v>0.91475230136906349</v>
      </c>
      <c r="K327" s="16">
        <f>IF(CurrentMtgRatesDataTable8[[#This Row],[Servicing Spread]]&lt;=0,K326,CurrentMtgRatesDataTable8[[#This Row],[Servicing Spread]])</f>
        <v>0.91475230136906349</v>
      </c>
    </row>
    <row r="328" spans="1:11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</v>
      </c>
      <c r="F328" s="14">
        <f t="shared" si="32"/>
        <v>2</v>
      </c>
      <c r="G328" s="14">
        <f t="shared" si="33"/>
        <v>0</v>
      </c>
      <c r="H328" s="14">
        <f t="shared" si="34"/>
        <v>0</v>
      </c>
      <c r="I328" s="14">
        <f t="shared" si="35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0.91475230136906349</v>
      </c>
    </row>
    <row r="329" spans="1:11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0.05</v>
      </c>
      <c r="F329" s="14">
        <f t="shared" si="32"/>
        <v>3</v>
      </c>
      <c r="G329" s="14">
        <f t="shared" si="33"/>
        <v>0.16610414354883551</v>
      </c>
      <c r="H329" s="14">
        <f t="shared" si="34"/>
        <v>0.05</v>
      </c>
      <c r="I329" s="14">
        <f t="shared" si="35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0.91475230136906349</v>
      </c>
    </row>
    <row r="330" spans="1:11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0.7</v>
      </c>
      <c r="F330" s="14">
        <f t="shared" si="32"/>
        <v>4</v>
      </c>
      <c r="G330" s="14">
        <f t="shared" si="33"/>
        <v>2.5208376815929672</v>
      </c>
      <c r="H330" s="14">
        <f t="shared" si="34"/>
        <v>0.75</v>
      </c>
      <c r="I330" s="14">
        <f t="shared" si="35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0.91475230136906349</v>
      </c>
    </row>
    <row r="331" spans="1:11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0.25</v>
      </c>
      <c r="F331" s="14">
        <f t="shared" si="32"/>
        <v>5</v>
      </c>
      <c r="G331" s="14">
        <f t="shared" si="33"/>
        <v>3.3782565804573599</v>
      </c>
      <c r="H331" s="14">
        <f t="shared" si="34"/>
        <v>1</v>
      </c>
      <c r="I331" s="14">
        <f t="shared" si="35"/>
        <v>0</v>
      </c>
      <c r="J331" s="15">
        <f>IF(CurrentMtgRatesDataTable8[[#This Row],[WA CC]]&lt;&gt;0,C330-CurrentMtgRatesDataTable8[[#This Row],[WA CC]],0)</f>
        <v>0</v>
      </c>
      <c r="K331" s="16">
        <f>IF(CurrentMtgRatesDataTable8[[#This Row],[Servicing Spread]]&lt;=0,K330,CurrentMtgRatesDataTable8[[#This Row],[Servicing Spread]])</f>
        <v>0.91475230136906349</v>
      </c>
    </row>
    <row r="332" spans="1:11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</v>
      </c>
      <c r="F332" s="14">
        <f t="shared" si="32"/>
        <v>1</v>
      </c>
      <c r="G332" s="14">
        <f t="shared" si="33"/>
        <v>0</v>
      </c>
      <c r="H332" s="14">
        <f t="shared" si="34"/>
        <v>0</v>
      </c>
      <c r="I332" s="14">
        <f t="shared" si="35"/>
        <v>3.3782565804573599</v>
      </c>
      <c r="J332" s="15">
        <f>IF(CurrentMtgRatesDataTable8[[#This Row],[WA CC]]&lt;&gt;0,C331-CurrentMtgRatesDataTable8[[#This Row],[WA CC]],0)</f>
        <v>0.88174341954263991</v>
      </c>
      <c r="K332" s="16">
        <f>IF(CurrentMtgRatesDataTable8[[#This Row],[Servicing Spread]]&lt;=0,K331,CurrentMtgRatesDataTable8[[#This Row],[Servicing Spread]])</f>
        <v>0.88174341954263991</v>
      </c>
    </row>
    <row r="333" spans="1:11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</v>
      </c>
      <c r="F333" s="14">
        <f t="shared" si="32"/>
        <v>2</v>
      </c>
      <c r="G333" s="14">
        <f t="shared" si="33"/>
        <v>0</v>
      </c>
      <c r="H333" s="14">
        <f t="shared" si="34"/>
        <v>0</v>
      </c>
      <c r="I333" s="14">
        <f t="shared" si="35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0.88174341954263991</v>
      </c>
    </row>
    <row r="334" spans="1:11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0.05</v>
      </c>
      <c r="F334" s="14">
        <f t="shared" si="32"/>
        <v>3</v>
      </c>
      <c r="G334" s="14">
        <f t="shared" si="33"/>
        <v>0.17030732157031103</v>
      </c>
      <c r="H334" s="14">
        <f t="shared" si="34"/>
        <v>0.05</v>
      </c>
      <c r="I334" s="14">
        <f t="shared" si="35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0.88174341954263991</v>
      </c>
    </row>
    <row r="335" spans="1:11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0.7</v>
      </c>
      <c r="F335" s="14">
        <f t="shared" si="32"/>
        <v>4</v>
      </c>
      <c r="G335" s="14">
        <f t="shared" si="33"/>
        <v>2.5703250516183886</v>
      </c>
      <c r="H335" s="14">
        <f t="shared" si="34"/>
        <v>0.75</v>
      </c>
      <c r="I335" s="14">
        <f t="shared" si="35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0.88174341954263991</v>
      </c>
    </row>
    <row r="336" spans="1:11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0.25</v>
      </c>
      <c r="F336" s="14">
        <f t="shared" si="32"/>
        <v>5</v>
      </c>
      <c r="G336" s="14">
        <f t="shared" si="33"/>
        <v>3.4227098680542363</v>
      </c>
      <c r="H336" s="14">
        <f t="shared" si="34"/>
        <v>1</v>
      </c>
      <c r="I336" s="14">
        <f t="shared" si="35"/>
        <v>0</v>
      </c>
      <c r="J336" s="15">
        <f>IF(CurrentMtgRatesDataTable8[[#This Row],[WA CC]]&lt;&gt;0,C335-CurrentMtgRatesDataTable8[[#This Row],[WA CC]],0)</f>
        <v>0</v>
      </c>
      <c r="K336" s="16">
        <f>IF(CurrentMtgRatesDataTable8[[#This Row],[Servicing Spread]]&lt;=0,K335,CurrentMtgRatesDataTable8[[#This Row],[Servicing Spread]])</f>
        <v>0.88174341954263991</v>
      </c>
    </row>
    <row r="337" spans="1:11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</v>
      </c>
      <c r="F337" s="14">
        <f t="shared" si="32"/>
        <v>1</v>
      </c>
      <c r="G337" s="14">
        <f t="shared" si="33"/>
        <v>0</v>
      </c>
      <c r="H337" s="14">
        <f t="shared" si="34"/>
        <v>0</v>
      </c>
      <c r="I337" s="14">
        <f t="shared" si="35"/>
        <v>3.4227098680542363</v>
      </c>
      <c r="J337" s="15">
        <f>IF(CurrentMtgRatesDataTable8[[#This Row],[WA CC]]&lt;&gt;0,C336-CurrentMtgRatesDataTable8[[#This Row],[WA CC]],0)</f>
        <v>0.89229013194576323</v>
      </c>
      <c r="K337" s="16">
        <f>IF(CurrentMtgRatesDataTable8[[#This Row],[Servicing Spread]]&lt;=0,K336,CurrentMtgRatesDataTable8[[#This Row],[Servicing Spread]])</f>
        <v>0.89229013194576323</v>
      </c>
    </row>
    <row r="338" spans="1:11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</v>
      </c>
      <c r="F338" s="14">
        <f t="shared" si="32"/>
        <v>2</v>
      </c>
      <c r="G338" s="14">
        <f t="shared" si="33"/>
        <v>0</v>
      </c>
      <c r="H338" s="14">
        <f t="shared" si="34"/>
        <v>0</v>
      </c>
      <c r="I338" s="14">
        <f t="shared" si="35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0.89229013194576323</v>
      </c>
    </row>
    <row r="339" spans="1:11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0.05</v>
      </c>
      <c r="F339" s="14">
        <f t="shared" si="32"/>
        <v>3</v>
      </c>
      <c r="G339" s="14">
        <f t="shared" si="33"/>
        <v>0.17089058995331402</v>
      </c>
      <c r="H339" s="14">
        <f t="shared" si="34"/>
        <v>0.05</v>
      </c>
      <c r="I339" s="14">
        <f t="shared" si="35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0.89229013194576323</v>
      </c>
    </row>
    <row r="340" spans="1:11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0.7</v>
      </c>
      <c r="F340" s="14">
        <f t="shared" si="32"/>
        <v>4</v>
      </c>
      <c r="G340" s="14">
        <f t="shared" si="33"/>
        <v>2.5810514461925549</v>
      </c>
      <c r="H340" s="14">
        <f t="shared" si="34"/>
        <v>0.75</v>
      </c>
      <c r="I340" s="14">
        <f t="shared" si="35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0.89229013194576323</v>
      </c>
    </row>
    <row r="341" spans="1:11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0.25</v>
      </c>
      <c r="F341" s="14">
        <f t="shared" si="32"/>
        <v>5</v>
      </c>
      <c r="G341" s="14">
        <f t="shared" si="33"/>
        <v>3.4334337829020325</v>
      </c>
      <c r="H341" s="14">
        <f t="shared" si="34"/>
        <v>1</v>
      </c>
      <c r="I341" s="14">
        <f t="shared" si="35"/>
        <v>0</v>
      </c>
      <c r="J341" s="15">
        <f>IF(CurrentMtgRatesDataTable8[[#This Row],[WA CC]]&lt;&gt;0,C340-CurrentMtgRatesDataTable8[[#This Row],[WA CC]],0)</f>
        <v>0</v>
      </c>
      <c r="K341" s="16">
        <f>IF(CurrentMtgRatesDataTable8[[#This Row],[Servicing Spread]]&lt;=0,K340,CurrentMtgRatesDataTable8[[#This Row],[Servicing Spread]])</f>
        <v>0.89229013194576323</v>
      </c>
    </row>
    <row r="342" spans="1:11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</v>
      </c>
      <c r="F342" s="14">
        <f t="shared" si="32"/>
        <v>1</v>
      </c>
      <c r="G342" s="14">
        <f t="shared" si="33"/>
        <v>0</v>
      </c>
      <c r="H342" s="14">
        <f t="shared" si="34"/>
        <v>0</v>
      </c>
      <c r="I342" s="14">
        <f t="shared" si="35"/>
        <v>3.4334337829020325</v>
      </c>
      <c r="J342" s="15">
        <f>IF(CurrentMtgRatesDataTable8[[#This Row],[WA CC]]&lt;&gt;0,C341-CurrentMtgRatesDataTable8[[#This Row],[WA CC]],0)</f>
        <v>0.89156621709796768</v>
      </c>
      <c r="K342" s="16">
        <f>IF(CurrentMtgRatesDataTable8[[#This Row],[Servicing Spread]]&lt;=0,K341,CurrentMtgRatesDataTable8[[#This Row],[Servicing Spread]])</f>
        <v>0.89156621709796768</v>
      </c>
    </row>
    <row r="343" spans="1:11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</v>
      </c>
      <c r="F343" s="14">
        <f t="shared" si="32"/>
        <v>2</v>
      </c>
      <c r="G343" s="14">
        <f t="shared" si="33"/>
        <v>0</v>
      </c>
      <c r="H343" s="14">
        <f t="shared" si="34"/>
        <v>0</v>
      </c>
      <c r="I343" s="14">
        <f t="shared" si="35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0.89156621709796768</v>
      </c>
    </row>
    <row r="344" spans="1:11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0.05</v>
      </c>
      <c r="F344" s="14">
        <f t="shared" si="32"/>
        <v>3</v>
      </c>
      <c r="G344" s="14">
        <f t="shared" si="33"/>
        <v>0.16919419500002852</v>
      </c>
      <c r="H344" s="14">
        <f t="shared" si="34"/>
        <v>0.05</v>
      </c>
      <c r="I344" s="14">
        <f t="shared" si="35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0.89156621709796768</v>
      </c>
    </row>
    <row r="345" spans="1:11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0.7</v>
      </c>
      <c r="F345" s="14">
        <f t="shared" si="32"/>
        <v>4</v>
      </c>
      <c r="G345" s="14">
        <f t="shared" si="33"/>
        <v>2.6098125841977513</v>
      </c>
      <c r="H345" s="14">
        <f t="shared" si="34"/>
        <v>0.75</v>
      </c>
      <c r="I345" s="14">
        <f t="shared" si="35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0.89156621709796768</v>
      </c>
    </row>
    <row r="346" spans="1:11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0.25</v>
      </c>
      <c r="F346" s="14">
        <f t="shared" si="32"/>
        <v>5</v>
      </c>
      <c r="G346" s="14">
        <f t="shared" si="33"/>
        <v>3.4808347061699161</v>
      </c>
      <c r="H346" s="14">
        <f t="shared" si="34"/>
        <v>1</v>
      </c>
      <c r="I346" s="14">
        <f t="shared" si="35"/>
        <v>0</v>
      </c>
      <c r="J346" s="15">
        <f>IF(CurrentMtgRatesDataTable8[[#This Row],[WA CC]]&lt;&gt;0,C345-CurrentMtgRatesDataTable8[[#This Row],[WA CC]],0)</f>
        <v>0</v>
      </c>
      <c r="K346" s="16">
        <f>IF(CurrentMtgRatesDataTable8[[#This Row],[Servicing Spread]]&lt;=0,K345,CurrentMtgRatesDataTable8[[#This Row],[Servicing Spread]])</f>
        <v>0.89156621709796768</v>
      </c>
    </row>
    <row r="347" spans="1:11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</v>
      </c>
      <c r="F347" s="14">
        <f t="shared" si="32"/>
        <v>1</v>
      </c>
      <c r="G347" s="14">
        <f t="shared" si="33"/>
        <v>0</v>
      </c>
      <c r="H347" s="14">
        <f t="shared" si="34"/>
        <v>0</v>
      </c>
      <c r="I347" s="14">
        <f t="shared" si="35"/>
        <v>3.4808347061699161</v>
      </c>
      <c r="J347" s="15">
        <f>IF(CurrentMtgRatesDataTable8[[#This Row],[WA CC]]&lt;&gt;0,C346-CurrentMtgRatesDataTable8[[#This Row],[WA CC]],0)</f>
        <v>0.8441652938300841</v>
      </c>
      <c r="K347" s="16">
        <f>IF(CurrentMtgRatesDataTable8[[#This Row],[Servicing Spread]]&lt;=0,K346,CurrentMtgRatesDataTable8[[#This Row],[Servicing Spread]])</f>
        <v>0.8441652938300841</v>
      </c>
    </row>
    <row r="348" spans="1:11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</v>
      </c>
      <c r="F348" s="14">
        <f t="shared" si="32"/>
        <v>2</v>
      </c>
      <c r="G348" s="14">
        <f t="shared" si="33"/>
        <v>0</v>
      </c>
      <c r="H348" s="14">
        <f t="shared" si="34"/>
        <v>0</v>
      </c>
      <c r="I348" s="14">
        <f t="shared" si="35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0.8441652938300841</v>
      </c>
    </row>
    <row r="349" spans="1:11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0.05</v>
      </c>
      <c r="F349" s="14">
        <f t="shared" si="32"/>
        <v>3</v>
      </c>
      <c r="G349" s="14">
        <f t="shared" si="33"/>
        <v>0.185552392043311</v>
      </c>
      <c r="H349" s="14">
        <f t="shared" si="34"/>
        <v>0.05</v>
      </c>
      <c r="I349" s="14">
        <f t="shared" si="35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0.8441652938300841</v>
      </c>
    </row>
    <row r="350" spans="1:11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0.7</v>
      </c>
      <c r="F350" s="14">
        <f t="shared" si="32"/>
        <v>4</v>
      </c>
      <c r="G350" s="14">
        <f t="shared" si="33"/>
        <v>2.7270305155851089</v>
      </c>
      <c r="H350" s="14">
        <f t="shared" si="34"/>
        <v>0.75</v>
      </c>
      <c r="I350" s="14">
        <f t="shared" si="35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0.8441652938300841</v>
      </c>
    </row>
    <row r="351" spans="1:11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0.25</v>
      </c>
      <c r="F351" s="14">
        <f t="shared" si="32"/>
        <v>5</v>
      </c>
      <c r="G351" s="14">
        <f t="shared" si="33"/>
        <v>3.6456915898381888</v>
      </c>
      <c r="H351" s="14">
        <f t="shared" si="34"/>
        <v>1</v>
      </c>
      <c r="I351" s="14">
        <f t="shared" si="35"/>
        <v>0</v>
      </c>
      <c r="J351" s="15">
        <f>IF(CurrentMtgRatesDataTable8[[#This Row],[WA CC]]&lt;&gt;0,C350-CurrentMtgRatesDataTable8[[#This Row],[WA CC]],0)</f>
        <v>0</v>
      </c>
      <c r="K351" s="16">
        <f>IF(CurrentMtgRatesDataTable8[[#This Row],[Servicing Spread]]&lt;=0,K350,CurrentMtgRatesDataTable8[[#This Row],[Servicing Spread]])</f>
        <v>0.8441652938300841</v>
      </c>
    </row>
    <row r="352" spans="1:11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</v>
      </c>
      <c r="F352" s="14">
        <f t="shared" si="32"/>
        <v>1</v>
      </c>
      <c r="G352" s="14">
        <f t="shared" si="33"/>
        <v>0</v>
      </c>
      <c r="H352" s="14">
        <f t="shared" si="34"/>
        <v>0</v>
      </c>
      <c r="I352" s="14">
        <f t="shared" si="35"/>
        <v>3.6456915898381888</v>
      </c>
      <c r="J352" s="15">
        <f>IF(CurrentMtgRatesDataTable8[[#This Row],[WA CC]]&lt;&gt;0,C351-CurrentMtgRatesDataTable8[[#This Row],[WA CC]],0)</f>
        <v>0.8843084101618115</v>
      </c>
      <c r="K352" s="16">
        <f>IF(CurrentMtgRatesDataTable8[[#This Row],[Servicing Spread]]&lt;=0,K351,CurrentMtgRatesDataTable8[[#This Row],[Servicing Spread]])</f>
        <v>0.8843084101618115</v>
      </c>
    </row>
    <row r="353" spans="1:11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</v>
      </c>
      <c r="F353" s="14">
        <f t="shared" si="32"/>
        <v>2</v>
      </c>
      <c r="G353" s="14">
        <f t="shared" si="33"/>
        <v>0</v>
      </c>
      <c r="H353" s="14">
        <f t="shared" si="34"/>
        <v>0</v>
      </c>
      <c r="I353" s="14">
        <f t="shared" si="35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0.8843084101618115</v>
      </c>
    </row>
    <row r="354" spans="1:11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0.05</v>
      </c>
      <c r="F354" s="14">
        <f t="shared" si="32"/>
        <v>3</v>
      </c>
      <c r="G354" s="14">
        <f t="shared" si="33"/>
        <v>0.1782471370259</v>
      </c>
      <c r="H354" s="14">
        <f t="shared" si="34"/>
        <v>0.05</v>
      </c>
      <c r="I354" s="14">
        <f t="shared" si="35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0.8843084101618115</v>
      </c>
    </row>
    <row r="355" spans="1:11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0.7</v>
      </c>
      <c r="F355" s="14">
        <f t="shared" si="32"/>
        <v>4</v>
      </c>
      <c r="G355" s="14">
        <f t="shared" si="33"/>
        <v>2.6247555847798996</v>
      </c>
      <c r="H355" s="14">
        <f t="shared" si="34"/>
        <v>0.75</v>
      </c>
      <c r="I355" s="14">
        <f t="shared" si="35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0.8843084101618115</v>
      </c>
    </row>
    <row r="356" spans="1:11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0.25</v>
      </c>
      <c r="F356" s="14">
        <f t="shared" si="32"/>
        <v>5</v>
      </c>
      <c r="G356" s="14">
        <f t="shared" si="33"/>
        <v>3.5158859754190495</v>
      </c>
      <c r="H356" s="14">
        <f t="shared" si="34"/>
        <v>1</v>
      </c>
      <c r="I356" s="14">
        <f t="shared" si="35"/>
        <v>0</v>
      </c>
      <c r="J356" s="15">
        <f>IF(CurrentMtgRatesDataTable8[[#This Row],[WA CC]]&lt;&gt;0,C355-CurrentMtgRatesDataTable8[[#This Row],[WA CC]],0)</f>
        <v>0</v>
      </c>
      <c r="K356" s="16">
        <f>IF(CurrentMtgRatesDataTable8[[#This Row],[Servicing Spread]]&lt;=0,K355,CurrentMtgRatesDataTable8[[#This Row],[Servicing Spread]])</f>
        <v>0.8843084101618115</v>
      </c>
    </row>
    <row r="357" spans="1:11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</v>
      </c>
      <c r="F357" s="14">
        <f t="shared" si="32"/>
        <v>1</v>
      </c>
      <c r="G357" s="14">
        <f t="shared" si="33"/>
        <v>0</v>
      </c>
      <c r="H357" s="14">
        <f t="shared" si="34"/>
        <v>0</v>
      </c>
      <c r="I357" s="14">
        <f t="shared" si="35"/>
        <v>3.5158859754190495</v>
      </c>
      <c r="J357" s="15">
        <f>IF(CurrentMtgRatesDataTable8[[#This Row],[WA CC]]&lt;&gt;0,C356-CurrentMtgRatesDataTable8[[#This Row],[WA CC]],0)</f>
        <v>0.91911402458095015</v>
      </c>
      <c r="K357" s="16">
        <f>IF(CurrentMtgRatesDataTable8[[#This Row],[Servicing Spread]]&lt;=0,K356,CurrentMtgRatesDataTable8[[#This Row],[Servicing Spread]])</f>
        <v>0.91911402458095015</v>
      </c>
    </row>
    <row r="358" spans="1:11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</v>
      </c>
      <c r="F358" s="14">
        <f t="shared" si="32"/>
        <v>2</v>
      </c>
      <c r="G358" s="14">
        <f t="shared" si="33"/>
        <v>0</v>
      </c>
      <c r="H358" s="14">
        <f t="shared" si="34"/>
        <v>0</v>
      </c>
      <c r="I358" s="14">
        <f t="shared" si="35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0.91911402458095015</v>
      </c>
    </row>
    <row r="359" spans="1:11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0.7</v>
      </c>
      <c r="F359" s="14">
        <f t="shared" si="32"/>
        <v>3</v>
      </c>
      <c r="G359" s="14">
        <f t="shared" si="33"/>
        <v>2.5361240542995276</v>
      </c>
      <c r="H359" s="14">
        <f t="shared" si="34"/>
        <v>0.7</v>
      </c>
      <c r="I359" s="14">
        <f t="shared" si="35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0.91911402458095015</v>
      </c>
    </row>
    <row r="360" spans="1:11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0.25</v>
      </c>
      <c r="F360" s="14">
        <f t="shared" si="32"/>
        <v>4</v>
      </c>
      <c r="G360" s="14">
        <f t="shared" si="33"/>
        <v>3.4560175947144449</v>
      </c>
      <c r="H360" s="14">
        <f t="shared" si="34"/>
        <v>0.95</v>
      </c>
      <c r="I360" s="14">
        <f t="shared" si="35"/>
        <v>0</v>
      </c>
      <c r="J360" s="15">
        <f>IF(CurrentMtgRatesDataTable8[[#This Row],[WA CC]]&lt;&gt;0,C359-CurrentMtgRatesDataTable8[[#This Row],[WA CC]],0)</f>
        <v>0</v>
      </c>
      <c r="K360" s="16">
        <f>IF(CurrentMtgRatesDataTable8[[#This Row],[Servicing Spread]]&lt;=0,K359,CurrentMtgRatesDataTable8[[#This Row],[Servicing Spread]])</f>
        <v>0.91911402458095015</v>
      </c>
    </row>
    <row r="361" spans="1:11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</v>
      </c>
      <c r="F361" s="14">
        <f t="shared" si="32"/>
        <v>1</v>
      </c>
      <c r="G361" s="14">
        <f t="shared" si="33"/>
        <v>0</v>
      </c>
      <c r="H361" s="14">
        <f t="shared" si="34"/>
        <v>0</v>
      </c>
      <c r="I361" s="14">
        <f t="shared" si="35"/>
        <v>3.6379132575941528</v>
      </c>
      <c r="J361" s="15">
        <f>IF(CurrentMtgRatesDataTable8[[#This Row],[WA CC]]&lt;&gt;0,C360-CurrentMtgRatesDataTable8[[#This Row],[WA CC]],0)</f>
        <v>0.85708674240584726</v>
      </c>
      <c r="K361" s="16">
        <f>IF(CurrentMtgRatesDataTable8[[#This Row],[Servicing Spread]]&lt;=0,K360,CurrentMtgRatesDataTable8[[#This Row],[Servicing Spread]])</f>
        <v>0.85708674240584726</v>
      </c>
    </row>
    <row r="362" spans="1:11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</v>
      </c>
      <c r="F362" s="14">
        <f t="shared" si="32"/>
        <v>2</v>
      </c>
      <c r="G362" s="14">
        <f t="shared" si="33"/>
        <v>0</v>
      </c>
      <c r="H362" s="14">
        <f t="shared" si="34"/>
        <v>0</v>
      </c>
      <c r="I362" s="14">
        <f t="shared" si="35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0.85708674240584726</v>
      </c>
    </row>
    <row r="363" spans="1:11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0.05</v>
      </c>
      <c r="F363" s="14">
        <f t="shared" si="32"/>
        <v>3</v>
      </c>
      <c r="G363" s="14">
        <f t="shared" si="33"/>
        <v>0.182474586580783</v>
      </c>
      <c r="H363" s="14">
        <f t="shared" si="34"/>
        <v>0.05</v>
      </c>
      <c r="I363" s="14">
        <f t="shared" si="35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0.85708674240584726</v>
      </c>
    </row>
    <row r="364" spans="1:11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0.7</v>
      </c>
      <c r="F364" s="14">
        <f t="shared" si="32"/>
        <v>4</v>
      </c>
      <c r="G364" s="14">
        <f t="shared" si="33"/>
        <v>2.774264531789786</v>
      </c>
      <c r="H364" s="14">
        <f t="shared" si="34"/>
        <v>0.75</v>
      </c>
      <c r="I364" s="14">
        <f t="shared" si="35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0.85708674240584726</v>
      </c>
    </row>
    <row r="365" spans="1:11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0.25</v>
      </c>
      <c r="F365" s="14">
        <f t="shared" si="32"/>
        <v>5</v>
      </c>
      <c r="G365" s="14">
        <f t="shared" si="33"/>
        <v>3.6910593332137012</v>
      </c>
      <c r="H365" s="14">
        <f t="shared" si="34"/>
        <v>1</v>
      </c>
      <c r="I365" s="14">
        <f t="shared" si="35"/>
        <v>0</v>
      </c>
      <c r="J365" s="15">
        <f>IF(CurrentMtgRatesDataTable8[[#This Row],[WA CC]]&lt;&gt;0,C364-CurrentMtgRatesDataTable8[[#This Row],[WA CC]],0)</f>
        <v>0</v>
      </c>
      <c r="K365" s="16">
        <f>IF(CurrentMtgRatesDataTable8[[#This Row],[Servicing Spread]]&lt;=0,K364,CurrentMtgRatesDataTable8[[#This Row],[Servicing Spread]])</f>
        <v>0.85708674240584726</v>
      </c>
    </row>
    <row r="366" spans="1:11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</v>
      </c>
      <c r="F366" s="14">
        <f t="shared" si="32"/>
        <v>1</v>
      </c>
      <c r="G366" s="14">
        <f t="shared" si="33"/>
        <v>0</v>
      </c>
      <c r="H366" s="14">
        <f t="shared" si="34"/>
        <v>0</v>
      </c>
      <c r="I366" s="14">
        <f t="shared" si="35"/>
        <v>3.6910593332137012</v>
      </c>
      <c r="J366" s="15">
        <f>IF(CurrentMtgRatesDataTable8[[#This Row],[WA CC]]&lt;&gt;0,C365-CurrentMtgRatesDataTable8[[#This Row],[WA CC]],0)</f>
        <v>0.8289406667862993</v>
      </c>
      <c r="K366" s="16">
        <f>IF(CurrentMtgRatesDataTable8[[#This Row],[Servicing Spread]]&lt;=0,K365,CurrentMtgRatesDataTable8[[#This Row],[Servicing Spread]])</f>
        <v>0.8289406667862993</v>
      </c>
    </row>
    <row r="367" spans="1:11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</v>
      </c>
      <c r="F367" s="14">
        <f t="shared" si="32"/>
        <v>2</v>
      </c>
      <c r="G367" s="14">
        <f t="shared" si="33"/>
        <v>0</v>
      </c>
      <c r="H367" s="14">
        <f t="shared" si="34"/>
        <v>0</v>
      </c>
      <c r="I367" s="14">
        <f t="shared" si="35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0.8289406667862993</v>
      </c>
    </row>
    <row r="368" spans="1:11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0.05</v>
      </c>
      <c r="F368" s="14">
        <f t="shared" si="32"/>
        <v>3</v>
      </c>
      <c r="G368" s="14">
        <f t="shared" si="33"/>
        <v>0.180251455221214</v>
      </c>
      <c r="H368" s="14">
        <f t="shared" si="34"/>
        <v>0.05</v>
      </c>
      <c r="I368" s="14">
        <f t="shared" si="35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0.8289406667862993</v>
      </c>
    </row>
    <row r="369" spans="1:11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0.7</v>
      </c>
      <c r="F369" s="14">
        <f t="shared" si="32"/>
        <v>4</v>
      </c>
      <c r="G369" s="14">
        <f t="shared" si="33"/>
        <v>2.6906586622487731</v>
      </c>
      <c r="H369" s="14">
        <f t="shared" si="34"/>
        <v>0.75</v>
      </c>
      <c r="I369" s="14">
        <f t="shared" si="35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0.8289406667862993</v>
      </c>
    </row>
    <row r="370" spans="1:11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0.25</v>
      </c>
      <c r="F370" s="14">
        <f t="shared" si="32"/>
        <v>5</v>
      </c>
      <c r="G370" s="14">
        <f t="shared" si="33"/>
        <v>3.5416855417872708</v>
      </c>
      <c r="H370" s="14">
        <f t="shared" si="34"/>
        <v>1</v>
      </c>
      <c r="I370" s="14">
        <f t="shared" si="35"/>
        <v>0</v>
      </c>
      <c r="J370" s="15">
        <f>IF(CurrentMtgRatesDataTable8[[#This Row],[WA CC]]&lt;&gt;0,C369-CurrentMtgRatesDataTable8[[#This Row],[WA CC]],0)</f>
        <v>0</v>
      </c>
      <c r="K370" s="16">
        <f>IF(CurrentMtgRatesDataTable8[[#This Row],[Servicing Spread]]&lt;=0,K369,CurrentMtgRatesDataTable8[[#This Row],[Servicing Spread]])</f>
        <v>0.8289406667862993</v>
      </c>
    </row>
    <row r="371" spans="1:11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</v>
      </c>
      <c r="F371" s="14">
        <f t="shared" si="32"/>
        <v>1</v>
      </c>
      <c r="G371" s="14">
        <f t="shared" si="33"/>
        <v>0</v>
      </c>
      <c r="H371" s="14">
        <f t="shared" si="34"/>
        <v>0</v>
      </c>
      <c r="I371" s="14">
        <f t="shared" si="35"/>
        <v>3.5416855417872708</v>
      </c>
      <c r="J371" s="15">
        <f>IF(CurrentMtgRatesDataTable8[[#This Row],[WA CC]]&lt;&gt;0,C370-CurrentMtgRatesDataTable8[[#This Row],[WA CC]],0)</f>
        <v>0.88331445821272903</v>
      </c>
      <c r="K371" s="16">
        <f>IF(CurrentMtgRatesDataTable8[[#This Row],[Servicing Spread]]&lt;=0,K370,CurrentMtgRatesDataTable8[[#This Row],[Servicing Spread]])</f>
        <v>0.88331445821272903</v>
      </c>
    </row>
    <row r="372" spans="1:11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</v>
      </c>
      <c r="F372" s="14">
        <f t="shared" si="32"/>
        <v>2</v>
      </c>
      <c r="G372" s="14">
        <f t="shared" si="33"/>
        <v>0</v>
      </c>
      <c r="H372" s="14">
        <f t="shared" si="34"/>
        <v>0</v>
      </c>
      <c r="I372" s="14">
        <f t="shared" si="35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0.88331445821272903</v>
      </c>
    </row>
    <row r="373" spans="1:11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0.05</v>
      </c>
      <c r="F373" s="14">
        <f t="shared" si="32"/>
        <v>3</v>
      </c>
      <c r="G373" s="14">
        <f t="shared" si="33"/>
        <v>0.17014517300499402</v>
      </c>
      <c r="H373" s="14">
        <f t="shared" si="34"/>
        <v>0.05</v>
      </c>
      <c r="I373" s="14">
        <f t="shared" si="35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0.88331445821272903</v>
      </c>
    </row>
    <row r="374" spans="1:11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0.7</v>
      </c>
      <c r="F374" s="14">
        <f t="shared" si="32"/>
        <v>4</v>
      </c>
      <c r="G374" s="14">
        <f t="shared" si="33"/>
        <v>2.508629540623911</v>
      </c>
      <c r="H374" s="14">
        <f t="shared" si="34"/>
        <v>0.75</v>
      </c>
      <c r="I374" s="14">
        <f t="shared" si="35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0.88331445821272903</v>
      </c>
    </row>
    <row r="375" spans="1:11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0.25</v>
      </c>
      <c r="F375" s="14">
        <f t="shared" si="32"/>
        <v>5</v>
      </c>
      <c r="G375" s="14">
        <f t="shared" si="33"/>
        <v>3.3326685910876086</v>
      </c>
      <c r="H375" s="14">
        <f t="shared" si="34"/>
        <v>1</v>
      </c>
      <c r="I375" s="14">
        <f t="shared" si="35"/>
        <v>0</v>
      </c>
      <c r="J375" s="15">
        <f>IF(CurrentMtgRatesDataTable8[[#This Row],[WA CC]]&lt;&gt;0,C374-CurrentMtgRatesDataTable8[[#This Row],[WA CC]],0)</f>
        <v>0</v>
      </c>
      <c r="K375" s="16">
        <f>IF(CurrentMtgRatesDataTable8[[#This Row],[Servicing Spread]]&lt;=0,K374,CurrentMtgRatesDataTable8[[#This Row],[Servicing Spread]])</f>
        <v>0.88331445821272903</v>
      </c>
    </row>
    <row r="376" spans="1:11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</v>
      </c>
      <c r="F376" s="14">
        <f t="shared" si="32"/>
        <v>1</v>
      </c>
      <c r="G376" s="14">
        <f t="shared" si="33"/>
        <v>0</v>
      </c>
      <c r="H376" s="14">
        <f t="shared" si="34"/>
        <v>0</v>
      </c>
      <c r="I376" s="14">
        <f t="shared" si="35"/>
        <v>3.3326685910876086</v>
      </c>
      <c r="J376" s="15">
        <f>IF(CurrentMtgRatesDataTable8[[#This Row],[WA CC]]&lt;&gt;0,C375-CurrentMtgRatesDataTable8[[#This Row],[WA CC]],0)</f>
        <v>0.91233140891239151</v>
      </c>
      <c r="K376" s="16">
        <f>IF(CurrentMtgRatesDataTable8[[#This Row],[Servicing Spread]]&lt;=0,K375,CurrentMtgRatesDataTable8[[#This Row],[Servicing Spread]])</f>
        <v>0.91233140891239151</v>
      </c>
    </row>
    <row r="377" spans="1:11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</v>
      </c>
      <c r="F377" s="14">
        <f t="shared" si="32"/>
        <v>2</v>
      </c>
      <c r="G377" s="14">
        <f t="shared" si="33"/>
        <v>0</v>
      </c>
      <c r="H377" s="14">
        <f t="shared" si="34"/>
        <v>0</v>
      </c>
      <c r="I377" s="14">
        <f t="shared" si="35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0.91233140891239151</v>
      </c>
    </row>
    <row r="378" spans="1:11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0.05</v>
      </c>
      <c r="F378" s="14">
        <f t="shared" si="32"/>
        <v>3</v>
      </c>
      <c r="G378" s="14">
        <f t="shared" si="33"/>
        <v>0.16476244921317151</v>
      </c>
      <c r="H378" s="14">
        <f t="shared" si="34"/>
        <v>0.05</v>
      </c>
      <c r="I378" s="14">
        <f t="shared" si="35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0.91233140891239151</v>
      </c>
    </row>
    <row r="379" spans="1:11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0.7</v>
      </c>
      <c r="F379" s="14">
        <f t="shared" si="32"/>
        <v>4</v>
      </c>
      <c r="G379" s="14">
        <f t="shared" si="33"/>
        <v>2.4855719420958704</v>
      </c>
      <c r="H379" s="14">
        <f t="shared" si="34"/>
        <v>0.75</v>
      </c>
      <c r="I379" s="14">
        <f t="shared" si="35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0.91233140891239151</v>
      </c>
    </row>
    <row r="380" spans="1:11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0.25</v>
      </c>
      <c r="F380" s="14">
        <f t="shared" si="32"/>
        <v>5</v>
      </c>
      <c r="G380" s="14">
        <f t="shared" si="33"/>
        <v>3.3125401995175379</v>
      </c>
      <c r="H380" s="14">
        <f t="shared" si="34"/>
        <v>1</v>
      </c>
      <c r="I380" s="14">
        <f t="shared" si="35"/>
        <v>0</v>
      </c>
      <c r="J380" s="15">
        <f>IF(CurrentMtgRatesDataTable8[[#This Row],[WA CC]]&lt;&gt;0,C379-CurrentMtgRatesDataTable8[[#This Row],[WA CC]],0)</f>
        <v>0</v>
      </c>
      <c r="K380" s="16">
        <f>IF(CurrentMtgRatesDataTable8[[#This Row],[Servicing Spread]]&lt;=0,K379,CurrentMtgRatesDataTable8[[#This Row],[Servicing Spread]])</f>
        <v>0.91233140891239151</v>
      </c>
    </row>
    <row r="381" spans="1:11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</v>
      </c>
      <c r="F381" s="14">
        <f t="shared" si="32"/>
        <v>1</v>
      </c>
      <c r="G381" s="14">
        <f t="shared" si="33"/>
        <v>0</v>
      </c>
      <c r="H381" s="14">
        <f t="shared" si="34"/>
        <v>0</v>
      </c>
      <c r="I381" s="14">
        <f t="shared" si="35"/>
        <v>3.3125401995175379</v>
      </c>
      <c r="J381" s="15">
        <f>IF(CurrentMtgRatesDataTable8[[#This Row],[WA CC]]&lt;&gt;0,C380-CurrentMtgRatesDataTable8[[#This Row],[WA CC]],0)</f>
        <v>0.83245980048246171</v>
      </c>
      <c r="K381" s="16">
        <f>IF(CurrentMtgRatesDataTable8[[#This Row],[Servicing Spread]]&lt;=0,K380,CurrentMtgRatesDataTable8[[#This Row],[Servicing Spread]])</f>
        <v>0.83245980048246171</v>
      </c>
    </row>
    <row r="382" spans="1:11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</v>
      </c>
      <c r="F382" s="14">
        <f t="shared" si="32"/>
        <v>2</v>
      </c>
      <c r="G382" s="14">
        <f t="shared" si="33"/>
        <v>0</v>
      </c>
      <c r="H382" s="14">
        <f t="shared" si="34"/>
        <v>0</v>
      </c>
      <c r="I382" s="14">
        <f t="shared" si="35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0.83245980048246171</v>
      </c>
    </row>
    <row r="383" spans="1:11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0.05</v>
      </c>
      <c r="F383" s="14">
        <f t="shared" si="32"/>
        <v>3</v>
      </c>
      <c r="G383" s="14">
        <f t="shared" si="33"/>
        <v>0.1657608171613465</v>
      </c>
      <c r="H383" s="14">
        <f t="shared" si="34"/>
        <v>0.05</v>
      </c>
      <c r="I383" s="14">
        <f t="shared" si="35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0.83245980048246171</v>
      </c>
    </row>
    <row r="384" spans="1:11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0.7</v>
      </c>
      <c r="F384" s="14">
        <f t="shared" si="32"/>
        <v>4</v>
      </c>
      <c r="G384" s="14">
        <f t="shared" si="33"/>
        <v>2.4960646046642054</v>
      </c>
      <c r="H384" s="14">
        <f t="shared" si="34"/>
        <v>0.75</v>
      </c>
      <c r="I384" s="14">
        <f t="shared" si="35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0.83245980048246171</v>
      </c>
    </row>
    <row r="385" spans="1:11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0.25</v>
      </c>
      <c r="F385" s="14">
        <f t="shared" si="32"/>
        <v>5</v>
      </c>
      <c r="G385" s="14">
        <f t="shared" si="33"/>
        <v>3.3288682472371152</v>
      </c>
      <c r="H385" s="14">
        <f t="shared" si="34"/>
        <v>1</v>
      </c>
      <c r="I385" s="14">
        <f t="shared" si="35"/>
        <v>0</v>
      </c>
      <c r="J385" s="15">
        <f>IF(CurrentMtgRatesDataTable8[[#This Row],[WA CC]]&lt;&gt;0,C384-CurrentMtgRatesDataTable8[[#This Row],[WA CC]],0)</f>
        <v>0</v>
      </c>
      <c r="K385" s="16">
        <f>IF(CurrentMtgRatesDataTable8[[#This Row],[Servicing Spread]]&lt;=0,K384,CurrentMtgRatesDataTable8[[#This Row],[Servicing Spread]])</f>
        <v>0.83245980048246171</v>
      </c>
    </row>
    <row r="386" spans="1:11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</v>
      </c>
      <c r="F386" s="14">
        <f t="shared" si="32"/>
        <v>1</v>
      </c>
      <c r="G386" s="14">
        <f t="shared" si="33"/>
        <v>0</v>
      </c>
      <c r="H386" s="14">
        <f t="shared" si="34"/>
        <v>0</v>
      </c>
      <c r="I386" s="14">
        <f t="shared" si="35"/>
        <v>3.3288682472371152</v>
      </c>
      <c r="J386" s="15">
        <f>IF(CurrentMtgRatesDataTable8[[#This Row],[WA CC]]&lt;&gt;0,C385-CurrentMtgRatesDataTable8[[#This Row],[WA CC]],0)</f>
        <v>0.82613175276288509</v>
      </c>
      <c r="K386" s="16">
        <f>IF(CurrentMtgRatesDataTable8[[#This Row],[Servicing Spread]]&lt;=0,K385,CurrentMtgRatesDataTable8[[#This Row],[Servicing Spread]])</f>
        <v>0.82613175276288509</v>
      </c>
    </row>
    <row r="387" spans="1:11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</v>
      </c>
      <c r="F387" s="14">
        <f t="shared" si="32"/>
        <v>2</v>
      </c>
      <c r="G387" s="14">
        <f t="shared" si="33"/>
        <v>0</v>
      </c>
      <c r="H387" s="14">
        <f t="shared" si="34"/>
        <v>0</v>
      </c>
      <c r="I387" s="14">
        <f t="shared" si="35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0.82613175276288509</v>
      </c>
    </row>
    <row r="388" spans="1:11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0.7</v>
      </c>
      <c r="F388" s="14">
        <f t="shared" si="32"/>
        <v>3</v>
      </c>
      <c r="G388" s="14">
        <f t="shared" si="33"/>
        <v>2.3728130974233768</v>
      </c>
      <c r="H388" s="14">
        <f t="shared" si="34"/>
        <v>0.7</v>
      </c>
      <c r="I388" s="14">
        <f t="shared" si="35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0.82613175276288509</v>
      </c>
    </row>
    <row r="389" spans="1:11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VLOOKUP(D389,O$5:P$11,2,FALSE)</f>
        <v>0.25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3.2091456882343619</v>
      </c>
      <c r="H389" s="14">
        <f t="shared" ref="H389:H452" si="40">IF(AND(F389&lt;6,F389&gt;F388),E389+H388,E389)</f>
        <v>0.95</v>
      </c>
      <c r="I389" s="14">
        <f t="shared" ref="I389:I452" si="41">IF(F388&gt;F389,G388/H388,0)</f>
        <v>0</v>
      </c>
      <c r="J389" s="15">
        <f>IF(CurrentMtgRatesDataTable8[[#This Row],[WA CC]]&lt;&gt;0,C388-CurrentMtgRatesDataTable8[[#This Row],[WA CC]],0)</f>
        <v>0</v>
      </c>
      <c r="K389" s="16">
        <f>IF(CurrentMtgRatesDataTable8[[#This Row],[Servicing Spread]]&lt;=0,K388,CurrentMtgRatesDataTable8[[#This Row],[Servicing Spread]])</f>
        <v>0.82613175276288509</v>
      </c>
    </row>
    <row r="390" spans="1:11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</v>
      </c>
      <c r="F390" s="14">
        <f t="shared" si="38"/>
        <v>1</v>
      </c>
      <c r="G390" s="14">
        <f t="shared" si="39"/>
        <v>0</v>
      </c>
      <c r="H390" s="14">
        <f t="shared" si="40"/>
        <v>0</v>
      </c>
      <c r="I390" s="14">
        <f t="shared" si="41"/>
        <v>3.3780480928782759</v>
      </c>
      <c r="J390" s="15">
        <f>IF(CurrentMtgRatesDataTable8[[#This Row],[WA CC]]&lt;&gt;0,C389-CurrentMtgRatesDataTable8[[#This Row],[WA CC]],0)</f>
        <v>0.82695190712172417</v>
      </c>
      <c r="K390" s="16">
        <f>IF(CurrentMtgRatesDataTable8[[#This Row],[Servicing Spread]]&lt;=0,K389,CurrentMtgRatesDataTable8[[#This Row],[Servicing Spread]])</f>
        <v>0.82695190712172417</v>
      </c>
    </row>
    <row r="391" spans="1:11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</v>
      </c>
      <c r="F391" s="14">
        <f t="shared" si="38"/>
        <v>2</v>
      </c>
      <c r="G391" s="14">
        <f t="shared" si="39"/>
        <v>0</v>
      </c>
      <c r="H391" s="14">
        <f t="shared" si="40"/>
        <v>0</v>
      </c>
      <c r="I391" s="14">
        <f t="shared" si="41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0.82695190712172417</v>
      </c>
    </row>
    <row r="392" spans="1:11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0.05</v>
      </c>
      <c r="F392" s="14">
        <f t="shared" si="38"/>
        <v>3</v>
      </c>
      <c r="G392" s="14">
        <f t="shared" si="39"/>
        <v>0.16404766756118902</v>
      </c>
      <c r="H392" s="14">
        <f t="shared" si="40"/>
        <v>0.05</v>
      </c>
      <c r="I392" s="14">
        <f t="shared" si="41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0.82695190712172417</v>
      </c>
    </row>
    <row r="393" spans="1:11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0.7</v>
      </c>
      <c r="F393" s="14">
        <f t="shared" si="38"/>
        <v>4</v>
      </c>
      <c r="G393" s="14">
        <f t="shared" si="39"/>
        <v>2.3926094195978158</v>
      </c>
      <c r="H393" s="14">
        <f t="shared" si="40"/>
        <v>0.75</v>
      </c>
      <c r="I393" s="14">
        <f t="shared" si="41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0.82695190712172417</v>
      </c>
    </row>
    <row r="394" spans="1:11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0.25</v>
      </c>
      <c r="F394" s="14">
        <f t="shared" si="38"/>
        <v>5</v>
      </c>
      <c r="G394" s="14">
        <f t="shared" si="39"/>
        <v>3.1811522931001233</v>
      </c>
      <c r="H394" s="14">
        <f t="shared" si="40"/>
        <v>1</v>
      </c>
      <c r="I394" s="14">
        <f t="shared" si="41"/>
        <v>0</v>
      </c>
      <c r="J394" s="15">
        <f>IF(CurrentMtgRatesDataTable8[[#This Row],[WA CC]]&lt;&gt;0,C393-CurrentMtgRatesDataTable8[[#This Row],[WA CC]],0)</f>
        <v>0</v>
      </c>
      <c r="K394" s="16">
        <f>IF(CurrentMtgRatesDataTable8[[#This Row],[Servicing Spread]]&lt;=0,K393,CurrentMtgRatesDataTable8[[#This Row],[Servicing Spread]])</f>
        <v>0.82695190712172417</v>
      </c>
    </row>
    <row r="395" spans="1:11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</v>
      </c>
      <c r="F395" s="14">
        <f t="shared" si="38"/>
        <v>1</v>
      </c>
      <c r="G395" s="14">
        <f t="shared" si="39"/>
        <v>0</v>
      </c>
      <c r="H395" s="14">
        <f t="shared" si="40"/>
        <v>0</v>
      </c>
      <c r="I395" s="14">
        <f t="shared" si="41"/>
        <v>3.1811522931001233</v>
      </c>
      <c r="J395" s="15">
        <f>IF(CurrentMtgRatesDataTable8[[#This Row],[WA CC]]&lt;&gt;0,C394-CurrentMtgRatesDataTable8[[#This Row],[WA CC]],0)</f>
        <v>0.89884770689987681</v>
      </c>
      <c r="K395" s="16">
        <f>IF(CurrentMtgRatesDataTable8[[#This Row],[Servicing Spread]]&lt;=0,K394,CurrentMtgRatesDataTable8[[#This Row],[Servicing Spread]])</f>
        <v>0.89884770689987681</v>
      </c>
    </row>
    <row r="396" spans="1:11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</v>
      </c>
      <c r="F396" s="14">
        <f t="shared" si="38"/>
        <v>2</v>
      </c>
      <c r="G396" s="14">
        <f t="shared" si="39"/>
        <v>0</v>
      </c>
      <c r="H396" s="14">
        <f t="shared" si="40"/>
        <v>0</v>
      </c>
      <c r="I396" s="14">
        <f t="shared" si="41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0.89884770689987681</v>
      </c>
    </row>
    <row r="397" spans="1:11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0.05</v>
      </c>
      <c r="F397" s="14">
        <f t="shared" si="38"/>
        <v>3</v>
      </c>
      <c r="G397" s="14">
        <f t="shared" si="39"/>
        <v>0.1579661830845325</v>
      </c>
      <c r="H397" s="14">
        <f t="shared" si="40"/>
        <v>0.05</v>
      </c>
      <c r="I397" s="14">
        <f t="shared" si="41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0.89884770689987681</v>
      </c>
    </row>
    <row r="398" spans="1:11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0.7</v>
      </c>
      <c r="F398" s="14">
        <f t="shared" si="38"/>
        <v>4</v>
      </c>
      <c r="G398" s="14">
        <f t="shared" si="39"/>
        <v>2.3659928039659914</v>
      </c>
      <c r="H398" s="14">
        <f t="shared" si="40"/>
        <v>0.75</v>
      </c>
      <c r="I398" s="14">
        <f t="shared" si="41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0.89884770689987681</v>
      </c>
    </row>
    <row r="399" spans="1:11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0.25</v>
      </c>
      <c r="F399" s="14">
        <f t="shared" si="38"/>
        <v>5</v>
      </c>
      <c r="G399" s="14">
        <f t="shared" si="39"/>
        <v>3.1562774650756538</v>
      </c>
      <c r="H399" s="14">
        <f t="shared" si="40"/>
        <v>1</v>
      </c>
      <c r="I399" s="14">
        <f t="shared" si="41"/>
        <v>0</v>
      </c>
      <c r="J399" s="15">
        <f>IF(CurrentMtgRatesDataTable8[[#This Row],[WA CC]]&lt;&gt;0,C398-CurrentMtgRatesDataTable8[[#This Row],[WA CC]],0)</f>
        <v>0</v>
      </c>
      <c r="K399" s="16">
        <f>IF(CurrentMtgRatesDataTable8[[#This Row],[Servicing Spread]]&lt;=0,K398,CurrentMtgRatesDataTable8[[#This Row],[Servicing Spread]])</f>
        <v>0.89884770689987681</v>
      </c>
    </row>
    <row r="400" spans="1:11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</v>
      </c>
      <c r="F400" s="14">
        <f t="shared" si="38"/>
        <v>1</v>
      </c>
      <c r="G400" s="14">
        <f t="shared" si="39"/>
        <v>0</v>
      </c>
      <c r="H400" s="14">
        <f t="shared" si="40"/>
        <v>0</v>
      </c>
      <c r="I400" s="14">
        <f t="shared" si="41"/>
        <v>3.1562774650756538</v>
      </c>
      <c r="J400" s="15">
        <f>IF(CurrentMtgRatesDataTable8[[#This Row],[WA CC]]&lt;&gt;0,C399-CurrentMtgRatesDataTable8[[#This Row],[WA CC]],0)</f>
        <v>0.8687225349243457</v>
      </c>
      <c r="K400" s="16">
        <f>IF(CurrentMtgRatesDataTable8[[#This Row],[Servicing Spread]]&lt;=0,K399,CurrentMtgRatesDataTable8[[#This Row],[Servicing Spread]])</f>
        <v>0.8687225349243457</v>
      </c>
    </row>
    <row r="401" spans="1:11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</v>
      </c>
      <c r="F401" s="14">
        <f t="shared" si="38"/>
        <v>2</v>
      </c>
      <c r="G401" s="14">
        <f t="shared" si="39"/>
        <v>0</v>
      </c>
      <c r="H401" s="14">
        <f t="shared" si="40"/>
        <v>0</v>
      </c>
      <c r="I401" s="14">
        <f t="shared" si="41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0.8687225349243457</v>
      </c>
    </row>
    <row r="402" spans="1:11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0.05</v>
      </c>
      <c r="F402" s="14">
        <f t="shared" si="38"/>
        <v>3</v>
      </c>
      <c r="G402" s="14">
        <f t="shared" si="39"/>
        <v>0.16193792262217499</v>
      </c>
      <c r="H402" s="14">
        <f t="shared" si="40"/>
        <v>0.05</v>
      </c>
      <c r="I402" s="14">
        <f t="shared" si="41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0.8687225349243457</v>
      </c>
    </row>
    <row r="403" spans="1:11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0.7</v>
      </c>
      <c r="F403" s="14">
        <f t="shared" si="38"/>
        <v>4</v>
      </c>
      <c r="G403" s="14">
        <f t="shared" si="39"/>
        <v>2.4803440880637928</v>
      </c>
      <c r="H403" s="14">
        <f t="shared" si="40"/>
        <v>0.75</v>
      </c>
      <c r="I403" s="14">
        <f t="shared" si="41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0.8687225349243457</v>
      </c>
    </row>
    <row r="404" spans="1:11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0.25</v>
      </c>
      <c r="F404" s="14">
        <f t="shared" si="38"/>
        <v>5</v>
      </c>
      <c r="G404" s="14">
        <f t="shared" si="39"/>
        <v>3.3052777857423452</v>
      </c>
      <c r="H404" s="14">
        <f t="shared" si="40"/>
        <v>1</v>
      </c>
      <c r="I404" s="14">
        <f t="shared" si="41"/>
        <v>0</v>
      </c>
      <c r="J404" s="15">
        <f>IF(CurrentMtgRatesDataTable8[[#This Row],[WA CC]]&lt;&gt;0,C403-CurrentMtgRatesDataTable8[[#This Row],[WA CC]],0)</f>
        <v>0</v>
      </c>
      <c r="K404" s="16">
        <f>IF(CurrentMtgRatesDataTable8[[#This Row],[Servicing Spread]]&lt;=0,K403,CurrentMtgRatesDataTable8[[#This Row],[Servicing Spread]])</f>
        <v>0.8687225349243457</v>
      </c>
    </row>
    <row r="405" spans="1:11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</v>
      </c>
      <c r="F405" s="14">
        <f t="shared" si="38"/>
        <v>1</v>
      </c>
      <c r="G405" s="14">
        <f t="shared" si="39"/>
        <v>0</v>
      </c>
      <c r="H405" s="14">
        <f t="shared" si="40"/>
        <v>0</v>
      </c>
      <c r="I405" s="14">
        <f t="shared" si="41"/>
        <v>3.3052777857423452</v>
      </c>
      <c r="J405" s="15">
        <f>IF(CurrentMtgRatesDataTable8[[#This Row],[WA CC]]&lt;&gt;0,C404-CurrentMtgRatesDataTable8[[#This Row],[WA CC]],0)</f>
        <v>0.80472221425765511</v>
      </c>
      <c r="K405" s="16">
        <f>IF(CurrentMtgRatesDataTable8[[#This Row],[Servicing Spread]]&lt;=0,K404,CurrentMtgRatesDataTable8[[#This Row],[Servicing Spread]])</f>
        <v>0.80472221425765511</v>
      </c>
    </row>
    <row r="406" spans="1:11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</v>
      </c>
      <c r="F406" s="14">
        <f t="shared" si="38"/>
        <v>2</v>
      </c>
      <c r="G406" s="14">
        <f t="shared" si="39"/>
        <v>0</v>
      </c>
      <c r="H406" s="14">
        <f t="shared" si="40"/>
        <v>0</v>
      </c>
      <c r="I406" s="14">
        <f t="shared" si="41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0.80472221425765511</v>
      </c>
    </row>
    <row r="407" spans="1:11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0.7</v>
      </c>
      <c r="F407" s="14">
        <f t="shared" si="38"/>
        <v>3</v>
      </c>
      <c r="G407" s="14">
        <f t="shared" si="39"/>
        <v>2.3967596547758707</v>
      </c>
      <c r="H407" s="14">
        <f t="shared" si="40"/>
        <v>0.7</v>
      </c>
      <c r="I407" s="14">
        <f t="shared" si="41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0.80472221425765511</v>
      </c>
    </row>
    <row r="408" spans="1:11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0.25</v>
      </c>
      <c r="F408" s="14">
        <f t="shared" si="38"/>
        <v>4</v>
      </c>
      <c r="G408" s="14">
        <f t="shared" si="39"/>
        <v>3.2433418526108482</v>
      </c>
      <c r="H408" s="14">
        <f t="shared" si="40"/>
        <v>0.95</v>
      </c>
      <c r="I408" s="14">
        <f t="shared" si="41"/>
        <v>0</v>
      </c>
      <c r="J408" s="15">
        <f>IF(CurrentMtgRatesDataTable8[[#This Row],[WA CC]]&lt;&gt;0,C407-CurrentMtgRatesDataTable8[[#This Row],[WA CC]],0)</f>
        <v>0</v>
      </c>
      <c r="K408" s="16">
        <f>IF(CurrentMtgRatesDataTable8[[#This Row],[Servicing Spread]]&lt;=0,K407,CurrentMtgRatesDataTable8[[#This Row],[Servicing Spread]])</f>
        <v>0.80472221425765511</v>
      </c>
    </row>
    <row r="409" spans="1:11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</v>
      </c>
      <c r="F409" s="14">
        <f t="shared" si="38"/>
        <v>1</v>
      </c>
      <c r="G409" s="14">
        <f t="shared" si="39"/>
        <v>0</v>
      </c>
      <c r="H409" s="14">
        <f t="shared" si="40"/>
        <v>0</v>
      </c>
      <c r="I409" s="14">
        <f t="shared" si="41"/>
        <v>3.4140440553798403</v>
      </c>
      <c r="J409" s="15">
        <f>IF(CurrentMtgRatesDataTable8[[#This Row],[WA CC]]&lt;&gt;0,C408-CurrentMtgRatesDataTable8[[#This Row],[WA CC]],0)</f>
        <v>0.86095594462015912</v>
      </c>
      <c r="K409" s="16">
        <f>IF(CurrentMtgRatesDataTable8[[#This Row],[Servicing Spread]]&lt;=0,K408,CurrentMtgRatesDataTable8[[#This Row],[Servicing Spread]])</f>
        <v>0.86095594462015912</v>
      </c>
    </row>
    <row r="410" spans="1:11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</v>
      </c>
      <c r="F410" s="14">
        <f t="shared" si="38"/>
        <v>2</v>
      </c>
      <c r="G410" s="14">
        <f t="shared" si="39"/>
        <v>0</v>
      </c>
      <c r="H410" s="14">
        <f t="shared" si="40"/>
        <v>0</v>
      </c>
      <c r="I410" s="14">
        <f t="shared" si="41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0.86095594462015912</v>
      </c>
    </row>
    <row r="411" spans="1:11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0.05</v>
      </c>
      <c r="F411" s="14">
        <f t="shared" si="38"/>
        <v>3</v>
      </c>
      <c r="G411" s="14">
        <f t="shared" si="39"/>
        <v>0.16446085472779251</v>
      </c>
      <c r="H411" s="14">
        <f t="shared" si="40"/>
        <v>0.05</v>
      </c>
      <c r="I411" s="14">
        <f t="shared" si="41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0.86095594462015912</v>
      </c>
    </row>
    <row r="412" spans="1:11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0.7</v>
      </c>
      <c r="F412" s="14">
        <f t="shared" si="38"/>
        <v>4</v>
      </c>
      <c r="G412" s="14">
        <f t="shared" si="39"/>
        <v>2.4919022510460054</v>
      </c>
      <c r="H412" s="14">
        <f t="shared" si="40"/>
        <v>0.75</v>
      </c>
      <c r="I412" s="14">
        <f t="shared" si="41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0.86095594462015912</v>
      </c>
    </row>
    <row r="413" spans="1:11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0.25</v>
      </c>
      <c r="F413" s="14">
        <f t="shared" si="38"/>
        <v>5</v>
      </c>
      <c r="G413" s="14">
        <f t="shared" si="39"/>
        <v>3.3407494670596103</v>
      </c>
      <c r="H413" s="14">
        <f t="shared" si="40"/>
        <v>1</v>
      </c>
      <c r="I413" s="14">
        <f t="shared" si="41"/>
        <v>0</v>
      </c>
      <c r="J413" s="15">
        <f>IF(CurrentMtgRatesDataTable8[[#This Row],[WA CC]]&lt;&gt;0,C412-CurrentMtgRatesDataTable8[[#This Row],[WA CC]],0)</f>
        <v>0</v>
      </c>
      <c r="K413" s="16">
        <f>IF(CurrentMtgRatesDataTable8[[#This Row],[Servicing Spread]]&lt;=0,K412,CurrentMtgRatesDataTable8[[#This Row],[Servicing Spread]])</f>
        <v>0.86095594462015912</v>
      </c>
    </row>
    <row r="414" spans="1:11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0.25</v>
      </c>
      <c r="F414" s="14">
        <f t="shared" si="38"/>
        <v>1</v>
      </c>
      <c r="G414" s="14">
        <f t="shared" si="39"/>
        <v>0.84884721601360502</v>
      </c>
      <c r="H414" s="14">
        <f t="shared" si="40"/>
        <v>0.25</v>
      </c>
      <c r="I414" s="14">
        <f t="shared" si="41"/>
        <v>3.3407494670596103</v>
      </c>
      <c r="J414" s="15">
        <f>IF(CurrentMtgRatesDataTable8[[#This Row],[WA CC]]&lt;&gt;0,C413-CurrentMtgRatesDataTable8[[#This Row],[WA CC]],0)</f>
        <v>0.80425053294038928</v>
      </c>
      <c r="K414" s="16">
        <f>IF(CurrentMtgRatesDataTable8[[#This Row],[Servicing Spread]]&lt;=0,K413,CurrentMtgRatesDataTable8[[#This Row],[Servicing Spread]])</f>
        <v>0.80425053294038928</v>
      </c>
    </row>
    <row r="415" spans="1:11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</v>
      </c>
      <c r="F415" s="14">
        <f t="shared" si="38"/>
        <v>1</v>
      </c>
      <c r="G415" s="14">
        <f t="shared" si="39"/>
        <v>0</v>
      </c>
      <c r="H415" s="14">
        <f t="shared" si="40"/>
        <v>0</v>
      </c>
      <c r="I415" s="14">
        <f t="shared" si="41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0.80425053294038928</v>
      </c>
    </row>
    <row r="416" spans="1:11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</v>
      </c>
      <c r="F416" s="14">
        <f t="shared" si="38"/>
        <v>2</v>
      </c>
      <c r="G416" s="14">
        <f t="shared" si="39"/>
        <v>0</v>
      </c>
      <c r="H416" s="14">
        <f t="shared" si="40"/>
        <v>0</v>
      </c>
      <c r="I416" s="14">
        <f t="shared" si="41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0.80425053294038928</v>
      </c>
    </row>
    <row r="417" spans="1:11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0.05</v>
      </c>
      <c r="F417" s="14">
        <f t="shared" si="38"/>
        <v>3</v>
      </c>
      <c r="G417" s="14">
        <f t="shared" si="39"/>
        <v>0.1689301233658205</v>
      </c>
      <c r="H417" s="14">
        <f t="shared" si="40"/>
        <v>0.05</v>
      </c>
      <c r="I417" s="14">
        <f t="shared" si="41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0.80425053294038928</v>
      </c>
    </row>
    <row r="418" spans="1:11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0.7</v>
      </c>
      <c r="F418" s="14">
        <f t="shared" si="38"/>
        <v>4</v>
      </c>
      <c r="G418" s="14">
        <f t="shared" si="39"/>
        <v>2.5249030411740927</v>
      </c>
      <c r="H418" s="14">
        <f t="shared" si="40"/>
        <v>0.75</v>
      </c>
      <c r="I418" s="14">
        <f t="shared" si="41"/>
        <v>0</v>
      </c>
      <c r="J418" s="15">
        <f>IF(CurrentMtgRatesDataTable8[[#This Row],[WA CC]]&lt;&gt;0,C417-CurrentMtgRatesDataTable8[[#This Row],[WA CC]],0)</f>
        <v>0</v>
      </c>
      <c r="K418" s="16">
        <f>IF(CurrentMtgRatesDataTable8[[#This Row],[Servicing Spread]]&lt;=0,K417,CurrentMtgRatesDataTable8[[#This Row],[Servicing Spread]])</f>
        <v>0.80425053294038928</v>
      </c>
    </row>
    <row r="419" spans="1:11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</v>
      </c>
      <c r="F419" s="14">
        <f t="shared" si="38"/>
        <v>1</v>
      </c>
      <c r="G419" s="14">
        <f t="shared" si="39"/>
        <v>0</v>
      </c>
      <c r="H419" s="14">
        <f t="shared" si="40"/>
        <v>0</v>
      </c>
      <c r="I419" s="14">
        <f t="shared" si="41"/>
        <v>3.3665373882321235</v>
      </c>
      <c r="J419" s="15">
        <f>IF(CurrentMtgRatesDataTable8[[#This Row],[WA CC]]&lt;&gt;0,C418-CurrentMtgRatesDataTable8[[#This Row],[WA CC]],0)</f>
        <v>0.84846261176787641</v>
      </c>
      <c r="K419" s="16">
        <f>IF(CurrentMtgRatesDataTable8[[#This Row],[Servicing Spread]]&lt;=0,K418,CurrentMtgRatesDataTable8[[#This Row],[Servicing Spread]])</f>
        <v>0.84846261176787641</v>
      </c>
    </row>
    <row r="420" spans="1:11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0.05</v>
      </c>
      <c r="F420" s="14">
        <f t="shared" si="38"/>
        <v>2</v>
      </c>
      <c r="G420" s="14">
        <f t="shared" si="39"/>
        <v>0.17413924677048601</v>
      </c>
      <c r="H420" s="14">
        <f t="shared" si="40"/>
        <v>0.05</v>
      </c>
      <c r="I420" s="14">
        <f t="shared" si="41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0.84846261176787641</v>
      </c>
    </row>
    <row r="421" spans="1:11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0.7</v>
      </c>
      <c r="F421" s="14">
        <f t="shared" si="38"/>
        <v>3</v>
      </c>
      <c r="G421" s="14">
        <f t="shared" si="39"/>
        <v>2.6115486592594248</v>
      </c>
      <c r="H421" s="14">
        <f t="shared" si="40"/>
        <v>0.75</v>
      </c>
      <c r="I421" s="14">
        <f t="shared" si="41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0.84846261176787641</v>
      </c>
    </row>
    <row r="422" spans="1:11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0.25</v>
      </c>
      <c r="F422" s="14">
        <f t="shared" si="38"/>
        <v>4</v>
      </c>
      <c r="G422" s="14">
        <f t="shared" si="39"/>
        <v>3.4960389587986347</v>
      </c>
      <c r="H422" s="14">
        <f t="shared" si="40"/>
        <v>1</v>
      </c>
      <c r="I422" s="14">
        <f t="shared" si="41"/>
        <v>0</v>
      </c>
      <c r="J422" s="15">
        <f>IF(CurrentMtgRatesDataTable8[[#This Row],[WA CC]]&lt;&gt;0,C421-CurrentMtgRatesDataTable8[[#This Row],[WA CC]],0)</f>
        <v>0</v>
      </c>
      <c r="K422" s="16">
        <f>IF(CurrentMtgRatesDataTable8[[#This Row],[Servicing Spread]]&lt;=0,K421,CurrentMtgRatesDataTable8[[#This Row],[Servicing Spread]])</f>
        <v>0.84846261176787641</v>
      </c>
    </row>
    <row r="423" spans="1:11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</v>
      </c>
      <c r="F423" s="14">
        <f t="shared" si="38"/>
        <v>1</v>
      </c>
      <c r="G423" s="14">
        <f t="shared" si="39"/>
        <v>0</v>
      </c>
      <c r="H423" s="14">
        <f t="shared" si="40"/>
        <v>0</v>
      </c>
      <c r="I423" s="14">
        <f t="shared" si="41"/>
        <v>3.4960389587986347</v>
      </c>
      <c r="J423" s="15">
        <f>IF(CurrentMtgRatesDataTable8[[#This Row],[WA CC]]&lt;&gt;0,C422-CurrentMtgRatesDataTable8[[#This Row],[WA CC]],0)</f>
        <v>0.83896104120136528</v>
      </c>
      <c r="K423" s="16">
        <f>IF(CurrentMtgRatesDataTable8[[#This Row],[Servicing Spread]]&lt;=0,K422,CurrentMtgRatesDataTable8[[#This Row],[Servicing Spread]])</f>
        <v>0.83896104120136528</v>
      </c>
    </row>
    <row r="424" spans="1:11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</v>
      </c>
      <c r="F424" s="14">
        <f t="shared" si="38"/>
        <v>2</v>
      </c>
      <c r="G424" s="14">
        <f t="shared" si="39"/>
        <v>0</v>
      </c>
      <c r="H424" s="14">
        <f t="shared" si="40"/>
        <v>0</v>
      </c>
      <c r="I424" s="14">
        <f t="shared" si="41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0.83896104120136528</v>
      </c>
    </row>
    <row r="425" spans="1:11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0.05</v>
      </c>
      <c r="F425" s="14">
        <f t="shared" si="38"/>
        <v>3</v>
      </c>
      <c r="G425" s="14">
        <f t="shared" si="39"/>
        <v>0.1752244447585215</v>
      </c>
      <c r="H425" s="14">
        <f t="shared" si="40"/>
        <v>0.05</v>
      </c>
      <c r="I425" s="14">
        <f t="shared" si="41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0.83896104120136528</v>
      </c>
    </row>
    <row r="426" spans="1:11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0.7</v>
      </c>
      <c r="F426" s="14">
        <f t="shared" si="38"/>
        <v>4</v>
      </c>
      <c r="G426" s="14">
        <f t="shared" si="39"/>
        <v>2.6005587393262233</v>
      </c>
      <c r="H426" s="14">
        <f t="shared" si="40"/>
        <v>0.75</v>
      </c>
      <c r="I426" s="14">
        <f t="shared" si="41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0.83896104120136528</v>
      </c>
    </row>
    <row r="427" spans="1:11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0.25</v>
      </c>
      <c r="F427" s="14">
        <f t="shared" si="38"/>
        <v>5</v>
      </c>
      <c r="G427" s="14">
        <f t="shared" si="39"/>
        <v>3.4794805698739757</v>
      </c>
      <c r="H427" s="14">
        <f t="shared" si="40"/>
        <v>1</v>
      </c>
      <c r="I427" s="14">
        <f t="shared" si="41"/>
        <v>0</v>
      </c>
      <c r="J427" s="15">
        <f>IF(CurrentMtgRatesDataTable8[[#This Row],[WA CC]]&lt;&gt;0,C426-CurrentMtgRatesDataTable8[[#This Row],[WA CC]],0)</f>
        <v>0</v>
      </c>
      <c r="K427" s="16">
        <f>IF(CurrentMtgRatesDataTable8[[#This Row],[Servicing Spread]]&lt;=0,K426,CurrentMtgRatesDataTable8[[#This Row],[Servicing Spread]])</f>
        <v>0.83896104120136528</v>
      </c>
    </row>
    <row r="428" spans="1:11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</v>
      </c>
      <c r="F428" s="14">
        <f t="shared" si="38"/>
        <v>1</v>
      </c>
      <c r="G428" s="14">
        <f t="shared" si="39"/>
        <v>0</v>
      </c>
      <c r="H428" s="14">
        <f t="shared" si="40"/>
        <v>0</v>
      </c>
      <c r="I428" s="14">
        <f t="shared" si="41"/>
        <v>3.4794805698739757</v>
      </c>
      <c r="J428" s="15">
        <f>IF(CurrentMtgRatesDataTable8[[#This Row],[WA CC]]&lt;&gt;0,C427-CurrentMtgRatesDataTable8[[#This Row],[WA CC]],0)</f>
        <v>0.86551943012602406</v>
      </c>
      <c r="K428" s="16">
        <f>IF(CurrentMtgRatesDataTable8[[#This Row],[Servicing Spread]]&lt;=0,K427,CurrentMtgRatesDataTable8[[#This Row],[Servicing Spread]])</f>
        <v>0.86551943012602406</v>
      </c>
    </row>
    <row r="429" spans="1:11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</v>
      </c>
      <c r="F429" s="14">
        <f t="shared" si="38"/>
        <v>2</v>
      </c>
      <c r="G429" s="14">
        <f t="shared" si="39"/>
        <v>0</v>
      </c>
      <c r="H429" s="14">
        <f t="shared" si="40"/>
        <v>0</v>
      </c>
      <c r="I429" s="14">
        <f t="shared" si="41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0.86551943012602406</v>
      </c>
    </row>
    <row r="430" spans="1:11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0.05</v>
      </c>
      <c r="F430" s="14">
        <f t="shared" si="38"/>
        <v>3</v>
      </c>
      <c r="G430" s="14">
        <f t="shared" si="39"/>
        <v>0.17653622661569801</v>
      </c>
      <c r="H430" s="14">
        <f t="shared" si="40"/>
        <v>0.05</v>
      </c>
      <c r="I430" s="14">
        <f t="shared" si="41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0.86551943012602406</v>
      </c>
    </row>
    <row r="431" spans="1:11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0.7</v>
      </c>
      <c r="F431" s="14">
        <f t="shared" si="38"/>
        <v>4</v>
      </c>
      <c r="G431" s="14">
        <f t="shared" si="39"/>
        <v>2.6264590964082082</v>
      </c>
      <c r="H431" s="14">
        <f t="shared" si="40"/>
        <v>0.75</v>
      </c>
      <c r="I431" s="14">
        <f t="shared" si="41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0.86551943012602406</v>
      </c>
    </row>
    <row r="432" spans="1:11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0.25</v>
      </c>
      <c r="F432" s="14">
        <f t="shared" si="38"/>
        <v>5</v>
      </c>
      <c r="G432" s="14">
        <f t="shared" si="39"/>
        <v>3.5120279806205708</v>
      </c>
      <c r="H432" s="14">
        <f t="shared" si="40"/>
        <v>1</v>
      </c>
      <c r="I432" s="14">
        <f t="shared" si="41"/>
        <v>0</v>
      </c>
      <c r="J432" s="15">
        <f>IF(CurrentMtgRatesDataTable8[[#This Row],[WA CC]]&lt;&gt;0,C431-CurrentMtgRatesDataTable8[[#This Row],[WA CC]],0)</f>
        <v>0</v>
      </c>
      <c r="K432" s="16">
        <f>IF(CurrentMtgRatesDataTable8[[#This Row],[Servicing Spread]]&lt;=0,K431,CurrentMtgRatesDataTable8[[#This Row],[Servicing Spread]])</f>
        <v>0.86551943012602406</v>
      </c>
    </row>
    <row r="433" spans="1:11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</v>
      </c>
      <c r="F433" s="14">
        <f t="shared" si="38"/>
        <v>1</v>
      </c>
      <c r="G433" s="14">
        <f t="shared" si="39"/>
        <v>0</v>
      </c>
      <c r="H433" s="14">
        <f t="shared" si="40"/>
        <v>0</v>
      </c>
      <c r="I433" s="14">
        <f t="shared" si="41"/>
        <v>3.5120279806205708</v>
      </c>
      <c r="J433" s="15">
        <f>IF(CurrentMtgRatesDataTable8[[#This Row],[WA CC]]&lt;&gt;0,C432-CurrentMtgRatesDataTable8[[#This Row],[WA CC]],0)</f>
        <v>0.88297201937942882</v>
      </c>
      <c r="K433" s="16">
        <f>IF(CurrentMtgRatesDataTable8[[#This Row],[Servicing Spread]]&lt;=0,K432,CurrentMtgRatesDataTable8[[#This Row],[Servicing Spread]])</f>
        <v>0.88297201937942882</v>
      </c>
    </row>
    <row r="434" spans="1:11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</v>
      </c>
      <c r="F434" s="14">
        <f t="shared" si="38"/>
        <v>2</v>
      </c>
      <c r="G434" s="14">
        <f t="shared" si="39"/>
        <v>0</v>
      </c>
      <c r="H434" s="14">
        <f t="shared" si="40"/>
        <v>0</v>
      </c>
      <c r="I434" s="14">
        <f t="shared" si="41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0.88297201937942882</v>
      </c>
    </row>
    <row r="435" spans="1:11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0.05</v>
      </c>
      <c r="F435" s="14">
        <f t="shared" si="38"/>
        <v>3</v>
      </c>
      <c r="G435" s="14">
        <f t="shared" si="39"/>
        <v>0.17711260247361452</v>
      </c>
      <c r="H435" s="14">
        <f t="shared" si="40"/>
        <v>0.05</v>
      </c>
      <c r="I435" s="14">
        <f t="shared" si="41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0.88297201937942882</v>
      </c>
    </row>
    <row r="436" spans="1:11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0.7</v>
      </c>
      <c r="F436" s="14">
        <f t="shared" si="38"/>
        <v>4</v>
      </c>
      <c r="G436" s="14">
        <f t="shared" si="39"/>
        <v>2.7041560983302286</v>
      </c>
      <c r="H436" s="14">
        <f t="shared" si="40"/>
        <v>0.75</v>
      </c>
      <c r="I436" s="14">
        <f t="shared" si="41"/>
        <v>0</v>
      </c>
      <c r="J436" s="15">
        <f>IF(CurrentMtgRatesDataTable8[[#This Row],[WA CC]]&lt;&gt;0,C435-CurrentMtgRatesDataTable8[[#This Row],[WA CC]],0)</f>
        <v>0</v>
      </c>
      <c r="K436" s="16">
        <f>IF(CurrentMtgRatesDataTable8[[#This Row],[Servicing Spread]]&lt;=0,K435,CurrentMtgRatesDataTable8[[#This Row],[Servicing Spread]])</f>
        <v>0.88297201937942882</v>
      </c>
    </row>
    <row r="437" spans="1:11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</v>
      </c>
      <c r="F437" s="14">
        <f t="shared" si="38"/>
        <v>1</v>
      </c>
      <c r="G437" s="14">
        <f t="shared" si="39"/>
        <v>0</v>
      </c>
      <c r="H437" s="14">
        <f t="shared" si="40"/>
        <v>0</v>
      </c>
      <c r="I437" s="14">
        <f t="shared" si="41"/>
        <v>3.605541464440305</v>
      </c>
      <c r="J437" s="15">
        <f>IF(CurrentMtgRatesDataTable8[[#This Row],[WA CC]]&lt;&gt;0,C436-CurrentMtgRatesDataTable8[[#This Row],[WA CC]],0)</f>
        <v>0.79945853555969526</v>
      </c>
      <c r="K437" s="16">
        <f>IF(CurrentMtgRatesDataTable8[[#This Row],[Servicing Spread]]&lt;=0,K436,CurrentMtgRatesDataTable8[[#This Row],[Servicing Spread]])</f>
        <v>0.79945853555969526</v>
      </c>
    </row>
    <row r="438" spans="1:11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</v>
      </c>
      <c r="F438" s="14">
        <f t="shared" si="38"/>
        <v>2</v>
      </c>
      <c r="G438" s="14">
        <f t="shared" si="39"/>
        <v>0</v>
      </c>
      <c r="H438" s="14">
        <f t="shared" si="40"/>
        <v>0</v>
      </c>
      <c r="I438" s="14">
        <f t="shared" si="41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0.79945853555969526</v>
      </c>
    </row>
    <row r="439" spans="1:11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0.05</v>
      </c>
      <c r="F439" s="14">
        <f t="shared" si="38"/>
        <v>3</v>
      </c>
      <c r="G439" s="14">
        <f t="shared" si="39"/>
        <v>0.178733716964532</v>
      </c>
      <c r="H439" s="14">
        <f t="shared" si="40"/>
        <v>0.05</v>
      </c>
      <c r="I439" s="14">
        <f t="shared" si="41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0.79945853555969526</v>
      </c>
    </row>
    <row r="440" spans="1:11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0.7</v>
      </c>
      <c r="F440" s="14">
        <f t="shared" si="38"/>
        <v>4</v>
      </c>
      <c r="G440" s="14">
        <f t="shared" si="39"/>
        <v>2.693851564207792</v>
      </c>
      <c r="H440" s="14">
        <f t="shared" si="40"/>
        <v>0.75</v>
      </c>
      <c r="I440" s="14">
        <f t="shared" si="41"/>
        <v>0</v>
      </c>
      <c r="J440" s="15">
        <f>IF(CurrentMtgRatesDataTable8[[#This Row],[WA CC]]&lt;&gt;0,C439-CurrentMtgRatesDataTable8[[#This Row],[WA CC]],0)</f>
        <v>0</v>
      </c>
      <c r="K440" s="16">
        <f>IF(CurrentMtgRatesDataTable8[[#This Row],[Servicing Spread]]&lt;=0,K439,CurrentMtgRatesDataTable8[[#This Row],[Servicing Spread]])</f>
        <v>0.79945853555969526</v>
      </c>
    </row>
    <row r="441" spans="1:11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</v>
      </c>
      <c r="F441" s="14">
        <f t="shared" si="38"/>
        <v>1</v>
      </c>
      <c r="G441" s="14">
        <f t="shared" si="39"/>
        <v>0</v>
      </c>
      <c r="H441" s="14">
        <f t="shared" si="40"/>
        <v>0</v>
      </c>
      <c r="I441" s="14">
        <f t="shared" si="41"/>
        <v>3.5918020856103894</v>
      </c>
      <c r="J441" s="15">
        <f>IF(CurrentMtgRatesDataTable8[[#This Row],[WA CC]]&lt;&gt;0,C440-CurrentMtgRatesDataTable8[[#This Row],[WA CC]],0)</f>
        <v>0.88819791438961104</v>
      </c>
      <c r="K441" s="16">
        <f>IF(CurrentMtgRatesDataTable8[[#This Row],[Servicing Spread]]&lt;=0,K440,CurrentMtgRatesDataTable8[[#This Row],[Servicing Spread]])</f>
        <v>0.88819791438961104</v>
      </c>
    </row>
    <row r="442" spans="1:11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</v>
      </c>
      <c r="F442" s="14">
        <f t="shared" si="38"/>
        <v>2</v>
      </c>
      <c r="G442" s="14">
        <f t="shared" si="39"/>
        <v>0</v>
      </c>
      <c r="H442" s="14">
        <f t="shared" si="40"/>
        <v>0</v>
      </c>
      <c r="I442" s="14">
        <f t="shared" si="41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0.88819791438961104</v>
      </c>
    </row>
    <row r="443" spans="1:11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0.05</v>
      </c>
      <c r="F443" s="14">
        <f t="shared" si="38"/>
        <v>3</v>
      </c>
      <c r="G443" s="14">
        <f t="shared" si="39"/>
        <v>0.17881742973307602</v>
      </c>
      <c r="H443" s="14">
        <f t="shared" si="40"/>
        <v>0.05</v>
      </c>
      <c r="I443" s="14">
        <f t="shared" si="41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0.88819791438961104</v>
      </c>
    </row>
    <row r="444" spans="1:11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0.7</v>
      </c>
      <c r="F444" s="15">
        <f t="shared" si="38"/>
        <v>4</v>
      </c>
      <c r="G444" s="15">
        <f t="shared" si="39"/>
        <v>2.6588124581081427</v>
      </c>
      <c r="H444" s="15">
        <f t="shared" si="40"/>
        <v>0.75</v>
      </c>
      <c r="I444" s="15">
        <f t="shared" si="41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0.88819791438961104</v>
      </c>
    </row>
    <row r="445" spans="1:11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0.25</v>
      </c>
      <c r="F445" s="15">
        <f t="shared" si="38"/>
        <v>5</v>
      </c>
      <c r="G445" s="15">
        <f t="shared" si="39"/>
        <v>3.5579052715052053</v>
      </c>
      <c r="H445" s="15">
        <f t="shared" si="40"/>
        <v>1</v>
      </c>
      <c r="I445" s="15">
        <f t="shared" si="41"/>
        <v>0</v>
      </c>
      <c r="J445" s="15">
        <f>IF(CurrentMtgRatesDataTable8[[#This Row],[WA CC]]&lt;&gt;0,C444-CurrentMtgRatesDataTable8[[#This Row],[WA CC]],0)</f>
        <v>0</v>
      </c>
      <c r="K445" s="16">
        <f>IF(CurrentMtgRatesDataTable8[[#This Row],[Servicing Spread]]&lt;=0,K444,CurrentMtgRatesDataTable8[[#This Row],[Servicing Spread]])</f>
        <v>0.88819791438961104</v>
      </c>
    </row>
    <row r="446" spans="1:11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</v>
      </c>
      <c r="F446" s="15">
        <f t="shared" si="38"/>
        <v>1</v>
      </c>
      <c r="G446" s="15">
        <f t="shared" si="39"/>
        <v>0</v>
      </c>
      <c r="H446" s="15">
        <f t="shared" si="40"/>
        <v>0</v>
      </c>
      <c r="I446" s="15">
        <f t="shared" si="41"/>
        <v>3.5579052715052053</v>
      </c>
      <c r="J446" s="15">
        <f>IF(CurrentMtgRatesDataTable8[[#This Row],[WA CC]]&lt;&gt;0,C445-CurrentMtgRatesDataTable8[[#This Row],[WA CC]],0)</f>
        <v>0.87709472849479431</v>
      </c>
      <c r="K446" s="16">
        <f>IF(CurrentMtgRatesDataTable8[[#This Row],[Servicing Spread]]&lt;=0,K445,CurrentMtgRatesDataTable8[[#This Row],[Servicing Spread]])</f>
        <v>0.87709472849479431</v>
      </c>
    </row>
    <row r="447" spans="1:11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</v>
      </c>
      <c r="F447" s="15">
        <f t="shared" si="38"/>
        <v>2</v>
      </c>
      <c r="G447" s="15">
        <f t="shared" si="39"/>
        <v>0</v>
      </c>
      <c r="H447" s="15">
        <f t="shared" si="40"/>
        <v>0</v>
      </c>
      <c r="I447" s="15">
        <f t="shared" si="41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0.87709472849479431</v>
      </c>
    </row>
    <row r="448" spans="1:11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0.05</v>
      </c>
      <c r="F448" s="15">
        <f t="shared" si="38"/>
        <v>3</v>
      </c>
      <c r="G448" s="15">
        <f t="shared" si="39"/>
        <v>0.17132287989050751</v>
      </c>
      <c r="H448" s="15">
        <f t="shared" si="40"/>
        <v>0.05</v>
      </c>
      <c r="I448" s="15">
        <f t="shared" si="41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0.87709472849479431</v>
      </c>
    </row>
    <row r="449" spans="1:11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0.7</v>
      </c>
      <c r="F449" s="15">
        <f t="shared" si="38"/>
        <v>4</v>
      </c>
      <c r="G449" s="15">
        <f t="shared" si="39"/>
        <v>2.6097107123076033</v>
      </c>
      <c r="H449" s="15">
        <f t="shared" si="40"/>
        <v>0.75</v>
      </c>
      <c r="I449" s="15">
        <f t="shared" si="41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0.87709472849479431</v>
      </c>
    </row>
    <row r="450" spans="1:11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0.25</v>
      </c>
      <c r="F450" s="15">
        <f t="shared" si="38"/>
        <v>5</v>
      </c>
      <c r="G450" s="15">
        <f t="shared" si="39"/>
        <v>3.4834056989514282</v>
      </c>
      <c r="H450" s="15">
        <f t="shared" si="40"/>
        <v>1</v>
      </c>
      <c r="I450" s="15">
        <f t="shared" si="41"/>
        <v>0</v>
      </c>
      <c r="J450" s="15">
        <f>IF(CurrentMtgRatesDataTable8[[#This Row],[WA CC]]&lt;&gt;0,C449-CurrentMtgRatesDataTable8[[#This Row],[WA CC]],0)</f>
        <v>0</v>
      </c>
      <c r="K450" s="16">
        <f>IF(CurrentMtgRatesDataTable8[[#This Row],[Servicing Spread]]&lt;=0,K449,CurrentMtgRatesDataTable8[[#This Row],[Servicing Spread]])</f>
        <v>0.87709472849479431</v>
      </c>
    </row>
    <row r="451" spans="1:11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</v>
      </c>
      <c r="F451" s="15">
        <f t="shared" si="38"/>
        <v>1</v>
      </c>
      <c r="G451" s="15">
        <f t="shared" si="39"/>
        <v>0</v>
      </c>
      <c r="H451" s="15">
        <f t="shared" si="40"/>
        <v>0</v>
      </c>
      <c r="I451" s="15">
        <f t="shared" si="41"/>
        <v>3.4834056989514282</v>
      </c>
      <c r="J451" s="15">
        <f>IF(CurrentMtgRatesDataTable8[[#This Row],[WA CC]]&lt;&gt;0,C450-CurrentMtgRatesDataTable8[[#This Row],[WA CC]],0)</f>
        <v>0.85159430104857181</v>
      </c>
      <c r="K451" s="16">
        <f>IF(CurrentMtgRatesDataTable8[[#This Row],[Servicing Spread]]&lt;=0,K450,CurrentMtgRatesDataTable8[[#This Row],[Servicing Spread]])</f>
        <v>0.85159430104857181</v>
      </c>
    </row>
    <row r="452" spans="1:11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</v>
      </c>
      <c r="F452" s="15">
        <f t="shared" si="38"/>
        <v>2</v>
      </c>
      <c r="G452" s="15">
        <f t="shared" si="39"/>
        <v>0</v>
      </c>
      <c r="H452" s="15">
        <f t="shared" si="40"/>
        <v>0</v>
      </c>
      <c r="I452" s="15">
        <f t="shared" si="41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0.85159430104857181</v>
      </c>
    </row>
    <row r="453" spans="1:11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VLOOKUP(D453,O$5:P$11,2,FALSE)</f>
        <v>0.7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2.401431722250484</v>
      </c>
      <c r="H453" s="15">
        <f t="shared" ref="H453:H516" si="46">IF(AND(F453&lt;6,F453&gt;F452),E453+H452,E453)</f>
        <v>0.7</v>
      </c>
      <c r="I453" s="15">
        <f t="shared" ref="I453:I516" si="47">IF(F452&gt;F453,G452/H452,0)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0.85159430104857181</v>
      </c>
    </row>
    <row r="454" spans="1:11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0.25</v>
      </c>
      <c r="F454" s="15">
        <f t="shared" si="44"/>
        <v>4</v>
      </c>
      <c r="G454" s="15">
        <f t="shared" si="45"/>
        <v>3.2717568075921113</v>
      </c>
      <c r="H454" s="15">
        <f t="shared" si="46"/>
        <v>0.95</v>
      </c>
      <c r="I454" s="15">
        <f t="shared" si="47"/>
        <v>0</v>
      </c>
      <c r="J454" s="15">
        <f>IF(CurrentMtgRatesDataTable8[[#This Row],[WA CC]]&lt;&gt;0,C453-CurrentMtgRatesDataTable8[[#This Row],[WA CC]],0)</f>
        <v>0</v>
      </c>
      <c r="K454" s="16">
        <f>IF(CurrentMtgRatesDataTable8[[#This Row],[Servicing Spread]]&lt;=0,K453,CurrentMtgRatesDataTable8[[#This Row],[Servicing Spread]])</f>
        <v>0.85159430104857181</v>
      </c>
    </row>
    <row r="455" spans="1:11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</v>
      </c>
      <c r="F455" s="15">
        <f t="shared" si="44"/>
        <v>1</v>
      </c>
      <c r="G455" s="15">
        <f t="shared" si="45"/>
        <v>0</v>
      </c>
      <c r="H455" s="15">
        <f t="shared" si="46"/>
        <v>0</v>
      </c>
      <c r="I455" s="15">
        <f t="shared" si="47"/>
        <v>3.4439545343074855</v>
      </c>
      <c r="J455" s="15">
        <f>IF(CurrentMtgRatesDataTable8[[#This Row],[WA CC]]&lt;&gt;0,C454-CurrentMtgRatesDataTable8[[#This Row],[WA CC]],0)</f>
        <v>0.87104546569251395</v>
      </c>
      <c r="K455" s="16">
        <f>IF(CurrentMtgRatesDataTable8[[#This Row],[Servicing Spread]]&lt;=0,K454,CurrentMtgRatesDataTable8[[#This Row],[Servicing Spread]])</f>
        <v>0.87104546569251395</v>
      </c>
    </row>
    <row r="456" spans="1:11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</v>
      </c>
      <c r="F456" s="15">
        <f t="shared" si="44"/>
        <v>2</v>
      </c>
      <c r="G456" s="15">
        <f t="shared" si="45"/>
        <v>0</v>
      </c>
      <c r="H456" s="15">
        <f t="shared" si="46"/>
        <v>0</v>
      </c>
      <c r="I456" s="15">
        <f t="shared" si="47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0.87104546569251395</v>
      </c>
    </row>
    <row r="457" spans="1:11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0.05</v>
      </c>
      <c r="F457" s="15">
        <f t="shared" si="44"/>
        <v>3</v>
      </c>
      <c r="G457" s="15">
        <f t="shared" si="45"/>
        <v>0.1712446490855625</v>
      </c>
      <c r="H457" s="15">
        <f t="shared" si="46"/>
        <v>0.05</v>
      </c>
      <c r="I457" s="15">
        <f t="shared" si="47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0.87104546569251395</v>
      </c>
    </row>
    <row r="458" spans="1:11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0.7</v>
      </c>
      <c r="F458" s="15">
        <f t="shared" si="44"/>
        <v>4</v>
      </c>
      <c r="G458" s="15">
        <f t="shared" si="45"/>
        <v>2.5615135881461102</v>
      </c>
      <c r="H458" s="15">
        <f t="shared" si="46"/>
        <v>0.75</v>
      </c>
      <c r="I458" s="15">
        <f t="shared" si="47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0.87104546569251395</v>
      </c>
    </row>
    <row r="459" spans="1:11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0.25</v>
      </c>
      <c r="F459" s="15">
        <f t="shared" si="44"/>
        <v>5</v>
      </c>
      <c r="G459" s="15">
        <f t="shared" si="45"/>
        <v>3.4018004652819078</v>
      </c>
      <c r="H459" s="15">
        <f t="shared" si="46"/>
        <v>1</v>
      </c>
      <c r="I459" s="15">
        <f t="shared" si="47"/>
        <v>0</v>
      </c>
      <c r="J459" s="15">
        <f>IF(CurrentMtgRatesDataTable8[[#This Row],[WA CC]]&lt;&gt;0,C458-CurrentMtgRatesDataTable8[[#This Row],[WA CC]],0)</f>
        <v>0</v>
      </c>
      <c r="K459" s="16">
        <f>IF(CurrentMtgRatesDataTable8[[#This Row],[Servicing Spread]]&lt;=0,K458,CurrentMtgRatesDataTable8[[#This Row],[Servicing Spread]])</f>
        <v>0.87104546569251395</v>
      </c>
    </row>
    <row r="460" spans="1:11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</v>
      </c>
      <c r="F460" s="15">
        <f t="shared" si="44"/>
        <v>1</v>
      </c>
      <c r="G460" s="15">
        <f t="shared" si="45"/>
        <v>0</v>
      </c>
      <c r="H460" s="15">
        <f t="shared" si="46"/>
        <v>0</v>
      </c>
      <c r="I460" s="15">
        <f t="shared" si="47"/>
        <v>3.4018004652819078</v>
      </c>
      <c r="J460" s="15">
        <f>IF(CurrentMtgRatesDataTable8[[#This Row],[WA CC]]&lt;&gt;0,C459-CurrentMtgRatesDataTable8[[#This Row],[WA CC]],0)</f>
        <v>0.84319953471809228</v>
      </c>
      <c r="K460" s="16">
        <f>IF(CurrentMtgRatesDataTable8[[#This Row],[Servicing Spread]]&lt;=0,K459,CurrentMtgRatesDataTable8[[#This Row],[Servicing Spread]])</f>
        <v>0.84319953471809228</v>
      </c>
    </row>
    <row r="461" spans="1:11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</v>
      </c>
      <c r="F461" s="15">
        <f t="shared" si="44"/>
        <v>2</v>
      </c>
      <c r="G461" s="15">
        <f t="shared" si="45"/>
        <v>0</v>
      </c>
      <c r="H461" s="15">
        <f t="shared" si="46"/>
        <v>0</v>
      </c>
      <c r="I461" s="15">
        <f t="shared" si="47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0.84319953471809228</v>
      </c>
    </row>
    <row r="462" spans="1:11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0.05</v>
      </c>
      <c r="F462" s="15">
        <f t="shared" si="44"/>
        <v>3</v>
      </c>
      <c r="G462" s="15">
        <f t="shared" si="45"/>
        <v>0.16355496021295252</v>
      </c>
      <c r="H462" s="15">
        <f t="shared" si="46"/>
        <v>0.05</v>
      </c>
      <c r="I462" s="15">
        <f t="shared" si="47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0.84319953471809228</v>
      </c>
    </row>
    <row r="463" spans="1:11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0.7</v>
      </c>
      <c r="F463" s="15">
        <f t="shared" si="44"/>
        <v>4</v>
      </c>
      <c r="G463" s="15">
        <f t="shared" si="45"/>
        <v>2.4813681140466124</v>
      </c>
      <c r="H463" s="15">
        <f t="shared" si="46"/>
        <v>0.75</v>
      </c>
      <c r="I463" s="15">
        <f t="shared" si="47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0.84319953471809228</v>
      </c>
    </row>
    <row r="464" spans="1:11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0.25</v>
      </c>
      <c r="F464" s="15">
        <f t="shared" si="44"/>
        <v>5</v>
      </c>
      <c r="G464" s="15">
        <f t="shared" si="45"/>
        <v>3.3209703660192176</v>
      </c>
      <c r="H464" s="15">
        <f t="shared" si="46"/>
        <v>1</v>
      </c>
      <c r="I464" s="15">
        <f t="shared" si="47"/>
        <v>0</v>
      </c>
      <c r="J464" s="15">
        <f>IF(CurrentMtgRatesDataTable8[[#This Row],[WA CC]]&lt;&gt;0,C463-CurrentMtgRatesDataTable8[[#This Row],[WA CC]],0)</f>
        <v>0</v>
      </c>
      <c r="K464" s="16">
        <f>IF(CurrentMtgRatesDataTable8[[#This Row],[Servicing Spread]]&lt;=0,K463,CurrentMtgRatesDataTable8[[#This Row],[Servicing Spread]])</f>
        <v>0.84319953471809228</v>
      </c>
    </row>
    <row r="465" spans="1:11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</v>
      </c>
      <c r="F465" s="15">
        <f t="shared" si="44"/>
        <v>1</v>
      </c>
      <c r="G465" s="15">
        <f t="shared" si="45"/>
        <v>0</v>
      </c>
      <c r="H465" s="15">
        <f t="shared" si="46"/>
        <v>0</v>
      </c>
      <c r="I465" s="15">
        <f t="shared" si="47"/>
        <v>3.3209703660192176</v>
      </c>
      <c r="J465" s="15">
        <f>IF(CurrentMtgRatesDataTable8[[#This Row],[WA CC]]&lt;&gt;0,C464-CurrentMtgRatesDataTable8[[#This Row],[WA CC]],0)</f>
        <v>0.83402963398078267</v>
      </c>
      <c r="K465" s="16">
        <f>IF(CurrentMtgRatesDataTable8[[#This Row],[Servicing Spread]]&lt;=0,K464,CurrentMtgRatesDataTable8[[#This Row],[Servicing Spread]])</f>
        <v>0.83402963398078267</v>
      </c>
    </row>
    <row r="466" spans="1:11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</v>
      </c>
      <c r="F466" s="15">
        <f t="shared" si="44"/>
        <v>2</v>
      </c>
      <c r="G466" s="15">
        <f t="shared" si="45"/>
        <v>0</v>
      </c>
      <c r="H466" s="15">
        <f t="shared" si="46"/>
        <v>0</v>
      </c>
      <c r="I466" s="15">
        <f t="shared" si="47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0.83402963398078267</v>
      </c>
    </row>
    <row r="467" spans="1:11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0.05</v>
      </c>
      <c r="F467" s="15">
        <f t="shared" si="44"/>
        <v>3</v>
      </c>
      <c r="G467" s="15">
        <f t="shared" si="45"/>
        <v>0.16738052714749152</v>
      </c>
      <c r="H467" s="15">
        <f t="shared" si="46"/>
        <v>0.05</v>
      </c>
      <c r="I467" s="15">
        <f t="shared" si="47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0.83402963398078267</v>
      </c>
    </row>
    <row r="468" spans="1:11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0.7</v>
      </c>
      <c r="F468" s="15">
        <f t="shared" si="44"/>
        <v>4</v>
      </c>
      <c r="G468" s="15">
        <f t="shared" si="45"/>
        <v>2.5385607856399353</v>
      </c>
      <c r="H468" s="15">
        <f t="shared" si="46"/>
        <v>0.75</v>
      </c>
      <c r="I468" s="15">
        <f t="shared" si="47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0.83402963398078267</v>
      </c>
    </row>
    <row r="469" spans="1:11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0.25</v>
      </c>
      <c r="F469" s="15">
        <f t="shared" si="44"/>
        <v>5</v>
      </c>
      <c r="G469" s="15">
        <f t="shared" si="45"/>
        <v>3.3977561415488604</v>
      </c>
      <c r="H469" s="15">
        <f t="shared" si="46"/>
        <v>1</v>
      </c>
      <c r="I469" s="15">
        <f t="shared" si="47"/>
        <v>0</v>
      </c>
      <c r="J469" s="15">
        <f>IF(CurrentMtgRatesDataTable8[[#This Row],[WA CC]]&lt;&gt;0,C468-CurrentMtgRatesDataTable8[[#This Row],[WA CC]],0)</f>
        <v>0</v>
      </c>
      <c r="K469" s="16">
        <f>IF(CurrentMtgRatesDataTable8[[#This Row],[Servicing Spread]]&lt;=0,K468,CurrentMtgRatesDataTable8[[#This Row],[Servicing Spread]])</f>
        <v>0.83402963398078267</v>
      </c>
    </row>
    <row r="470" spans="1:11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</v>
      </c>
      <c r="F470" s="15">
        <f t="shared" si="44"/>
        <v>1</v>
      </c>
      <c r="G470" s="15">
        <f t="shared" si="45"/>
        <v>0</v>
      </c>
      <c r="H470" s="15">
        <f t="shared" si="46"/>
        <v>0</v>
      </c>
      <c r="I470" s="15">
        <f t="shared" si="47"/>
        <v>3.3977561415488604</v>
      </c>
      <c r="J470" s="15">
        <f>IF(CurrentMtgRatesDataTable8[[#This Row],[WA CC]]&lt;&gt;0,C469-CurrentMtgRatesDataTable8[[#This Row],[WA CC]],0)</f>
        <v>0.80724385845113966</v>
      </c>
      <c r="K470" s="16">
        <f>IF(CurrentMtgRatesDataTable8[[#This Row],[Servicing Spread]]&lt;=0,K469,CurrentMtgRatesDataTable8[[#This Row],[Servicing Spread]])</f>
        <v>0.80724385845113966</v>
      </c>
    </row>
    <row r="471" spans="1:11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</v>
      </c>
      <c r="F471" s="15">
        <f t="shared" si="44"/>
        <v>2</v>
      </c>
      <c r="G471" s="15">
        <f t="shared" si="45"/>
        <v>0</v>
      </c>
      <c r="H471" s="15">
        <f t="shared" si="46"/>
        <v>0</v>
      </c>
      <c r="I471" s="15">
        <f t="shared" si="47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0.80724385845113966</v>
      </c>
    </row>
    <row r="472" spans="1:11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0.7</v>
      </c>
      <c r="F472" s="15">
        <f t="shared" si="44"/>
        <v>3</v>
      </c>
      <c r="G472" s="15">
        <f t="shared" si="45"/>
        <v>2.381575737886688</v>
      </c>
      <c r="H472" s="15">
        <f t="shared" si="46"/>
        <v>0.7</v>
      </c>
      <c r="I472" s="15">
        <f t="shared" si="47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0.80724385845113966</v>
      </c>
    </row>
    <row r="473" spans="1:11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0.25</v>
      </c>
      <c r="F473" s="15">
        <f t="shared" si="44"/>
        <v>4</v>
      </c>
      <c r="G473" s="15">
        <f t="shared" si="45"/>
        <v>3.236787296363663</v>
      </c>
      <c r="H473" s="15">
        <f t="shared" si="46"/>
        <v>0.95</v>
      </c>
      <c r="I473" s="15">
        <f t="shared" si="47"/>
        <v>0</v>
      </c>
      <c r="J473" s="15">
        <f>IF(CurrentMtgRatesDataTable8[[#This Row],[WA CC]]&lt;&gt;0,C472-CurrentMtgRatesDataTable8[[#This Row],[WA CC]],0)</f>
        <v>0</v>
      </c>
      <c r="K473" s="16">
        <f>IF(CurrentMtgRatesDataTable8[[#This Row],[Servicing Spread]]&lt;=0,K472,CurrentMtgRatesDataTable8[[#This Row],[Servicing Spread]])</f>
        <v>0.80724385845113966</v>
      </c>
    </row>
    <row r="474" spans="1:11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</v>
      </c>
      <c r="F474" s="15">
        <f t="shared" si="44"/>
        <v>1</v>
      </c>
      <c r="G474" s="15">
        <f t="shared" si="45"/>
        <v>0</v>
      </c>
      <c r="H474" s="15">
        <f t="shared" si="46"/>
        <v>0</v>
      </c>
      <c r="I474" s="15">
        <f t="shared" si="47"/>
        <v>3.4071445224880663</v>
      </c>
      <c r="J474" s="15">
        <f>IF(CurrentMtgRatesDataTable8[[#This Row],[WA CC]]&lt;&gt;0,C473-CurrentMtgRatesDataTable8[[#This Row],[WA CC]],0)</f>
        <v>0.84785547751193358</v>
      </c>
      <c r="K474" s="16">
        <f>IF(CurrentMtgRatesDataTable8[[#This Row],[Servicing Spread]]&lt;=0,K473,CurrentMtgRatesDataTable8[[#This Row],[Servicing Spread]])</f>
        <v>0.84785547751193358</v>
      </c>
    </row>
    <row r="475" spans="1:11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</v>
      </c>
      <c r="F475" s="15">
        <f t="shared" si="44"/>
        <v>2</v>
      </c>
      <c r="G475" s="15">
        <f t="shared" si="45"/>
        <v>0</v>
      </c>
      <c r="H475" s="15">
        <f t="shared" si="46"/>
        <v>0</v>
      </c>
      <c r="I475" s="15">
        <f t="shared" si="47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0.84785547751193358</v>
      </c>
    </row>
    <row r="476" spans="1:11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0.05</v>
      </c>
      <c r="F476" s="15">
        <f t="shared" si="44"/>
        <v>3</v>
      </c>
      <c r="G476" s="15">
        <f t="shared" si="45"/>
        <v>0.17149381609387501</v>
      </c>
      <c r="H476" s="15">
        <f t="shared" si="46"/>
        <v>0.05</v>
      </c>
      <c r="I476" s="15">
        <f t="shared" si="47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0.84785547751193358</v>
      </c>
    </row>
    <row r="477" spans="1:11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0.7</v>
      </c>
      <c r="F477" s="15">
        <f t="shared" si="44"/>
        <v>4</v>
      </c>
      <c r="G477" s="15">
        <f t="shared" si="45"/>
        <v>2.5348676772634411</v>
      </c>
      <c r="H477" s="15">
        <f t="shared" si="46"/>
        <v>0.75</v>
      </c>
      <c r="I477" s="15">
        <f t="shared" si="47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0.84785547751193358</v>
      </c>
    </row>
    <row r="478" spans="1:11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0.25</v>
      </c>
      <c r="F478" s="15">
        <f t="shared" si="44"/>
        <v>5</v>
      </c>
      <c r="G478" s="15">
        <f t="shared" si="45"/>
        <v>3.3753315813894185</v>
      </c>
      <c r="H478" s="15">
        <f t="shared" si="46"/>
        <v>1</v>
      </c>
      <c r="I478" s="15">
        <f t="shared" si="47"/>
        <v>0</v>
      </c>
      <c r="J478" s="15">
        <f>IF(CurrentMtgRatesDataTable8[[#This Row],[WA CC]]&lt;&gt;0,C477-CurrentMtgRatesDataTable8[[#This Row],[WA CC]],0)</f>
        <v>0</v>
      </c>
      <c r="K478" s="16">
        <f>IF(CurrentMtgRatesDataTable8[[#This Row],[Servicing Spread]]&lt;=0,K477,CurrentMtgRatesDataTable8[[#This Row],[Servicing Spread]])</f>
        <v>0.84785547751193358</v>
      </c>
    </row>
    <row r="479" spans="1:11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</v>
      </c>
      <c r="F479" s="15">
        <f t="shared" si="44"/>
        <v>1</v>
      </c>
      <c r="G479" s="15">
        <f t="shared" si="45"/>
        <v>0</v>
      </c>
      <c r="H479" s="15">
        <f t="shared" si="46"/>
        <v>0</v>
      </c>
      <c r="I479" s="15">
        <f t="shared" si="47"/>
        <v>3.3753315813894185</v>
      </c>
      <c r="J479" s="15">
        <f>IF(CurrentMtgRatesDataTable8[[#This Row],[WA CC]]&lt;&gt;0,C478-CurrentMtgRatesDataTable8[[#This Row],[WA CC]],0)</f>
        <v>0.91966841861058146</v>
      </c>
      <c r="K479" s="16">
        <f>IF(CurrentMtgRatesDataTable8[[#This Row],[Servicing Spread]]&lt;=0,K478,CurrentMtgRatesDataTable8[[#This Row],[Servicing Spread]])</f>
        <v>0.91966841861058146</v>
      </c>
    </row>
    <row r="480" spans="1:11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</v>
      </c>
      <c r="F480" s="15">
        <f t="shared" si="44"/>
        <v>2</v>
      </c>
      <c r="G480" s="15">
        <f t="shared" si="45"/>
        <v>0</v>
      </c>
      <c r="H480" s="15">
        <f t="shared" si="46"/>
        <v>0</v>
      </c>
      <c r="I480" s="15">
        <f t="shared" si="47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0.91966841861058146</v>
      </c>
    </row>
    <row r="481" spans="1:11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0.05</v>
      </c>
      <c r="F481" s="15">
        <f t="shared" si="44"/>
        <v>3</v>
      </c>
      <c r="G481" s="15">
        <f t="shared" si="45"/>
        <v>0.16626494089277752</v>
      </c>
      <c r="H481" s="15">
        <f t="shared" si="46"/>
        <v>0.05</v>
      </c>
      <c r="I481" s="15">
        <f t="shared" si="47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0.91966841861058146</v>
      </c>
    </row>
    <row r="482" spans="1:11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0.7</v>
      </c>
      <c r="F482" s="15">
        <f t="shared" si="44"/>
        <v>4</v>
      </c>
      <c r="G482" s="15">
        <f t="shared" si="45"/>
        <v>2.5450842224371124</v>
      </c>
      <c r="H482" s="15">
        <f t="shared" si="46"/>
        <v>0.75</v>
      </c>
      <c r="I482" s="15">
        <f t="shared" si="47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0.91966841861058146</v>
      </c>
    </row>
    <row r="483" spans="1:11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0.25</v>
      </c>
      <c r="F483" s="15">
        <f t="shared" si="44"/>
        <v>5</v>
      </c>
      <c r="G483" s="15">
        <f t="shared" si="45"/>
        <v>3.3954638503880923</v>
      </c>
      <c r="H483" s="15">
        <f t="shared" si="46"/>
        <v>1</v>
      </c>
      <c r="I483" s="15">
        <f t="shared" si="47"/>
        <v>0</v>
      </c>
      <c r="J483" s="15">
        <f>IF(CurrentMtgRatesDataTable8[[#This Row],[WA CC]]&lt;&gt;0,C482-CurrentMtgRatesDataTable8[[#This Row],[WA CC]],0)</f>
        <v>0</v>
      </c>
      <c r="K483" s="16">
        <f>IF(CurrentMtgRatesDataTable8[[#This Row],[Servicing Spread]]&lt;=0,K482,CurrentMtgRatesDataTable8[[#This Row],[Servicing Spread]])</f>
        <v>0.91966841861058146</v>
      </c>
    </row>
    <row r="484" spans="1:11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</v>
      </c>
      <c r="F484" s="15">
        <f t="shared" si="44"/>
        <v>1</v>
      </c>
      <c r="G484" s="15">
        <f t="shared" si="45"/>
        <v>0</v>
      </c>
      <c r="H484" s="15">
        <f t="shared" si="46"/>
        <v>0</v>
      </c>
      <c r="I484" s="15">
        <f t="shared" si="47"/>
        <v>3.3954638503880923</v>
      </c>
      <c r="J484" s="15">
        <f>IF(CurrentMtgRatesDataTable8[[#This Row],[WA CC]]&lt;&gt;0,C483-CurrentMtgRatesDataTable8[[#This Row],[WA CC]],0)</f>
        <v>0.80953614961190778</v>
      </c>
      <c r="K484" s="16">
        <f>IF(CurrentMtgRatesDataTable8[[#This Row],[Servicing Spread]]&lt;=0,K483,CurrentMtgRatesDataTable8[[#This Row],[Servicing Spread]])</f>
        <v>0.80953614961190778</v>
      </c>
    </row>
    <row r="485" spans="1:11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</v>
      </c>
      <c r="F485" s="15">
        <f t="shared" si="44"/>
        <v>2</v>
      </c>
      <c r="G485" s="15">
        <f t="shared" si="45"/>
        <v>0</v>
      </c>
      <c r="H485" s="15">
        <f t="shared" si="46"/>
        <v>0</v>
      </c>
      <c r="I485" s="15">
        <f t="shared" si="47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0.80953614961190778</v>
      </c>
    </row>
    <row r="486" spans="1:11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0.05</v>
      </c>
      <c r="F486" s="15">
        <f t="shared" si="44"/>
        <v>3</v>
      </c>
      <c r="G486" s="15">
        <f t="shared" si="45"/>
        <v>0.1723283569878275</v>
      </c>
      <c r="H486" s="15">
        <f t="shared" si="46"/>
        <v>0.05</v>
      </c>
      <c r="I486" s="15">
        <f t="shared" si="47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0.80953614961190778</v>
      </c>
    </row>
    <row r="487" spans="1:11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0.7</v>
      </c>
      <c r="F487" s="15">
        <f t="shared" si="44"/>
        <v>4</v>
      </c>
      <c r="G487" s="15">
        <f t="shared" si="45"/>
        <v>2.5830229128734992</v>
      </c>
      <c r="H487" s="15">
        <f t="shared" si="46"/>
        <v>0.75</v>
      </c>
      <c r="I487" s="15">
        <f t="shared" si="47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0.80953614961190778</v>
      </c>
    </row>
    <row r="488" spans="1:11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0.25</v>
      </c>
      <c r="F488" s="15">
        <f t="shared" si="44"/>
        <v>5</v>
      </c>
      <c r="G488" s="15">
        <f t="shared" si="45"/>
        <v>3.4351702471384518</v>
      </c>
      <c r="H488" s="15">
        <f t="shared" si="46"/>
        <v>1</v>
      </c>
      <c r="I488" s="15">
        <f t="shared" si="47"/>
        <v>0</v>
      </c>
      <c r="J488" s="15">
        <f>IF(CurrentMtgRatesDataTable8[[#This Row],[WA CC]]&lt;&gt;0,C487-CurrentMtgRatesDataTable8[[#This Row],[WA CC]],0)</f>
        <v>0</v>
      </c>
      <c r="K488" s="16">
        <f>IF(CurrentMtgRatesDataTable8[[#This Row],[Servicing Spread]]&lt;=0,K487,CurrentMtgRatesDataTable8[[#This Row],[Servicing Spread]])</f>
        <v>0.80953614961190778</v>
      </c>
    </row>
    <row r="489" spans="1:11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</v>
      </c>
      <c r="F489" s="15">
        <f t="shared" si="44"/>
        <v>1</v>
      </c>
      <c r="G489" s="15">
        <f t="shared" si="45"/>
        <v>0</v>
      </c>
      <c r="H489" s="15">
        <f t="shared" si="46"/>
        <v>0</v>
      </c>
      <c r="I489" s="15">
        <f t="shared" si="47"/>
        <v>3.4351702471384518</v>
      </c>
      <c r="J489" s="15">
        <f>IF(CurrentMtgRatesDataTable8[[#This Row],[WA CC]]&lt;&gt;0,C488-CurrentMtgRatesDataTable8[[#This Row],[WA CC]],0)</f>
        <v>0.8348297528615487</v>
      </c>
      <c r="K489" s="16">
        <f>IF(CurrentMtgRatesDataTable8[[#This Row],[Servicing Spread]]&lt;=0,K488,CurrentMtgRatesDataTable8[[#This Row],[Servicing Spread]])</f>
        <v>0.8348297528615487</v>
      </c>
    </row>
    <row r="490" spans="1:11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</v>
      </c>
      <c r="F490" s="15">
        <f t="shared" si="44"/>
        <v>2</v>
      </c>
      <c r="G490" s="15">
        <f t="shared" si="45"/>
        <v>0</v>
      </c>
      <c r="H490" s="15">
        <f t="shared" si="46"/>
        <v>0</v>
      </c>
      <c r="I490" s="15">
        <f t="shared" si="47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0.8348297528615487</v>
      </c>
    </row>
    <row r="491" spans="1:11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0.05</v>
      </c>
      <c r="F491" s="15">
        <f t="shared" si="44"/>
        <v>3</v>
      </c>
      <c r="G491" s="15">
        <f t="shared" si="45"/>
        <v>0.17087308614794902</v>
      </c>
      <c r="H491" s="15">
        <f t="shared" si="46"/>
        <v>0.05</v>
      </c>
      <c r="I491" s="15">
        <f t="shared" si="47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0.8348297528615487</v>
      </c>
    </row>
    <row r="492" spans="1:11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0.7</v>
      </c>
      <c r="F492" s="15">
        <f t="shared" si="44"/>
        <v>4</v>
      </c>
      <c r="G492" s="15">
        <f t="shared" si="45"/>
        <v>2.5468329277594868</v>
      </c>
      <c r="H492" s="15">
        <f t="shared" si="46"/>
        <v>0.75</v>
      </c>
      <c r="I492" s="15">
        <f t="shared" si="47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0.8348297528615487</v>
      </c>
    </row>
    <row r="493" spans="1:11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0.25</v>
      </c>
      <c r="F493" s="15">
        <f t="shared" si="44"/>
        <v>5</v>
      </c>
      <c r="G493" s="15">
        <f t="shared" si="45"/>
        <v>3.4149353351439617</v>
      </c>
      <c r="H493" s="15">
        <f t="shared" si="46"/>
        <v>1</v>
      </c>
      <c r="I493" s="15">
        <f t="shared" si="47"/>
        <v>0</v>
      </c>
      <c r="J493" s="15">
        <f>IF(CurrentMtgRatesDataTable8[[#This Row],[WA CC]]&lt;&gt;0,C492-CurrentMtgRatesDataTable8[[#This Row],[WA CC]],0)</f>
        <v>0</v>
      </c>
      <c r="K493" s="16">
        <f>IF(CurrentMtgRatesDataTable8[[#This Row],[Servicing Spread]]&lt;=0,K492,CurrentMtgRatesDataTable8[[#This Row],[Servicing Spread]])</f>
        <v>0.8348297528615487</v>
      </c>
    </row>
    <row r="494" spans="1:11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</v>
      </c>
      <c r="F494" s="15">
        <f t="shared" si="44"/>
        <v>1</v>
      </c>
      <c r="G494" s="15">
        <f t="shared" si="45"/>
        <v>0</v>
      </c>
      <c r="H494" s="15">
        <f t="shared" si="46"/>
        <v>0</v>
      </c>
      <c r="I494" s="15">
        <f t="shared" si="47"/>
        <v>3.4149353351439617</v>
      </c>
      <c r="J494" s="15">
        <f>IF(CurrentMtgRatesDataTable8[[#This Row],[WA CC]]&lt;&gt;0,C493-CurrentMtgRatesDataTable8[[#This Row],[WA CC]],0)</f>
        <v>0.80506466485603889</v>
      </c>
      <c r="K494" s="16">
        <f>IF(CurrentMtgRatesDataTable8[[#This Row],[Servicing Spread]]&lt;=0,K493,CurrentMtgRatesDataTable8[[#This Row],[Servicing Spread]])</f>
        <v>0.80506466485603889</v>
      </c>
    </row>
    <row r="495" spans="1:11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</v>
      </c>
      <c r="F495" s="15">
        <f t="shared" si="44"/>
        <v>2</v>
      </c>
      <c r="G495" s="15">
        <f t="shared" si="45"/>
        <v>0</v>
      </c>
      <c r="H495" s="15">
        <f t="shared" si="46"/>
        <v>0</v>
      </c>
      <c r="I495" s="15">
        <f t="shared" si="47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0.80506466485603889</v>
      </c>
    </row>
    <row r="496" spans="1:11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0.05</v>
      </c>
      <c r="F496" s="15">
        <f t="shared" si="44"/>
        <v>3</v>
      </c>
      <c r="G496" s="15">
        <f t="shared" si="45"/>
        <v>0.17263337744173751</v>
      </c>
      <c r="H496" s="15">
        <f t="shared" si="46"/>
        <v>0.05</v>
      </c>
      <c r="I496" s="15">
        <f t="shared" si="47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0.80506466485603889</v>
      </c>
    </row>
    <row r="497" spans="1:11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0.7</v>
      </c>
      <c r="F497" s="15">
        <f t="shared" si="44"/>
        <v>4</v>
      </c>
      <c r="G497" s="15">
        <f t="shared" si="45"/>
        <v>2.5890119754639307</v>
      </c>
      <c r="H497" s="15">
        <f t="shared" si="46"/>
        <v>0.75</v>
      </c>
      <c r="I497" s="15">
        <f t="shared" si="47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0.80506466485603889</v>
      </c>
    </row>
    <row r="498" spans="1:11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0.25</v>
      </c>
      <c r="F498" s="15">
        <f t="shared" si="44"/>
        <v>5</v>
      </c>
      <c r="G498" s="15">
        <f t="shared" si="45"/>
        <v>3.4444471140818083</v>
      </c>
      <c r="H498" s="15">
        <f t="shared" si="46"/>
        <v>1</v>
      </c>
      <c r="I498" s="15">
        <f t="shared" si="47"/>
        <v>0</v>
      </c>
      <c r="J498" s="15">
        <f>IF(CurrentMtgRatesDataTable8[[#This Row],[WA CC]]&lt;&gt;0,C497-CurrentMtgRatesDataTable8[[#This Row],[WA CC]],0)</f>
        <v>0</v>
      </c>
      <c r="K498" s="16">
        <f>IF(CurrentMtgRatesDataTable8[[#This Row],[Servicing Spread]]&lt;=0,K497,CurrentMtgRatesDataTable8[[#This Row],[Servicing Spread]])</f>
        <v>0.80506466485603889</v>
      </c>
    </row>
    <row r="499" spans="1:11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</v>
      </c>
      <c r="F499" s="15">
        <f t="shared" si="44"/>
        <v>1</v>
      </c>
      <c r="G499" s="15">
        <f t="shared" si="45"/>
        <v>0</v>
      </c>
      <c r="H499" s="15">
        <f t="shared" si="46"/>
        <v>0</v>
      </c>
      <c r="I499" s="15">
        <f t="shared" si="47"/>
        <v>3.4444471140818083</v>
      </c>
      <c r="J499" s="15">
        <f>IF(CurrentMtgRatesDataTable8[[#This Row],[WA CC]]&lt;&gt;0,C498-CurrentMtgRatesDataTable8[[#This Row],[WA CC]],0)</f>
        <v>0.85555288591819245</v>
      </c>
      <c r="K499" s="16">
        <f>IF(CurrentMtgRatesDataTable8[[#This Row],[Servicing Spread]]&lt;=0,K498,CurrentMtgRatesDataTable8[[#This Row],[Servicing Spread]])</f>
        <v>0.85555288591819245</v>
      </c>
    </row>
    <row r="500" spans="1:11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</v>
      </c>
      <c r="F500" s="15">
        <f t="shared" si="44"/>
        <v>2</v>
      </c>
      <c r="G500" s="15">
        <f t="shared" si="45"/>
        <v>0</v>
      </c>
      <c r="H500" s="15">
        <f t="shared" si="46"/>
        <v>0</v>
      </c>
      <c r="I500" s="15">
        <f t="shared" si="47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0.85555288591819245</v>
      </c>
    </row>
    <row r="501" spans="1:11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0.05</v>
      </c>
      <c r="F501" s="15">
        <f t="shared" si="44"/>
        <v>3</v>
      </c>
      <c r="G501" s="15">
        <f t="shared" si="45"/>
        <v>0.17234296753235051</v>
      </c>
      <c r="H501" s="15">
        <f t="shared" si="46"/>
        <v>0.05</v>
      </c>
      <c r="I501" s="15">
        <f t="shared" si="47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0.85555288591819245</v>
      </c>
    </row>
    <row r="502" spans="1:11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0.7</v>
      </c>
      <c r="F502" s="15">
        <f t="shared" si="44"/>
        <v>4</v>
      </c>
      <c r="G502" s="15">
        <f t="shared" si="45"/>
        <v>2.6032341107746744</v>
      </c>
      <c r="H502" s="15">
        <f t="shared" si="46"/>
        <v>0.75</v>
      </c>
      <c r="I502" s="15">
        <f t="shared" si="47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0.85555288591819245</v>
      </c>
    </row>
    <row r="503" spans="1:11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0.25</v>
      </c>
      <c r="F503" s="15">
        <f t="shared" si="44"/>
        <v>5</v>
      </c>
      <c r="G503" s="15">
        <f t="shared" si="45"/>
        <v>3.4798908462208318</v>
      </c>
      <c r="H503" s="15">
        <f t="shared" si="46"/>
        <v>1</v>
      </c>
      <c r="I503" s="15">
        <f t="shared" si="47"/>
        <v>0</v>
      </c>
      <c r="J503" s="15">
        <f>IF(CurrentMtgRatesDataTable8[[#This Row],[WA CC]]&lt;&gt;0,C502-CurrentMtgRatesDataTable8[[#This Row],[WA CC]],0)</f>
        <v>0</v>
      </c>
      <c r="K503" s="16">
        <f>IF(CurrentMtgRatesDataTable8[[#This Row],[Servicing Spread]]&lt;=0,K502,CurrentMtgRatesDataTable8[[#This Row],[Servicing Spread]])</f>
        <v>0.85555288591819245</v>
      </c>
    </row>
    <row r="504" spans="1:11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</v>
      </c>
      <c r="F504" s="15">
        <f t="shared" si="44"/>
        <v>1</v>
      </c>
      <c r="G504" s="15">
        <f t="shared" si="45"/>
        <v>0</v>
      </c>
      <c r="H504" s="15">
        <f t="shared" si="46"/>
        <v>0</v>
      </c>
      <c r="I504" s="15">
        <f t="shared" si="47"/>
        <v>3.4798908462208318</v>
      </c>
      <c r="J504" s="15">
        <f>IF(CurrentMtgRatesDataTable8[[#This Row],[WA CC]]&lt;&gt;0,C503-CurrentMtgRatesDataTable8[[#This Row],[WA CC]],0)</f>
        <v>0.85510915377916819</v>
      </c>
      <c r="K504" s="16">
        <f>IF(CurrentMtgRatesDataTable8[[#This Row],[Servicing Spread]]&lt;=0,K503,CurrentMtgRatesDataTable8[[#This Row],[Servicing Spread]])</f>
        <v>0.85510915377916819</v>
      </c>
    </row>
    <row r="505" spans="1:11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</v>
      </c>
      <c r="F505" s="15">
        <f t="shared" si="44"/>
        <v>2</v>
      </c>
      <c r="G505" s="15">
        <f t="shared" si="45"/>
        <v>0</v>
      </c>
      <c r="H505" s="15">
        <f t="shared" si="46"/>
        <v>0</v>
      </c>
      <c r="I505" s="15">
        <f t="shared" si="47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0.85510915377916819</v>
      </c>
    </row>
    <row r="506" spans="1:11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0.05</v>
      </c>
      <c r="F506" s="15">
        <f t="shared" si="44"/>
        <v>3</v>
      </c>
      <c r="G506" s="15">
        <f t="shared" si="45"/>
        <v>0.16975481397235351</v>
      </c>
      <c r="H506" s="15">
        <f t="shared" si="46"/>
        <v>0.05</v>
      </c>
      <c r="I506" s="15">
        <f t="shared" si="47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0.85510915377916819</v>
      </c>
    </row>
    <row r="507" spans="1:11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0.7</v>
      </c>
      <c r="F507" s="15">
        <f t="shared" si="44"/>
        <v>4</v>
      </c>
      <c r="G507" s="15">
        <f t="shared" si="45"/>
        <v>2.5309827474641513</v>
      </c>
      <c r="H507" s="15">
        <f t="shared" si="46"/>
        <v>0.75</v>
      </c>
      <c r="I507" s="15">
        <f t="shared" si="47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0.85510915377916819</v>
      </c>
    </row>
    <row r="508" spans="1:11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0.25</v>
      </c>
      <c r="F508" s="15">
        <f t="shared" si="44"/>
        <v>5</v>
      </c>
      <c r="G508" s="15">
        <f t="shared" si="45"/>
        <v>3.3747562918327714</v>
      </c>
      <c r="H508" s="15">
        <f t="shared" si="46"/>
        <v>1</v>
      </c>
      <c r="I508" s="15">
        <f t="shared" si="47"/>
        <v>0</v>
      </c>
      <c r="J508" s="15">
        <f>IF(CurrentMtgRatesDataTable8[[#This Row],[WA CC]]&lt;&gt;0,C507-CurrentMtgRatesDataTable8[[#This Row],[WA CC]],0)</f>
        <v>0</v>
      </c>
      <c r="K508" s="16">
        <f>IF(CurrentMtgRatesDataTable8[[#This Row],[Servicing Spread]]&lt;=0,K507,CurrentMtgRatesDataTable8[[#This Row],[Servicing Spread]])</f>
        <v>0.85510915377916819</v>
      </c>
    </row>
    <row r="509" spans="1:11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</v>
      </c>
      <c r="F509" s="15">
        <f t="shared" si="44"/>
        <v>1</v>
      </c>
      <c r="G509" s="15">
        <f t="shared" si="45"/>
        <v>0</v>
      </c>
      <c r="H509" s="15">
        <f t="shared" si="46"/>
        <v>0</v>
      </c>
      <c r="I509" s="15">
        <f t="shared" si="47"/>
        <v>3.3747562918327714</v>
      </c>
      <c r="J509" s="15">
        <f>IF(CurrentMtgRatesDataTable8[[#This Row],[WA CC]]&lt;&gt;0,C508-CurrentMtgRatesDataTable8[[#This Row],[WA CC]],0)</f>
        <v>0.89024370816722831</v>
      </c>
      <c r="K509" s="16">
        <f>IF(CurrentMtgRatesDataTable8[[#This Row],[Servicing Spread]]&lt;=0,K508,CurrentMtgRatesDataTable8[[#This Row],[Servicing Spread]])</f>
        <v>0.89024370816722831</v>
      </c>
    </row>
    <row r="510" spans="1:11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</v>
      </c>
      <c r="F510" s="15">
        <f t="shared" si="44"/>
        <v>2</v>
      </c>
      <c r="G510" s="15">
        <f t="shared" si="45"/>
        <v>0</v>
      </c>
      <c r="H510" s="15">
        <f t="shared" si="46"/>
        <v>0</v>
      </c>
      <c r="I510" s="15">
        <f t="shared" si="47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0.89024370816722831</v>
      </c>
    </row>
    <row r="511" spans="1:11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0.05</v>
      </c>
      <c r="F511" s="15">
        <f t="shared" si="44"/>
        <v>3</v>
      </c>
      <c r="G511" s="15">
        <f t="shared" si="45"/>
        <v>0.1670413621175505</v>
      </c>
      <c r="H511" s="15">
        <f t="shared" si="46"/>
        <v>0.05</v>
      </c>
      <c r="I511" s="15">
        <f t="shared" si="47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0.89024370816722831</v>
      </c>
    </row>
    <row r="512" spans="1:11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0.7</v>
      </c>
      <c r="F512" s="15">
        <f t="shared" si="44"/>
        <v>4</v>
      </c>
      <c r="G512" s="15">
        <f t="shared" si="45"/>
        <v>2.5035932692300853</v>
      </c>
      <c r="H512" s="15">
        <f t="shared" si="46"/>
        <v>0.75</v>
      </c>
      <c r="I512" s="15">
        <f t="shared" si="47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0.89024370816722831</v>
      </c>
    </row>
    <row r="513" spans="1:11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0.25</v>
      </c>
      <c r="F513" s="15">
        <f t="shared" si="44"/>
        <v>5</v>
      </c>
      <c r="G513" s="15">
        <f t="shared" si="45"/>
        <v>3.3412935246781226</v>
      </c>
      <c r="H513" s="15">
        <f t="shared" si="46"/>
        <v>1</v>
      </c>
      <c r="I513" s="15">
        <f t="shared" si="47"/>
        <v>0</v>
      </c>
      <c r="J513" s="15">
        <f>IF(CurrentMtgRatesDataTable8[[#This Row],[WA CC]]&lt;&gt;0,C512-CurrentMtgRatesDataTable8[[#This Row],[WA CC]],0)</f>
        <v>0</v>
      </c>
      <c r="K513" s="16">
        <f>IF(CurrentMtgRatesDataTable8[[#This Row],[Servicing Spread]]&lt;=0,K512,CurrentMtgRatesDataTable8[[#This Row],[Servicing Spread]])</f>
        <v>0.89024370816722831</v>
      </c>
    </row>
    <row r="514" spans="1:11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</v>
      </c>
      <c r="F514" s="15">
        <f t="shared" si="44"/>
        <v>1</v>
      </c>
      <c r="G514" s="15">
        <f t="shared" si="45"/>
        <v>0</v>
      </c>
      <c r="H514" s="15">
        <f t="shared" si="46"/>
        <v>0</v>
      </c>
      <c r="I514" s="15">
        <f t="shared" si="47"/>
        <v>3.3412935246781226</v>
      </c>
      <c r="J514" s="15">
        <f>IF(CurrentMtgRatesDataTable8[[#This Row],[WA CC]]&lt;&gt;0,C513-CurrentMtgRatesDataTable8[[#This Row],[WA CC]],0)</f>
        <v>0.85370647532187682</v>
      </c>
      <c r="K514" s="16">
        <f>IF(CurrentMtgRatesDataTable8[[#This Row],[Servicing Spread]]&lt;=0,K513,CurrentMtgRatesDataTable8[[#This Row],[Servicing Spread]])</f>
        <v>0.85370647532187682</v>
      </c>
    </row>
    <row r="515" spans="1:11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0.05</v>
      </c>
      <c r="F515" s="15">
        <f t="shared" si="44"/>
        <v>2</v>
      </c>
      <c r="G515" s="15">
        <f t="shared" si="45"/>
        <v>0.17107472348518751</v>
      </c>
      <c r="H515" s="15">
        <f t="shared" si="46"/>
        <v>0.05</v>
      </c>
      <c r="I515" s="15">
        <f t="shared" si="47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0.85370647532187682</v>
      </c>
    </row>
    <row r="516" spans="1:11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0.7</v>
      </c>
      <c r="F516" s="15">
        <f t="shared" si="44"/>
        <v>3</v>
      </c>
      <c r="G516" s="15">
        <f t="shared" si="45"/>
        <v>2.5621428088308615</v>
      </c>
      <c r="H516" s="15">
        <f t="shared" si="46"/>
        <v>0.75</v>
      </c>
      <c r="I516" s="15">
        <f t="shared" si="47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0.85370647532187682</v>
      </c>
    </row>
    <row r="517" spans="1:11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VLOOKUP(D517,O$5:P$11,2,FALSE)</f>
        <v>0.25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3.4049576727289068</v>
      </c>
      <c r="H517" s="15">
        <f t="shared" ref="H517:H580" si="52">IF(AND(F517&lt;6,F517&gt;F516),E517+H516,E517)</f>
        <v>1</v>
      </c>
      <c r="I517" s="15">
        <f t="shared" ref="I517:I580" si="53">IF(F516&gt;F517,G516/H516,0)</f>
        <v>0</v>
      </c>
      <c r="J517" s="15">
        <f>IF(CurrentMtgRatesDataTable8[[#This Row],[WA CC]]&lt;&gt;0,C516-CurrentMtgRatesDataTable8[[#This Row],[WA CC]],0)</f>
        <v>0</v>
      </c>
      <c r="K517" s="16">
        <f>IF(CurrentMtgRatesDataTable8[[#This Row],[Servicing Spread]]&lt;=0,K516,CurrentMtgRatesDataTable8[[#This Row],[Servicing Spread]])</f>
        <v>0.85370647532187682</v>
      </c>
    </row>
    <row r="518" spans="1:11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</v>
      </c>
      <c r="F518" s="15">
        <f t="shared" si="50"/>
        <v>1</v>
      </c>
      <c r="G518" s="15">
        <f t="shared" si="51"/>
        <v>0</v>
      </c>
      <c r="H518" s="15">
        <f t="shared" si="52"/>
        <v>0</v>
      </c>
      <c r="I518" s="15">
        <f t="shared" si="53"/>
        <v>3.4049576727289068</v>
      </c>
      <c r="J518" s="15">
        <f>IF(CurrentMtgRatesDataTable8[[#This Row],[WA CC]]&lt;&gt;0,C517-CurrentMtgRatesDataTable8[[#This Row],[WA CC]],0)</f>
        <v>0.82504232727109361</v>
      </c>
      <c r="K518" s="16">
        <f>IF(CurrentMtgRatesDataTable8[[#This Row],[Servicing Spread]]&lt;=0,K517,CurrentMtgRatesDataTable8[[#This Row],[Servicing Spread]])</f>
        <v>0.82504232727109361</v>
      </c>
    </row>
    <row r="519" spans="1:11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</v>
      </c>
      <c r="F519" s="15">
        <f t="shared" si="50"/>
        <v>2</v>
      </c>
      <c r="G519" s="15">
        <f t="shared" si="51"/>
        <v>0</v>
      </c>
      <c r="H519" s="15">
        <f t="shared" si="52"/>
        <v>0</v>
      </c>
      <c r="I519" s="15">
        <f t="shared" si="53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0.82504232727109361</v>
      </c>
    </row>
    <row r="520" spans="1:11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0.05</v>
      </c>
      <c r="F520" s="15">
        <f t="shared" si="50"/>
        <v>3</v>
      </c>
      <c r="G520" s="15">
        <f t="shared" si="51"/>
        <v>0.16757305703204201</v>
      </c>
      <c r="H520" s="15">
        <f t="shared" si="52"/>
        <v>0.05</v>
      </c>
      <c r="I520" s="15">
        <f t="shared" si="53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0.82504232727109361</v>
      </c>
    </row>
    <row r="521" spans="1:11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0.7</v>
      </c>
      <c r="F521" s="15">
        <f t="shared" si="50"/>
        <v>4</v>
      </c>
      <c r="G521" s="15">
        <f t="shared" si="51"/>
        <v>2.5289350941755218</v>
      </c>
      <c r="H521" s="15">
        <f t="shared" si="52"/>
        <v>0.75</v>
      </c>
      <c r="I521" s="15">
        <f t="shared" si="53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0.82504232727109361</v>
      </c>
    </row>
    <row r="522" spans="1:11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0.25</v>
      </c>
      <c r="F522" s="15">
        <f t="shared" si="50"/>
        <v>5</v>
      </c>
      <c r="G522" s="15">
        <f t="shared" si="51"/>
        <v>3.3607918354306219</v>
      </c>
      <c r="H522" s="15">
        <f t="shared" si="52"/>
        <v>1</v>
      </c>
      <c r="I522" s="15">
        <f t="shared" si="53"/>
        <v>0</v>
      </c>
      <c r="J522" s="15">
        <f>IF(CurrentMtgRatesDataTable8[[#This Row],[WA CC]]&lt;&gt;0,C521-CurrentMtgRatesDataTable8[[#This Row],[WA CC]],0)</f>
        <v>0</v>
      </c>
      <c r="K522" s="16">
        <f>IF(CurrentMtgRatesDataTable8[[#This Row],[Servicing Spread]]&lt;=0,K521,CurrentMtgRatesDataTable8[[#This Row],[Servicing Spread]])</f>
        <v>0.82504232727109361</v>
      </c>
    </row>
    <row r="523" spans="1:11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</v>
      </c>
      <c r="F523" s="15">
        <f t="shared" si="50"/>
        <v>1</v>
      </c>
      <c r="G523" s="15">
        <f t="shared" si="51"/>
        <v>0</v>
      </c>
      <c r="H523" s="15">
        <f t="shared" si="52"/>
        <v>0</v>
      </c>
      <c r="I523" s="15">
        <f t="shared" si="53"/>
        <v>3.3607918354306219</v>
      </c>
      <c r="J523" s="15">
        <f>IF(CurrentMtgRatesDataTable8[[#This Row],[WA CC]]&lt;&gt;0,C522-CurrentMtgRatesDataTable8[[#This Row],[WA CC]],0)</f>
        <v>0.85420816456937798</v>
      </c>
      <c r="K523" s="16">
        <f>IF(CurrentMtgRatesDataTable8[[#This Row],[Servicing Spread]]&lt;=0,K522,CurrentMtgRatesDataTable8[[#This Row],[Servicing Spread]])</f>
        <v>0.85420816456937798</v>
      </c>
    </row>
    <row r="524" spans="1:11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</v>
      </c>
      <c r="F524" s="15">
        <f t="shared" si="50"/>
        <v>2</v>
      </c>
      <c r="G524" s="15">
        <f t="shared" si="51"/>
        <v>0</v>
      </c>
      <c r="H524" s="15">
        <f t="shared" si="52"/>
        <v>0</v>
      </c>
      <c r="I524" s="15">
        <f t="shared" si="53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0.85420816456937798</v>
      </c>
    </row>
    <row r="525" spans="1:11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0.05</v>
      </c>
      <c r="F525" s="15">
        <f t="shared" si="50"/>
        <v>3</v>
      </c>
      <c r="G525" s="15">
        <f t="shared" si="51"/>
        <v>0.164424970972603</v>
      </c>
      <c r="H525" s="15">
        <f t="shared" si="52"/>
        <v>0.05</v>
      </c>
      <c r="I525" s="15">
        <f t="shared" si="53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0.85420816456937798</v>
      </c>
    </row>
    <row r="526" spans="1:11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0.7</v>
      </c>
      <c r="F526" s="15">
        <f t="shared" si="50"/>
        <v>4</v>
      </c>
      <c r="G526" s="15">
        <f t="shared" si="51"/>
        <v>2.451809983920862</v>
      </c>
      <c r="H526" s="15">
        <f t="shared" si="52"/>
        <v>0.75</v>
      </c>
      <c r="I526" s="15">
        <f t="shared" si="53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0.85420816456937798</v>
      </c>
    </row>
    <row r="527" spans="1:11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0.25</v>
      </c>
      <c r="F527" s="15">
        <f t="shared" si="50"/>
        <v>5</v>
      </c>
      <c r="G527" s="15">
        <f t="shared" si="51"/>
        <v>3.2609498117252018</v>
      </c>
      <c r="H527" s="15">
        <f t="shared" si="52"/>
        <v>1</v>
      </c>
      <c r="I527" s="15">
        <f t="shared" si="53"/>
        <v>0</v>
      </c>
      <c r="J527" s="15">
        <f>IF(CurrentMtgRatesDataTable8[[#This Row],[WA CC]]&lt;&gt;0,C526-CurrentMtgRatesDataTable8[[#This Row],[WA CC]],0)</f>
        <v>0</v>
      </c>
      <c r="K527" s="16">
        <f>IF(CurrentMtgRatesDataTable8[[#This Row],[Servicing Spread]]&lt;=0,K526,CurrentMtgRatesDataTable8[[#This Row],[Servicing Spread]])</f>
        <v>0.85420816456937798</v>
      </c>
    </row>
    <row r="528" spans="1:11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</v>
      </c>
      <c r="F528" s="15">
        <f t="shared" si="50"/>
        <v>1</v>
      </c>
      <c r="G528" s="15">
        <f t="shared" si="51"/>
        <v>0</v>
      </c>
      <c r="H528" s="15">
        <f t="shared" si="52"/>
        <v>0</v>
      </c>
      <c r="I528" s="15">
        <f t="shared" si="53"/>
        <v>3.2609498117252018</v>
      </c>
      <c r="J528" s="15">
        <f>IF(CurrentMtgRatesDataTable8[[#This Row],[WA CC]]&lt;&gt;0,C527-CurrentMtgRatesDataTable8[[#This Row],[WA CC]],0)</f>
        <v>0.8490501882747985</v>
      </c>
      <c r="K528" s="16">
        <f>IF(CurrentMtgRatesDataTable8[[#This Row],[Servicing Spread]]&lt;=0,K527,CurrentMtgRatesDataTable8[[#This Row],[Servicing Spread]])</f>
        <v>0.8490501882747985</v>
      </c>
    </row>
    <row r="529" spans="1:11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</v>
      </c>
      <c r="F529" s="15">
        <f t="shared" si="50"/>
        <v>2</v>
      </c>
      <c r="G529" s="15">
        <f t="shared" si="51"/>
        <v>0</v>
      </c>
      <c r="H529" s="15">
        <f t="shared" si="52"/>
        <v>0</v>
      </c>
      <c r="I529" s="15">
        <f t="shared" si="53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0.8490501882747985</v>
      </c>
    </row>
    <row r="530" spans="1:11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0.05</v>
      </c>
      <c r="F530" s="15">
        <f t="shared" si="50"/>
        <v>3</v>
      </c>
      <c r="G530" s="15">
        <f t="shared" si="51"/>
        <v>0.16478656898369251</v>
      </c>
      <c r="H530" s="15">
        <f t="shared" si="52"/>
        <v>0.05</v>
      </c>
      <c r="I530" s="15">
        <f t="shared" si="53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0.8490501882747985</v>
      </c>
    </row>
    <row r="531" spans="1:11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0.7</v>
      </c>
      <c r="F531" s="15">
        <f t="shared" si="50"/>
        <v>4</v>
      </c>
      <c r="G531" s="15">
        <f t="shared" si="51"/>
        <v>2.4557484324891123</v>
      </c>
      <c r="H531" s="15">
        <f t="shared" si="52"/>
        <v>0.75</v>
      </c>
      <c r="I531" s="15">
        <f t="shared" si="53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0.8490501882747985</v>
      </c>
    </row>
    <row r="532" spans="1:11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0.25</v>
      </c>
      <c r="F532" s="15">
        <f t="shared" si="50"/>
        <v>5</v>
      </c>
      <c r="G532" s="15">
        <f t="shared" si="51"/>
        <v>3.2550207393076898</v>
      </c>
      <c r="H532" s="15">
        <f t="shared" si="52"/>
        <v>1</v>
      </c>
      <c r="I532" s="15">
        <f t="shared" si="53"/>
        <v>0</v>
      </c>
      <c r="J532" s="15">
        <f>IF(CurrentMtgRatesDataTable8[[#This Row],[WA CC]]&lt;&gt;0,C531-CurrentMtgRatesDataTable8[[#This Row],[WA CC]],0)</f>
        <v>0</v>
      </c>
      <c r="K532" s="16">
        <f>IF(CurrentMtgRatesDataTable8[[#This Row],[Servicing Spread]]&lt;=0,K531,CurrentMtgRatesDataTable8[[#This Row],[Servicing Spread]])</f>
        <v>0.8490501882747985</v>
      </c>
    </row>
    <row r="533" spans="1:11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</v>
      </c>
      <c r="F533" s="15">
        <f t="shared" si="50"/>
        <v>1</v>
      </c>
      <c r="G533" s="15">
        <f t="shared" si="51"/>
        <v>0</v>
      </c>
      <c r="H533" s="15">
        <f t="shared" si="52"/>
        <v>0</v>
      </c>
      <c r="I533" s="15">
        <f t="shared" si="53"/>
        <v>3.2550207393076898</v>
      </c>
      <c r="J533" s="15">
        <f>IF(CurrentMtgRatesDataTable8[[#This Row],[WA CC]]&lt;&gt;0,C532-CurrentMtgRatesDataTable8[[#This Row],[WA CC]],0)</f>
        <v>0.84497926069231077</v>
      </c>
      <c r="K533" s="16">
        <f>IF(CurrentMtgRatesDataTable8[[#This Row],[Servicing Spread]]&lt;=0,K532,CurrentMtgRatesDataTable8[[#This Row],[Servicing Spread]])</f>
        <v>0.84497926069231077</v>
      </c>
    </row>
    <row r="534" spans="1:11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</v>
      </c>
      <c r="F534" s="15">
        <f t="shared" si="50"/>
        <v>2</v>
      </c>
      <c r="G534" s="15">
        <f t="shared" si="51"/>
        <v>0</v>
      </c>
      <c r="H534" s="15">
        <f t="shared" si="52"/>
        <v>0</v>
      </c>
      <c r="I534" s="15">
        <f t="shared" si="53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0.84497926069231077</v>
      </c>
    </row>
    <row r="535" spans="1:11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0.05</v>
      </c>
      <c r="F535" s="15">
        <f t="shared" si="50"/>
        <v>3</v>
      </c>
      <c r="G535" s="15">
        <f t="shared" si="51"/>
        <v>0.16124855907483152</v>
      </c>
      <c r="H535" s="15">
        <f t="shared" si="52"/>
        <v>0.05</v>
      </c>
      <c r="I535" s="15">
        <f t="shared" si="53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0.84497926069231077</v>
      </c>
    </row>
    <row r="536" spans="1:11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0.7</v>
      </c>
      <c r="F536" s="15">
        <f t="shared" si="50"/>
        <v>4</v>
      </c>
      <c r="G536" s="15">
        <f t="shared" si="51"/>
        <v>2.39468601376318</v>
      </c>
      <c r="H536" s="15">
        <f t="shared" si="52"/>
        <v>0.75</v>
      </c>
      <c r="I536" s="15">
        <f t="shared" si="53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0.84497926069231077</v>
      </c>
    </row>
    <row r="537" spans="1:11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0.25</v>
      </c>
      <c r="F537" s="15">
        <f t="shared" si="50"/>
        <v>5</v>
      </c>
      <c r="G537" s="15">
        <f t="shared" si="51"/>
        <v>3.1947792468033125</v>
      </c>
      <c r="H537" s="15">
        <f t="shared" si="52"/>
        <v>1</v>
      </c>
      <c r="I537" s="15">
        <f t="shared" si="53"/>
        <v>0</v>
      </c>
      <c r="J537" s="15">
        <f>IF(CurrentMtgRatesDataTable8[[#This Row],[WA CC]]&lt;&gt;0,C536-CurrentMtgRatesDataTable8[[#This Row],[WA CC]],0)</f>
        <v>0</v>
      </c>
      <c r="K537" s="16">
        <f>IF(CurrentMtgRatesDataTable8[[#This Row],[Servicing Spread]]&lt;=0,K536,CurrentMtgRatesDataTable8[[#This Row],[Servicing Spread]])</f>
        <v>0.84497926069231077</v>
      </c>
    </row>
    <row r="538" spans="1:11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</v>
      </c>
      <c r="F538" s="15">
        <f t="shared" si="50"/>
        <v>1</v>
      </c>
      <c r="G538" s="15">
        <f t="shared" si="51"/>
        <v>0</v>
      </c>
      <c r="H538" s="15">
        <f t="shared" si="52"/>
        <v>0</v>
      </c>
      <c r="I538" s="15">
        <f t="shared" si="53"/>
        <v>3.1947792468033125</v>
      </c>
      <c r="J538" s="15">
        <f>IF(CurrentMtgRatesDataTable8[[#This Row],[WA CC]]&lt;&gt;0,C537-CurrentMtgRatesDataTable8[[#This Row],[WA CC]],0)</f>
        <v>0.84522075319668755</v>
      </c>
      <c r="K538" s="16">
        <f>IF(CurrentMtgRatesDataTable8[[#This Row],[Servicing Spread]]&lt;=0,K537,CurrentMtgRatesDataTable8[[#This Row],[Servicing Spread]])</f>
        <v>0.84522075319668755</v>
      </c>
    </row>
    <row r="539" spans="1:11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</v>
      </c>
      <c r="F539" s="15">
        <f t="shared" si="50"/>
        <v>2</v>
      </c>
      <c r="G539" s="15">
        <f t="shared" si="51"/>
        <v>0</v>
      </c>
      <c r="H539" s="15">
        <f t="shared" si="52"/>
        <v>0</v>
      </c>
      <c r="I539" s="15">
        <f t="shared" si="53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0.84522075319668755</v>
      </c>
    </row>
    <row r="540" spans="1:11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0.7</v>
      </c>
      <c r="F540" s="15">
        <f t="shared" si="50"/>
        <v>3</v>
      </c>
      <c r="G540" s="15">
        <f t="shared" si="51"/>
        <v>2.2304353049040788</v>
      </c>
      <c r="H540" s="15">
        <f t="shared" si="52"/>
        <v>0.7</v>
      </c>
      <c r="I540" s="15">
        <f t="shared" si="53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0.84522075319668755</v>
      </c>
    </row>
    <row r="541" spans="1:11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0.25</v>
      </c>
      <c r="F541" s="15">
        <f t="shared" si="50"/>
        <v>4</v>
      </c>
      <c r="G541" s="15">
        <f t="shared" si="51"/>
        <v>3.0045809184957815</v>
      </c>
      <c r="H541" s="15">
        <f t="shared" si="52"/>
        <v>0.95</v>
      </c>
      <c r="I541" s="15">
        <f t="shared" si="53"/>
        <v>0</v>
      </c>
      <c r="J541" s="15">
        <f>IF(CurrentMtgRatesDataTable8[[#This Row],[WA CC]]&lt;&gt;0,C540-CurrentMtgRatesDataTable8[[#This Row],[WA CC]],0)</f>
        <v>0</v>
      </c>
      <c r="K541" s="16">
        <f>IF(CurrentMtgRatesDataTable8[[#This Row],[Servicing Spread]]&lt;=0,K540,CurrentMtgRatesDataTable8[[#This Row],[Servicing Spread]])</f>
        <v>0.84522075319668755</v>
      </c>
    </row>
    <row r="542" spans="1:11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</v>
      </c>
      <c r="F542" s="15">
        <f t="shared" si="50"/>
        <v>1</v>
      </c>
      <c r="G542" s="15">
        <f t="shared" si="51"/>
        <v>0</v>
      </c>
      <c r="H542" s="15">
        <f t="shared" si="52"/>
        <v>0</v>
      </c>
      <c r="I542" s="15">
        <f t="shared" si="53"/>
        <v>3.1627167563113492</v>
      </c>
      <c r="J542" s="15">
        <f>IF(CurrentMtgRatesDataTable8[[#This Row],[WA CC]]&lt;&gt;0,C541-CurrentMtgRatesDataTable8[[#This Row],[WA CC]],0)</f>
        <v>0.85728324368865128</v>
      </c>
      <c r="K542" s="16">
        <f>IF(CurrentMtgRatesDataTable8[[#This Row],[Servicing Spread]]&lt;=0,K541,CurrentMtgRatesDataTable8[[#This Row],[Servicing Spread]])</f>
        <v>0.85728324368865128</v>
      </c>
    </row>
    <row r="543" spans="1:11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</v>
      </c>
      <c r="F543" s="15">
        <f t="shared" si="50"/>
        <v>2</v>
      </c>
      <c r="G543" s="15">
        <f t="shared" si="51"/>
        <v>0</v>
      </c>
      <c r="H543" s="15">
        <f t="shared" si="52"/>
        <v>0</v>
      </c>
      <c r="I543" s="15">
        <f t="shared" si="53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0.85728324368865128</v>
      </c>
    </row>
    <row r="544" spans="1:11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0.05</v>
      </c>
      <c r="F544" s="15">
        <f t="shared" si="50"/>
        <v>3</v>
      </c>
      <c r="G544" s="15">
        <f t="shared" si="51"/>
        <v>0.16038679115527801</v>
      </c>
      <c r="H544" s="15">
        <f t="shared" si="52"/>
        <v>0.05</v>
      </c>
      <c r="I544" s="15">
        <f t="shared" si="53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0.85728324368865128</v>
      </c>
    </row>
    <row r="545" spans="1:11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0.7</v>
      </c>
      <c r="F545" s="15">
        <f t="shared" si="50"/>
        <v>4</v>
      </c>
      <c r="G545" s="15">
        <f t="shared" si="51"/>
        <v>2.442005375751692</v>
      </c>
      <c r="H545" s="15">
        <f t="shared" si="52"/>
        <v>0.75</v>
      </c>
      <c r="I545" s="15">
        <f t="shared" si="53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0.85728324368865128</v>
      </c>
    </row>
    <row r="546" spans="1:11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0.25</v>
      </c>
      <c r="F546" s="15">
        <f t="shared" si="50"/>
        <v>5</v>
      </c>
      <c r="G546" s="15">
        <f t="shared" si="51"/>
        <v>3.257886742178687</v>
      </c>
      <c r="H546" s="15">
        <f t="shared" si="52"/>
        <v>1</v>
      </c>
      <c r="I546" s="15">
        <f t="shared" si="53"/>
        <v>0</v>
      </c>
      <c r="J546" s="15">
        <f>IF(CurrentMtgRatesDataTable8[[#This Row],[WA CC]]&lt;&gt;0,C545-CurrentMtgRatesDataTable8[[#This Row],[WA CC]],0)</f>
        <v>0</v>
      </c>
      <c r="K546" s="16">
        <f>IF(CurrentMtgRatesDataTable8[[#This Row],[Servicing Spread]]&lt;=0,K545,CurrentMtgRatesDataTable8[[#This Row],[Servicing Spread]])</f>
        <v>0.85728324368865128</v>
      </c>
    </row>
    <row r="547" spans="1:11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</v>
      </c>
      <c r="F547" s="15">
        <f t="shared" si="50"/>
        <v>1</v>
      </c>
      <c r="G547" s="15">
        <f t="shared" si="51"/>
        <v>0</v>
      </c>
      <c r="H547" s="15">
        <f t="shared" si="52"/>
        <v>0</v>
      </c>
      <c r="I547" s="15">
        <f t="shared" si="53"/>
        <v>3.257886742178687</v>
      </c>
      <c r="J547" s="15">
        <f>IF(CurrentMtgRatesDataTable8[[#This Row],[WA CC]]&lt;&gt;0,C546-CurrentMtgRatesDataTable8[[#This Row],[WA CC]],0)</f>
        <v>0.75711325782131267</v>
      </c>
      <c r="K547" s="16">
        <f>IF(CurrentMtgRatesDataTable8[[#This Row],[Servicing Spread]]&lt;=0,K546,CurrentMtgRatesDataTable8[[#This Row],[Servicing Spread]])</f>
        <v>0.75711325782131267</v>
      </c>
    </row>
    <row r="548" spans="1:11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</v>
      </c>
      <c r="F548" s="15">
        <f t="shared" si="50"/>
        <v>2</v>
      </c>
      <c r="G548" s="15">
        <f t="shared" si="51"/>
        <v>0</v>
      </c>
      <c r="H548" s="15">
        <f t="shared" si="52"/>
        <v>0</v>
      </c>
      <c r="I548" s="15">
        <f t="shared" si="53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0.75711325782131267</v>
      </c>
    </row>
    <row r="549" spans="1:11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0.05</v>
      </c>
      <c r="F549" s="15">
        <f t="shared" si="50"/>
        <v>3</v>
      </c>
      <c r="G549" s="15">
        <f t="shared" si="51"/>
        <v>0.16323917675171701</v>
      </c>
      <c r="H549" s="15">
        <f t="shared" si="52"/>
        <v>0.05</v>
      </c>
      <c r="I549" s="15">
        <f t="shared" si="53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0.75711325782131267</v>
      </c>
    </row>
    <row r="550" spans="1:11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0.7</v>
      </c>
      <c r="F550" s="15">
        <f t="shared" si="50"/>
        <v>4</v>
      </c>
      <c r="G550" s="15">
        <f t="shared" si="51"/>
        <v>2.4636998172629108</v>
      </c>
      <c r="H550" s="15">
        <f t="shared" si="52"/>
        <v>0.75</v>
      </c>
      <c r="I550" s="15">
        <f t="shared" si="53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0.75711325782131267</v>
      </c>
    </row>
    <row r="551" spans="1:11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0.25</v>
      </c>
      <c r="F551" s="15">
        <f t="shared" si="50"/>
        <v>5</v>
      </c>
      <c r="G551" s="15">
        <f t="shared" si="51"/>
        <v>3.2845990153253308</v>
      </c>
      <c r="H551" s="15">
        <f t="shared" si="52"/>
        <v>1</v>
      </c>
      <c r="I551" s="15">
        <f t="shared" si="53"/>
        <v>0</v>
      </c>
      <c r="J551" s="15">
        <f>IF(CurrentMtgRatesDataTable8[[#This Row],[WA CC]]&lt;&gt;0,C550-CurrentMtgRatesDataTable8[[#This Row],[WA CC]],0)</f>
        <v>0</v>
      </c>
      <c r="K551" s="16">
        <f>IF(CurrentMtgRatesDataTable8[[#This Row],[Servicing Spread]]&lt;=0,K550,CurrentMtgRatesDataTable8[[#This Row],[Servicing Spread]])</f>
        <v>0.75711325782131267</v>
      </c>
    </row>
    <row r="552" spans="1:11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</v>
      </c>
      <c r="F552" s="15">
        <f t="shared" si="50"/>
        <v>1</v>
      </c>
      <c r="G552" s="15">
        <f t="shared" si="51"/>
        <v>0</v>
      </c>
      <c r="H552" s="15">
        <f t="shared" si="52"/>
        <v>0</v>
      </c>
      <c r="I552" s="15">
        <f t="shared" si="53"/>
        <v>3.2845990153253308</v>
      </c>
      <c r="J552" s="15">
        <f>IF(CurrentMtgRatesDataTable8[[#This Row],[WA CC]]&lt;&gt;0,C551-CurrentMtgRatesDataTable8[[#This Row],[WA CC]],0)</f>
        <v>0.8154009846746697</v>
      </c>
      <c r="K552" s="16">
        <f>IF(CurrentMtgRatesDataTable8[[#This Row],[Servicing Spread]]&lt;=0,K551,CurrentMtgRatesDataTable8[[#This Row],[Servicing Spread]])</f>
        <v>0.8154009846746697</v>
      </c>
    </row>
    <row r="553" spans="1:11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</v>
      </c>
      <c r="F553" s="15">
        <f t="shared" si="50"/>
        <v>2</v>
      </c>
      <c r="G553" s="15">
        <f t="shared" si="51"/>
        <v>0</v>
      </c>
      <c r="H553" s="15">
        <f t="shared" si="52"/>
        <v>0</v>
      </c>
      <c r="I553" s="15">
        <f t="shared" si="53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0.8154009846746697</v>
      </c>
    </row>
    <row r="554" spans="1:11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0.05</v>
      </c>
      <c r="F554" s="15">
        <f t="shared" si="50"/>
        <v>3</v>
      </c>
      <c r="G554" s="15">
        <f t="shared" si="51"/>
        <v>0.16200990043170752</v>
      </c>
      <c r="H554" s="15">
        <f t="shared" si="52"/>
        <v>0.05</v>
      </c>
      <c r="I554" s="15">
        <f t="shared" si="53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0.8154009846746697</v>
      </c>
    </row>
    <row r="555" spans="1:11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0.7</v>
      </c>
      <c r="F555" s="15">
        <f t="shared" si="50"/>
        <v>4</v>
      </c>
      <c r="G555" s="15">
        <f t="shared" si="51"/>
        <v>2.4688764910168097</v>
      </c>
      <c r="H555" s="15">
        <f t="shared" si="52"/>
        <v>0.75</v>
      </c>
      <c r="I555" s="15">
        <f t="shared" si="53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0.8154009846746697</v>
      </c>
    </row>
    <row r="556" spans="1:11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0.25</v>
      </c>
      <c r="F556" s="15">
        <f t="shared" si="50"/>
        <v>5</v>
      </c>
      <c r="G556" s="15">
        <f t="shared" si="51"/>
        <v>3.2827391747469923</v>
      </c>
      <c r="H556" s="15">
        <f t="shared" si="52"/>
        <v>1</v>
      </c>
      <c r="I556" s="15">
        <f t="shared" si="53"/>
        <v>0</v>
      </c>
      <c r="J556" s="15">
        <f>IF(CurrentMtgRatesDataTable8[[#This Row],[WA CC]]&lt;&gt;0,C555-CurrentMtgRatesDataTable8[[#This Row],[WA CC]],0)</f>
        <v>0</v>
      </c>
      <c r="K556" s="16">
        <f>IF(CurrentMtgRatesDataTable8[[#This Row],[Servicing Spread]]&lt;=0,K555,CurrentMtgRatesDataTable8[[#This Row],[Servicing Spread]])</f>
        <v>0.8154009846746697</v>
      </c>
    </row>
    <row r="557" spans="1:11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</v>
      </c>
      <c r="F557" s="15">
        <f t="shared" si="50"/>
        <v>1</v>
      </c>
      <c r="G557" s="15">
        <f t="shared" si="51"/>
        <v>0</v>
      </c>
      <c r="H557" s="15">
        <f t="shared" si="52"/>
        <v>0</v>
      </c>
      <c r="I557" s="15">
        <f t="shared" si="53"/>
        <v>3.2827391747469923</v>
      </c>
      <c r="J557" s="15">
        <f>IF(CurrentMtgRatesDataTable8[[#This Row],[WA CC]]&lt;&gt;0,C556-CurrentMtgRatesDataTable8[[#This Row],[WA CC]],0)</f>
        <v>0.787260825253008</v>
      </c>
      <c r="K557" s="16">
        <f>IF(CurrentMtgRatesDataTable8[[#This Row],[Servicing Spread]]&lt;=0,K556,CurrentMtgRatesDataTable8[[#This Row],[Servicing Spread]])</f>
        <v>0.787260825253008</v>
      </c>
    </row>
    <row r="558" spans="1:11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</v>
      </c>
      <c r="F558" s="15">
        <f t="shared" si="50"/>
        <v>2</v>
      </c>
      <c r="G558" s="15">
        <f t="shared" si="51"/>
        <v>0</v>
      </c>
      <c r="H558" s="15">
        <f t="shared" si="52"/>
        <v>0</v>
      </c>
      <c r="I558" s="15">
        <f t="shared" si="53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0.787260825253008</v>
      </c>
    </row>
    <row r="559" spans="1:11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0.05</v>
      </c>
      <c r="F559" s="15">
        <f t="shared" si="50"/>
        <v>3</v>
      </c>
      <c r="G559" s="15">
        <f t="shared" si="51"/>
        <v>0.16210029675082449</v>
      </c>
      <c r="H559" s="15">
        <f t="shared" si="52"/>
        <v>0.05</v>
      </c>
      <c r="I559" s="15">
        <f t="shared" si="53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0.787260825253008</v>
      </c>
    </row>
    <row r="560" spans="1:11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0.7</v>
      </c>
      <c r="F560" s="15">
        <f t="shared" si="50"/>
        <v>4</v>
      </c>
      <c r="G560" s="15">
        <f t="shared" si="51"/>
        <v>2.4147369761132853</v>
      </c>
      <c r="H560" s="15">
        <f t="shared" si="52"/>
        <v>0.75</v>
      </c>
      <c r="I560" s="15">
        <f t="shared" si="53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0.787260825253008</v>
      </c>
    </row>
    <row r="561" spans="1:11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0.25</v>
      </c>
      <c r="F561" s="15">
        <f t="shared" si="50"/>
        <v>5</v>
      </c>
      <c r="G561" s="15">
        <f t="shared" si="51"/>
        <v>3.2134613211190706</v>
      </c>
      <c r="H561" s="15">
        <f t="shared" si="52"/>
        <v>1</v>
      </c>
      <c r="I561" s="15">
        <f t="shared" si="53"/>
        <v>0</v>
      </c>
      <c r="J561" s="15">
        <f>IF(CurrentMtgRatesDataTable8[[#This Row],[WA CC]]&lt;&gt;0,C560-CurrentMtgRatesDataTable8[[#This Row],[WA CC]],0)</f>
        <v>0</v>
      </c>
      <c r="K561" s="16">
        <f>IF(CurrentMtgRatesDataTable8[[#This Row],[Servicing Spread]]&lt;=0,K560,CurrentMtgRatesDataTable8[[#This Row],[Servicing Spread]])</f>
        <v>0.787260825253008</v>
      </c>
    </row>
    <row r="562" spans="1:11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</v>
      </c>
      <c r="F562" s="15">
        <f t="shared" si="50"/>
        <v>1</v>
      </c>
      <c r="G562" s="15">
        <f t="shared" si="51"/>
        <v>0</v>
      </c>
      <c r="H562" s="15">
        <f t="shared" si="52"/>
        <v>0</v>
      </c>
      <c r="I562" s="15">
        <f t="shared" si="53"/>
        <v>3.2134613211190706</v>
      </c>
      <c r="J562" s="15">
        <f>IF(CurrentMtgRatesDataTable8[[#This Row],[WA CC]]&lt;&gt;0,C561-CurrentMtgRatesDataTable8[[#This Row],[WA CC]],0)</f>
        <v>0.80153867888092911</v>
      </c>
      <c r="K562" s="16">
        <f>IF(CurrentMtgRatesDataTable8[[#This Row],[Servicing Spread]]&lt;=0,K561,CurrentMtgRatesDataTable8[[#This Row],[Servicing Spread]])</f>
        <v>0.80153867888092911</v>
      </c>
    </row>
    <row r="563" spans="1:11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</v>
      </c>
      <c r="F563" s="15">
        <f t="shared" si="50"/>
        <v>2</v>
      </c>
      <c r="G563" s="15">
        <f t="shared" si="51"/>
        <v>0</v>
      </c>
      <c r="H563" s="15">
        <f t="shared" si="52"/>
        <v>0</v>
      </c>
      <c r="I563" s="15">
        <f t="shared" si="53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0.80153867888092911</v>
      </c>
    </row>
    <row r="564" spans="1:11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0.05</v>
      </c>
      <c r="F564" s="15">
        <f t="shared" si="50"/>
        <v>3</v>
      </c>
      <c r="G564" s="15">
        <f t="shared" si="51"/>
        <v>0.15800293098669602</v>
      </c>
      <c r="H564" s="15">
        <f t="shared" si="52"/>
        <v>0.05</v>
      </c>
      <c r="I564" s="15">
        <f t="shared" si="53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0.80153867888092911</v>
      </c>
    </row>
    <row r="565" spans="1:11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0.7</v>
      </c>
      <c r="F565" s="15">
        <f t="shared" si="50"/>
        <v>4</v>
      </c>
      <c r="G565" s="15">
        <f t="shared" si="51"/>
        <v>2.4055495051955758</v>
      </c>
      <c r="H565" s="15">
        <f t="shared" si="52"/>
        <v>0.75</v>
      </c>
      <c r="I565" s="15">
        <f t="shared" si="53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0.80153867888092911</v>
      </c>
    </row>
    <row r="566" spans="1:11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0.25</v>
      </c>
      <c r="F566" s="15">
        <f t="shared" si="50"/>
        <v>5</v>
      </c>
      <c r="G566" s="15">
        <f t="shared" si="51"/>
        <v>3.2200616488709484</v>
      </c>
      <c r="H566" s="15">
        <f t="shared" si="52"/>
        <v>1</v>
      </c>
      <c r="I566" s="15">
        <f t="shared" si="53"/>
        <v>0</v>
      </c>
      <c r="J566" s="15">
        <f>IF(CurrentMtgRatesDataTable8[[#This Row],[WA CC]]&lt;&gt;0,C565-CurrentMtgRatesDataTable8[[#This Row],[WA CC]],0)</f>
        <v>0</v>
      </c>
      <c r="K566" s="16">
        <f>IF(CurrentMtgRatesDataTable8[[#This Row],[Servicing Spread]]&lt;=0,K565,CurrentMtgRatesDataTable8[[#This Row],[Servicing Spread]])</f>
        <v>0.80153867888092911</v>
      </c>
    </row>
    <row r="567" spans="1:11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</v>
      </c>
      <c r="F567" s="15">
        <f t="shared" si="50"/>
        <v>1</v>
      </c>
      <c r="G567" s="15">
        <f t="shared" si="51"/>
        <v>0</v>
      </c>
      <c r="H567" s="15">
        <f t="shared" si="52"/>
        <v>0</v>
      </c>
      <c r="I567" s="15">
        <f t="shared" si="53"/>
        <v>3.2200616488709484</v>
      </c>
      <c r="J567" s="15">
        <f>IF(CurrentMtgRatesDataTable8[[#This Row],[WA CC]]&lt;&gt;0,C566-CurrentMtgRatesDataTable8[[#This Row],[WA CC]],0)</f>
        <v>0.77493835112905174</v>
      </c>
      <c r="K567" s="16">
        <f>IF(CurrentMtgRatesDataTable8[[#This Row],[Servicing Spread]]&lt;=0,K566,CurrentMtgRatesDataTable8[[#This Row],[Servicing Spread]])</f>
        <v>0.77493835112905174</v>
      </c>
    </row>
    <row r="568" spans="1:11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0.05</v>
      </c>
      <c r="F568" s="15">
        <f t="shared" si="50"/>
        <v>2</v>
      </c>
      <c r="G568" s="15">
        <f t="shared" si="51"/>
        <v>0.16332379631381</v>
      </c>
      <c r="H568" s="15">
        <f t="shared" si="52"/>
        <v>0.05</v>
      </c>
      <c r="I568" s="15">
        <f t="shared" si="53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0.77493835112905174</v>
      </c>
    </row>
    <row r="569" spans="1:11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0.7</v>
      </c>
      <c r="F569" s="15">
        <f t="shared" si="50"/>
        <v>3</v>
      </c>
      <c r="G569" s="15">
        <f t="shared" si="51"/>
        <v>2.4263830039886209</v>
      </c>
      <c r="H569" s="15">
        <f t="shared" si="52"/>
        <v>0.75</v>
      </c>
      <c r="I569" s="15">
        <f t="shared" si="53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0.77493835112905174</v>
      </c>
    </row>
    <row r="570" spans="1:11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0.25</v>
      </c>
      <c r="F570" s="15">
        <f t="shared" si="50"/>
        <v>4</v>
      </c>
      <c r="G570" s="15">
        <f t="shared" si="51"/>
        <v>3.2310101181263109</v>
      </c>
      <c r="H570" s="15">
        <f t="shared" si="52"/>
        <v>1</v>
      </c>
      <c r="I570" s="15">
        <f t="shared" si="53"/>
        <v>0</v>
      </c>
      <c r="J570" s="15">
        <f>IF(CurrentMtgRatesDataTable8[[#This Row],[WA CC]]&lt;&gt;0,C569-CurrentMtgRatesDataTable8[[#This Row],[WA CC]],0)</f>
        <v>0</v>
      </c>
      <c r="K570" s="16">
        <f>IF(CurrentMtgRatesDataTable8[[#This Row],[Servicing Spread]]&lt;=0,K569,CurrentMtgRatesDataTable8[[#This Row],[Servicing Spread]])</f>
        <v>0.77493835112905174</v>
      </c>
    </row>
    <row r="571" spans="1:11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</v>
      </c>
      <c r="F571" s="15">
        <f t="shared" si="50"/>
        <v>1</v>
      </c>
      <c r="G571" s="15">
        <f t="shared" si="51"/>
        <v>0</v>
      </c>
      <c r="H571" s="15">
        <f t="shared" si="52"/>
        <v>0</v>
      </c>
      <c r="I571" s="15">
        <f t="shared" si="53"/>
        <v>3.2310101181263109</v>
      </c>
      <c r="J571" s="15">
        <f>IF(CurrentMtgRatesDataTable8[[#This Row],[WA CC]]&lt;&gt;0,C570-CurrentMtgRatesDataTable8[[#This Row],[WA CC]],0)</f>
        <v>0.84398988187368928</v>
      </c>
      <c r="K571" s="16">
        <f>IF(CurrentMtgRatesDataTable8[[#This Row],[Servicing Spread]]&lt;=0,K570,CurrentMtgRatesDataTable8[[#This Row],[Servicing Spread]])</f>
        <v>0.84398988187368928</v>
      </c>
    </row>
    <row r="572" spans="1:11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</v>
      </c>
      <c r="F572" s="15">
        <f t="shared" si="50"/>
        <v>2</v>
      </c>
      <c r="G572" s="15">
        <f t="shared" si="51"/>
        <v>0</v>
      </c>
      <c r="H572" s="15">
        <f t="shared" si="52"/>
        <v>0</v>
      </c>
      <c r="I572" s="15">
        <f t="shared" si="53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0.84398988187368928</v>
      </c>
    </row>
    <row r="573" spans="1:11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0.05</v>
      </c>
      <c r="F573" s="15">
        <f t="shared" si="50"/>
        <v>3</v>
      </c>
      <c r="G573" s="15">
        <f t="shared" si="51"/>
        <v>0.16119064066760802</v>
      </c>
      <c r="H573" s="15">
        <f t="shared" si="52"/>
        <v>0.05</v>
      </c>
      <c r="I573" s="15">
        <f t="shared" si="53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0.84398988187368928</v>
      </c>
    </row>
    <row r="574" spans="1:11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0.7</v>
      </c>
      <c r="F574" s="15">
        <f t="shared" si="50"/>
        <v>4</v>
      </c>
      <c r="G574" s="15">
        <f t="shared" si="51"/>
        <v>2.4241235342512146</v>
      </c>
      <c r="H574" s="15">
        <f t="shared" si="52"/>
        <v>0.75</v>
      </c>
      <c r="I574" s="15">
        <f t="shared" si="53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0.84398988187368928</v>
      </c>
    </row>
    <row r="575" spans="1:11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0.25</v>
      </c>
      <c r="F575" s="15">
        <f t="shared" si="50"/>
        <v>5</v>
      </c>
      <c r="G575" s="15">
        <f t="shared" si="51"/>
        <v>3.2330934633753747</v>
      </c>
      <c r="H575" s="15">
        <f t="shared" si="52"/>
        <v>1</v>
      </c>
      <c r="I575" s="15">
        <f t="shared" si="53"/>
        <v>0</v>
      </c>
      <c r="J575" s="15">
        <f>IF(CurrentMtgRatesDataTable8[[#This Row],[WA CC]]&lt;&gt;0,C574-CurrentMtgRatesDataTable8[[#This Row],[WA CC]],0)</f>
        <v>0</v>
      </c>
      <c r="K575" s="16">
        <f>IF(CurrentMtgRatesDataTable8[[#This Row],[Servicing Spread]]&lt;=0,K574,CurrentMtgRatesDataTable8[[#This Row],[Servicing Spread]])</f>
        <v>0.84398988187368928</v>
      </c>
    </row>
    <row r="576" spans="1:11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</v>
      </c>
      <c r="F576" s="15">
        <f t="shared" si="50"/>
        <v>1</v>
      </c>
      <c r="G576" s="15">
        <f t="shared" si="51"/>
        <v>0</v>
      </c>
      <c r="H576" s="15">
        <f t="shared" si="52"/>
        <v>0</v>
      </c>
      <c r="I576" s="15">
        <f t="shared" si="53"/>
        <v>3.2330934633753747</v>
      </c>
      <c r="J576" s="15">
        <f>IF(CurrentMtgRatesDataTable8[[#This Row],[WA CC]]&lt;&gt;0,C575-CurrentMtgRatesDataTable8[[#This Row],[WA CC]],0)</f>
        <v>0.79690653662462552</v>
      </c>
      <c r="K576" s="16">
        <f>IF(CurrentMtgRatesDataTable8[[#This Row],[Servicing Spread]]&lt;=0,K575,CurrentMtgRatesDataTable8[[#This Row],[Servicing Spread]])</f>
        <v>0.79690653662462552</v>
      </c>
    </row>
    <row r="577" spans="1:11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</v>
      </c>
      <c r="F577" s="15">
        <f t="shared" si="50"/>
        <v>2</v>
      </c>
      <c r="G577" s="15">
        <f t="shared" si="51"/>
        <v>0</v>
      </c>
      <c r="H577" s="15">
        <f t="shared" si="52"/>
        <v>0</v>
      </c>
      <c r="I577" s="15">
        <f t="shared" si="53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0.79690653662462552</v>
      </c>
    </row>
    <row r="578" spans="1:11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0.05</v>
      </c>
      <c r="F578" s="15">
        <f t="shared" si="50"/>
        <v>3</v>
      </c>
      <c r="G578" s="15">
        <f t="shared" si="51"/>
        <v>0.15898643524102851</v>
      </c>
      <c r="H578" s="15">
        <f t="shared" si="52"/>
        <v>0.05</v>
      </c>
      <c r="I578" s="15">
        <f t="shared" si="53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0.79690653662462552</v>
      </c>
    </row>
    <row r="579" spans="1:11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0.7</v>
      </c>
      <c r="F579" s="15">
        <f t="shared" si="50"/>
        <v>4</v>
      </c>
      <c r="G579" s="15">
        <f t="shared" si="51"/>
        <v>2.3789263733019292</v>
      </c>
      <c r="H579" s="15">
        <f t="shared" si="52"/>
        <v>0.75</v>
      </c>
      <c r="I579" s="15">
        <f t="shared" si="53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0.79690653662462552</v>
      </c>
    </row>
    <row r="580" spans="1:11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0.25</v>
      </c>
      <c r="F580" s="15">
        <f t="shared" si="50"/>
        <v>5</v>
      </c>
      <c r="G580" s="15">
        <f t="shared" si="51"/>
        <v>3.1750342901866992</v>
      </c>
      <c r="H580" s="15">
        <f t="shared" si="52"/>
        <v>1</v>
      </c>
      <c r="I580" s="15">
        <f t="shared" si="53"/>
        <v>0</v>
      </c>
      <c r="J580" s="15">
        <f>IF(CurrentMtgRatesDataTable8[[#This Row],[WA CC]]&lt;&gt;0,C579-CurrentMtgRatesDataTable8[[#This Row],[WA CC]],0)</f>
        <v>0</v>
      </c>
      <c r="K580" s="16">
        <f>IF(CurrentMtgRatesDataTable8[[#This Row],[Servicing Spread]]&lt;=0,K579,CurrentMtgRatesDataTable8[[#This Row],[Servicing Spread]])</f>
        <v>0.79690653662462552</v>
      </c>
    </row>
    <row r="581" spans="1:11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VLOOKUP(D581,O$5:P$11,2,FALSE)</f>
        <v>0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</v>
      </c>
      <c r="H581" s="15">
        <f t="shared" ref="H581:H644" si="58">IF(AND(F581&lt;6,F581&gt;F580),E581+H580,E581)</f>
        <v>0</v>
      </c>
      <c r="I581" s="15">
        <f t="shared" ref="I581:I644" si="59">IF(F580&gt;F581,G580/H580,0)</f>
        <v>3.1750342901866992</v>
      </c>
      <c r="J581" s="15">
        <f>IF(CurrentMtgRatesDataTable8[[#This Row],[WA CC]]&lt;&gt;0,C580-CurrentMtgRatesDataTable8[[#This Row],[WA CC]],0)</f>
        <v>0.854965709813301</v>
      </c>
      <c r="K581" s="16">
        <f>IF(CurrentMtgRatesDataTable8[[#This Row],[Servicing Spread]]&lt;=0,K580,CurrentMtgRatesDataTable8[[#This Row],[Servicing Spread]])</f>
        <v>0.854965709813301</v>
      </c>
    </row>
    <row r="582" spans="1:11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</v>
      </c>
      <c r="F582" s="15">
        <f t="shared" si="56"/>
        <v>2</v>
      </c>
      <c r="G582" s="15">
        <f t="shared" si="57"/>
        <v>0</v>
      </c>
      <c r="H582" s="15">
        <f t="shared" si="58"/>
        <v>0</v>
      </c>
      <c r="I582" s="15">
        <f t="shared" si="5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0.854965709813301</v>
      </c>
    </row>
    <row r="583" spans="1:11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0.05</v>
      </c>
      <c r="F583" s="15">
        <f t="shared" si="56"/>
        <v>3</v>
      </c>
      <c r="G583" s="15">
        <f t="shared" si="57"/>
        <v>0.16024801006913503</v>
      </c>
      <c r="H583" s="15">
        <f t="shared" si="58"/>
        <v>0.05</v>
      </c>
      <c r="I583" s="15">
        <f t="shared" si="5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0.854965709813301</v>
      </c>
    </row>
    <row r="584" spans="1:11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0.7</v>
      </c>
      <c r="F584" s="15">
        <f t="shared" si="56"/>
        <v>4</v>
      </c>
      <c r="G584" s="15">
        <f t="shared" si="57"/>
        <v>2.3879110418937008</v>
      </c>
      <c r="H584" s="15">
        <f t="shared" si="58"/>
        <v>0.75</v>
      </c>
      <c r="I584" s="15">
        <f t="shared" si="5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0.854965709813301</v>
      </c>
    </row>
    <row r="585" spans="1:11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0.25</v>
      </c>
      <c r="F585" s="15">
        <f t="shared" si="56"/>
        <v>5</v>
      </c>
      <c r="G585" s="15">
        <f t="shared" si="57"/>
        <v>3.2043590929846584</v>
      </c>
      <c r="H585" s="15">
        <f t="shared" si="58"/>
        <v>1</v>
      </c>
      <c r="I585" s="15">
        <f t="shared" si="59"/>
        <v>0</v>
      </c>
      <c r="J585" s="15">
        <f>IF(CurrentMtgRatesDataTable8[[#This Row],[WA CC]]&lt;&gt;0,C584-CurrentMtgRatesDataTable8[[#This Row],[WA CC]],0)</f>
        <v>0</v>
      </c>
      <c r="K585" s="16">
        <f>IF(CurrentMtgRatesDataTable8[[#This Row],[Servicing Spread]]&lt;=0,K584,CurrentMtgRatesDataTable8[[#This Row],[Servicing Spread]])</f>
        <v>0.854965709813301</v>
      </c>
    </row>
    <row r="586" spans="1:11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</v>
      </c>
      <c r="F586" s="15">
        <f t="shared" si="56"/>
        <v>1</v>
      </c>
      <c r="G586" s="15">
        <f t="shared" si="57"/>
        <v>0</v>
      </c>
      <c r="H586" s="15">
        <f t="shared" si="58"/>
        <v>0</v>
      </c>
      <c r="I586" s="15">
        <f t="shared" si="59"/>
        <v>3.2043590929846584</v>
      </c>
      <c r="J586" s="15">
        <f>IF(CurrentMtgRatesDataTable8[[#This Row],[WA CC]]&lt;&gt;0,C585-CurrentMtgRatesDataTable8[[#This Row],[WA CC]],0)</f>
        <v>0.81564090701534209</v>
      </c>
      <c r="K586" s="16">
        <f>IF(CurrentMtgRatesDataTable8[[#This Row],[Servicing Spread]]&lt;=0,K585,CurrentMtgRatesDataTable8[[#This Row],[Servicing Spread]])</f>
        <v>0.81564090701534209</v>
      </c>
    </row>
    <row r="587" spans="1:11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</v>
      </c>
      <c r="F587" s="15">
        <f t="shared" si="56"/>
        <v>2</v>
      </c>
      <c r="G587" s="15">
        <f t="shared" si="57"/>
        <v>0</v>
      </c>
      <c r="H587" s="15">
        <f t="shared" si="58"/>
        <v>0</v>
      </c>
      <c r="I587" s="15">
        <f t="shared" si="5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0.81564090701534209</v>
      </c>
    </row>
    <row r="588" spans="1:11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0.05</v>
      </c>
      <c r="F588" s="15">
        <f t="shared" si="56"/>
        <v>3</v>
      </c>
      <c r="G588" s="15">
        <f t="shared" si="57"/>
        <v>0.16089108948768449</v>
      </c>
      <c r="H588" s="15">
        <f t="shared" si="58"/>
        <v>0.05</v>
      </c>
      <c r="I588" s="15">
        <f t="shared" si="5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0.81564090701534209</v>
      </c>
    </row>
    <row r="589" spans="1:11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0.7</v>
      </c>
      <c r="F589" s="15">
        <f t="shared" si="56"/>
        <v>4</v>
      </c>
      <c r="G589" s="15">
        <f t="shared" si="57"/>
        <v>2.4123180910577382</v>
      </c>
      <c r="H589" s="15">
        <f t="shared" si="58"/>
        <v>0.75</v>
      </c>
      <c r="I589" s="15">
        <f t="shared" si="5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0.81564090701534209</v>
      </c>
    </row>
    <row r="590" spans="1:11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0.25</v>
      </c>
      <c r="F590" s="15">
        <f t="shared" si="56"/>
        <v>5</v>
      </c>
      <c r="G590" s="15">
        <f t="shared" si="57"/>
        <v>3.2165191486041556</v>
      </c>
      <c r="H590" s="15">
        <f t="shared" si="58"/>
        <v>1</v>
      </c>
      <c r="I590" s="15">
        <f t="shared" si="59"/>
        <v>0</v>
      </c>
      <c r="J590" s="15">
        <f>IF(CurrentMtgRatesDataTable8[[#This Row],[WA CC]]&lt;&gt;0,C589-CurrentMtgRatesDataTable8[[#This Row],[WA CC]],0)</f>
        <v>0</v>
      </c>
      <c r="K590" s="16">
        <f>IF(CurrentMtgRatesDataTable8[[#This Row],[Servicing Spread]]&lt;=0,K589,CurrentMtgRatesDataTable8[[#This Row],[Servicing Spread]])</f>
        <v>0.81564090701534209</v>
      </c>
    </row>
    <row r="591" spans="1:11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</v>
      </c>
      <c r="F591" s="15">
        <f t="shared" si="56"/>
        <v>1</v>
      </c>
      <c r="G591" s="15">
        <f t="shared" si="57"/>
        <v>0</v>
      </c>
      <c r="H591" s="15">
        <f t="shared" si="58"/>
        <v>0</v>
      </c>
      <c r="I591" s="15">
        <f t="shared" si="59"/>
        <v>3.2165191486041556</v>
      </c>
      <c r="J591" s="15">
        <f>IF(CurrentMtgRatesDataTable8[[#This Row],[WA CC]]&lt;&gt;0,C590-CurrentMtgRatesDataTable8[[#This Row],[WA CC]],0)</f>
        <v>0.84848085139584395</v>
      </c>
      <c r="K591" s="16">
        <f>IF(CurrentMtgRatesDataTable8[[#This Row],[Servicing Spread]]&lt;=0,K590,CurrentMtgRatesDataTable8[[#This Row],[Servicing Spread]])</f>
        <v>0.84848085139584395</v>
      </c>
    </row>
    <row r="592" spans="1:11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</v>
      </c>
      <c r="F592" s="15">
        <f t="shared" si="56"/>
        <v>2</v>
      </c>
      <c r="G592" s="15">
        <f t="shared" si="57"/>
        <v>0</v>
      </c>
      <c r="H592" s="15">
        <f t="shared" si="58"/>
        <v>0</v>
      </c>
      <c r="I592" s="15">
        <f t="shared" si="5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0.84848085139584395</v>
      </c>
    </row>
    <row r="593" spans="1:11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0.05</v>
      </c>
      <c r="F593" s="15">
        <f t="shared" si="56"/>
        <v>3</v>
      </c>
      <c r="G593" s="15">
        <f t="shared" si="57"/>
        <v>0.15913224725943501</v>
      </c>
      <c r="H593" s="15">
        <f t="shared" si="58"/>
        <v>0.05</v>
      </c>
      <c r="I593" s="15">
        <f t="shared" si="5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0.84848085139584395</v>
      </c>
    </row>
    <row r="594" spans="1:11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0.7</v>
      </c>
      <c r="F594" s="15">
        <f t="shared" si="56"/>
        <v>4</v>
      </c>
      <c r="G594" s="15">
        <f t="shared" si="57"/>
        <v>2.3936185078321408</v>
      </c>
      <c r="H594" s="15">
        <f t="shared" si="58"/>
        <v>0.75</v>
      </c>
      <c r="I594" s="15">
        <f t="shared" si="5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0.84848085139584395</v>
      </c>
    </row>
    <row r="595" spans="1:11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0.25</v>
      </c>
      <c r="F595" s="15">
        <f t="shared" si="56"/>
        <v>5</v>
      </c>
      <c r="G595" s="15">
        <f t="shared" si="57"/>
        <v>3.1839083819793959</v>
      </c>
      <c r="H595" s="15">
        <f t="shared" si="58"/>
        <v>1</v>
      </c>
      <c r="I595" s="15">
        <f t="shared" si="59"/>
        <v>0</v>
      </c>
      <c r="J595" s="15">
        <f>IF(CurrentMtgRatesDataTable8[[#This Row],[WA CC]]&lt;&gt;0,C594-CurrentMtgRatesDataTable8[[#This Row],[WA CC]],0)</f>
        <v>0</v>
      </c>
      <c r="K595" s="16">
        <f>IF(CurrentMtgRatesDataTable8[[#This Row],[Servicing Spread]]&lt;=0,K594,CurrentMtgRatesDataTable8[[#This Row],[Servicing Spread]])</f>
        <v>0.84848085139584395</v>
      </c>
    </row>
    <row r="596" spans="1:11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</v>
      </c>
      <c r="F596" s="15">
        <f t="shared" si="56"/>
        <v>1</v>
      </c>
      <c r="G596" s="15">
        <f t="shared" si="57"/>
        <v>0</v>
      </c>
      <c r="H596" s="15">
        <f t="shared" si="58"/>
        <v>0</v>
      </c>
      <c r="I596" s="15">
        <f t="shared" si="59"/>
        <v>3.1839083819793959</v>
      </c>
      <c r="J596" s="15">
        <f>IF(CurrentMtgRatesDataTable8[[#This Row],[WA CC]]&lt;&gt;0,C595-CurrentMtgRatesDataTable8[[#This Row],[WA CC]],0)</f>
        <v>0.83609161802060461</v>
      </c>
      <c r="K596" s="16">
        <f>IF(CurrentMtgRatesDataTable8[[#This Row],[Servicing Spread]]&lt;=0,K595,CurrentMtgRatesDataTable8[[#This Row],[Servicing Spread]])</f>
        <v>0.83609161802060461</v>
      </c>
    </row>
    <row r="597" spans="1:11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</v>
      </c>
      <c r="F597" s="15">
        <f t="shared" si="56"/>
        <v>2</v>
      </c>
      <c r="G597" s="15">
        <f t="shared" si="57"/>
        <v>0</v>
      </c>
      <c r="H597" s="15">
        <f t="shared" si="58"/>
        <v>0</v>
      </c>
      <c r="I597" s="15">
        <f t="shared" si="5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0.83609161802060461</v>
      </c>
    </row>
    <row r="598" spans="1:11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0.05</v>
      </c>
      <c r="F598" s="15">
        <f t="shared" si="56"/>
        <v>3</v>
      </c>
      <c r="G598" s="15">
        <f t="shared" si="57"/>
        <v>0.15699893298943152</v>
      </c>
      <c r="H598" s="15">
        <f t="shared" si="58"/>
        <v>0.05</v>
      </c>
      <c r="I598" s="15">
        <f t="shared" si="5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0.83609161802060461</v>
      </c>
    </row>
    <row r="599" spans="1:11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0.7</v>
      </c>
      <c r="F599" s="15">
        <f t="shared" si="56"/>
        <v>4</v>
      </c>
      <c r="G599" s="15">
        <f t="shared" si="57"/>
        <v>2.3723858282016073</v>
      </c>
      <c r="H599" s="15">
        <f t="shared" si="58"/>
        <v>0.75</v>
      </c>
      <c r="I599" s="15">
        <f t="shared" si="5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0.83609161802060461</v>
      </c>
    </row>
    <row r="600" spans="1:11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0.25</v>
      </c>
      <c r="F600" s="15">
        <f t="shared" si="56"/>
        <v>5</v>
      </c>
      <c r="G600" s="15">
        <f t="shared" si="57"/>
        <v>3.1681068201897</v>
      </c>
      <c r="H600" s="15">
        <f t="shared" si="58"/>
        <v>1</v>
      </c>
      <c r="I600" s="15">
        <f t="shared" si="59"/>
        <v>0</v>
      </c>
      <c r="J600" s="15">
        <f>IF(CurrentMtgRatesDataTable8[[#This Row],[WA CC]]&lt;&gt;0,C599-CurrentMtgRatesDataTable8[[#This Row],[WA CC]],0)</f>
        <v>0</v>
      </c>
      <c r="K600" s="16">
        <f>IF(CurrentMtgRatesDataTable8[[#This Row],[Servicing Spread]]&lt;=0,K599,CurrentMtgRatesDataTable8[[#This Row],[Servicing Spread]])</f>
        <v>0.83609161802060461</v>
      </c>
    </row>
    <row r="601" spans="1:11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</v>
      </c>
      <c r="F601" s="15">
        <f t="shared" si="56"/>
        <v>1</v>
      </c>
      <c r="G601" s="15">
        <f t="shared" si="57"/>
        <v>0</v>
      </c>
      <c r="H601" s="15">
        <f t="shared" si="58"/>
        <v>0</v>
      </c>
      <c r="I601" s="15">
        <f t="shared" si="59"/>
        <v>3.1681068201897</v>
      </c>
      <c r="J601" s="15">
        <f>IF(CurrentMtgRatesDataTable8[[#This Row],[WA CC]]&lt;&gt;0,C600-CurrentMtgRatesDataTable8[[#This Row],[WA CC]],0)</f>
        <v>0.80689317981029962</v>
      </c>
      <c r="K601" s="16">
        <f>IF(CurrentMtgRatesDataTable8[[#This Row],[Servicing Spread]]&lt;=0,K600,CurrentMtgRatesDataTable8[[#This Row],[Servicing Spread]])</f>
        <v>0.80689317981029962</v>
      </c>
    </row>
    <row r="602" spans="1:11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</v>
      </c>
      <c r="F602" s="15">
        <f t="shared" si="56"/>
        <v>2</v>
      </c>
      <c r="G602" s="15">
        <f t="shared" si="57"/>
        <v>0</v>
      </c>
      <c r="H602" s="15">
        <f t="shared" si="58"/>
        <v>0</v>
      </c>
      <c r="I602" s="15">
        <f t="shared" si="5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0.80689317981029962</v>
      </c>
    </row>
    <row r="603" spans="1:11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0.05</v>
      </c>
      <c r="F603" s="15">
        <f t="shared" si="56"/>
        <v>3</v>
      </c>
      <c r="G603" s="15">
        <f t="shared" si="57"/>
        <v>0.15692796281468602</v>
      </c>
      <c r="H603" s="15">
        <f t="shared" si="58"/>
        <v>0.05</v>
      </c>
      <c r="I603" s="15">
        <f t="shared" si="5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0.80689317981029962</v>
      </c>
    </row>
    <row r="604" spans="1:11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0.7</v>
      </c>
      <c r="F604" s="15">
        <f t="shared" si="56"/>
        <v>4</v>
      </c>
      <c r="G604" s="15">
        <f t="shared" si="57"/>
        <v>2.3475338353893367</v>
      </c>
      <c r="H604" s="15">
        <f t="shared" si="58"/>
        <v>0.75</v>
      </c>
      <c r="I604" s="15">
        <f t="shared" si="5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0.80689317981029962</v>
      </c>
    </row>
    <row r="605" spans="1:11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0.25</v>
      </c>
      <c r="F605" s="15">
        <f t="shared" si="56"/>
        <v>5</v>
      </c>
      <c r="G605" s="15">
        <f t="shared" si="57"/>
        <v>3.1222513924924691</v>
      </c>
      <c r="H605" s="15">
        <f t="shared" si="58"/>
        <v>1</v>
      </c>
      <c r="I605" s="15">
        <f t="shared" si="59"/>
        <v>0</v>
      </c>
      <c r="J605" s="15">
        <f>IF(CurrentMtgRatesDataTable8[[#This Row],[WA CC]]&lt;&gt;0,C604-CurrentMtgRatesDataTable8[[#This Row],[WA CC]],0)</f>
        <v>0</v>
      </c>
      <c r="K605" s="16">
        <f>IF(CurrentMtgRatesDataTable8[[#This Row],[Servicing Spread]]&lt;=0,K604,CurrentMtgRatesDataTable8[[#This Row],[Servicing Spread]])</f>
        <v>0.80689317981029962</v>
      </c>
    </row>
    <row r="606" spans="1:11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</v>
      </c>
      <c r="F606" s="15">
        <f t="shared" si="56"/>
        <v>1</v>
      </c>
      <c r="G606" s="15">
        <f t="shared" si="57"/>
        <v>0</v>
      </c>
      <c r="H606" s="15">
        <f t="shared" si="58"/>
        <v>0</v>
      </c>
      <c r="I606" s="15">
        <f t="shared" si="59"/>
        <v>3.1222513924924691</v>
      </c>
      <c r="J606" s="15">
        <f>IF(CurrentMtgRatesDataTable8[[#This Row],[WA CC]]&lt;&gt;0,C605-CurrentMtgRatesDataTable8[[#This Row],[WA CC]],0)</f>
        <v>0.85274860750753056</v>
      </c>
      <c r="K606" s="16">
        <f>IF(CurrentMtgRatesDataTable8[[#This Row],[Servicing Spread]]&lt;=0,K605,CurrentMtgRatesDataTable8[[#This Row],[Servicing Spread]])</f>
        <v>0.85274860750753056</v>
      </c>
    </row>
    <row r="607" spans="1:11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</v>
      </c>
      <c r="F607" s="15">
        <f t="shared" si="56"/>
        <v>2</v>
      </c>
      <c r="G607" s="15">
        <f t="shared" si="57"/>
        <v>0</v>
      </c>
      <c r="H607" s="15">
        <f t="shared" si="58"/>
        <v>0</v>
      </c>
      <c r="I607" s="15">
        <f t="shared" si="5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0.85274860750753056</v>
      </c>
    </row>
    <row r="608" spans="1:11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0.7</v>
      </c>
      <c r="F608" s="15">
        <f t="shared" si="56"/>
        <v>3</v>
      </c>
      <c r="G608" s="15">
        <f t="shared" si="57"/>
        <v>2.1934285045490718</v>
      </c>
      <c r="H608" s="15">
        <f t="shared" si="58"/>
        <v>0.7</v>
      </c>
      <c r="I608" s="15">
        <f t="shared" si="5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0.85274860750753056</v>
      </c>
    </row>
    <row r="609" spans="1:11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0.25</v>
      </c>
      <c r="F609" s="15">
        <f t="shared" si="56"/>
        <v>4</v>
      </c>
      <c r="G609" s="15">
        <f t="shared" si="57"/>
        <v>2.9747673274370845</v>
      </c>
      <c r="H609" s="15">
        <f t="shared" si="58"/>
        <v>0.95</v>
      </c>
      <c r="I609" s="15">
        <f t="shared" si="59"/>
        <v>0</v>
      </c>
      <c r="J609" s="15">
        <f>IF(CurrentMtgRatesDataTable8[[#This Row],[WA CC]]&lt;&gt;0,C608-CurrentMtgRatesDataTable8[[#This Row],[WA CC]],0)</f>
        <v>0</v>
      </c>
      <c r="K609" s="16">
        <f>IF(CurrentMtgRatesDataTable8[[#This Row],[Servicing Spread]]&lt;=0,K608,CurrentMtgRatesDataTable8[[#This Row],[Servicing Spread]])</f>
        <v>0.85274860750753056</v>
      </c>
    </row>
    <row r="610" spans="1:11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</v>
      </c>
      <c r="F610" s="15">
        <f t="shared" si="56"/>
        <v>1</v>
      </c>
      <c r="G610" s="15">
        <f t="shared" si="57"/>
        <v>0</v>
      </c>
      <c r="H610" s="15">
        <f t="shared" si="58"/>
        <v>0</v>
      </c>
      <c r="I610" s="15">
        <f t="shared" si="59"/>
        <v>3.1313340288811418</v>
      </c>
      <c r="J610" s="15">
        <f>IF(CurrentMtgRatesDataTable8[[#This Row],[WA CC]]&lt;&gt;0,C609-CurrentMtgRatesDataTable8[[#This Row],[WA CC]],0)</f>
        <v>0.84366597111885788</v>
      </c>
      <c r="K610" s="16">
        <f>IF(CurrentMtgRatesDataTable8[[#This Row],[Servicing Spread]]&lt;=0,K609,CurrentMtgRatesDataTable8[[#This Row],[Servicing Spread]])</f>
        <v>0.84366597111885788</v>
      </c>
    </row>
    <row r="611" spans="1:11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</v>
      </c>
      <c r="F611" s="15">
        <f t="shared" si="56"/>
        <v>2</v>
      </c>
      <c r="G611" s="15">
        <f t="shared" si="57"/>
        <v>0</v>
      </c>
      <c r="H611" s="15">
        <f t="shared" si="58"/>
        <v>0</v>
      </c>
      <c r="I611" s="15">
        <f t="shared" si="5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0.84366597111885788</v>
      </c>
    </row>
    <row r="612" spans="1:11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0.05</v>
      </c>
      <c r="F612" s="15">
        <f t="shared" si="56"/>
        <v>3</v>
      </c>
      <c r="G612" s="15">
        <f t="shared" si="57"/>
        <v>0.15880401258309351</v>
      </c>
      <c r="H612" s="15">
        <f t="shared" si="58"/>
        <v>0.05</v>
      </c>
      <c r="I612" s="15">
        <f t="shared" si="5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0.84366597111885788</v>
      </c>
    </row>
    <row r="613" spans="1:11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0.7</v>
      </c>
      <c r="F613" s="15">
        <f t="shared" si="56"/>
        <v>4</v>
      </c>
      <c r="G613" s="15">
        <f t="shared" si="57"/>
        <v>2.4017884927630053</v>
      </c>
      <c r="H613" s="15">
        <f t="shared" si="58"/>
        <v>0.75</v>
      </c>
      <c r="I613" s="15">
        <f t="shared" si="5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0.84366597111885788</v>
      </c>
    </row>
    <row r="614" spans="1:11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0.25</v>
      </c>
      <c r="F614" s="15">
        <f t="shared" si="56"/>
        <v>5</v>
      </c>
      <c r="G614" s="15">
        <f t="shared" si="57"/>
        <v>3.2117047527836977</v>
      </c>
      <c r="H614" s="15">
        <f t="shared" si="58"/>
        <v>1</v>
      </c>
      <c r="I614" s="15">
        <f t="shared" si="59"/>
        <v>0</v>
      </c>
      <c r="J614" s="15">
        <f>IF(CurrentMtgRatesDataTable8[[#This Row],[WA CC]]&lt;&gt;0,C613-CurrentMtgRatesDataTable8[[#This Row],[WA CC]],0)</f>
        <v>0</v>
      </c>
      <c r="K614" s="16">
        <f>IF(CurrentMtgRatesDataTable8[[#This Row],[Servicing Spread]]&lt;=0,K613,CurrentMtgRatesDataTable8[[#This Row],[Servicing Spread]])</f>
        <v>0.84366597111885788</v>
      </c>
    </row>
    <row r="615" spans="1:11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</v>
      </c>
      <c r="F615" s="15">
        <f t="shared" si="56"/>
        <v>1</v>
      </c>
      <c r="G615" s="15">
        <f t="shared" si="57"/>
        <v>0</v>
      </c>
      <c r="H615" s="15">
        <f t="shared" si="58"/>
        <v>0</v>
      </c>
      <c r="I615" s="15">
        <f t="shared" si="59"/>
        <v>3.2117047527836977</v>
      </c>
      <c r="J615" s="15">
        <f>IF(CurrentMtgRatesDataTable8[[#This Row],[WA CC]]&lt;&gt;0,C614-CurrentMtgRatesDataTable8[[#This Row],[WA CC]],0)</f>
        <v>0.78329524721630239</v>
      </c>
      <c r="K615" s="16">
        <f>IF(CurrentMtgRatesDataTable8[[#This Row],[Servicing Spread]]&lt;=0,K614,CurrentMtgRatesDataTable8[[#This Row],[Servicing Spread]])</f>
        <v>0.78329524721630239</v>
      </c>
    </row>
    <row r="616" spans="1:11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</v>
      </c>
      <c r="F616" s="15">
        <f t="shared" si="56"/>
        <v>2</v>
      </c>
      <c r="G616" s="15">
        <f t="shared" si="57"/>
        <v>0</v>
      </c>
      <c r="H616" s="15">
        <f t="shared" si="58"/>
        <v>0</v>
      </c>
      <c r="I616" s="15">
        <f t="shared" si="5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0.78329524721630239</v>
      </c>
    </row>
    <row r="617" spans="1:11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0.05</v>
      </c>
      <c r="F617" s="15">
        <f t="shared" si="56"/>
        <v>3</v>
      </c>
      <c r="G617" s="15">
        <f t="shared" si="57"/>
        <v>0.16406705528854601</v>
      </c>
      <c r="H617" s="15">
        <f t="shared" si="58"/>
        <v>0.05</v>
      </c>
      <c r="I617" s="15">
        <f t="shared" si="5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0.78329524721630239</v>
      </c>
    </row>
    <row r="618" spans="1:11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0.7</v>
      </c>
      <c r="F618" s="15">
        <f t="shared" si="56"/>
        <v>4</v>
      </c>
      <c r="G618" s="15">
        <f t="shared" si="57"/>
        <v>2.4629251712816136</v>
      </c>
      <c r="H618" s="15">
        <f t="shared" si="58"/>
        <v>0.75</v>
      </c>
      <c r="I618" s="15">
        <f t="shared" si="5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0.78329524721630239</v>
      </c>
    </row>
    <row r="619" spans="1:11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0.25</v>
      </c>
      <c r="F619" s="15">
        <f t="shared" si="56"/>
        <v>5</v>
      </c>
      <c r="G619" s="15">
        <f t="shared" si="57"/>
        <v>3.2851615786419361</v>
      </c>
      <c r="H619" s="15">
        <f t="shared" si="58"/>
        <v>1</v>
      </c>
      <c r="I619" s="15">
        <f t="shared" si="59"/>
        <v>0</v>
      </c>
      <c r="J619" s="15">
        <f>IF(CurrentMtgRatesDataTable8[[#This Row],[WA CC]]&lt;&gt;0,C618-CurrentMtgRatesDataTable8[[#This Row],[WA CC]],0)</f>
        <v>0</v>
      </c>
      <c r="K619" s="16">
        <f>IF(CurrentMtgRatesDataTable8[[#This Row],[Servicing Spread]]&lt;=0,K618,CurrentMtgRatesDataTable8[[#This Row],[Servicing Spread]])</f>
        <v>0.78329524721630239</v>
      </c>
    </row>
    <row r="620" spans="1:11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</v>
      </c>
      <c r="F620" s="15">
        <f t="shared" si="56"/>
        <v>1</v>
      </c>
      <c r="G620" s="15">
        <f t="shared" si="57"/>
        <v>0</v>
      </c>
      <c r="H620" s="15">
        <f t="shared" si="58"/>
        <v>0</v>
      </c>
      <c r="I620" s="15">
        <f t="shared" si="59"/>
        <v>3.2851615786419361</v>
      </c>
      <c r="J620" s="15">
        <f>IF(CurrentMtgRatesDataTable8[[#This Row],[WA CC]]&lt;&gt;0,C619-CurrentMtgRatesDataTable8[[#This Row],[WA CC]],0)</f>
        <v>0.81983842135806428</v>
      </c>
      <c r="K620" s="16">
        <f>IF(CurrentMtgRatesDataTable8[[#This Row],[Servicing Spread]]&lt;=0,K619,CurrentMtgRatesDataTable8[[#This Row],[Servicing Spread]])</f>
        <v>0.81983842135806428</v>
      </c>
    </row>
    <row r="621" spans="1:11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</v>
      </c>
      <c r="F621" s="15">
        <f t="shared" si="56"/>
        <v>2</v>
      </c>
      <c r="G621" s="15">
        <f t="shared" si="57"/>
        <v>0</v>
      </c>
      <c r="H621" s="15">
        <f t="shared" si="58"/>
        <v>0</v>
      </c>
      <c r="I621" s="15">
        <f t="shared" si="5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0.81983842135806428</v>
      </c>
    </row>
    <row r="622" spans="1:11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0.05</v>
      </c>
      <c r="F622" s="15">
        <f t="shared" si="56"/>
        <v>3</v>
      </c>
      <c r="G622" s="15">
        <f t="shared" si="57"/>
        <v>0.16198811652936151</v>
      </c>
      <c r="H622" s="15">
        <f t="shared" si="58"/>
        <v>0.05</v>
      </c>
      <c r="I622" s="15">
        <f t="shared" si="5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0.81983842135806428</v>
      </c>
    </row>
    <row r="623" spans="1:11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0.7</v>
      </c>
      <c r="F623" s="15">
        <f t="shared" si="56"/>
        <v>4</v>
      </c>
      <c r="G623" s="15">
        <f t="shared" si="57"/>
        <v>2.4122885075836153</v>
      </c>
      <c r="H623" s="15">
        <f t="shared" si="58"/>
        <v>0.75</v>
      </c>
      <c r="I623" s="15">
        <f t="shared" si="5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0.81983842135806428</v>
      </c>
    </row>
    <row r="624" spans="1:11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0.25</v>
      </c>
      <c r="F624" s="15">
        <f t="shared" si="56"/>
        <v>5</v>
      </c>
      <c r="G624" s="15">
        <f t="shared" si="57"/>
        <v>3.2223394584812604</v>
      </c>
      <c r="H624" s="15">
        <f t="shared" si="58"/>
        <v>1</v>
      </c>
      <c r="I624" s="15">
        <f t="shared" si="59"/>
        <v>0</v>
      </c>
      <c r="J624" s="15">
        <f>IF(CurrentMtgRatesDataTable8[[#This Row],[WA CC]]&lt;&gt;0,C623-CurrentMtgRatesDataTable8[[#This Row],[WA CC]],0)</f>
        <v>0</v>
      </c>
      <c r="K624" s="16">
        <f>IF(CurrentMtgRatesDataTable8[[#This Row],[Servicing Spread]]&lt;=0,K623,CurrentMtgRatesDataTable8[[#This Row],[Servicing Spread]])</f>
        <v>0.81983842135806428</v>
      </c>
    </row>
    <row r="625" spans="1:11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</v>
      </c>
      <c r="F625" s="15">
        <f t="shared" si="56"/>
        <v>1</v>
      </c>
      <c r="G625" s="15">
        <f t="shared" si="57"/>
        <v>0</v>
      </c>
      <c r="H625" s="15">
        <f t="shared" si="58"/>
        <v>0</v>
      </c>
      <c r="I625" s="15">
        <f t="shared" si="59"/>
        <v>3.2223394584812604</v>
      </c>
      <c r="J625" s="15">
        <f>IF(CurrentMtgRatesDataTable8[[#This Row],[WA CC]]&lt;&gt;0,C624-CurrentMtgRatesDataTable8[[#This Row],[WA CC]],0)</f>
        <v>0.85266054151873982</v>
      </c>
      <c r="K625" s="16">
        <f>IF(CurrentMtgRatesDataTable8[[#This Row],[Servicing Spread]]&lt;=0,K624,CurrentMtgRatesDataTable8[[#This Row],[Servicing Spread]])</f>
        <v>0.85266054151873982</v>
      </c>
    </row>
    <row r="626" spans="1:11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</v>
      </c>
      <c r="F626" s="15">
        <f t="shared" si="56"/>
        <v>2</v>
      </c>
      <c r="G626" s="15">
        <f t="shared" si="57"/>
        <v>0</v>
      </c>
      <c r="H626" s="15">
        <f t="shared" si="58"/>
        <v>0</v>
      </c>
      <c r="I626" s="15">
        <f t="shared" si="5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0.85266054151873982</v>
      </c>
    </row>
    <row r="627" spans="1:11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0.05</v>
      </c>
      <c r="F627" s="15">
        <f t="shared" si="56"/>
        <v>3</v>
      </c>
      <c r="G627" s="15">
        <f t="shared" si="57"/>
        <v>0.15963417681510902</v>
      </c>
      <c r="H627" s="15">
        <f t="shared" si="58"/>
        <v>0.05</v>
      </c>
      <c r="I627" s="15">
        <f t="shared" si="5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0.85266054151873982</v>
      </c>
    </row>
    <row r="628" spans="1:11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0.7</v>
      </c>
      <c r="F628" s="15">
        <f t="shared" si="56"/>
        <v>4</v>
      </c>
      <c r="G628" s="15">
        <f t="shared" si="57"/>
        <v>2.4051611755692104</v>
      </c>
      <c r="H628" s="15">
        <f t="shared" si="58"/>
        <v>0.75</v>
      </c>
      <c r="I628" s="15">
        <f t="shared" si="5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0.85266054151873982</v>
      </c>
    </row>
    <row r="629" spans="1:11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0.25</v>
      </c>
      <c r="F629" s="15">
        <f t="shared" si="56"/>
        <v>5</v>
      </c>
      <c r="G629" s="15">
        <f t="shared" si="57"/>
        <v>3.1848578510085552</v>
      </c>
      <c r="H629" s="15">
        <f t="shared" si="58"/>
        <v>1</v>
      </c>
      <c r="I629" s="15">
        <f t="shared" si="59"/>
        <v>0</v>
      </c>
      <c r="J629" s="15">
        <f>IF(CurrentMtgRatesDataTable8[[#This Row],[WA CC]]&lt;&gt;0,C628-CurrentMtgRatesDataTable8[[#This Row],[WA CC]],0)</f>
        <v>0</v>
      </c>
      <c r="K629" s="16">
        <f>IF(CurrentMtgRatesDataTable8[[#This Row],[Servicing Spread]]&lt;=0,K628,CurrentMtgRatesDataTable8[[#This Row],[Servicing Spread]])</f>
        <v>0.85266054151873982</v>
      </c>
    </row>
    <row r="630" spans="1:11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</v>
      </c>
      <c r="F630" s="15">
        <f t="shared" si="56"/>
        <v>1</v>
      </c>
      <c r="G630" s="15">
        <f t="shared" si="57"/>
        <v>0</v>
      </c>
      <c r="H630" s="15">
        <f t="shared" si="58"/>
        <v>0</v>
      </c>
      <c r="I630" s="15">
        <f t="shared" si="59"/>
        <v>3.1848578510085552</v>
      </c>
      <c r="J630" s="15">
        <f>IF(CurrentMtgRatesDataTable8[[#This Row],[WA CC]]&lt;&gt;0,C629-CurrentMtgRatesDataTable8[[#This Row],[WA CC]],0)</f>
        <v>0.85514214899144481</v>
      </c>
      <c r="K630" s="16">
        <f>IF(CurrentMtgRatesDataTable8[[#This Row],[Servicing Spread]]&lt;=0,K629,CurrentMtgRatesDataTable8[[#This Row],[Servicing Spread]])</f>
        <v>0.85514214899144481</v>
      </c>
    </row>
    <row r="631" spans="1:11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</v>
      </c>
      <c r="F631" s="15">
        <f t="shared" si="56"/>
        <v>2</v>
      </c>
      <c r="G631" s="15">
        <f t="shared" si="57"/>
        <v>0</v>
      </c>
      <c r="H631" s="15">
        <f t="shared" si="58"/>
        <v>0</v>
      </c>
      <c r="I631" s="15">
        <f t="shared" si="5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0.85514214899144481</v>
      </c>
    </row>
    <row r="632" spans="1:11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0.05</v>
      </c>
      <c r="F632" s="15">
        <f t="shared" si="56"/>
        <v>3</v>
      </c>
      <c r="G632" s="15">
        <f t="shared" si="57"/>
        <v>0.15614890982000401</v>
      </c>
      <c r="H632" s="15">
        <f t="shared" si="58"/>
        <v>0.05</v>
      </c>
      <c r="I632" s="15">
        <f t="shared" si="5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0.85514214899144481</v>
      </c>
    </row>
    <row r="633" spans="1:11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0.7</v>
      </c>
      <c r="F633" s="15">
        <f t="shared" si="56"/>
        <v>4</v>
      </c>
      <c r="G633" s="15">
        <f t="shared" si="57"/>
        <v>2.2961648770920049</v>
      </c>
      <c r="H633" s="15">
        <f t="shared" si="58"/>
        <v>0.75</v>
      </c>
      <c r="I633" s="15">
        <f t="shared" si="5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0.85514214899144481</v>
      </c>
    </row>
    <row r="634" spans="1:11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0.25</v>
      </c>
      <c r="F634" s="15">
        <f t="shared" si="56"/>
        <v>5</v>
      </c>
      <c r="G634" s="15">
        <f t="shared" si="57"/>
        <v>3.047904099034465</v>
      </c>
      <c r="H634" s="15">
        <f t="shared" si="58"/>
        <v>1</v>
      </c>
      <c r="I634" s="15">
        <f t="shared" si="59"/>
        <v>0</v>
      </c>
      <c r="J634" s="15">
        <f>IF(CurrentMtgRatesDataTable8[[#This Row],[WA CC]]&lt;&gt;0,C633-CurrentMtgRatesDataTable8[[#This Row],[WA CC]],0)</f>
        <v>0</v>
      </c>
      <c r="K634" s="16">
        <f>IF(CurrentMtgRatesDataTable8[[#This Row],[Servicing Spread]]&lt;=0,K633,CurrentMtgRatesDataTable8[[#This Row],[Servicing Spread]])</f>
        <v>0.85514214899144481</v>
      </c>
    </row>
    <row r="635" spans="1:11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</v>
      </c>
      <c r="F635" s="15">
        <f t="shared" si="56"/>
        <v>1</v>
      </c>
      <c r="G635" s="15">
        <f t="shared" si="57"/>
        <v>0</v>
      </c>
      <c r="H635" s="15">
        <f t="shared" si="58"/>
        <v>0</v>
      </c>
      <c r="I635" s="15">
        <f t="shared" si="59"/>
        <v>3.047904099034465</v>
      </c>
      <c r="J635" s="15">
        <f>IF(CurrentMtgRatesDataTable8[[#This Row],[WA CC]]&lt;&gt;0,C634-CurrentMtgRatesDataTable8[[#This Row],[WA CC]],0)</f>
        <v>0.94709590096553509</v>
      </c>
      <c r="K635" s="16">
        <f>IF(CurrentMtgRatesDataTable8[[#This Row],[Servicing Spread]]&lt;=0,K634,CurrentMtgRatesDataTable8[[#This Row],[Servicing Spread]])</f>
        <v>0.94709590096553509</v>
      </c>
    </row>
    <row r="636" spans="1:11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</v>
      </c>
      <c r="F636" s="15">
        <f t="shared" si="56"/>
        <v>2</v>
      </c>
      <c r="G636" s="15">
        <f t="shared" si="57"/>
        <v>0</v>
      </c>
      <c r="H636" s="15">
        <f t="shared" si="58"/>
        <v>0</v>
      </c>
      <c r="I636" s="15">
        <f t="shared" si="5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0.94709590096553509</v>
      </c>
    </row>
    <row r="637" spans="1:11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0.7</v>
      </c>
      <c r="F637" s="15">
        <f t="shared" si="56"/>
        <v>3</v>
      </c>
      <c r="G637" s="15">
        <f t="shared" si="57"/>
        <v>2.0409714682341318</v>
      </c>
      <c r="H637" s="15">
        <f t="shared" si="58"/>
        <v>0.7</v>
      </c>
      <c r="I637" s="15">
        <f t="shared" si="5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0.94709590096553509</v>
      </c>
    </row>
    <row r="638" spans="1:11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0.25</v>
      </c>
      <c r="F638" s="15">
        <f t="shared" si="56"/>
        <v>4</v>
      </c>
      <c r="G638" s="15">
        <f t="shared" si="57"/>
        <v>2.7412905554290319</v>
      </c>
      <c r="H638" s="15">
        <f t="shared" si="58"/>
        <v>0.95</v>
      </c>
      <c r="I638" s="15">
        <f t="shared" si="59"/>
        <v>0</v>
      </c>
      <c r="J638" s="15">
        <f>IF(CurrentMtgRatesDataTable8[[#This Row],[WA CC]]&lt;&gt;0,C637-CurrentMtgRatesDataTable8[[#This Row],[WA CC]],0)</f>
        <v>0</v>
      </c>
      <c r="K638" s="16">
        <f>IF(CurrentMtgRatesDataTable8[[#This Row],[Servicing Spread]]&lt;=0,K637,CurrentMtgRatesDataTable8[[#This Row],[Servicing Spread]])</f>
        <v>0.94709590096553509</v>
      </c>
    </row>
    <row r="639" spans="1:11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</v>
      </c>
      <c r="F639" s="15">
        <f t="shared" si="56"/>
        <v>1</v>
      </c>
      <c r="G639" s="15">
        <f t="shared" si="57"/>
        <v>0</v>
      </c>
      <c r="H639" s="15">
        <f t="shared" si="58"/>
        <v>0</v>
      </c>
      <c r="I639" s="15">
        <f t="shared" si="59"/>
        <v>2.8855690057147707</v>
      </c>
      <c r="J639" s="15">
        <f>IF(CurrentMtgRatesDataTable8[[#This Row],[WA CC]]&lt;&gt;0,C638-CurrentMtgRatesDataTable8[[#This Row],[WA CC]],0)</f>
        <v>0.95943099428522949</v>
      </c>
      <c r="K639" s="16">
        <f>IF(CurrentMtgRatesDataTable8[[#This Row],[Servicing Spread]]&lt;=0,K638,CurrentMtgRatesDataTable8[[#This Row],[Servicing Spread]])</f>
        <v>0.95943099428522949</v>
      </c>
    </row>
    <row r="640" spans="1:11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</v>
      </c>
      <c r="F640" s="15">
        <f t="shared" si="56"/>
        <v>2</v>
      </c>
      <c r="G640" s="15">
        <f t="shared" si="57"/>
        <v>0</v>
      </c>
      <c r="H640" s="15">
        <f t="shared" si="58"/>
        <v>0</v>
      </c>
      <c r="I640" s="15">
        <f t="shared" si="5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0.95943099428522949</v>
      </c>
    </row>
    <row r="641" spans="1:11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0.05</v>
      </c>
      <c r="F641" s="15">
        <f t="shared" si="56"/>
        <v>3</v>
      </c>
      <c r="G641" s="15">
        <f t="shared" si="57"/>
        <v>0.14411413831299599</v>
      </c>
      <c r="H641" s="15">
        <f t="shared" si="58"/>
        <v>0.05</v>
      </c>
      <c r="I641" s="15">
        <f t="shared" si="5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0.95943099428522949</v>
      </c>
    </row>
    <row r="642" spans="1:11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0.7</v>
      </c>
      <c r="F642" s="15">
        <f t="shared" si="56"/>
        <v>4</v>
      </c>
      <c r="G642" s="15">
        <f t="shared" si="57"/>
        <v>2.1759383118646998</v>
      </c>
      <c r="H642" s="15">
        <f t="shared" si="58"/>
        <v>0.75</v>
      </c>
      <c r="I642" s="15">
        <f t="shared" si="5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0.95943099428522949</v>
      </c>
    </row>
    <row r="643" spans="1:11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0.25</v>
      </c>
      <c r="F643" s="15">
        <f t="shared" si="56"/>
        <v>5</v>
      </c>
      <c r="G643" s="15">
        <f t="shared" si="57"/>
        <v>2.9048404118126148</v>
      </c>
      <c r="H643" s="15">
        <f t="shared" si="58"/>
        <v>1</v>
      </c>
      <c r="I643" s="15">
        <f t="shared" si="59"/>
        <v>0</v>
      </c>
      <c r="J643" s="15">
        <f>IF(CurrentMtgRatesDataTable8[[#This Row],[WA CC]]&lt;&gt;0,C642-CurrentMtgRatesDataTable8[[#This Row],[WA CC]],0)</f>
        <v>0</v>
      </c>
      <c r="K643" s="16">
        <f>IF(CurrentMtgRatesDataTable8[[#This Row],[Servicing Spread]]&lt;=0,K642,CurrentMtgRatesDataTable8[[#This Row],[Servicing Spread]])</f>
        <v>0.95943099428522949</v>
      </c>
    </row>
    <row r="644" spans="1:11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</v>
      </c>
      <c r="F644" s="15">
        <f t="shared" si="56"/>
        <v>1</v>
      </c>
      <c r="G644" s="15">
        <f t="shared" si="57"/>
        <v>0</v>
      </c>
      <c r="H644" s="15">
        <f t="shared" si="58"/>
        <v>0</v>
      </c>
      <c r="I644" s="15">
        <f t="shared" si="59"/>
        <v>2.9048404118126148</v>
      </c>
      <c r="J644" s="15">
        <f>IF(CurrentMtgRatesDataTable8[[#This Row],[WA CC]]&lt;&gt;0,C643-CurrentMtgRatesDataTable8[[#This Row],[WA CC]],0)</f>
        <v>0.89015958818738516</v>
      </c>
      <c r="K644" s="16">
        <f>IF(CurrentMtgRatesDataTable8[[#This Row],[Servicing Spread]]&lt;=0,K643,CurrentMtgRatesDataTable8[[#This Row],[Servicing Spread]])</f>
        <v>0.89015958818738516</v>
      </c>
    </row>
    <row r="645" spans="1:11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VLOOKUP(D645,O$5:P$11,2,FALSE)</f>
        <v>0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0</v>
      </c>
      <c r="H645" s="15">
        <f t="shared" ref="H645:H708" si="64">IF(AND(F645&lt;6,F645&gt;F644),E645+H644,E645)</f>
        <v>0</v>
      </c>
      <c r="I645" s="15">
        <f t="shared" ref="I645:I708" si="65">IF(F644&gt;F645,G644/H644,0)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0.89015958818738516</v>
      </c>
    </row>
    <row r="646" spans="1:11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0.05</v>
      </c>
      <c r="F646" s="15">
        <f t="shared" si="62"/>
        <v>3</v>
      </c>
      <c r="G646" s="15">
        <f t="shared" si="63"/>
        <v>0.14753152787025051</v>
      </c>
      <c r="H646" s="15">
        <f t="shared" si="64"/>
        <v>0.05</v>
      </c>
      <c r="I646" s="15">
        <f t="shared" si="65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0.89015958818738516</v>
      </c>
    </row>
    <row r="647" spans="1:11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0.7</v>
      </c>
      <c r="F647" s="15">
        <f t="shared" si="62"/>
        <v>4</v>
      </c>
      <c r="G647" s="15">
        <f t="shared" si="63"/>
        <v>2.2288146231439403</v>
      </c>
      <c r="H647" s="15">
        <f t="shared" si="64"/>
        <v>0.75</v>
      </c>
      <c r="I647" s="15">
        <f t="shared" si="65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0.89015958818738516</v>
      </c>
    </row>
    <row r="648" spans="1:11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0.25</v>
      </c>
      <c r="F648" s="15">
        <f t="shared" si="62"/>
        <v>5</v>
      </c>
      <c r="G648" s="15">
        <f t="shared" si="63"/>
        <v>2.9810892577717327</v>
      </c>
      <c r="H648" s="15">
        <f t="shared" si="64"/>
        <v>1</v>
      </c>
      <c r="I648" s="15">
        <f t="shared" si="65"/>
        <v>0</v>
      </c>
      <c r="J648" s="15">
        <f>IF(CurrentMtgRatesDataTable8[[#This Row],[WA CC]]&lt;&gt;0,C647-CurrentMtgRatesDataTable8[[#This Row],[WA CC]],0)</f>
        <v>0</v>
      </c>
      <c r="K648" s="16">
        <f>IF(CurrentMtgRatesDataTable8[[#This Row],[Servicing Spread]]&lt;=0,K647,CurrentMtgRatesDataTable8[[#This Row],[Servicing Spread]])</f>
        <v>0.89015958818738516</v>
      </c>
    </row>
    <row r="649" spans="1:11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</v>
      </c>
      <c r="F649" s="15">
        <f t="shared" si="62"/>
        <v>1</v>
      </c>
      <c r="G649" s="15">
        <f t="shared" si="63"/>
        <v>0</v>
      </c>
      <c r="H649" s="15">
        <f t="shared" si="64"/>
        <v>0</v>
      </c>
      <c r="I649" s="15">
        <f t="shared" si="65"/>
        <v>2.9810892577717327</v>
      </c>
      <c r="J649" s="15">
        <f>IF(CurrentMtgRatesDataTable8[[#This Row],[WA CC]]&lt;&gt;0,C648-CurrentMtgRatesDataTable8[[#This Row],[WA CC]],0)</f>
        <v>0.87391074222826726</v>
      </c>
      <c r="K649" s="16">
        <f>IF(CurrentMtgRatesDataTable8[[#This Row],[Servicing Spread]]&lt;=0,K648,CurrentMtgRatesDataTable8[[#This Row],[Servicing Spread]])</f>
        <v>0.87391074222826726</v>
      </c>
    </row>
    <row r="650" spans="1:11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</v>
      </c>
      <c r="F650" s="15">
        <f t="shared" si="62"/>
        <v>2</v>
      </c>
      <c r="G650" s="15">
        <f t="shared" si="63"/>
        <v>0</v>
      </c>
      <c r="H650" s="15">
        <f t="shared" si="64"/>
        <v>0</v>
      </c>
      <c r="I650" s="15">
        <f t="shared" si="65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0.87391074222826726</v>
      </c>
    </row>
    <row r="651" spans="1:11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0.05</v>
      </c>
      <c r="F651" s="15">
        <f t="shared" si="62"/>
        <v>3</v>
      </c>
      <c r="G651" s="15">
        <f t="shared" si="63"/>
        <v>0.152363896042671</v>
      </c>
      <c r="H651" s="15">
        <f t="shared" si="64"/>
        <v>0.05</v>
      </c>
      <c r="I651" s="15">
        <f t="shared" si="65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0.87391074222826726</v>
      </c>
    </row>
    <row r="652" spans="1:11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0.7</v>
      </c>
      <c r="F652" s="15">
        <f t="shared" si="62"/>
        <v>4</v>
      </c>
      <c r="G652" s="15">
        <f t="shared" si="63"/>
        <v>2.2833331563564387</v>
      </c>
      <c r="H652" s="15">
        <f t="shared" si="64"/>
        <v>0.75</v>
      </c>
      <c r="I652" s="15">
        <f t="shared" si="65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0.87391074222826726</v>
      </c>
    </row>
    <row r="653" spans="1:11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0.25</v>
      </c>
      <c r="F653" s="15">
        <f t="shared" si="62"/>
        <v>5</v>
      </c>
      <c r="G653" s="15">
        <f t="shared" si="63"/>
        <v>3.0444455307883986</v>
      </c>
      <c r="H653" s="15">
        <f t="shared" si="64"/>
        <v>1</v>
      </c>
      <c r="I653" s="15">
        <f t="shared" si="65"/>
        <v>0</v>
      </c>
      <c r="J653" s="15">
        <f>IF(CurrentMtgRatesDataTable8[[#This Row],[WA CC]]&lt;&gt;0,C652-CurrentMtgRatesDataTable8[[#This Row],[WA CC]],0)</f>
        <v>0</v>
      </c>
      <c r="K653" s="16">
        <f>IF(CurrentMtgRatesDataTable8[[#This Row],[Servicing Spread]]&lt;=0,K652,CurrentMtgRatesDataTable8[[#This Row],[Servicing Spread]])</f>
        <v>0.87391074222826726</v>
      </c>
    </row>
    <row r="654" spans="1:11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</v>
      </c>
      <c r="F654" s="15">
        <f t="shared" si="62"/>
        <v>1</v>
      </c>
      <c r="G654" s="15">
        <f t="shared" si="63"/>
        <v>0</v>
      </c>
      <c r="H654" s="15">
        <f t="shared" si="64"/>
        <v>0</v>
      </c>
      <c r="I654" s="15">
        <f t="shared" si="65"/>
        <v>3.0444455307883986</v>
      </c>
      <c r="J654" s="15">
        <f>IF(CurrentMtgRatesDataTable8[[#This Row],[WA CC]]&lt;&gt;0,C653-CurrentMtgRatesDataTable8[[#This Row],[WA CC]],0)</f>
        <v>0.85055446921160094</v>
      </c>
      <c r="K654" s="16">
        <f>IF(CurrentMtgRatesDataTable8[[#This Row],[Servicing Spread]]&lt;=0,K653,CurrentMtgRatesDataTable8[[#This Row],[Servicing Spread]])</f>
        <v>0.85055446921160094</v>
      </c>
    </row>
    <row r="655" spans="1:11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</v>
      </c>
      <c r="F655" s="15">
        <f t="shared" si="62"/>
        <v>2</v>
      </c>
      <c r="G655" s="15">
        <f t="shared" si="63"/>
        <v>0</v>
      </c>
      <c r="H655" s="15">
        <f t="shared" si="64"/>
        <v>0</v>
      </c>
      <c r="I655" s="15">
        <f t="shared" si="65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0.85055446921160094</v>
      </c>
    </row>
    <row r="656" spans="1:11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0.05</v>
      </c>
      <c r="F656" s="15">
        <f t="shared" si="62"/>
        <v>3</v>
      </c>
      <c r="G656" s="15">
        <f t="shared" si="63"/>
        <v>0.15181682661922652</v>
      </c>
      <c r="H656" s="15">
        <f t="shared" si="64"/>
        <v>0.05</v>
      </c>
      <c r="I656" s="15">
        <f t="shared" si="65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0.85055446921160094</v>
      </c>
    </row>
    <row r="657" spans="1:11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0.25</v>
      </c>
      <c r="F657" s="15">
        <f t="shared" si="62"/>
        <v>4</v>
      </c>
      <c r="G657" s="15">
        <f t="shared" si="63"/>
        <v>0.91093790967788157</v>
      </c>
      <c r="H657" s="15">
        <f t="shared" si="64"/>
        <v>0.3</v>
      </c>
      <c r="I657" s="15">
        <f t="shared" si="65"/>
        <v>0</v>
      </c>
      <c r="J657" s="15">
        <f>IF(CurrentMtgRatesDataTable8[[#This Row],[WA CC]]&lt;&gt;0,C656-CurrentMtgRatesDataTable8[[#This Row],[WA CC]],0)</f>
        <v>0</v>
      </c>
      <c r="K657" s="16">
        <f>IF(CurrentMtgRatesDataTable8[[#This Row],[Servicing Spread]]&lt;=0,K656,CurrentMtgRatesDataTable8[[#This Row],[Servicing Spread]])</f>
        <v>0.85055446921160094</v>
      </c>
    </row>
    <row r="658" spans="1:11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</v>
      </c>
      <c r="F658" s="15">
        <f t="shared" si="62"/>
        <v>1</v>
      </c>
      <c r="G658" s="15">
        <f t="shared" si="63"/>
        <v>0</v>
      </c>
      <c r="H658" s="15">
        <f t="shared" si="64"/>
        <v>0</v>
      </c>
      <c r="I658" s="15">
        <f t="shared" si="65"/>
        <v>3.0364596989262722</v>
      </c>
      <c r="J658" s="15">
        <f>IF(CurrentMtgRatesDataTable8[[#This Row],[WA CC]]&lt;&gt;0,C657-CurrentMtgRatesDataTable8[[#This Row],[WA CC]],0)</f>
        <v>0.84854030107372758</v>
      </c>
      <c r="K658" s="16">
        <f>IF(CurrentMtgRatesDataTable8[[#This Row],[Servicing Spread]]&lt;=0,K657,CurrentMtgRatesDataTable8[[#This Row],[Servicing Spread]])</f>
        <v>0.84854030107372758</v>
      </c>
    </row>
    <row r="659" spans="1:11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</v>
      </c>
      <c r="F659" s="15">
        <f t="shared" si="62"/>
        <v>2</v>
      </c>
      <c r="G659" s="15">
        <f t="shared" si="63"/>
        <v>0</v>
      </c>
      <c r="H659" s="15">
        <f t="shared" si="64"/>
        <v>0</v>
      </c>
      <c r="I659" s="15">
        <f t="shared" si="65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0.84854030107372758</v>
      </c>
    </row>
    <row r="660" spans="1:11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0.05</v>
      </c>
      <c r="F660" s="15">
        <f t="shared" si="62"/>
        <v>3</v>
      </c>
      <c r="G660" s="15">
        <f t="shared" si="63"/>
        <v>0.1497048866691375</v>
      </c>
      <c r="H660" s="15">
        <f t="shared" si="64"/>
        <v>0.05</v>
      </c>
      <c r="I660" s="15">
        <f t="shared" si="65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0.84854030107372758</v>
      </c>
    </row>
    <row r="661" spans="1:11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0.7</v>
      </c>
      <c r="F661" s="15">
        <f t="shared" si="62"/>
        <v>4</v>
      </c>
      <c r="G661" s="15">
        <f t="shared" si="63"/>
        <v>2.2372854465065952</v>
      </c>
      <c r="H661" s="15">
        <f t="shared" si="64"/>
        <v>0.75</v>
      </c>
      <c r="I661" s="15">
        <f t="shared" si="65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0.84854030107372758</v>
      </c>
    </row>
    <row r="662" spans="1:11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0.25</v>
      </c>
      <c r="F662" s="15">
        <f t="shared" si="62"/>
        <v>5</v>
      </c>
      <c r="G662" s="15">
        <f t="shared" si="63"/>
        <v>2.9882738951654804</v>
      </c>
      <c r="H662" s="15">
        <f t="shared" si="64"/>
        <v>1</v>
      </c>
      <c r="I662" s="15">
        <f t="shared" si="65"/>
        <v>0</v>
      </c>
      <c r="J662" s="15">
        <f>IF(CurrentMtgRatesDataTable8[[#This Row],[WA CC]]&lt;&gt;0,C661-CurrentMtgRatesDataTable8[[#This Row],[WA CC]],0)</f>
        <v>0</v>
      </c>
      <c r="K662" s="16">
        <f>IF(CurrentMtgRatesDataTable8[[#This Row],[Servicing Spread]]&lt;=0,K661,CurrentMtgRatesDataTable8[[#This Row],[Servicing Spread]])</f>
        <v>0.84854030107372758</v>
      </c>
    </row>
    <row r="663" spans="1:11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0.25</v>
      </c>
      <c r="F663" s="15">
        <f t="shared" si="62"/>
        <v>1</v>
      </c>
      <c r="G663" s="15">
        <f t="shared" si="63"/>
        <v>0.75098844865888503</v>
      </c>
      <c r="H663" s="15">
        <f t="shared" si="64"/>
        <v>0.25</v>
      </c>
      <c r="I663" s="15">
        <f t="shared" si="65"/>
        <v>2.9882738951654804</v>
      </c>
      <c r="J663" s="15">
        <f>IF(CurrentMtgRatesDataTable8[[#This Row],[WA CC]]&lt;&gt;0,C662-CurrentMtgRatesDataTable8[[#This Row],[WA CC]],0)</f>
        <v>0.87672610483451985</v>
      </c>
      <c r="K663" s="16">
        <f>IF(CurrentMtgRatesDataTable8[[#This Row],[Servicing Spread]]&lt;=0,K662,CurrentMtgRatesDataTable8[[#This Row],[Servicing Spread]])</f>
        <v>0.87672610483451985</v>
      </c>
    </row>
    <row r="664" spans="1:11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</v>
      </c>
      <c r="F664" s="15">
        <f t="shared" si="62"/>
        <v>1</v>
      </c>
      <c r="G664" s="15">
        <f t="shared" si="63"/>
        <v>0</v>
      </c>
      <c r="H664" s="15">
        <f t="shared" si="64"/>
        <v>0</v>
      </c>
      <c r="I664" s="15">
        <f t="shared" si="65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0.87672610483451985</v>
      </c>
    </row>
    <row r="665" spans="1:11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</v>
      </c>
      <c r="F665" s="15">
        <f t="shared" si="62"/>
        <v>2</v>
      </c>
      <c r="G665" s="15">
        <f t="shared" si="63"/>
        <v>0</v>
      </c>
      <c r="H665" s="15">
        <f t="shared" si="64"/>
        <v>0</v>
      </c>
      <c r="I665" s="15">
        <f t="shared" si="65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0.87672610483451985</v>
      </c>
    </row>
    <row r="666" spans="1:11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0.05</v>
      </c>
      <c r="F666" s="15">
        <f t="shared" si="62"/>
        <v>3</v>
      </c>
      <c r="G666" s="15">
        <f t="shared" si="63"/>
        <v>0.14766877146235899</v>
      </c>
      <c r="H666" s="15">
        <f t="shared" si="64"/>
        <v>0.05</v>
      </c>
      <c r="I666" s="15">
        <f t="shared" si="65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0.87672610483451985</v>
      </c>
    </row>
    <row r="667" spans="1:11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0.7</v>
      </c>
      <c r="F667" s="15">
        <f t="shared" si="62"/>
        <v>4</v>
      </c>
      <c r="G667" s="15">
        <f t="shared" si="63"/>
        <v>2.1767752738498758</v>
      </c>
      <c r="H667" s="15">
        <f t="shared" si="64"/>
        <v>0.75</v>
      </c>
      <c r="I667" s="15">
        <f t="shared" si="65"/>
        <v>0</v>
      </c>
      <c r="J667" s="15">
        <f>IF(CurrentMtgRatesDataTable8[[#This Row],[WA CC]]&lt;&gt;0,C666-CurrentMtgRatesDataTable8[[#This Row],[WA CC]],0)</f>
        <v>0</v>
      </c>
      <c r="K667" s="16">
        <f>IF(CurrentMtgRatesDataTable8[[#This Row],[Servicing Spread]]&lt;=0,K666,CurrentMtgRatesDataTable8[[#This Row],[Servicing Spread]])</f>
        <v>0.87672610483451985</v>
      </c>
    </row>
    <row r="668" spans="1:11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</v>
      </c>
      <c r="F668" s="15">
        <f t="shared" si="62"/>
        <v>1</v>
      </c>
      <c r="G668" s="15">
        <f t="shared" si="63"/>
        <v>0</v>
      </c>
      <c r="H668" s="15">
        <f t="shared" si="64"/>
        <v>0</v>
      </c>
      <c r="I668" s="15">
        <f t="shared" si="65"/>
        <v>2.9023670317998342</v>
      </c>
      <c r="J668" s="15">
        <f>IF(CurrentMtgRatesDataTable8[[#This Row],[WA CC]]&lt;&gt;0,C667-CurrentMtgRatesDataTable8[[#This Row],[WA CC]],0)</f>
        <v>0.94263296820016595</v>
      </c>
      <c r="K668" s="16">
        <f>IF(CurrentMtgRatesDataTable8[[#This Row],[Servicing Spread]]&lt;=0,K667,CurrentMtgRatesDataTable8[[#This Row],[Servicing Spread]])</f>
        <v>0.94263296820016595</v>
      </c>
    </row>
    <row r="669" spans="1:11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0.05</v>
      </c>
      <c r="F669" s="15">
        <f t="shared" si="62"/>
        <v>2</v>
      </c>
      <c r="G669" s="15">
        <f t="shared" si="63"/>
        <v>0.14311400448953501</v>
      </c>
      <c r="H669" s="15">
        <f t="shared" si="64"/>
        <v>0.05</v>
      </c>
      <c r="I669" s="15">
        <f t="shared" si="65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0.94263296820016595</v>
      </c>
    </row>
    <row r="670" spans="1:11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0.7</v>
      </c>
      <c r="F670" s="15">
        <f t="shared" si="62"/>
        <v>3</v>
      </c>
      <c r="G670" s="15">
        <f t="shared" si="63"/>
        <v>2.1906429083278831</v>
      </c>
      <c r="H670" s="15">
        <f t="shared" si="64"/>
        <v>0.75</v>
      </c>
      <c r="I670" s="15">
        <f t="shared" si="65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0.94263296820016595</v>
      </c>
    </row>
    <row r="671" spans="1:11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0.25</v>
      </c>
      <c r="F671" s="15">
        <f t="shared" si="62"/>
        <v>4</v>
      </c>
      <c r="G671" s="15">
        <f t="shared" si="63"/>
        <v>2.9237219000379504</v>
      </c>
      <c r="H671" s="15">
        <f t="shared" si="64"/>
        <v>1</v>
      </c>
      <c r="I671" s="15">
        <f t="shared" si="65"/>
        <v>0</v>
      </c>
      <c r="J671" s="15">
        <f>IF(CurrentMtgRatesDataTable8[[#This Row],[WA CC]]&lt;&gt;0,C670-CurrentMtgRatesDataTable8[[#This Row],[WA CC]],0)</f>
        <v>0</v>
      </c>
      <c r="K671" s="16">
        <f>IF(CurrentMtgRatesDataTable8[[#This Row],[Servicing Spread]]&lt;=0,K670,CurrentMtgRatesDataTable8[[#This Row],[Servicing Spread]])</f>
        <v>0.94263296820016595</v>
      </c>
    </row>
    <row r="672" spans="1:11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</v>
      </c>
      <c r="F672" s="15">
        <f t="shared" si="62"/>
        <v>1</v>
      </c>
      <c r="G672" s="15">
        <f t="shared" si="63"/>
        <v>0</v>
      </c>
      <c r="H672" s="15">
        <f t="shared" si="64"/>
        <v>0</v>
      </c>
      <c r="I672" s="15">
        <f t="shared" si="65"/>
        <v>2.9237219000379504</v>
      </c>
      <c r="J672" s="15">
        <f>IF(CurrentMtgRatesDataTable8[[#This Row],[WA CC]]&lt;&gt;0,C671-CurrentMtgRatesDataTable8[[#This Row],[WA CC]],0)</f>
        <v>0.84127809996204972</v>
      </c>
      <c r="K672" s="16">
        <f>IF(CurrentMtgRatesDataTable8[[#This Row],[Servicing Spread]]&lt;=0,K671,CurrentMtgRatesDataTable8[[#This Row],[Servicing Spread]])</f>
        <v>0.84127809996204972</v>
      </c>
    </row>
    <row r="673" spans="1:11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</v>
      </c>
      <c r="F673" s="15">
        <f t="shared" si="62"/>
        <v>2</v>
      </c>
      <c r="G673" s="15">
        <f t="shared" si="63"/>
        <v>0</v>
      </c>
      <c r="H673" s="15">
        <f t="shared" si="64"/>
        <v>0</v>
      </c>
      <c r="I673" s="15">
        <f t="shared" si="65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0.84127809996204972</v>
      </c>
    </row>
    <row r="674" spans="1:11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0.05</v>
      </c>
      <c r="F674" s="15">
        <f t="shared" si="62"/>
        <v>3</v>
      </c>
      <c r="G674" s="15">
        <f t="shared" si="63"/>
        <v>0.14543793318617451</v>
      </c>
      <c r="H674" s="15">
        <f t="shared" si="64"/>
        <v>0.05</v>
      </c>
      <c r="I674" s="15">
        <f t="shared" si="65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0.84127809996204972</v>
      </c>
    </row>
    <row r="675" spans="1:11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0.7</v>
      </c>
      <c r="F675" s="15">
        <f t="shared" si="62"/>
        <v>4</v>
      </c>
      <c r="G675" s="15">
        <f t="shared" si="63"/>
        <v>2.1656545951740482</v>
      </c>
      <c r="H675" s="15">
        <f t="shared" si="64"/>
        <v>0.75</v>
      </c>
      <c r="I675" s="15">
        <f t="shared" si="65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0.84127809996204972</v>
      </c>
    </row>
    <row r="676" spans="1:11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0.25</v>
      </c>
      <c r="F676" s="15">
        <f t="shared" si="62"/>
        <v>5</v>
      </c>
      <c r="G676" s="15">
        <f t="shared" si="63"/>
        <v>2.8785313573597358</v>
      </c>
      <c r="H676" s="15">
        <f t="shared" si="64"/>
        <v>1</v>
      </c>
      <c r="I676" s="15">
        <f t="shared" si="65"/>
        <v>0</v>
      </c>
      <c r="J676" s="15">
        <f>IF(CurrentMtgRatesDataTable8[[#This Row],[WA CC]]&lt;&gt;0,C675-CurrentMtgRatesDataTable8[[#This Row],[WA CC]],0)</f>
        <v>0</v>
      </c>
      <c r="K676" s="16">
        <f>IF(CurrentMtgRatesDataTable8[[#This Row],[Servicing Spread]]&lt;=0,K675,CurrentMtgRatesDataTable8[[#This Row],[Servicing Spread]])</f>
        <v>0.84127809996204972</v>
      </c>
    </row>
    <row r="677" spans="1:11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</v>
      </c>
      <c r="F677" s="15">
        <f t="shared" si="62"/>
        <v>1</v>
      </c>
      <c r="G677" s="15">
        <f t="shared" si="63"/>
        <v>0</v>
      </c>
      <c r="H677" s="15">
        <f t="shared" si="64"/>
        <v>0</v>
      </c>
      <c r="I677" s="15">
        <f t="shared" si="65"/>
        <v>2.8785313573597358</v>
      </c>
      <c r="J677" s="15">
        <f>IF(CurrentMtgRatesDataTable8[[#This Row],[WA CC]]&lt;&gt;0,C676-CurrentMtgRatesDataTable8[[#This Row],[WA CC]],0)</f>
        <v>0.92646864264026441</v>
      </c>
      <c r="K677" s="16">
        <f>IF(CurrentMtgRatesDataTable8[[#This Row],[Servicing Spread]]&lt;=0,K676,CurrentMtgRatesDataTable8[[#This Row],[Servicing Spread]])</f>
        <v>0.92646864264026441</v>
      </c>
    </row>
    <row r="678" spans="1:11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</v>
      </c>
      <c r="F678" s="15">
        <f t="shared" si="62"/>
        <v>2</v>
      </c>
      <c r="G678" s="15">
        <f t="shared" si="63"/>
        <v>0</v>
      </c>
      <c r="H678" s="15">
        <f t="shared" si="64"/>
        <v>0</v>
      </c>
      <c r="I678" s="15">
        <f t="shared" si="65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0.92646864264026441</v>
      </c>
    </row>
    <row r="679" spans="1:11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0.05</v>
      </c>
      <c r="F679" s="15">
        <f t="shared" si="62"/>
        <v>3</v>
      </c>
      <c r="G679" s="15">
        <f t="shared" si="63"/>
        <v>0.14145874964827551</v>
      </c>
      <c r="H679" s="15">
        <f t="shared" si="64"/>
        <v>0.05</v>
      </c>
      <c r="I679" s="15">
        <f t="shared" si="65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0.92646864264026441</v>
      </c>
    </row>
    <row r="680" spans="1:11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0.7</v>
      </c>
      <c r="F680" s="15">
        <f t="shared" si="62"/>
        <v>4</v>
      </c>
      <c r="G680" s="15">
        <f t="shared" si="63"/>
        <v>2.0925330475930752</v>
      </c>
      <c r="H680" s="15">
        <f t="shared" si="64"/>
        <v>0.75</v>
      </c>
      <c r="I680" s="15">
        <f t="shared" si="65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0.92646864264026441</v>
      </c>
    </row>
    <row r="681" spans="1:11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0.25</v>
      </c>
      <c r="F681" s="15">
        <f t="shared" si="62"/>
        <v>5</v>
      </c>
      <c r="G681" s="15">
        <f t="shared" si="63"/>
        <v>2.8018205804106353</v>
      </c>
      <c r="H681" s="15">
        <f t="shared" si="64"/>
        <v>1</v>
      </c>
      <c r="I681" s="15">
        <f t="shared" si="65"/>
        <v>0</v>
      </c>
      <c r="J681" s="15">
        <f>IF(CurrentMtgRatesDataTable8[[#This Row],[WA CC]]&lt;&gt;0,C680-CurrentMtgRatesDataTable8[[#This Row],[WA CC]],0)</f>
        <v>0</v>
      </c>
      <c r="K681" s="16">
        <f>IF(CurrentMtgRatesDataTable8[[#This Row],[Servicing Spread]]&lt;=0,K680,CurrentMtgRatesDataTable8[[#This Row],[Servicing Spread]])</f>
        <v>0.92646864264026441</v>
      </c>
    </row>
    <row r="682" spans="1:11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0.25</v>
      </c>
      <c r="F682" s="15">
        <f t="shared" si="62"/>
        <v>1</v>
      </c>
      <c r="G682" s="15">
        <f t="shared" si="63"/>
        <v>0.70928753281755996</v>
      </c>
      <c r="H682" s="15">
        <f t="shared" si="64"/>
        <v>0.25</v>
      </c>
      <c r="I682" s="15">
        <f t="shared" si="65"/>
        <v>2.8018205804106353</v>
      </c>
      <c r="J682" s="15">
        <f>IF(CurrentMtgRatesDataTable8[[#This Row],[WA CC]]&lt;&gt;0,C681-CurrentMtgRatesDataTable8[[#This Row],[WA CC]],0)</f>
        <v>0.89817941958936443</v>
      </c>
      <c r="K682" s="16">
        <f>IF(CurrentMtgRatesDataTable8[[#This Row],[Servicing Spread]]&lt;=0,K681,CurrentMtgRatesDataTable8[[#This Row],[Servicing Spread]])</f>
        <v>0.89817941958936443</v>
      </c>
    </row>
    <row r="683" spans="1:11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</v>
      </c>
      <c r="F683" s="15">
        <f t="shared" si="62"/>
        <v>1</v>
      </c>
      <c r="G683" s="15">
        <f t="shared" si="63"/>
        <v>0</v>
      </c>
      <c r="H683" s="15">
        <f t="shared" si="64"/>
        <v>0</v>
      </c>
      <c r="I683" s="15">
        <f t="shared" si="65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0.89817941958936443</v>
      </c>
    </row>
    <row r="684" spans="1:11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</v>
      </c>
      <c r="F684" s="15">
        <f t="shared" si="62"/>
        <v>2</v>
      </c>
      <c r="G684" s="15">
        <f t="shared" si="63"/>
        <v>0</v>
      </c>
      <c r="H684" s="15">
        <f t="shared" si="64"/>
        <v>0</v>
      </c>
      <c r="I684" s="15">
        <f t="shared" si="65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0.89817941958936443</v>
      </c>
    </row>
    <row r="685" spans="1:11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0.05</v>
      </c>
      <c r="F685" s="15">
        <f t="shared" si="62"/>
        <v>3</v>
      </c>
      <c r="G685" s="15">
        <f t="shared" si="63"/>
        <v>0.14128220985544451</v>
      </c>
      <c r="H685" s="15">
        <f t="shared" si="64"/>
        <v>0.05</v>
      </c>
      <c r="I685" s="15">
        <f t="shared" si="65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0.89817941958936443</v>
      </c>
    </row>
    <row r="686" spans="1:11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0.7</v>
      </c>
      <c r="F686" s="15">
        <f t="shared" si="62"/>
        <v>4</v>
      </c>
      <c r="G686" s="15">
        <f t="shared" si="63"/>
        <v>2.1785092929057086</v>
      </c>
      <c r="H686" s="15">
        <f t="shared" si="64"/>
        <v>0.75</v>
      </c>
      <c r="I686" s="15">
        <f t="shared" si="65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0.89817941958936443</v>
      </c>
    </row>
    <row r="687" spans="1:11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0.25</v>
      </c>
      <c r="F687" s="15">
        <f t="shared" si="62"/>
        <v>5</v>
      </c>
      <c r="G687" s="15">
        <f t="shared" si="63"/>
        <v>2.9059474804753034</v>
      </c>
      <c r="H687" s="15">
        <f t="shared" si="64"/>
        <v>1</v>
      </c>
      <c r="I687" s="15">
        <f t="shared" si="65"/>
        <v>0</v>
      </c>
      <c r="J687" s="15">
        <f>IF(CurrentMtgRatesDataTable8[[#This Row],[WA CC]]&lt;&gt;0,C686-CurrentMtgRatesDataTable8[[#This Row],[WA CC]],0)</f>
        <v>0</v>
      </c>
      <c r="K687" s="16">
        <f>IF(CurrentMtgRatesDataTable8[[#This Row],[Servicing Spread]]&lt;=0,K686,CurrentMtgRatesDataTable8[[#This Row],[Servicing Spread]])</f>
        <v>0.89817941958936443</v>
      </c>
    </row>
    <row r="688" spans="1:11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</v>
      </c>
      <c r="F688" s="15">
        <f t="shared" si="62"/>
        <v>1</v>
      </c>
      <c r="G688" s="15">
        <f t="shared" si="63"/>
        <v>0</v>
      </c>
      <c r="H688" s="15">
        <f t="shared" si="64"/>
        <v>0</v>
      </c>
      <c r="I688" s="15">
        <f t="shared" si="65"/>
        <v>2.9059474804753034</v>
      </c>
      <c r="J688" s="15">
        <f>IF(CurrentMtgRatesDataTable8[[#This Row],[WA CC]]&lt;&gt;0,C687-CurrentMtgRatesDataTable8[[#This Row],[WA CC]],0)</f>
        <v>0.86405251952469664</v>
      </c>
      <c r="K688" s="16">
        <f>IF(CurrentMtgRatesDataTable8[[#This Row],[Servicing Spread]]&lt;=0,K687,CurrentMtgRatesDataTable8[[#This Row],[Servicing Spread]])</f>
        <v>0.86405251952469664</v>
      </c>
    </row>
    <row r="689" spans="1:11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0.05</v>
      </c>
      <c r="F689" s="15">
        <f t="shared" si="62"/>
        <v>2</v>
      </c>
      <c r="G689" s="15">
        <f t="shared" si="63"/>
        <v>0.14304899127692403</v>
      </c>
      <c r="H689" s="15">
        <f t="shared" si="64"/>
        <v>0.05</v>
      </c>
      <c r="I689" s="15">
        <f t="shared" si="65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0.86405251952469664</v>
      </c>
    </row>
    <row r="690" spans="1:11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0.7</v>
      </c>
      <c r="F690" s="15">
        <f t="shared" si="62"/>
        <v>3</v>
      </c>
      <c r="G690" s="15">
        <f t="shared" si="63"/>
        <v>2.1394476428793419</v>
      </c>
      <c r="H690" s="15">
        <f t="shared" si="64"/>
        <v>0.75</v>
      </c>
      <c r="I690" s="15">
        <f t="shared" si="65"/>
        <v>0</v>
      </c>
      <c r="J690" s="15">
        <f>IF(CurrentMtgRatesDataTable8[[#This Row],[WA CC]]&lt;&gt;0,C689-CurrentMtgRatesDataTable8[[#This Row],[WA CC]],0)</f>
        <v>0</v>
      </c>
      <c r="K690" s="16">
        <f>IF(CurrentMtgRatesDataTable8[[#This Row],[Servicing Spread]]&lt;=0,K689,CurrentMtgRatesDataTable8[[#This Row],[Servicing Spread]])</f>
        <v>0.86405251952469664</v>
      </c>
    </row>
    <row r="691" spans="1:11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</v>
      </c>
      <c r="F691" s="15">
        <f t="shared" si="62"/>
        <v>1</v>
      </c>
      <c r="G691" s="15">
        <f t="shared" si="63"/>
        <v>0</v>
      </c>
      <c r="H691" s="15">
        <f t="shared" si="64"/>
        <v>0</v>
      </c>
      <c r="I691" s="15">
        <f t="shared" si="65"/>
        <v>2.8525968571724558</v>
      </c>
      <c r="J691" s="15">
        <f>IF(CurrentMtgRatesDataTable8[[#This Row],[WA CC]]&lt;&gt;0,C690-CurrentMtgRatesDataTable8[[#This Row],[WA CC]],0)</f>
        <v>0.9174031428275442</v>
      </c>
      <c r="K691" s="16">
        <f>IF(CurrentMtgRatesDataTable8[[#This Row],[Servicing Spread]]&lt;=0,K690,CurrentMtgRatesDataTable8[[#This Row],[Servicing Spread]])</f>
        <v>0.9174031428275442</v>
      </c>
    </row>
    <row r="692" spans="1:11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0.05</v>
      </c>
      <c r="F692" s="15">
        <f t="shared" si="62"/>
        <v>2</v>
      </c>
      <c r="G692" s="15">
        <f t="shared" si="63"/>
        <v>0.1348135063334375</v>
      </c>
      <c r="H692" s="15">
        <f t="shared" si="64"/>
        <v>0.05</v>
      </c>
      <c r="I692" s="15">
        <f t="shared" si="65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0.9174031428275442</v>
      </c>
    </row>
    <row r="693" spans="1:11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0.7</v>
      </c>
      <c r="F693" s="15">
        <f t="shared" si="62"/>
        <v>3</v>
      </c>
      <c r="G693" s="15">
        <f t="shared" si="63"/>
        <v>1.9662686822988804</v>
      </c>
      <c r="H693" s="15">
        <f t="shared" si="64"/>
        <v>0.75</v>
      </c>
      <c r="I693" s="15">
        <f t="shared" si="65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0.9174031428275442</v>
      </c>
    </row>
    <row r="694" spans="1:11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0.25</v>
      </c>
      <c r="F694" s="15">
        <f t="shared" si="62"/>
        <v>4</v>
      </c>
      <c r="G694" s="15">
        <f t="shared" si="63"/>
        <v>2.6224794585956199</v>
      </c>
      <c r="H694" s="15">
        <f t="shared" si="64"/>
        <v>1</v>
      </c>
      <c r="I694" s="15">
        <f t="shared" si="65"/>
        <v>0</v>
      </c>
      <c r="J694" s="15">
        <f>IF(CurrentMtgRatesDataTable8[[#This Row],[WA CC]]&lt;&gt;0,C693-CurrentMtgRatesDataTable8[[#This Row],[WA CC]],0)</f>
        <v>0</v>
      </c>
      <c r="K694" s="15">
        <f>IF(CurrentMtgRatesDataTable8[[#This Row],[Servicing Spread]]&lt;=0,K693,CurrentMtgRatesDataTable8[[#This Row],[Servicing Spread]])</f>
        <v>0.9174031428275442</v>
      </c>
    </row>
    <row r="695" spans="1:11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</v>
      </c>
      <c r="F695" s="15">
        <f t="shared" si="62"/>
        <v>1</v>
      </c>
      <c r="G695" s="15">
        <f t="shared" si="63"/>
        <v>0</v>
      </c>
      <c r="H695" s="15">
        <f t="shared" si="64"/>
        <v>0</v>
      </c>
      <c r="I695" s="15">
        <f t="shared" si="65"/>
        <v>2.6224794585956199</v>
      </c>
      <c r="J695" s="15">
        <f>IF(CurrentMtgRatesDataTable8[[#This Row],[WA CC]]&lt;&gt;0,C694-CurrentMtgRatesDataTable8[[#This Row],[WA CC]],0)</f>
        <v>1.00752054140438</v>
      </c>
      <c r="K695" s="15">
        <f>IF(CurrentMtgRatesDataTable8[[#This Row],[Servicing Spread]]&lt;=0,K694,CurrentMtgRatesDataTable8[[#This Row],[Servicing Spread]])</f>
        <v>1.00752054140438</v>
      </c>
    </row>
    <row r="696" spans="1:11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</v>
      </c>
      <c r="F696" s="15">
        <f t="shared" si="62"/>
        <v>2</v>
      </c>
      <c r="G696" s="15">
        <f t="shared" si="63"/>
        <v>0</v>
      </c>
      <c r="H696" s="15">
        <f t="shared" si="64"/>
        <v>0</v>
      </c>
      <c r="I696" s="15">
        <f t="shared" si="65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1.00752054140438</v>
      </c>
    </row>
    <row r="697" spans="1:11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0.05</v>
      </c>
      <c r="F697" s="15">
        <f t="shared" si="62"/>
        <v>3</v>
      </c>
      <c r="G697" s="15">
        <f t="shared" si="63"/>
        <v>0.12968095111542052</v>
      </c>
      <c r="H697" s="15">
        <f t="shared" si="64"/>
        <v>0.05</v>
      </c>
      <c r="I697" s="15">
        <f t="shared" si="65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1.00752054140438</v>
      </c>
    </row>
    <row r="698" spans="1:11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0.7</v>
      </c>
      <c r="F698" s="15">
        <f t="shared" si="62"/>
        <v>4</v>
      </c>
      <c r="G698" s="15">
        <f t="shared" si="63"/>
        <v>1.9353616070679782</v>
      </c>
      <c r="H698" s="15">
        <f t="shared" si="64"/>
        <v>0.75</v>
      </c>
      <c r="I698" s="15">
        <f t="shared" si="65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1.00752054140438</v>
      </c>
    </row>
    <row r="699" spans="1:11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0.25</v>
      </c>
      <c r="F699" s="15">
        <f t="shared" si="62"/>
        <v>5</v>
      </c>
      <c r="G699" s="15">
        <f t="shared" si="63"/>
        <v>2.5581281271887981</v>
      </c>
      <c r="H699" s="15">
        <f t="shared" si="64"/>
        <v>1</v>
      </c>
      <c r="I699" s="15">
        <f t="shared" si="65"/>
        <v>0</v>
      </c>
      <c r="J699" s="15">
        <f>IF(CurrentMtgRatesDataTable8[[#This Row],[WA CC]]&lt;&gt;0,C698-CurrentMtgRatesDataTable8[[#This Row],[WA CC]],0)</f>
        <v>0</v>
      </c>
      <c r="K699" s="15">
        <f>IF(CurrentMtgRatesDataTable8[[#This Row],[Servicing Spread]]&lt;=0,K698,CurrentMtgRatesDataTable8[[#This Row],[Servicing Spread]])</f>
        <v>1.00752054140438</v>
      </c>
    </row>
    <row r="700" spans="1:11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</v>
      </c>
      <c r="F700" s="15">
        <f t="shared" si="62"/>
        <v>1</v>
      </c>
      <c r="G700" s="15">
        <f t="shared" si="63"/>
        <v>0</v>
      </c>
      <c r="H700" s="15">
        <f t="shared" si="64"/>
        <v>0</v>
      </c>
      <c r="I700" s="15">
        <f t="shared" si="65"/>
        <v>2.5581281271887981</v>
      </c>
      <c r="J700" s="15">
        <f>IF(CurrentMtgRatesDataTable8[[#This Row],[WA CC]]&lt;&gt;0,C699-CurrentMtgRatesDataTable8[[#This Row],[WA CC]],0)</f>
        <v>1.0018718728112019</v>
      </c>
      <c r="K700" s="15">
        <f>IF(CurrentMtgRatesDataTable8[[#This Row],[Servicing Spread]]&lt;=0,K699,CurrentMtgRatesDataTable8[[#This Row],[Servicing Spread]])</f>
        <v>1.0018718728112019</v>
      </c>
    </row>
    <row r="701" spans="1:11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</v>
      </c>
      <c r="F701" s="15">
        <f t="shared" si="62"/>
        <v>2</v>
      </c>
      <c r="G701" s="15">
        <f t="shared" si="63"/>
        <v>0</v>
      </c>
      <c r="H701" s="15">
        <f t="shared" si="64"/>
        <v>0</v>
      </c>
      <c r="I701" s="15">
        <f t="shared" si="65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1.0018718728112019</v>
      </c>
    </row>
    <row r="702" spans="1:11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0.7</v>
      </c>
      <c r="F702" s="15">
        <f t="shared" si="62"/>
        <v>3</v>
      </c>
      <c r="G702" s="15">
        <f t="shared" si="63"/>
        <v>1.7901602542699608</v>
      </c>
      <c r="H702" s="15">
        <f t="shared" si="64"/>
        <v>0.7</v>
      </c>
      <c r="I702" s="15">
        <f t="shared" si="65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1.0018718728112019</v>
      </c>
    </row>
    <row r="703" spans="1:11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0.25</v>
      </c>
      <c r="F703" s="15">
        <f t="shared" si="62"/>
        <v>4</v>
      </c>
      <c r="G703" s="15">
        <f t="shared" si="63"/>
        <v>2.4422838629782384</v>
      </c>
      <c r="H703" s="15">
        <f t="shared" si="64"/>
        <v>0.95</v>
      </c>
      <c r="I703" s="15">
        <f t="shared" si="65"/>
        <v>0</v>
      </c>
      <c r="J703" s="15">
        <f>IF(CurrentMtgRatesDataTable8[[#This Row],[WA CC]]&lt;&gt;0,C702-CurrentMtgRatesDataTable8[[#This Row],[WA CC]],0)</f>
        <v>0</v>
      </c>
      <c r="K703" s="15">
        <f>IF(CurrentMtgRatesDataTable8[[#This Row],[Servicing Spread]]&lt;=0,K702,CurrentMtgRatesDataTable8[[#This Row],[Servicing Spread]])</f>
        <v>1.0018718728112019</v>
      </c>
    </row>
    <row r="704" spans="1:11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</v>
      </c>
      <c r="F704" s="15">
        <f t="shared" si="62"/>
        <v>1</v>
      </c>
      <c r="G704" s="15">
        <f t="shared" si="63"/>
        <v>0</v>
      </c>
      <c r="H704" s="15">
        <f t="shared" si="64"/>
        <v>0</v>
      </c>
      <c r="I704" s="15">
        <f t="shared" si="65"/>
        <v>2.5708251189244615</v>
      </c>
      <c r="J704" s="15">
        <f>IF(CurrentMtgRatesDataTable8[[#This Row],[WA CC]]&lt;&gt;0,C703-CurrentMtgRatesDataTable8[[#This Row],[WA CC]],0)</f>
        <v>0.98417488107553819</v>
      </c>
      <c r="K704" s="15">
        <f>IF(CurrentMtgRatesDataTable8[[#This Row],[Servicing Spread]]&lt;=0,K703,CurrentMtgRatesDataTable8[[#This Row],[Servicing Spread]])</f>
        <v>0.98417488107553819</v>
      </c>
    </row>
    <row r="705" spans="1:11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</v>
      </c>
      <c r="F705" s="15">
        <f t="shared" si="62"/>
        <v>2</v>
      </c>
      <c r="G705" s="15">
        <f t="shared" si="63"/>
        <v>0</v>
      </c>
      <c r="H705" s="15">
        <f t="shared" si="64"/>
        <v>0</v>
      </c>
      <c r="I705" s="15">
        <f t="shared" si="65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0.98417488107553819</v>
      </c>
    </row>
    <row r="706" spans="1:11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0.05</v>
      </c>
      <c r="F706" s="15">
        <f t="shared" si="62"/>
        <v>3</v>
      </c>
      <c r="G706" s="15">
        <f t="shared" si="63"/>
        <v>0.12982093959614138</v>
      </c>
      <c r="H706" s="15">
        <f t="shared" si="64"/>
        <v>0.05</v>
      </c>
      <c r="I706" s="15">
        <f t="shared" si="65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0.98417488107553819</v>
      </c>
    </row>
    <row r="707" spans="1:11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0.7</v>
      </c>
      <c r="F707" s="15">
        <f t="shared" si="62"/>
        <v>4</v>
      </c>
      <c r="G707" s="15">
        <f t="shared" si="63"/>
        <v>1.9397884806016603</v>
      </c>
      <c r="H707" s="15">
        <f t="shared" si="64"/>
        <v>0.75</v>
      </c>
      <c r="I707" s="15">
        <f t="shared" si="65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0.98417488107553819</v>
      </c>
    </row>
    <row r="708" spans="1:11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0.25</v>
      </c>
      <c r="F708" s="15">
        <f t="shared" si="62"/>
        <v>5</v>
      </c>
      <c r="G708" s="15">
        <f t="shared" si="63"/>
        <v>2.5666848526536477</v>
      </c>
      <c r="H708" s="15">
        <f t="shared" si="64"/>
        <v>1</v>
      </c>
      <c r="I708" s="15">
        <f t="shared" si="65"/>
        <v>0</v>
      </c>
      <c r="J708" s="15">
        <f>IF(CurrentMtgRatesDataTable8[[#This Row],[WA CC]]&lt;&gt;0,C707-CurrentMtgRatesDataTable8[[#This Row],[WA CC]],0)</f>
        <v>0</v>
      </c>
      <c r="K708" s="15">
        <f>IF(CurrentMtgRatesDataTable8[[#This Row],[Servicing Spread]]&lt;=0,K707,CurrentMtgRatesDataTable8[[#This Row],[Servicing Spread]])</f>
        <v>0.98417488107553819</v>
      </c>
    </row>
    <row r="709" spans="1:11">
      <c r="A709" s="12" t="s">
        <v>723</v>
      </c>
      <c r="B709" s="13">
        <v>2.5133603709402799</v>
      </c>
      <c r="C709" s="13">
        <v>3.5149999999999997</v>
      </c>
      <c r="D709" s="15">
        <f t="shared" ref="D709:D737" si="66">WEEKDAY(A709,14)</f>
        <v>1</v>
      </c>
      <c r="E709" s="15">
        <f t="shared" ref="E709:E772" si="67">VLOOKUP(D709,O$5:P$11,2,FALSE)</f>
        <v>0</v>
      </c>
      <c r="F709" s="15">
        <f t="shared" ref="F709:F737" si="68">IF(AND(D709&gt;D708,F708&lt;6),F708+1,1)</f>
        <v>1</v>
      </c>
      <c r="G709" s="15">
        <f t="shared" ref="G709:G772" si="69">IF(F709&gt;F708,G708+B709*E709,B709*E709)</f>
        <v>0</v>
      </c>
      <c r="H709" s="15">
        <f t="shared" ref="H709:H737" si="70">IF(AND(F709&lt;6,F709&gt;F708),E709+H708,E709)</f>
        <v>0</v>
      </c>
      <c r="I709" s="15">
        <f t="shared" ref="I709:I737" si="71">IF(F708&gt;F709,G708/H708,0)</f>
        <v>2.5666848526536477</v>
      </c>
      <c r="J709" s="15">
        <f>IF(CurrentMtgRatesDataTable8[[#This Row],[WA CC]]&lt;&gt;0,C708-CurrentMtgRatesDataTable8[[#This Row],[WA CC]],0)</f>
        <v>0.9933151473463524</v>
      </c>
      <c r="K709" s="15">
        <f>IF(CurrentMtgRatesDataTable8[[#This Row],[Servicing Spread]]&lt;=0,K708,CurrentMtgRatesDataTable8[[#This Row],[Servicing Spread]])</f>
        <v>0.9933151473463524</v>
      </c>
    </row>
    <row r="710" spans="1:11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</v>
      </c>
      <c r="F710" s="15">
        <f t="shared" si="68"/>
        <v>2</v>
      </c>
      <c r="G710" s="15">
        <f t="shared" si="69"/>
        <v>0</v>
      </c>
      <c r="H710" s="15">
        <f t="shared" si="70"/>
        <v>0</v>
      </c>
      <c r="I710" s="15">
        <f t="shared" si="71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0.9933151473463524</v>
      </c>
    </row>
    <row r="711" spans="1:11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0.05</v>
      </c>
      <c r="F711" s="15">
        <f t="shared" si="68"/>
        <v>3</v>
      </c>
      <c r="G711" s="15">
        <f t="shared" si="69"/>
        <v>0.122412071607261</v>
      </c>
      <c r="H711" s="15">
        <f t="shared" si="70"/>
        <v>0.05</v>
      </c>
      <c r="I711" s="15">
        <f t="shared" si="71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0.9933151473463524</v>
      </c>
    </row>
    <row r="712" spans="1:11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0.7</v>
      </c>
      <c r="F712" s="15">
        <f t="shared" si="68"/>
        <v>4</v>
      </c>
      <c r="G712" s="15">
        <f t="shared" si="69"/>
        <v>1.8994385146783497</v>
      </c>
      <c r="H712" s="15">
        <f t="shared" si="70"/>
        <v>0.75</v>
      </c>
      <c r="I712" s="15">
        <f t="shared" si="71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0.9933151473463524</v>
      </c>
    </row>
    <row r="713" spans="1:11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0.25</v>
      </c>
      <c r="F713" s="15">
        <f t="shared" si="68"/>
        <v>5</v>
      </c>
      <c r="G713" s="15">
        <f t="shared" si="69"/>
        <v>2.5409896249339621</v>
      </c>
      <c r="H713" s="15">
        <f t="shared" si="70"/>
        <v>1</v>
      </c>
      <c r="I713" s="15">
        <f t="shared" si="71"/>
        <v>0</v>
      </c>
      <c r="J713" s="15">
        <f>IF(CurrentMtgRatesDataTable8[[#This Row],[WA CC]]&lt;&gt;0,C712-CurrentMtgRatesDataTable8[[#This Row],[WA CC]],0)</f>
        <v>0</v>
      </c>
      <c r="K713" s="15">
        <f>IF(CurrentMtgRatesDataTable8[[#This Row],[Servicing Spread]]&lt;=0,K712,CurrentMtgRatesDataTable8[[#This Row],[Servicing Spread]])</f>
        <v>0.9933151473463524</v>
      </c>
    </row>
    <row r="714" spans="1:11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</v>
      </c>
      <c r="F714" s="15">
        <f t="shared" si="68"/>
        <v>1</v>
      </c>
      <c r="G714" s="15">
        <f t="shared" si="69"/>
        <v>0</v>
      </c>
      <c r="H714" s="15">
        <f t="shared" si="70"/>
        <v>0</v>
      </c>
      <c r="I714" s="15">
        <f t="shared" si="71"/>
        <v>2.5409896249339621</v>
      </c>
      <c r="J714" s="15">
        <f>IF(CurrentMtgRatesDataTable8[[#This Row],[WA CC]]&lt;&gt;0,C713-CurrentMtgRatesDataTable8[[#This Row],[WA CC]],0)</f>
        <v>0.9740103750660376</v>
      </c>
      <c r="K714" s="15">
        <f>IF(CurrentMtgRatesDataTable8[[#This Row],[Servicing Spread]]&lt;=0,K713,CurrentMtgRatesDataTable8[[#This Row],[Servicing Spread]])</f>
        <v>0.9740103750660376</v>
      </c>
    </row>
    <row r="715" spans="1:11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</v>
      </c>
      <c r="F715" s="15">
        <f t="shared" si="68"/>
        <v>2</v>
      </c>
      <c r="G715" s="15">
        <f t="shared" si="69"/>
        <v>0</v>
      </c>
      <c r="H715" s="15">
        <f t="shared" si="70"/>
        <v>0</v>
      </c>
      <c r="I715" s="15">
        <f t="shared" si="71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0.9740103750660376</v>
      </c>
    </row>
    <row r="716" spans="1:11">
      <c r="A716" s="8" t="s">
        <v>747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0.05</v>
      </c>
      <c r="F716" s="16">
        <f t="shared" si="68"/>
        <v>3</v>
      </c>
      <c r="G716" s="16">
        <f t="shared" si="69"/>
        <v>0.13428324120003501</v>
      </c>
      <c r="H716" s="16">
        <f t="shared" si="70"/>
        <v>0.05</v>
      </c>
      <c r="I716" s="16">
        <f t="shared" si="71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0.9740103750660376</v>
      </c>
    </row>
    <row r="717" spans="1:11">
      <c r="A717" s="8" t="s">
        <v>748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0.7</v>
      </c>
      <c r="F717" s="16">
        <f t="shared" si="68"/>
        <v>4</v>
      </c>
      <c r="G717" s="16">
        <f t="shared" si="69"/>
        <v>2.0558265721631859</v>
      </c>
      <c r="H717" s="16">
        <f t="shared" si="70"/>
        <v>0.75</v>
      </c>
      <c r="I717" s="16">
        <f t="shared" si="71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0.9740103750660376</v>
      </c>
    </row>
    <row r="718" spans="1:11">
      <c r="A718" s="8" t="s">
        <v>749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0.25</v>
      </c>
      <c r="F718" s="16">
        <f t="shared" si="68"/>
        <v>5</v>
      </c>
      <c r="G718" s="16">
        <f t="shared" si="69"/>
        <v>2.7406001882974009</v>
      </c>
      <c r="H718" s="16">
        <f t="shared" si="70"/>
        <v>1</v>
      </c>
      <c r="I718" s="16">
        <f t="shared" si="71"/>
        <v>0</v>
      </c>
      <c r="J718" s="16">
        <f>IF(CurrentMtgRatesDataTable8[[#This Row],[WA CC]]&lt;&gt;0,C717-CurrentMtgRatesDataTable8[[#This Row],[WA CC]],0)</f>
        <v>0</v>
      </c>
      <c r="K718" s="16">
        <f>IF(CurrentMtgRatesDataTable8[[#This Row],[Servicing Spread]]&lt;=0,K717,CurrentMtgRatesDataTable8[[#This Row],[Servicing Spread]])</f>
        <v>0.9740103750660376</v>
      </c>
    </row>
    <row r="719" spans="1:11">
      <c r="A719" s="8" t="s">
        <v>750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</v>
      </c>
      <c r="F719" s="16">
        <f t="shared" si="68"/>
        <v>1</v>
      </c>
      <c r="G719" s="16">
        <f t="shared" si="69"/>
        <v>0</v>
      </c>
      <c r="H719" s="16">
        <f t="shared" si="70"/>
        <v>0</v>
      </c>
      <c r="I719" s="16">
        <f t="shared" si="71"/>
        <v>2.7406001882974009</v>
      </c>
      <c r="J719" s="16">
        <f>IF(CurrentMtgRatesDataTable8[[#This Row],[WA CC]]&lt;&gt;0,C718-CurrentMtgRatesDataTable8[[#This Row],[WA CC]],0)</f>
        <v>0.84939981170259893</v>
      </c>
      <c r="K719" s="16">
        <f>IF(CurrentMtgRatesDataTable8[[#This Row],[Servicing Spread]]&lt;=0,K718,CurrentMtgRatesDataTable8[[#This Row],[Servicing Spread]])</f>
        <v>0.84939981170259893</v>
      </c>
    </row>
    <row r="720" spans="1:11">
      <c r="A720" s="8" t="s">
        <v>751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</v>
      </c>
      <c r="F720" s="16">
        <f t="shared" si="68"/>
        <v>2</v>
      </c>
      <c r="G720" s="16">
        <f t="shared" si="69"/>
        <v>0</v>
      </c>
      <c r="H720" s="16">
        <f t="shared" si="70"/>
        <v>0</v>
      </c>
      <c r="I720" s="16">
        <f t="shared" si="71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0.84939981170259893</v>
      </c>
    </row>
    <row r="721" spans="1:11">
      <c r="A721" s="8" t="s">
        <v>752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0.7</v>
      </c>
      <c r="F721" s="16">
        <f t="shared" si="68"/>
        <v>3</v>
      </c>
      <c r="G721" s="16">
        <f t="shared" si="69"/>
        <v>2.0053225009972069</v>
      </c>
      <c r="H721" s="16">
        <f t="shared" si="70"/>
        <v>0.7</v>
      </c>
      <c r="I721" s="16">
        <f t="shared" si="71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0.84939981170259893</v>
      </c>
    </row>
    <row r="722" spans="1:11">
      <c r="A722" s="8" t="s">
        <v>753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0.25</v>
      </c>
      <c r="F722" s="16">
        <f t="shared" si="68"/>
        <v>4</v>
      </c>
      <c r="G722" s="16">
        <f t="shared" si="69"/>
        <v>2.7069819389939767</v>
      </c>
      <c r="H722" s="16">
        <f t="shared" si="70"/>
        <v>0.95</v>
      </c>
      <c r="I722" s="16">
        <f t="shared" si="71"/>
        <v>0</v>
      </c>
      <c r="J722" s="16">
        <f>IF(CurrentMtgRatesDataTable8[[#This Row],[WA CC]]&lt;&gt;0,C721-CurrentMtgRatesDataTable8[[#This Row],[WA CC]],0)</f>
        <v>0</v>
      </c>
      <c r="K722" s="16">
        <f>IF(CurrentMtgRatesDataTable8[[#This Row],[Servicing Spread]]&lt;=0,K721,CurrentMtgRatesDataTable8[[#This Row],[Servicing Spread]])</f>
        <v>0.84939981170259893</v>
      </c>
    </row>
    <row r="723" spans="1:11">
      <c r="A723" s="8" t="s">
        <v>754</v>
      </c>
      <c r="B723" s="11">
        <v>2.8310816393070799</v>
      </c>
      <c r="C723" s="11">
        <v>3.6999999999999997</v>
      </c>
      <c r="D723" s="16">
        <f t="shared" si="66"/>
        <v>1</v>
      </c>
      <c r="E723" s="16">
        <f t="shared" si="67"/>
        <v>0</v>
      </c>
      <c r="F723" s="16">
        <f t="shared" si="68"/>
        <v>1</v>
      </c>
      <c r="G723" s="16">
        <f t="shared" si="69"/>
        <v>0</v>
      </c>
      <c r="H723" s="16">
        <f t="shared" si="70"/>
        <v>0</v>
      </c>
      <c r="I723" s="16">
        <f t="shared" si="71"/>
        <v>2.8494546726252388</v>
      </c>
      <c r="J723" s="16">
        <f>IF(CurrentMtgRatesDataTable8[[#This Row],[WA CC]]&lt;&gt;0,C722-CurrentMtgRatesDataTable8[[#This Row],[WA CC]],0)</f>
        <v>0.81054532737476093</v>
      </c>
      <c r="K723" s="16">
        <f>IF(CurrentMtgRatesDataTable8[[#This Row],[Servicing Spread]]&lt;=0,K722,CurrentMtgRatesDataTable8[[#This Row],[Servicing Spread]])</f>
        <v>0.81054532737476093</v>
      </c>
    </row>
    <row r="724" spans="1:11">
      <c r="A724" s="8" t="s">
        <v>755</v>
      </c>
      <c r="B724" s="11">
        <v>2.8495343936509898</v>
      </c>
      <c r="C724" s="11">
        <v>3.6999999999999997</v>
      </c>
      <c r="D724" s="16">
        <f t="shared" si="66"/>
        <v>2</v>
      </c>
      <c r="E724" s="16">
        <f t="shared" si="67"/>
        <v>0</v>
      </c>
      <c r="F724" s="16">
        <f t="shared" si="68"/>
        <v>2</v>
      </c>
      <c r="G724" s="16">
        <f t="shared" si="69"/>
        <v>0</v>
      </c>
      <c r="H724" s="16">
        <f t="shared" si="70"/>
        <v>0</v>
      </c>
      <c r="I724" s="16">
        <f t="shared" si="71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0.81054532737476093</v>
      </c>
    </row>
    <row r="725" spans="1:11">
      <c r="A725" s="8" t="s">
        <v>756</v>
      </c>
      <c r="B725" s="11">
        <v>2.8051692512697501</v>
      </c>
      <c r="C725" s="11">
        <v>3.6999999999999997</v>
      </c>
      <c r="D725" s="16">
        <f t="shared" si="66"/>
        <v>5</v>
      </c>
      <c r="E725" s="16">
        <f t="shared" si="67"/>
        <v>0.05</v>
      </c>
      <c r="F725" s="16">
        <f t="shared" si="68"/>
        <v>3</v>
      </c>
      <c r="G725" s="16">
        <f t="shared" si="69"/>
        <v>0.14025846256348751</v>
      </c>
      <c r="H725" s="16">
        <f t="shared" si="70"/>
        <v>0.05</v>
      </c>
      <c r="I725" s="16">
        <f t="shared" si="71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0.81054532737476093</v>
      </c>
    </row>
    <row r="726" spans="1:11">
      <c r="A726" s="8" t="s">
        <v>757</v>
      </c>
      <c r="B726" s="11">
        <v>2.7456841844873301</v>
      </c>
      <c r="C726" s="11">
        <v>3.6999999999999997</v>
      </c>
      <c r="D726" s="16">
        <f t="shared" si="66"/>
        <v>6</v>
      </c>
      <c r="E726" s="16">
        <f t="shared" si="67"/>
        <v>0.7</v>
      </c>
      <c r="F726" s="16">
        <f t="shared" si="68"/>
        <v>4</v>
      </c>
      <c r="G726" s="16">
        <f t="shared" si="69"/>
        <v>2.0622373917046186</v>
      </c>
      <c r="H726" s="16">
        <f t="shared" si="70"/>
        <v>0.75</v>
      </c>
      <c r="I726" s="16">
        <f t="shared" si="71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0.81054532737476093</v>
      </c>
    </row>
    <row r="727" spans="1:11">
      <c r="A727" s="8" t="s">
        <v>758</v>
      </c>
      <c r="B727" s="11">
        <v>2.7262373083687401</v>
      </c>
      <c r="C727" s="11">
        <v>3.6999999999999997</v>
      </c>
      <c r="D727" s="16">
        <f t="shared" si="66"/>
        <v>7</v>
      </c>
      <c r="E727" s="16">
        <f t="shared" si="67"/>
        <v>0.25</v>
      </c>
      <c r="F727" s="16">
        <f t="shared" si="68"/>
        <v>5</v>
      </c>
      <c r="G727" s="16">
        <f t="shared" si="69"/>
        <v>2.7437967187968035</v>
      </c>
      <c r="H727" s="16">
        <f t="shared" si="70"/>
        <v>1</v>
      </c>
      <c r="I727" s="16">
        <f t="shared" si="71"/>
        <v>0</v>
      </c>
      <c r="J727" s="16">
        <f>IF(CurrentMtgRatesDataTable8[[#This Row],[WA CC]]&lt;&gt;0,C726-CurrentMtgRatesDataTable8[[#This Row],[WA CC]],0)</f>
        <v>0</v>
      </c>
      <c r="K727" s="16">
        <f>IF(CurrentMtgRatesDataTable8[[#This Row],[Servicing Spread]]&lt;=0,K726,CurrentMtgRatesDataTable8[[#This Row],[Servicing Spread]])</f>
        <v>0.81054532737476093</v>
      </c>
    </row>
    <row r="728" spans="1:11">
      <c r="A728" s="8" t="s">
        <v>759</v>
      </c>
      <c r="B728" s="11">
        <v>2.7641939622688101</v>
      </c>
      <c r="C728" s="11">
        <v>3.65</v>
      </c>
      <c r="D728" s="16">
        <f t="shared" si="66"/>
        <v>1</v>
      </c>
      <c r="E728" s="16">
        <f t="shared" si="67"/>
        <v>0</v>
      </c>
      <c r="F728" s="16">
        <f t="shared" si="68"/>
        <v>1</v>
      </c>
      <c r="G728" s="16">
        <f t="shared" si="69"/>
        <v>0</v>
      </c>
      <c r="H728" s="16">
        <f t="shared" si="70"/>
        <v>0</v>
      </c>
      <c r="I728" s="16">
        <f t="shared" si="71"/>
        <v>2.7437967187968035</v>
      </c>
      <c r="J728" s="16">
        <f>IF(CurrentMtgRatesDataTable8[[#This Row],[WA CC]]&lt;&gt;0,C727-CurrentMtgRatesDataTable8[[#This Row],[WA CC]],0)</f>
        <v>0.9562032812031962</v>
      </c>
      <c r="K728" s="16">
        <f>IF(CurrentMtgRatesDataTable8[[#This Row],[Servicing Spread]]&lt;=0,K727,CurrentMtgRatesDataTable8[[#This Row],[Servicing Spread]])</f>
        <v>0.9562032812031962</v>
      </c>
    </row>
    <row r="729" spans="1:11">
      <c r="A729" s="8" t="s">
        <v>760</v>
      </c>
      <c r="B729" s="11">
        <v>2.7365985708724101</v>
      </c>
      <c r="C729" s="11">
        <v>3.65</v>
      </c>
      <c r="D729" s="16">
        <f t="shared" si="66"/>
        <v>2</v>
      </c>
      <c r="E729" s="16">
        <f t="shared" si="67"/>
        <v>0</v>
      </c>
      <c r="F729" s="16">
        <f t="shared" si="68"/>
        <v>2</v>
      </c>
      <c r="G729" s="16">
        <f t="shared" si="69"/>
        <v>0</v>
      </c>
      <c r="H729" s="16">
        <f t="shared" si="70"/>
        <v>0</v>
      </c>
      <c r="I729" s="16">
        <f t="shared" si="71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0.9562032812031962</v>
      </c>
    </row>
    <row r="730" spans="1:11">
      <c r="A730" s="8" t="s">
        <v>761</v>
      </c>
      <c r="B730" s="11">
        <v>2.7916349569467398</v>
      </c>
      <c r="C730" s="11">
        <v>3.65</v>
      </c>
      <c r="D730" s="16">
        <f t="shared" si="66"/>
        <v>5</v>
      </c>
      <c r="E730" s="16">
        <f t="shared" si="67"/>
        <v>0.05</v>
      </c>
      <c r="F730" s="16">
        <f t="shared" si="68"/>
        <v>3</v>
      </c>
      <c r="G730" s="16">
        <f t="shared" si="69"/>
        <v>0.13958174784733698</v>
      </c>
      <c r="H730" s="16">
        <f t="shared" si="70"/>
        <v>0.05</v>
      </c>
      <c r="I730" s="16">
        <f t="shared" si="71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0.9562032812031962</v>
      </c>
    </row>
    <row r="731" spans="1:11">
      <c r="A731" s="8" t="s">
        <v>762</v>
      </c>
      <c r="B731" s="11">
        <v>2.8341999400292899</v>
      </c>
      <c r="C731" s="11">
        <v>3.65</v>
      </c>
      <c r="D731" s="16">
        <f t="shared" si="66"/>
        <v>6</v>
      </c>
      <c r="E731" s="16">
        <f t="shared" si="67"/>
        <v>0.7</v>
      </c>
      <c r="F731" s="16">
        <f t="shared" si="68"/>
        <v>4</v>
      </c>
      <c r="G731" s="16">
        <f t="shared" si="69"/>
        <v>2.1235217058678399</v>
      </c>
      <c r="H731" s="16">
        <f t="shared" si="70"/>
        <v>0.75</v>
      </c>
      <c r="I731" s="16">
        <f t="shared" si="71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0.9562032812031962</v>
      </c>
    </row>
    <row r="732" spans="1:11">
      <c r="A732" s="8" t="s">
        <v>763</v>
      </c>
      <c r="B732" s="11">
        <v>2.8241837227534399</v>
      </c>
      <c r="C732" s="11">
        <v>3.65</v>
      </c>
      <c r="D732" s="16">
        <f t="shared" si="66"/>
        <v>7</v>
      </c>
      <c r="E732" s="16">
        <f t="shared" si="67"/>
        <v>0.25</v>
      </c>
      <c r="F732" s="16">
        <f t="shared" si="68"/>
        <v>5</v>
      </c>
      <c r="G732" s="16">
        <f t="shared" si="69"/>
        <v>2.8295676365561997</v>
      </c>
      <c r="H732" s="16">
        <f t="shared" si="70"/>
        <v>1</v>
      </c>
      <c r="I732" s="16">
        <f t="shared" si="71"/>
        <v>0</v>
      </c>
      <c r="J732" s="16">
        <f>IF(CurrentMtgRatesDataTable8[[#This Row],[WA CC]]&lt;&gt;0,C731-CurrentMtgRatesDataTable8[[#This Row],[WA CC]],0)</f>
        <v>0</v>
      </c>
      <c r="K732" s="16">
        <f>IF(CurrentMtgRatesDataTable8[[#This Row],[Servicing Spread]]&lt;=0,K731,CurrentMtgRatesDataTable8[[#This Row],[Servicing Spread]])</f>
        <v>0.9562032812031962</v>
      </c>
    </row>
    <row r="733" spans="1:11">
      <c r="A733" s="8" t="s">
        <v>768</v>
      </c>
      <c r="B733" s="11">
        <v>2.81556157497667</v>
      </c>
      <c r="C733" s="11">
        <v>3.76</v>
      </c>
      <c r="D733" s="16">
        <f t="shared" si="66"/>
        <v>1</v>
      </c>
      <c r="E733" s="16">
        <f t="shared" si="67"/>
        <v>0</v>
      </c>
      <c r="F733" s="16">
        <f t="shared" si="68"/>
        <v>1</v>
      </c>
      <c r="G733" s="16">
        <f t="shared" si="69"/>
        <v>0</v>
      </c>
      <c r="H733" s="16">
        <f t="shared" si="70"/>
        <v>0</v>
      </c>
      <c r="I733" s="16">
        <f t="shared" si="71"/>
        <v>2.8295676365561997</v>
      </c>
      <c r="J733" s="16">
        <f>IF(CurrentMtgRatesDataTable8[[#This Row],[WA CC]]&lt;&gt;0,C732-CurrentMtgRatesDataTable8[[#This Row],[WA CC]],0)</f>
        <v>0.82043236344380022</v>
      </c>
      <c r="K733" s="16">
        <f>IF(CurrentMtgRatesDataTable8[[#This Row],[Servicing Spread]]&lt;=0,K732,CurrentMtgRatesDataTable8[[#This Row],[Servicing Spread]])</f>
        <v>0.82043236344380022</v>
      </c>
    </row>
    <row r="734" spans="1:11">
      <c r="A734" s="8" t="s">
        <v>769</v>
      </c>
      <c r="B734" s="11">
        <v>2.9303170109018999</v>
      </c>
      <c r="C734" s="11">
        <v>3.76</v>
      </c>
      <c r="D734" s="16">
        <f t="shared" si="66"/>
        <v>2</v>
      </c>
      <c r="E734" s="16">
        <f t="shared" si="67"/>
        <v>0</v>
      </c>
      <c r="F734" s="16">
        <f t="shared" si="68"/>
        <v>2</v>
      </c>
      <c r="G734" s="16">
        <f t="shared" si="69"/>
        <v>0</v>
      </c>
      <c r="H734" s="16">
        <f t="shared" si="70"/>
        <v>0</v>
      </c>
      <c r="I734" s="16">
        <f t="shared" si="71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0.82043236344380022</v>
      </c>
    </row>
    <row r="735" spans="1:11">
      <c r="A735" s="8" t="s">
        <v>770</v>
      </c>
      <c r="B735" s="11">
        <v>2.90222752352993</v>
      </c>
      <c r="C735" s="11">
        <v>3.76</v>
      </c>
      <c r="D735" s="16">
        <f t="shared" si="66"/>
        <v>5</v>
      </c>
      <c r="E735" s="16">
        <f t="shared" si="67"/>
        <v>0.05</v>
      </c>
      <c r="F735" s="16">
        <f t="shared" si="68"/>
        <v>3</v>
      </c>
      <c r="G735" s="16">
        <f t="shared" si="69"/>
        <v>0.1451113761764965</v>
      </c>
      <c r="H735" s="16">
        <f t="shared" si="70"/>
        <v>0.05</v>
      </c>
      <c r="I735" s="16">
        <f t="shared" si="71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0.82043236344380022</v>
      </c>
    </row>
    <row r="736" spans="1:11">
      <c r="A736" s="8" t="s">
        <v>771</v>
      </c>
      <c r="B736" s="11">
        <v>2.84635033680676</v>
      </c>
      <c r="C736" s="11">
        <v>3.76</v>
      </c>
      <c r="D736" s="16">
        <f t="shared" si="66"/>
        <v>6</v>
      </c>
      <c r="E736" s="16">
        <f t="shared" si="67"/>
        <v>0.7</v>
      </c>
      <c r="F736" s="16">
        <f t="shared" si="68"/>
        <v>4</v>
      </c>
      <c r="G736" s="16">
        <f t="shared" si="69"/>
        <v>2.1375566119412284</v>
      </c>
      <c r="H736" s="16">
        <f t="shared" si="70"/>
        <v>0.75</v>
      </c>
      <c r="I736" s="16">
        <f t="shared" si="71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0.82043236344380022</v>
      </c>
    </row>
    <row r="737" spans="1:11">
      <c r="A737" s="8" t="s">
        <v>772</v>
      </c>
      <c r="B737" s="11">
        <v>2.8278353033181198</v>
      </c>
      <c r="C737" s="11">
        <v>3.76</v>
      </c>
      <c r="D737" s="16">
        <f t="shared" si="66"/>
        <v>7</v>
      </c>
      <c r="E737" s="16">
        <f t="shared" si="67"/>
        <v>0.25</v>
      </c>
      <c r="F737" s="16">
        <f t="shared" si="68"/>
        <v>5</v>
      </c>
      <c r="G737" s="16">
        <f t="shared" si="69"/>
        <v>2.8445154377707582</v>
      </c>
      <c r="H737" s="16">
        <f t="shared" si="70"/>
        <v>1</v>
      </c>
      <c r="I737" s="16">
        <f t="shared" si="71"/>
        <v>0</v>
      </c>
      <c r="J737" s="16">
        <f>IF(CurrentMtgRatesDataTable8[[#This Row],[WA CC]]&lt;&gt;0,C736-CurrentMtgRatesDataTable8[[#This Row],[WA CC]],0)</f>
        <v>0</v>
      </c>
      <c r="K737" s="16">
        <f>IF(CurrentMtgRatesDataTable8[[#This Row],[Servicing Spread]]&lt;=0,K736,CurrentMtgRatesDataTable8[[#This Row],[Servicing Spread]])</f>
        <v>0.82043236344380022</v>
      </c>
    </row>
    <row r="738" spans="1:11">
      <c r="A738" s="7"/>
      <c r="B738" s="7"/>
      <c r="C738" s="7"/>
      <c r="D738" s="7"/>
    </row>
    <row r="739" spans="1:11">
      <c r="A739" s="7"/>
      <c r="B739" s="7"/>
      <c r="C739" s="7"/>
      <c r="D739" s="7"/>
    </row>
    <row r="740" spans="1:11">
      <c r="A740" s="7"/>
      <c r="B740" s="7"/>
      <c r="C740" s="7"/>
      <c r="D740" s="7"/>
    </row>
    <row r="741" spans="1:11">
      <c r="A741" s="7"/>
      <c r="B741" s="7"/>
      <c r="C741" s="7"/>
      <c r="D741" s="7"/>
    </row>
    <row r="742" spans="1:11">
      <c r="A742" s="7"/>
      <c r="B742" s="7"/>
      <c r="C742" s="7"/>
      <c r="D742" s="7"/>
    </row>
    <row r="743" spans="1:11">
      <c r="A743" s="7"/>
      <c r="B743" s="7"/>
      <c r="C743" s="7"/>
      <c r="D743" s="7"/>
    </row>
    <row r="744" spans="1:11">
      <c r="A744" s="7"/>
      <c r="B744" s="7"/>
      <c r="C744" s="7"/>
      <c r="D744" s="7"/>
    </row>
    <row r="745" spans="1:11">
      <c r="A745" s="7"/>
      <c r="B745" s="7"/>
      <c r="C745" s="7"/>
      <c r="D745" s="7"/>
    </row>
    <row r="746" spans="1:11">
      <c r="A746" s="7"/>
      <c r="B746" s="7"/>
      <c r="C746" s="7"/>
      <c r="D746" s="7"/>
    </row>
    <row r="747" spans="1:11">
      <c r="A747" s="7"/>
      <c r="B747" s="7"/>
      <c r="C747" s="7"/>
      <c r="D747" s="7"/>
    </row>
    <row r="748" spans="1:11">
      <c r="A748" s="7"/>
      <c r="B748" s="7"/>
      <c r="C748" s="7"/>
      <c r="D748" s="7"/>
    </row>
    <row r="749" spans="1:11">
      <c r="A749" s="7"/>
      <c r="B749" s="7"/>
      <c r="C749" s="7"/>
      <c r="D749" s="7"/>
    </row>
    <row r="750" spans="1:11">
      <c r="A750" s="7"/>
      <c r="B750" s="7"/>
      <c r="C750" s="7"/>
      <c r="D750" s="7"/>
    </row>
    <row r="751" spans="1:11">
      <c r="A751" s="7"/>
      <c r="B751" s="7"/>
      <c r="C751" s="7"/>
      <c r="D751" s="7"/>
    </row>
    <row r="752" spans="1:11">
      <c r="A752" s="7"/>
      <c r="B752" s="7"/>
      <c r="C752" s="7"/>
      <c r="D752" s="7"/>
    </row>
    <row r="753" spans="1:4">
      <c r="A753" s="7"/>
      <c r="B753" s="7"/>
      <c r="C753" s="7"/>
      <c r="D753" s="7"/>
    </row>
    <row r="754" spans="1:4">
      <c r="A754" s="7"/>
      <c r="B754" s="7"/>
      <c r="C754" s="7"/>
      <c r="D754" s="7"/>
    </row>
    <row r="755" spans="1:4">
      <c r="A755" s="7"/>
      <c r="B755" s="7"/>
      <c r="C755" s="7"/>
      <c r="D755" s="7"/>
    </row>
    <row r="756" spans="1:4">
      <c r="A756" s="7"/>
      <c r="B756" s="7"/>
      <c r="C756" s="7"/>
      <c r="D756" s="7"/>
    </row>
    <row r="757" spans="1:4">
      <c r="A757" s="7"/>
      <c r="B757" s="7"/>
      <c r="C757" s="7"/>
      <c r="D757" s="7"/>
    </row>
    <row r="758" spans="1:4">
      <c r="A758" s="7"/>
      <c r="B758" s="7"/>
      <c r="C758" s="7"/>
      <c r="D758" s="7"/>
    </row>
    <row r="759" spans="1:4">
      <c r="A759" s="7"/>
      <c r="B759" s="7"/>
      <c r="C759" s="7"/>
      <c r="D759" s="7"/>
    </row>
    <row r="760" spans="1:4">
      <c r="A760" s="7"/>
      <c r="B760" s="7"/>
      <c r="C760" s="7"/>
      <c r="D760" s="7"/>
    </row>
    <row r="761" spans="1:4">
      <c r="A761" s="7"/>
      <c r="B761" s="7"/>
      <c r="C761" s="7"/>
      <c r="D761" s="7"/>
    </row>
    <row r="762" spans="1:4">
      <c r="A762" s="7"/>
      <c r="B762" s="7"/>
      <c r="C762" s="7"/>
      <c r="D762" s="7"/>
    </row>
    <row r="763" spans="1:4">
      <c r="A763" s="7"/>
      <c r="B763" s="7"/>
      <c r="C763" s="7"/>
      <c r="D763" s="7"/>
    </row>
    <row r="764" spans="1:4">
      <c r="A764" s="7"/>
      <c r="B764" s="7"/>
      <c r="C764" s="7"/>
      <c r="D764" s="7"/>
    </row>
    <row r="765" spans="1:4">
      <c r="A765" s="7"/>
      <c r="B765" s="7"/>
      <c r="C765" s="7"/>
      <c r="D765" s="7"/>
    </row>
    <row r="766" spans="1:4">
      <c r="A766" s="7"/>
      <c r="B766" s="7"/>
      <c r="C766" s="7"/>
      <c r="D766" s="7"/>
    </row>
    <row r="767" spans="1:4">
      <c r="A767" s="7"/>
      <c r="B767" s="7"/>
      <c r="C767" s="7"/>
      <c r="D767" s="7"/>
    </row>
    <row r="768" spans="1:4">
      <c r="A768" s="7"/>
      <c r="B768" s="7"/>
      <c r="C768" s="7"/>
      <c r="D768" s="7"/>
    </row>
    <row r="769" spans="1:4">
      <c r="A769" s="7"/>
      <c r="B769" s="7"/>
      <c r="C769" s="7"/>
      <c r="D769" s="7"/>
    </row>
    <row r="770" spans="1:4">
      <c r="A770" s="7"/>
      <c r="B770" s="7"/>
      <c r="C770" s="7"/>
      <c r="D770" s="7"/>
    </row>
    <row r="771" spans="1:4">
      <c r="A771" s="7"/>
      <c r="B771" s="7"/>
      <c r="C771" s="7"/>
      <c r="D771" s="7"/>
    </row>
    <row r="772" spans="1:4">
      <c r="A772" s="7"/>
      <c r="B772" s="7"/>
      <c r="C772" s="7"/>
      <c r="D772" s="7"/>
    </row>
    <row r="773" spans="1:4">
      <c r="A773" s="7"/>
      <c r="B773" s="7"/>
      <c r="C773" s="7"/>
      <c r="D773" s="7"/>
    </row>
    <row r="774" spans="1:4">
      <c r="A774" s="7"/>
      <c r="B774" s="7"/>
      <c r="C774" s="7"/>
      <c r="D774" s="7"/>
    </row>
    <row r="775" spans="1:4">
      <c r="A775" s="7"/>
      <c r="B775" s="7"/>
      <c r="C775" s="7"/>
      <c r="D775" s="7"/>
    </row>
    <row r="776" spans="1:4">
      <c r="A776" s="7"/>
      <c r="B776" s="7"/>
      <c r="C776" s="7"/>
      <c r="D776" s="7"/>
    </row>
    <row r="777" spans="1:4">
      <c r="A777" s="7"/>
      <c r="B777" s="7"/>
      <c r="C777" s="7"/>
      <c r="D777" s="7"/>
    </row>
    <row r="778" spans="1:4">
      <c r="A778" s="7"/>
      <c r="B778" s="7"/>
      <c r="C778" s="7"/>
      <c r="D778" s="9"/>
    </row>
    <row r="779" spans="1:4">
      <c r="A779" s="9"/>
      <c r="B779" s="9"/>
      <c r="C779" s="9"/>
      <c r="D779" s="9"/>
    </row>
    <row r="780" spans="1:4">
      <c r="A780" s="9"/>
      <c r="B780" s="9"/>
      <c r="C780" s="9"/>
      <c r="D780" s="9"/>
    </row>
    <row r="781" spans="1:4">
      <c r="A781" s="9"/>
      <c r="B781" s="9"/>
      <c r="C781" s="9"/>
      <c r="D781" s="9"/>
    </row>
    <row r="782" spans="1:4">
      <c r="A782" s="9"/>
      <c r="B782" s="9"/>
      <c r="C782" s="9"/>
      <c r="D782" s="9"/>
    </row>
    <row r="783" spans="1:4">
      <c r="A783" s="9"/>
      <c r="B783" s="9"/>
      <c r="C783" s="9"/>
      <c r="D783" s="9"/>
    </row>
    <row r="784" spans="1:4">
      <c r="A784" s="9"/>
      <c r="B784" s="9"/>
      <c r="C784" s="9"/>
      <c r="D784" s="9"/>
    </row>
    <row r="785" spans="1:4">
      <c r="A785" s="9"/>
      <c r="B785" s="9"/>
      <c r="C785" s="9"/>
      <c r="D785" s="9"/>
    </row>
    <row r="786" spans="1:4">
      <c r="A786" s="9"/>
      <c r="B786" s="9"/>
      <c r="C786" s="9"/>
      <c r="D786" s="9"/>
    </row>
    <row r="787" spans="1:4">
      <c r="A787" s="9"/>
      <c r="B787" s="9"/>
      <c r="C787" s="9"/>
      <c r="D787" s="9"/>
    </row>
    <row r="788" spans="1:4">
      <c r="A788" s="9"/>
      <c r="B788" s="9"/>
      <c r="C788" s="9"/>
      <c r="D788" s="9"/>
    </row>
    <row r="789" spans="1:4">
      <c r="A789" s="9"/>
      <c r="B789" s="9"/>
      <c r="C789" s="9"/>
      <c r="D789" s="9"/>
    </row>
    <row r="790" spans="1:4">
      <c r="A790" s="9"/>
      <c r="B790" s="9"/>
      <c r="C790" s="9"/>
      <c r="D790" s="9"/>
    </row>
    <row r="791" spans="1:4">
      <c r="A791" s="9"/>
      <c r="B791" s="9"/>
      <c r="C791" s="9"/>
      <c r="D791" s="9"/>
    </row>
    <row r="792" spans="1:4">
      <c r="A792" s="9"/>
      <c r="B792" s="9"/>
      <c r="C792" s="9"/>
      <c r="D792" s="9"/>
    </row>
    <row r="793" spans="1:4">
      <c r="A793" s="9"/>
      <c r="B793" s="9"/>
      <c r="C793" s="9"/>
      <c r="D793" s="9"/>
    </row>
    <row r="794" spans="1:4">
      <c r="A794" s="9"/>
      <c r="B794" s="9"/>
      <c r="C794" s="9"/>
      <c r="D794" s="9"/>
    </row>
    <row r="795" spans="1:4">
      <c r="A795" s="9"/>
      <c r="B795" s="9"/>
      <c r="C795" s="9"/>
      <c r="D795" s="9"/>
    </row>
    <row r="796" spans="1:4">
      <c r="A796" s="9"/>
      <c r="B796" s="9"/>
      <c r="C796" s="9"/>
      <c r="D796" s="9"/>
    </row>
    <row r="797" spans="1:4">
      <c r="A797" s="9"/>
      <c r="B797" s="9"/>
      <c r="C797" s="9"/>
      <c r="D797" s="9"/>
    </row>
    <row r="798" spans="1:4">
      <c r="A798" s="9"/>
      <c r="B798" s="9"/>
      <c r="C798" s="9"/>
      <c r="D798" s="9"/>
    </row>
    <row r="799" spans="1:4">
      <c r="A799" s="9"/>
      <c r="B799" s="9"/>
      <c r="C799" s="9"/>
      <c r="D799" s="9"/>
    </row>
    <row r="800" spans="1:4">
      <c r="A800" s="9"/>
      <c r="B800" s="9"/>
      <c r="C800" s="9"/>
      <c r="D800" s="9"/>
    </row>
    <row r="801" spans="1:4">
      <c r="A801" s="9"/>
      <c r="B801" s="9"/>
      <c r="C801" s="9"/>
      <c r="D801" s="9"/>
    </row>
    <row r="802" spans="1:4">
      <c r="A802" s="9"/>
      <c r="B802" s="9"/>
      <c r="C802" s="9"/>
      <c r="D802" s="9"/>
    </row>
    <row r="803" spans="1:4">
      <c r="A803" s="9"/>
      <c r="B803" s="9"/>
      <c r="C803" s="9"/>
      <c r="D803" s="9"/>
    </row>
    <row r="804" spans="1:4">
      <c r="A804" s="9"/>
      <c r="B804" s="9"/>
      <c r="C804" s="9"/>
      <c r="D804" s="9"/>
    </row>
    <row r="805" spans="1:4">
      <c r="A805" s="9"/>
      <c r="B805" s="9"/>
      <c r="C805" s="9"/>
      <c r="D805" s="9"/>
    </row>
    <row r="806" spans="1:4">
      <c r="A806" s="9"/>
      <c r="B806" s="9"/>
      <c r="C806" s="9"/>
      <c r="D806" s="9"/>
    </row>
    <row r="807" spans="1:4">
      <c r="A807" s="9"/>
      <c r="B807" s="9"/>
      <c r="C807" s="9"/>
      <c r="D807" s="9"/>
    </row>
    <row r="808" spans="1:4">
      <c r="A808" s="9"/>
      <c r="B808" s="9"/>
      <c r="C808" s="9"/>
      <c r="D808" s="9"/>
    </row>
    <row r="809" spans="1:4">
      <c r="A809" s="9"/>
      <c r="B809" s="9"/>
      <c r="C809" s="9"/>
      <c r="D809" s="9"/>
    </row>
    <row r="810" spans="1:4">
      <c r="A810" s="9"/>
      <c r="B810" s="9"/>
      <c r="C810" s="9"/>
      <c r="D810" s="9"/>
    </row>
    <row r="811" spans="1:4">
      <c r="A811" s="9"/>
      <c r="B811" s="9"/>
      <c r="C811" s="9"/>
      <c r="D811" s="9"/>
    </row>
    <row r="812" spans="1:4">
      <c r="A812" s="9"/>
      <c r="B812" s="9"/>
      <c r="C812" s="9"/>
      <c r="D812" s="9"/>
    </row>
    <row r="813" spans="1:4">
      <c r="A813" s="9"/>
      <c r="B813" s="9"/>
      <c r="C813" s="9"/>
      <c r="D813" s="9"/>
    </row>
    <row r="814" spans="1:4">
      <c r="A814" s="9"/>
      <c r="B814" s="9"/>
      <c r="C814" s="9"/>
      <c r="D814" s="9"/>
    </row>
    <row r="815" spans="1:4">
      <c r="A815" s="9"/>
      <c r="B815" s="9"/>
      <c r="C815" s="9"/>
      <c r="D815" s="9"/>
    </row>
    <row r="816" spans="1:4">
      <c r="A816" s="9"/>
      <c r="B816" s="9"/>
      <c r="C816" s="9"/>
      <c r="D816" s="9"/>
    </row>
    <row r="817" spans="1:4">
      <c r="A817" s="9"/>
      <c r="B817" s="9"/>
      <c r="C817" s="9"/>
      <c r="D817" s="9"/>
    </row>
    <row r="818" spans="1:4">
      <c r="A818" s="9"/>
      <c r="B818" s="9"/>
      <c r="C818" s="9"/>
      <c r="D818" s="9"/>
    </row>
    <row r="819" spans="1:4">
      <c r="A819" s="9"/>
      <c r="B819" s="9"/>
      <c r="C819" s="9"/>
      <c r="D819" s="9"/>
    </row>
    <row r="820" spans="1:4">
      <c r="A820" s="9"/>
      <c r="B820" s="9"/>
      <c r="C820" s="9"/>
      <c r="D820" s="9"/>
    </row>
    <row r="821" spans="1:4">
      <c r="A821" s="9"/>
      <c r="B821" s="9"/>
      <c r="C821" s="9"/>
      <c r="D821" s="9"/>
    </row>
    <row r="822" spans="1:4">
      <c r="A822" s="9"/>
      <c r="B822" s="9"/>
      <c r="C822" s="9"/>
      <c r="D822" s="9"/>
    </row>
    <row r="823" spans="1:4">
      <c r="A823" s="9"/>
      <c r="B823" s="9"/>
      <c r="C823" s="9"/>
      <c r="D823" s="9"/>
    </row>
    <row r="824" spans="1:4">
      <c r="A824" s="9"/>
      <c r="B824" s="9"/>
      <c r="C824" s="9"/>
      <c r="D824" s="9"/>
    </row>
    <row r="825" spans="1:4">
      <c r="A825" s="9"/>
      <c r="B825" s="9"/>
      <c r="C825" s="9"/>
      <c r="D825" s="9"/>
    </row>
    <row r="826" spans="1:4">
      <c r="A826" s="9"/>
      <c r="B826" s="9"/>
      <c r="C826" s="9"/>
      <c r="D826" s="9"/>
    </row>
    <row r="827" spans="1:4">
      <c r="A827" s="9"/>
      <c r="B827" s="9"/>
      <c r="C827" s="9"/>
      <c r="D827" s="9"/>
    </row>
    <row r="828" spans="1:4">
      <c r="A828" s="9"/>
      <c r="B828" s="9"/>
      <c r="C828" s="9"/>
      <c r="D828" s="9"/>
    </row>
    <row r="829" spans="1:4">
      <c r="A829" s="9"/>
      <c r="B829" s="9"/>
      <c r="C829" s="9"/>
      <c r="D829" s="9"/>
    </row>
    <row r="830" spans="1:4">
      <c r="A830" s="9"/>
      <c r="B830" s="9"/>
      <c r="C830" s="9"/>
      <c r="D830" s="9"/>
    </row>
    <row r="831" spans="1:4">
      <c r="A831" s="9"/>
      <c r="B831" s="9"/>
      <c r="C831" s="9"/>
      <c r="D831" s="9"/>
    </row>
    <row r="832" spans="1:4">
      <c r="A832" s="9"/>
      <c r="B832" s="9"/>
      <c r="C832" s="9"/>
      <c r="D832" s="9"/>
    </row>
    <row r="833" spans="1:4">
      <c r="A833" s="9"/>
      <c r="B833" s="9"/>
      <c r="C833" s="9"/>
      <c r="D833" s="9"/>
    </row>
    <row r="834" spans="1:4">
      <c r="A834" s="9"/>
      <c r="B834" s="9"/>
      <c r="C834" s="9"/>
      <c r="D834" s="9"/>
    </row>
    <row r="835" spans="1:4">
      <c r="A835" s="9"/>
      <c r="B835" s="9"/>
      <c r="C835" s="9"/>
      <c r="D835" s="9"/>
    </row>
    <row r="836" spans="1:4">
      <c r="A836" s="9"/>
      <c r="B836" s="9"/>
      <c r="C836" s="9"/>
      <c r="D836" s="9"/>
    </row>
    <row r="837" spans="1:4">
      <c r="A837" s="9"/>
      <c r="B837" s="9"/>
      <c r="C837" s="9"/>
      <c r="D837" s="9"/>
    </row>
    <row r="838" spans="1:4">
      <c r="A838" s="9"/>
      <c r="B838" s="9"/>
      <c r="C838" s="9"/>
      <c r="D838" s="9"/>
    </row>
    <row r="839" spans="1:4">
      <c r="A839" s="9"/>
      <c r="B839" s="9"/>
      <c r="C839" s="9"/>
      <c r="D839" s="9"/>
    </row>
    <row r="840" spans="1:4">
      <c r="A840" s="9"/>
      <c r="B840" s="9"/>
      <c r="C840" s="9"/>
      <c r="D840" s="9"/>
    </row>
    <row r="841" spans="1:4">
      <c r="A841" s="9"/>
      <c r="B841" s="9"/>
      <c r="C841" s="9"/>
      <c r="D841" s="9"/>
    </row>
    <row r="842" spans="1:4">
      <c r="A842" s="9"/>
      <c r="B842" s="9"/>
      <c r="C842" s="9"/>
      <c r="D842" s="9"/>
    </row>
    <row r="843" spans="1:4">
      <c r="A843" s="9"/>
      <c r="B843" s="9"/>
      <c r="C843" s="9"/>
      <c r="D843" s="9"/>
    </row>
    <row r="844" spans="1:4">
      <c r="A844" s="9"/>
      <c r="B844" s="9"/>
      <c r="C844" s="9"/>
      <c r="D844" s="9"/>
    </row>
    <row r="845" spans="1:4">
      <c r="A845" s="9"/>
      <c r="B845" s="9"/>
      <c r="C845" s="9"/>
      <c r="D845" s="9"/>
    </row>
    <row r="846" spans="1:4">
      <c r="A846" s="9"/>
      <c r="B846" s="9"/>
      <c r="C846" s="9"/>
      <c r="D846" s="9"/>
    </row>
    <row r="847" spans="1:4">
      <c r="A847" s="9"/>
      <c r="B847" s="9"/>
      <c r="C847" s="9"/>
      <c r="D847" s="9"/>
    </row>
    <row r="848" spans="1:4">
      <c r="A848" s="9"/>
      <c r="B848" s="9"/>
      <c r="C848" s="9"/>
      <c r="D848" s="9"/>
    </row>
    <row r="849" spans="1:4">
      <c r="A849" s="9"/>
      <c r="B849" s="9"/>
      <c r="C849" s="9"/>
      <c r="D849" s="9"/>
    </row>
    <row r="850" spans="1:4">
      <c r="A850" s="9"/>
      <c r="B850" s="9"/>
      <c r="C850" s="9"/>
      <c r="D850" s="9"/>
    </row>
    <row r="851" spans="1:4">
      <c r="A851" s="9"/>
      <c r="B851" s="9"/>
      <c r="C851" s="9"/>
    </row>
  </sheetData>
  <conditionalFormatting sqref="J62:L92 G51:G61">
    <cfRule type="cellIs" dxfId="13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56"/>
  <sheetViews>
    <sheetView workbookViewId="0">
      <selection activeCell="J12" sqref="J12"/>
    </sheetView>
  </sheetViews>
  <sheetFormatPr defaultRowHeight="15"/>
  <cols>
    <col min="1" max="1" width="15.7109375" customWidth="1"/>
    <col min="2" max="2" width="18.28515625" bestFit="1" customWidth="1"/>
    <col min="3" max="3" width="16.140625" bestFit="1" customWidth="1"/>
    <col min="4" max="4" width="5" bestFit="1" customWidth="1"/>
    <col min="5" max="5" width="6" bestFit="1" customWidth="1"/>
    <col min="6" max="6" width="5" bestFit="1" customWidth="1"/>
    <col min="7" max="8" width="6" bestFit="1" customWidth="1"/>
    <col min="9" max="9" width="4" bestFit="1" customWidth="1"/>
    <col min="10" max="14" width="6" bestFit="1" customWidth="1"/>
    <col min="15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3">
      <c r="A1" s="17" t="s">
        <v>729</v>
      </c>
      <c r="B1" t="s">
        <v>730</v>
      </c>
    </row>
    <row r="3" spans="1:3">
      <c r="B3" t="s">
        <v>732</v>
      </c>
      <c r="C3" t="s">
        <v>731</v>
      </c>
    </row>
    <row r="4" spans="1:3">
      <c r="A4" s="18" t="s">
        <v>587</v>
      </c>
      <c r="B4" s="19">
        <v>3.85</v>
      </c>
      <c r="C4" s="19">
        <v>0.88903874035051267</v>
      </c>
    </row>
    <row r="5" spans="1:3">
      <c r="A5" s="18" t="s">
        <v>588</v>
      </c>
      <c r="B5" s="19">
        <v>3.8049999999999997</v>
      </c>
      <c r="C5" s="19">
        <v>0.90151202857869928</v>
      </c>
    </row>
    <row r="6" spans="1:3">
      <c r="A6" s="18" t="s">
        <v>589</v>
      </c>
      <c r="B6" s="19">
        <v>3.79</v>
      </c>
      <c r="C6" s="19">
        <v>0.90017734324685694</v>
      </c>
    </row>
    <row r="7" spans="1:3">
      <c r="A7" s="18" t="s">
        <v>590</v>
      </c>
      <c r="B7" s="19">
        <v>3.7549999999999999</v>
      </c>
      <c r="C7" s="19">
        <v>0.9051311500262762</v>
      </c>
    </row>
    <row r="8" spans="1:3">
      <c r="A8" s="18" t="s">
        <v>591</v>
      </c>
      <c r="B8" s="19">
        <v>3.7149999999999999</v>
      </c>
      <c r="C8" s="19">
        <v>0.91189361547726433</v>
      </c>
    </row>
    <row r="9" spans="1:3">
      <c r="A9" s="18" t="s">
        <v>592</v>
      </c>
      <c r="B9" s="19">
        <v>3.73</v>
      </c>
      <c r="C9" s="19">
        <v>0.95247264823306788</v>
      </c>
    </row>
    <row r="10" spans="1:3">
      <c r="A10" s="18" t="s">
        <v>593</v>
      </c>
      <c r="B10" s="19">
        <v>3.7</v>
      </c>
      <c r="C10" s="19">
        <v>0.97076567318124063</v>
      </c>
    </row>
    <row r="11" spans="1:3">
      <c r="A11" s="18" t="s">
        <v>594</v>
      </c>
      <c r="B11" s="19">
        <v>3.5949999999999998</v>
      </c>
      <c r="C11" s="19">
        <v>0.95130783423578213</v>
      </c>
    </row>
    <row r="12" spans="1:3">
      <c r="A12" s="18" t="s">
        <v>595</v>
      </c>
      <c r="B12" s="19">
        <v>3.6349999999999998</v>
      </c>
      <c r="C12" s="19">
        <v>0.91662839951630826</v>
      </c>
    </row>
    <row r="13" spans="1:3">
      <c r="A13" s="18" t="s">
        <v>596</v>
      </c>
      <c r="B13" s="19">
        <v>3.585</v>
      </c>
      <c r="C13" s="19">
        <v>0.95269277535561114</v>
      </c>
    </row>
    <row r="14" spans="1:3">
      <c r="A14" s="18" t="s">
        <v>597</v>
      </c>
      <c r="B14" s="19">
        <v>3.585</v>
      </c>
      <c r="C14" s="19">
        <v>0.97545891426578635</v>
      </c>
    </row>
    <row r="15" spans="1:3">
      <c r="A15" s="18" t="s">
        <v>598</v>
      </c>
      <c r="B15" s="19">
        <v>3.5700000000000003</v>
      </c>
      <c r="C15" s="19">
        <v>0.97743582494773085</v>
      </c>
    </row>
    <row r="16" spans="1:3">
      <c r="A16" s="18" t="s">
        <v>599</v>
      </c>
      <c r="B16" s="19">
        <v>3.4849999999999999</v>
      </c>
      <c r="C16" s="19">
        <v>0.98924871391023173</v>
      </c>
    </row>
    <row r="17" spans="1:3">
      <c r="A17" s="18" t="s">
        <v>600</v>
      </c>
      <c r="B17" s="19">
        <v>3.4549999999999996</v>
      </c>
      <c r="C17" s="19">
        <v>1.0635149483412847</v>
      </c>
    </row>
    <row r="18" spans="1:3">
      <c r="A18" s="18" t="s">
        <v>601</v>
      </c>
      <c r="B18" s="19">
        <v>3.415</v>
      </c>
      <c r="C18" s="19">
        <v>1.035928132759008</v>
      </c>
    </row>
    <row r="19" spans="1:3">
      <c r="A19" s="18" t="s">
        <v>602</v>
      </c>
      <c r="B19" s="19">
        <v>3.4749999999999996</v>
      </c>
      <c r="C19" s="19">
        <v>1.1622718084289136</v>
      </c>
    </row>
    <row r="20" spans="1:3">
      <c r="A20" s="18" t="s">
        <v>603</v>
      </c>
      <c r="B20" s="19">
        <v>3.4899999999999998</v>
      </c>
      <c r="C20" s="19">
        <v>1.1464868589884536</v>
      </c>
    </row>
    <row r="21" spans="1:3">
      <c r="A21" s="18" t="s">
        <v>604</v>
      </c>
      <c r="B21" s="19">
        <v>3.52</v>
      </c>
      <c r="C21" s="19">
        <v>1.030638194905205</v>
      </c>
    </row>
    <row r="22" spans="1:3">
      <c r="A22" s="18" t="s">
        <v>605</v>
      </c>
      <c r="B22" s="19">
        <v>3.585</v>
      </c>
      <c r="C22" s="19">
        <v>0.98658829447589547</v>
      </c>
    </row>
    <row r="23" spans="1:3">
      <c r="A23" s="18" t="s">
        <v>606</v>
      </c>
      <c r="B23" s="19">
        <v>3.4899999999999998</v>
      </c>
      <c r="C23" s="19">
        <v>0.9879244684877948</v>
      </c>
    </row>
    <row r="24" spans="1:3">
      <c r="A24" s="18" t="s">
        <v>607</v>
      </c>
      <c r="B24" s="19">
        <v>3.4749999999999996</v>
      </c>
      <c r="C24" s="19">
        <v>1.0630394632726912</v>
      </c>
    </row>
    <row r="25" spans="1:3">
      <c r="A25" s="18" t="s">
        <v>608</v>
      </c>
      <c r="B25" s="19">
        <v>3.4499999999999997</v>
      </c>
      <c r="C25" s="19">
        <v>1.0879096087662448</v>
      </c>
    </row>
    <row r="26" spans="1:3">
      <c r="A26" s="18" t="s">
        <v>609</v>
      </c>
      <c r="B26" s="19">
        <v>3.39</v>
      </c>
      <c r="C26" s="19">
        <v>1.0482054692563358</v>
      </c>
    </row>
    <row r="27" spans="1:3">
      <c r="A27" s="18" t="s">
        <v>610</v>
      </c>
      <c r="B27" s="19">
        <v>3.3</v>
      </c>
      <c r="C27" s="19">
        <v>1.134648566461935</v>
      </c>
    </row>
    <row r="28" spans="1:3">
      <c r="A28" s="18" t="s">
        <v>611</v>
      </c>
      <c r="B28" s="19">
        <v>3.26</v>
      </c>
      <c r="C28" s="19">
        <v>1.3187273939760233</v>
      </c>
    </row>
    <row r="29" spans="1:3">
      <c r="A29" s="18" t="s">
        <v>612</v>
      </c>
      <c r="B29" s="19">
        <v>3.3149999999999999</v>
      </c>
      <c r="C29" s="19">
        <v>1.3379454452803528</v>
      </c>
    </row>
    <row r="30" spans="1:3">
      <c r="A30" s="18" t="s">
        <v>613</v>
      </c>
      <c r="B30" s="19">
        <v>3.2949999999999999</v>
      </c>
      <c r="C30" s="19">
        <v>1.2174062696812817</v>
      </c>
    </row>
    <row r="31" spans="1:3">
      <c r="A31" s="18" t="s">
        <v>614</v>
      </c>
      <c r="B31" s="19">
        <v>3.335</v>
      </c>
      <c r="C31" s="19">
        <v>1.1796259700845342</v>
      </c>
    </row>
    <row r="32" spans="1:3">
      <c r="A32" s="18" t="s">
        <v>615</v>
      </c>
      <c r="B32" s="19">
        <v>3.3149999999999999</v>
      </c>
      <c r="C32" s="19">
        <v>1.1366876453389132</v>
      </c>
    </row>
    <row r="33" spans="1:3">
      <c r="A33" s="18" t="s">
        <v>616</v>
      </c>
      <c r="B33" s="19">
        <v>3.3249999999999997</v>
      </c>
      <c r="C33" s="19">
        <v>1.1670646788669568</v>
      </c>
    </row>
    <row r="34" spans="1:3">
      <c r="A34" s="18" t="s">
        <v>617</v>
      </c>
      <c r="B34" s="19">
        <v>3.2649999999999997</v>
      </c>
      <c r="C34" s="19">
        <v>1.1203859887520591</v>
      </c>
    </row>
    <row r="35" spans="1:3">
      <c r="A35" s="18" t="s">
        <v>50</v>
      </c>
      <c r="B35" s="19">
        <v>3.2349999999999999</v>
      </c>
      <c r="C35" s="19">
        <v>1.1685020535244517</v>
      </c>
    </row>
    <row r="36" spans="1:3">
      <c r="A36" s="18" t="s">
        <v>474</v>
      </c>
      <c r="B36" s="19">
        <v>3.27</v>
      </c>
      <c r="C36" s="19">
        <v>1.0977637189239626</v>
      </c>
    </row>
    <row r="37" spans="1:3">
      <c r="A37" s="18" t="s">
        <v>618</v>
      </c>
      <c r="B37" s="19">
        <v>3.2649999999999997</v>
      </c>
      <c r="C37" s="19">
        <v>1.2197772249610499</v>
      </c>
    </row>
    <row r="38" spans="1:3">
      <c r="A38" s="18" t="s">
        <v>619</v>
      </c>
      <c r="B38" s="19">
        <v>3.2449999999999997</v>
      </c>
      <c r="C38" s="19">
        <v>1.1932223326744751</v>
      </c>
    </row>
    <row r="39" spans="1:3">
      <c r="A39" s="18" t="s">
        <v>620</v>
      </c>
      <c r="B39" s="19">
        <v>3.2949999999999999</v>
      </c>
      <c r="C39" s="19">
        <v>1.1082293959245404</v>
      </c>
    </row>
    <row r="40" spans="1:3">
      <c r="A40" s="18" t="s">
        <v>621</v>
      </c>
      <c r="B40" s="19">
        <v>3.2749999999999999</v>
      </c>
      <c r="C40" s="19">
        <v>1.055156914455766</v>
      </c>
    </row>
    <row r="41" spans="1:3">
      <c r="A41" s="18" t="s">
        <v>622</v>
      </c>
      <c r="B41" s="19">
        <v>3.2649999999999997</v>
      </c>
      <c r="C41" s="19">
        <v>1.1140485374039768</v>
      </c>
    </row>
    <row r="42" spans="1:3">
      <c r="A42" s="18" t="s">
        <v>623</v>
      </c>
      <c r="B42" s="19">
        <v>3.3249999999999997</v>
      </c>
      <c r="C42" s="19">
        <v>1.0580638565411893</v>
      </c>
    </row>
    <row r="43" spans="1:3">
      <c r="A43" s="18" t="s">
        <v>624</v>
      </c>
      <c r="B43" s="19">
        <v>3.3049999999999997</v>
      </c>
      <c r="C43" s="19">
        <v>1.0447243033419302</v>
      </c>
    </row>
    <row r="44" spans="1:3">
      <c r="A44" s="18" t="s">
        <v>625</v>
      </c>
      <c r="B44" s="19">
        <v>3.3449999999999998</v>
      </c>
      <c r="C44" s="19">
        <v>1.0117877241418274</v>
      </c>
    </row>
    <row r="45" spans="1:3">
      <c r="A45" s="18" t="s">
        <v>626</v>
      </c>
      <c r="B45" s="19">
        <v>3.4549999999999996</v>
      </c>
      <c r="C45" s="19">
        <v>0.99513310223877705</v>
      </c>
    </row>
    <row r="46" spans="1:3">
      <c r="A46" s="18" t="s">
        <v>627</v>
      </c>
      <c r="B46" s="19">
        <v>3.48</v>
      </c>
      <c r="C46" s="19">
        <v>0.89184398001379117</v>
      </c>
    </row>
    <row r="47" spans="1:3">
      <c r="A47" s="18" t="s">
        <v>628</v>
      </c>
      <c r="B47" s="19">
        <v>3.48</v>
      </c>
      <c r="C47" s="19">
        <v>0.89199687576874664</v>
      </c>
    </row>
    <row r="48" spans="1:3">
      <c r="A48" s="18" t="s">
        <v>629</v>
      </c>
      <c r="B48" s="19">
        <v>3.5100000000000002</v>
      </c>
      <c r="C48" s="19">
        <v>0.86339635362020628</v>
      </c>
    </row>
    <row r="49" spans="1:3">
      <c r="A49" s="18" t="s">
        <v>630</v>
      </c>
      <c r="B49" s="19">
        <v>3.46</v>
      </c>
      <c r="C49" s="19">
        <v>0.87199240938212075</v>
      </c>
    </row>
    <row r="50" spans="1:3">
      <c r="A50" s="18" t="s">
        <v>631</v>
      </c>
      <c r="B50" s="19">
        <v>3.4449999999999998</v>
      </c>
      <c r="C50" s="19">
        <v>0.91153222611873019</v>
      </c>
    </row>
    <row r="51" spans="1:3">
      <c r="A51" s="18" t="s">
        <v>632</v>
      </c>
      <c r="B51" s="19">
        <v>3.58</v>
      </c>
      <c r="C51" s="19">
        <v>0.87204357351466122</v>
      </c>
    </row>
    <row r="52" spans="1:3">
      <c r="A52" s="18" t="s">
        <v>633</v>
      </c>
      <c r="B52" s="19">
        <v>3.49</v>
      </c>
      <c r="C52" s="19">
        <v>0.87337240041768016</v>
      </c>
    </row>
    <row r="53" spans="1:3">
      <c r="A53" s="18" t="s">
        <v>634</v>
      </c>
      <c r="B53" s="19">
        <v>3.52</v>
      </c>
      <c r="C53" s="19">
        <v>0.87196867274657208</v>
      </c>
    </row>
    <row r="54" spans="1:3">
      <c r="A54" s="18" t="s">
        <v>635</v>
      </c>
      <c r="B54" s="19">
        <v>3.49</v>
      </c>
      <c r="C54" s="19">
        <v>0.88621822515740023</v>
      </c>
    </row>
    <row r="55" spans="1:3">
      <c r="A55" s="18" t="s">
        <v>636</v>
      </c>
      <c r="B55" s="19">
        <v>3.3800000000000003</v>
      </c>
      <c r="C55" s="19">
        <v>0.8919244681028089</v>
      </c>
    </row>
    <row r="56" spans="1:3">
      <c r="A56" s="18" t="s">
        <v>637</v>
      </c>
      <c r="B56" s="19">
        <v>3.335</v>
      </c>
      <c r="C56" s="19">
        <v>0.87739007897501331</v>
      </c>
    </row>
    <row r="57" spans="1:3">
      <c r="A57" s="18" t="s">
        <v>638</v>
      </c>
      <c r="B57" s="19">
        <v>3.35</v>
      </c>
      <c r="C57" s="19">
        <v>0.88269883750301359</v>
      </c>
    </row>
    <row r="58" spans="1:3">
      <c r="A58" s="18" t="s">
        <v>639</v>
      </c>
      <c r="B58" s="19">
        <v>3.2749999999999999</v>
      </c>
      <c r="C58" s="19">
        <v>0.91332532953274148</v>
      </c>
    </row>
    <row r="59" spans="1:3">
      <c r="A59" s="18" t="s">
        <v>640</v>
      </c>
      <c r="B59" s="19">
        <v>3.3449999999999998</v>
      </c>
      <c r="C59" s="19">
        <v>0.9312108745720642</v>
      </c>
    </row>
    <row r="60" spans="1:3">
      <c r="A60" s="18" t="s">
        <v>641</v>
      </c>
      <c r="B60" s="19">
        <v>3.4349999999999996</v>
      </c>
      <c r="C60" s="19">
        <v>0.86100841442168008</v>
      </c>
    </row>
    <row r="61" spans="1:3">
      <c r="A61" s="18" t="s">
        <v>642</v>
      </c>
      <c r="B61" s="19">
        <v>3.5149999999999997</v>
      </c>
      <c r="C61" s="19">
        <v>0.77457627325518441</v>
      </c>
    </row>
    <row r="62" spans="1:3">
      <c r="A62" s="18" t="s">
        <v>643</v>
      </c>
      <c r="B62" s="19">
        <v>3.7600000000000002</v>
      </c>
      <c r="C62" s="19">
        <v>0.81707758256876195</v>
      </c>
    </row>
    <row r="63" spans="1:3">
      <c r="A63" s="18" t="s">
        <v>644</v>
      </c>
      <c r="B63" s="19">
        <v>3.835</v>
      </c>
      <c r="C63" s="19">
        <v>0.82242656202196596</v>
      </c>
    </row>
    <row r="64" spans="1:3">
      <c r="A64" s="18" t="s">
        <v>645</v>
      </c>
      <c r="B64" s="19">
        <v>3.9049999999999998</v>
      </c>
      <c r="C64" s="19">
        <v>0.85073824001573461</v>
      </c>
    </row>
    <row r="65" spans="1:3">
      <c r="A65" s="18" t="s">
        <v>646</v>
      </c>
      <c r="B65" s="19">
        <v>3.8800000000000003</v>
      </c>
      <c r="C65" s="19">
        <v>0.9077011776463304</v>
      </c>
    </row>
    <row r="66" spans="1:3">
      <c r="A66" s="18" t="s">
        <v>647</v>
      </c>
      <c r="B66" s="19">
        <v>4.41</v>
      </c>
      <c r="C66" s="19">
        <v>0.86147085184385785</v>
      </c>
    </row>
    <row r="67" spans="1:3">
      <c r="A67" s="18" t="s">
        <v>82</v>
      </c>
      <c r="B67" s="19">
        <v>4.2149999999999999</v>
      </c>
      <c r="C67" s="19">
        <v>0.92656364351832954</v>
      </c>
    </row>
    <row r="68" spans="1:3">
      <c r="A68" s="18" t="s">
        <v>505</v>
      </c>
      <c r="B68" s="19">
        <v>4.46</v>
      </c>
      <c r="C68" s="19">
        <v>0.90410655512843752</v>
      </c>
    </row>
    <row r="69" spans="1:3">
      <c r="A69" s="18" t="s">
        <v>648</v>
      </c>
      <c r="B69" s="19">
        <v>4.2949999999999999</v>
      </c>
      <c r="C69" s="19">
        <v>0.94481382875341957</v>
      </c>
    </row>
    <row r="70" spans="1:3">
      <c r="A70" s="18" t="s">
        <v>649</v>
      </c>
      <c r="B70" s="19">
        <v>4.26</v>
      </c>
      <c r="C70" s="19">
        <v>0.91475230136906349</v>
      </c>
    </row>
    <row r="71" spans="1:3">
      <c r="A71" s="18" t="s">
        <v>650</v>
      </c>
      <c r="B71" s="19">
        <v>4.3149999999999995</v>
      </c>
      <c r="C71" s="19">
        <v>0.88174341954263991</v>
      </c>
    </row>
    <row r="72" spans="1:3">
      <c r="A72" s="18" t="s">
        <v>651</v>
      </c>
      <c r="B72" s="19">
        <v>4.3250000000000002</v>
      </c>
      <c r="C72" s="19">
        <v>0.89229013194576323</v>
      </c>
    </row>
    <row r="73" spans="1:3">
      <c r="A73" s="18" t="s">
        <v>652</v>
      </c>
      <c r="B73" s="19">
        <v>4.3250000000000002</v>
      </c>
      <c r="C73" s="19">
        <v>0.89156621709796768</v>
      </c>
    </row>
    <row r="74" spans="1:3">
      <c r="A74" s="18" t="s">
        <v>653</v>
      </c>
      <c r="B74" s="19">
        <v>4.53</v>
      </c>
      <c r="C74" s="19">
        <v>0.8441652938300841</v>
      </c>
    </row>
    <row r="75" spans="1:3">
      <c r="A75" s="18" t="s">
        <v>654</v>
      </c>
      <c r="B75" s="19">
        <v>4.4349999999999996</v>
      </c>
      <c r="C75" s="19">
        <v>0.8843084101618115</v>
      </c>
    </row>
    <row r="76" spans="1:3">
      <c r="A76" s="18" t="s">
        <v>655</v>
      </c>
      <c r="B76" s="19">
        <v>4.4950000000000001</v>
      </c>
      <c r="C76" s="19">
        <v>0.91911402458095015</v>
      </c>
    </row>
    <row r="77" spans="1:3">
      <c r="A77" s="18" t="s">
        <v>656</v>
      </c>
      <c r="B77" s="19">
        <v>4.5200000000000005</v>
      </c>
      <c r="C77" s="19">
        <v>0.85708674240584726</v>
      </c>
    </row>
    <row r="78" spans="1:3">
      <c r="A78" s="18" t="s">
        <v>657</v>
      </c>
      <c r="B78" s="19">
        <v>4.4249999999999998</v>
      </c>
      <c r="C78" s="19">
        <v>0.8289406667862993</v>
      </c>
    </row>
    <row r="79" spans="1:3">
      <c r="A79" s="18" t="s">
        <v>658</v>
      </c>
      <c r="B79" s="19">
        <v>4.2450000000000001</v>
      </c>
      <c r="C79" s="19">
        <v>0.88331445821272903</v>
      </c>
    </row>
    <row r="80" spans="1:3">
      <c r="A80" s="18" t="s">
        <v>659</v>
      </c>
      <c r="B80" s="19">
        <v>4.1449999999999996</v>
      </c>
      <c r="C80" s="19">
        <v>0.91233140891239151</v>
      </c>
    </row>
    <row r="81" spans="1:3">
      <c r="A81" s="18" t="s">
        <v>660</v>
      </c>
      <c r="B81" s="19">
        <v>4.1550000000000002</v>
      </c>
      <c r="C81" s="19">
        <v>0.83245980048246171</v>
      </c>
    </row>
    <row r="82" spans="1:3">
      <c r="A82" s="18" t="s">
        <v>661</v>
      </c>
      <c r="B82" s="19">
        <v>4.2050000000000001</v>
      </c>
      <c r="C82" s="19">
        <v>0.82613175276288509</v>
      </c>
    </row>
    <row r="83" spans="1:3">
      <c r="A83" s="18" t="s">
        <v>662</v>
      </c>
      <c r="B83" s="19">
        <v>4.08</v>
      </c>
      <c r="C83" s="19">
        <v>0.82695190712172417</v>
      </c>
    </row>
    <row r="84" spans="1:3">
      <c r="A84" s="18" t="s">
        <v>663</v>
      </c>
      <c r="B84" s="19">
        <v>4.0249999999999995</v>
      </c>
      <c r="C84" s="19">
        <v>0.89884770689987681</v>
      </c>
    </row>
    <row r="85" spans="1:3">
      <c r="A85" s="18" t="s">
        <v>664</v>
      </c>
      <c r="B85" s="19">
        <v>4.1100000000000003</v>
      </c>
      <c r="C85" s="19">
        <v>0.8687225349243457</v>
      </c>
    </row>
    <row r="86" spans="1:3">
      <c r="A86" s="18" t="s">
        <v>665</v>
      </c>
      <c r="B86" s="19">
        <v>4.2749999999999995</v>
      </c>
      <c r="C86" s="19">
        <v>0.80472221425765511</v>
      </c>
    </row>
    <row r="87" spans="1:3">
      <c r="A87" s="18" t="s">
        <v>666</v>
      </c>
      <c r="B87" s="19">
        <v>4.1449999999999996</v>
      </c>
      <c r="C87" s="19">
        <v>0.86095594462015912</v>
      </c>
    </row>
    <row r="88" spans="1:3">
      <c r="A88" s="18" t="s">
        <v>103</v>
      </c>
      <c r="B88" s="19">
        <v>4.2149999999999999</v>
      </c>
      <c r="C88" s="19">
        <v>0.80425053294038928</v>
      </c>
    </row>
    <row r="89" spans="1:3">
      <c r="A89" s="18" t="s">
        <v>526</v>
      </c>
      <c r="B89" s="19">
        <v>4.335</v>
      </c>
      <c r="C89" s="19">
        <v>0.84846261176787641</v>
      </c>
    </row>
    <row r="90" spans="1:3">
      <c r="A90" s="18" t="s">
        <v>667</v>
      </c>
      <c r="B90" s="19">
        <v>4.3449999999999998</v>
      </c>
      <c r="C90" s="19">
        <v>0.83896104120136528</v>
      </c>
    </row>
    <row r="91" spans="1:3">
      <c r="A91" s="18" t="s">
        <v>668</v>
      </c>
      <c r="B91" s="19">
        <v>4.3949999999999996</v>
      </c>
      <c r="C91" s="19">
        <v>0.86551943012602406</v>
      </c>
    </row>
    <row r="92" spans="1:3">
      <c r="A92" s="18" t="s">
        <v>669</v>
      </c>
      <c r="B92" s="19">
        <v>4.4050000000000002</v>
      </c>
      <c r="C92" s="19">
        <v>0.88297201937942882</v>
      </c>
    </row>
    <row r="93" spans="1:3">
      <c r="A93" s="18" t="s">
        <v>670</v>
      </c>
      <c r="B93" s="19">
        <v>4.4800000000000004</v>
      </c>
      <c r="C93" s="19">
        <v>0.79945853555969526</v>
      </c>
    </row>
    <row r="94" spans="1:3">
      <c r="A94" s="18" t="s">
        <v>671</v>
      </c>
      <c r="B94" s="19">
        <v>4.4349999999999996</v>
      </c>
      <c r="C94" s="19">
        <v>0.88819791438961104</v>
      </c>
    </row>
    <row r="95" spans="1:3">
      <c r="A95" s="18" t="s">
        <v>672</v>
      </c>
      <c r="B95" s="19">
        <v>4.335</v>
      </c>
      <c r="C95" s="19">
        <v>0.87709472849479431</v>
      </c>
    </row>
    <row r="96" spans="1:3">
      <c r="A96" s="18" t="s">
        <v>673</v>
      </c>
      <c r="B96" s="19">
        <v>4.3149999999999995</v>
      </c>
      <c r="C96" s="19">
        <v>0.85159430104857181</v>
      </c>
    </row>
    <row r="97" spans="1:3">
      <c r="A97" s="18" t="s">
        <v>674</v>
      </c>
      <c r="B97" s="19">
        <v>4.2450000000000001</v>
      </c>
      <c r="C97" s="19">
        <v>0.87104546569251395</v>
      </c>
    </row>
    <row r="98" spans="1:3">
      <c r="A98" s="18" t="s">
        <v>675</v>
      </c>
      <c r="B98" s="19">
        <v>4.1550000000000002</v>
      </c>
      <c r="C98" s="19">
        <v>0.84319953471809228</v>
      </c>
    </row>
    <row r="99" spans="1:3">
      <c r="A99" s="18" t="s">
        <v>676</v>
      </c>
      <c r="B99" s="19">
        <v>4.2050000000000001</v>
      </c>
      <c r="C99" s="19">
        <v>0.83402963398078267</v>
      </c>
    </row>
    <row r="100" spans="1:3">
      <c r="A100" s="18" t="s">
        <v>677</v>
      </c>
      <c r="B100" s="19">
        <v>4.2549999999999999</v>
      </c>
      <c r="C100" s="19">
        <v>0.80724385845113966</v>
      </c>
    </row>
    <row r="101" spans="1:3">
      <c r="A101" s="18" t="s">
        <v>678</v>
      </c>
      <c r="B101" s="19">
        <v>4.2949999999999999</v>
      </c>
      <c r="C101" s="19">
        <v>0.84785547751193358</v>
      </c>
    </row>
    <row r="102" spans="1:3">
      <c r="A102" s="18" t="s">
        <v>679</v>
      </c>
      <c r="B102" s="19">
        <v>4.2050000000000001</v>
      </c>
      <c r="C102" s="19">
        <v>0.91966841861058146</v>
      </c>
    </row>
    <row r="103" spans="1:3">
      <c r="A103" s="18" t="s">
        <v>680</v>
      </c>
      <c r="B103" s="19">
        <v>4.2700000000000005</v>
      </c>
      <c r="C103" s="19">
        <v>0.80953614961190778</v>
      </c>
    </row>
    <row r="104" spans="1:3">
      <c r="A104" s="18" t="s">
        <v>681</v>
      </c>
      <c r="B104" s="19">
        <v>4.2200000000000006</v>
      </c>
      <c r="C104" s="19">
        <v>0.8348297528615487</v>
      </c>
    </row>
    <row r="105" spans="1:3">
      <c r="A105" s="18" t="s">
        <v>682</v>
      </c>
      <c r="B105" s="19">
        <v>4.3000000000000007</v>
      </c>
      <c r="C105" s="19">
        <v>0.80506466485603889</v>
      </c>
    </row>
    <row r="106" spans="1:3">
      <c r="A106" s="18" t="s">
        <v>683</v>
      </c>
      <c r="B106" s="19">
        <v>4.335</v>
      </c>
      <c r="C106" s="19">
        <v>0.85555288591819245</v>
      </c>
    </row>
    <row r="107" spans="1:3">
      <c r="A107" s="18" t="s">
        <v>684</v>
      </c>
      <c r="B107" s="19">
        <v>4.2649999999999997</v>
      </c>
      <c r="C107" s="19">
        <v>0.85510915377916819</v>
      </c>
    </row>
    <row r="108" spans="1:3">
      <c r="A108" s="18" t="s">
        <v>685</v>
      </c>
      <c r="B108" s="19">
        <v>4.1949999999999994</v>
      </c>
      <c r="C108" s="19">
        <v>0.89024370816722831</v>
      </c>
    </row>
    <row r="109" spans="1:3">
      <c r="A109" s="18" t="s">
        <v>686</v>
      </c>
      <c r="B109" s="19">
        <v>4.2300000000000004</v>
      </c>
      <c r="C109" s="19">
        <v>0.85370647532187682</v>
      </c>
    </row>
    <row r="110" spans="1:3">
      <c r="A110" s="18" t="s">
        <v>687</v>
      </c>
      <c r="B110" s="19">
        <v>4.2149999999999999</v>
      </c>
      <c r="C110" s="19">
        <v>0.82504232727109361</v>
      </c>
    </row>
    <row r="111" spans="1:3">
      <c r="A111" s="18" t="s">
        <v>688</v>
      </c>
      <c r="B111" s="19">
        <v>4.1100000000000003</v>
      </c>
      <c r="C111" s="19">
        <v>0.85420816456937798</v>
      </c>
    </row>
    <row r="112" spans="1:3">
      <c r="A112" s="18" t="s">
        <v>689</v>
      </c>
      <c r="B112" s="19">
        <v>4.1000000000000005</v>
      </c>
      <c r="C112" s="19">
        <v>0.8490501882747985</v>
      </c>
    </row>
    <row r="113" spans="1:3">
      <c r="A113" s="18" t="s">
        <v>690</v>
      </c>
      <c r="B113" s="19">
        <v>4.04</v>
      </c>
      <c r="C113" s="19">
        <v>0.84497926069231077</v>
      </c>
    </row>
    <row r="114" spans="1:3">
      <c r="A114" s="18" t="s">
        <v>691</v>
      </c>
      <c r="B114" s="19">
        <v>4.0200000000000005</v>
      </c>
      <c r="C114" s="19">
        <v>0.84522075319668755</v>
      </c>
    </row>
    <row r="115" spans="1:3">
      <c r="A115" s="18" t="s">
        <v>692</v>
      </c>
      <c r="B115" s="19">
        <v>4.0149999999999997</v>
      </c>
      <c r="C115" s="19">
        <v>0.85728324368865128</v>
      </c>
    </row>
    <row r="116" spans="1:3">
      <c r="A116" s="18" t="s">
        <v>693</v>
      </c>
      <c r="B116" s="19">
        <v>4.1000000000000005</v>
      </c>
      <c r="C116" s="19">
        <v>0.75711325782131267</v>
      </c>
    </row>
    <row r="117" spans="1:3">
      <c r="A117" s="18" t="s">
        <v>694</v>
      </c>
      <c r="B117" s="19">
        <v>4.07</v>
      </c>
      <c r="C117" s="19">
        <v>0.8154009846746697</v>
      </c>
    </row>
    <row r="118" spans="1:3">
      <c r="A118" s="18" t="s">
        <v>695</v>
      </c>
      <c r="B118" s="19">
        <v>4.0149999999999997</v>
      </c>
      <c r="C118" s="19">
        <v>0.787260825253008</v>
      </c>
    </row>
    <row r="119" spans="1:3">
      <c r="A119" s="18" t="s">
        <v>696</v>
      </c>
      <c r="B119" s="19">
        <v>3.9950000000000001</v>
      </c>
      <c r="C119" s="19">
        <v>0.80153867888092911</v>
      </c>
    </row>
    <row r="120" spans="1:3">
      <c r="A120" s="18" t="s">
        <v>697</v>
      </c>
      <c r="B120" s="19">
        <v>4.0750000000000002</v>
      </c>
      <c r="C120" s="19">
        <v>0.77493835112905174</v>
      </c>
    </row>
    <row r="121" spans="1:3">
      <c r="A121" s="18" t="s">
        <v>698</v>
      </c>
      <c r="B121" s="19">
        <v>4.03</v>
      </c>
      <c r="C121" s="19">
        <v>0.84398988187368928</v>
      </c>
    </row>
    <row r="122" spans="1:3">
      <c r="A122" s="18" t="s">
        <v>699</v>
      </c>
      <c r="B122" s="19">
        <v>4.03</v>
      </c>
      <c r="C122" s="19">
        <v>0.79690653662462552</v>
      </c>
    </row>
    <row r="123" spans="1:3">
      <c r="A123" s="18" t="s">
        <v>700</v>
      </c>
      <c r="B123" s="19">
        <v>4.0200000000000005</v>
      </c>
      <c r="C123" s="19">
        <v>0.854965709813301</v>
      </c>
    </row>
    <row r="124" spans="1:3">
      <c r="A124" s="18" t="s">
        <v>701</v>
      </c>
      <c r="B124" s="19">
        <v>4.0649999999999995</v>
      </c>
      <c r="C124" s="19">
        <v>0.81564090701534209</v>
      </c>
    </row>
    <row r="125" spans="1:3">
      <c r="A125" s="18" t="s">
        <v>702</v>
      </c>
      <c r="B125" s="19">
        <v>4.0200000000000005</v>
      </c>
      <c r="C125" s="19">
        <v>0.84848085139584395</v>
      </c>
    </row>
    <row r="126" spans="1:3">
      <c r="A126" s="18" t="s">
        <v>703</v>
      </c>
      <c r="B126" s="19">
        <v>3.9749999999999996</v>
      </c>
      <c r="C126" s="19">
        <v>0.83609161802060461</v>
      </c>
    </row>
    <row r="127" spans="1:3">
      <c r="A127" s="18" t="s">
        <v>704</v>
      </c>
      <c r="B127" s="19">
        <v>3.9749999999999996</v>
      </c>
      <c r="C127" s="19">
        <v>0.80689317981029962</v>
      </c>
    </row>
    <row r="128" spans="1:3">
      <c r="A128" s="18" t="s">
        <v>705</v>
      </c>
      <c r="B128" s="19">
        <v>3.9749999999999996</v>
      </c>
      <c r="C128" s="19">
        <v>0.85274860750753056</v>
      </c>
    </row>
    <row r="129" spans="1:3">
      <c r="A129" s="18" t="s">
        <v>706</v>
      </c>
      <c r="B129" s="19">
        <v>3.9950000000000001</v>
      </c>
      <c r="C129" s="19">
        <v>0.84366597111885788</v>
      </c>
    </row>
    <row r="130" spans="1:3">
      <c r="A130" s="18" t="s">
        <v>707</v>
      </c>
      <c r="B130" s="19">
        <v>4.1050000000000004</v>
      </c>
      <c r="C130" s="19">
        <v>0.78329524721630239</v>
      </c>
    </row>
    <row r="131" spans="1:3">
      <c r="A131" s="18" t="s">
        <v>708</v>
      </c>
      <c r="B131" s="19">
        <v>4.0750000000000002</v>
      </c>
      <c r="C131" s="19">
        <v>0.81983842135806428</v>
      </c>
    </row>
    <row r="132" spans="1:3">
      <c r="A132" s="18" t="s">
        <v>709</v>
      </c>
      <c r="B132" s="19">
        <v>4.04</v>
      </c>
      <c r="C132" s="19">
        <v>0.85266054151873982</v>
      </c>
    </row>
    <row r="133" spans="1:3">
      <c r="A133" s="18" t="s">
        <v>710</v>
      </c>
      <c r="B133" s="19">
        <v>3.9950000000000001</v>
      </c>
      <c r="C133" s="19">
        <v>0.85514214899144481</v>
      </c>
    </row>
    <row r="134" spans="1:3">
      <c r="A134" s="18" t="s">
        <v>711</v>
      </c>
      <c r="B134" s="19">
        <v>3.8450000000000002</v>
      </c>
      <c r="C134" s="19">
        <v>0.94709590096553509</v>
      </c>
    </row>
    <row r="135" spans="1:3">
      <c r="A135" s="18" t="s">
        <v>712</v>
      </c>
      <c r="B135" s="19">
        <v>3.7949999999999999</v>
      </c>
      <c r="C135" s="19">
        <v>0.95943099428522949</v>
      </c>
    </row>
    <row r="136" spans="1:3">
      <c r="A136" s="18" t="s">
        <v>713</v>
      </c>
      <c r="B136" s="19">
        <v>3.855</v>
      </c>
      <c r="C136" s="19">
        <v>0.89015958818738516</v>
      </c>
    </row>
    <row r="137" spans="1:3">
      <c r="A137" s="18" t="s">
        <v>714</v>
      </c>
      <c r="B137" s="19">
        <v>3.8949999999999996</v>
      </c>
      <c r="C137" s="19">
        <v>0.87391074222826726</v>
      </c>
    </row>
    <row r="138" spans="1:3">
      <c r="A138" s="18" t="s">
        <v>715</v>
      </c>
      <c r="B138" s="19">
        <v>3.8849999999999998</v>
      </c>
      <c r="C138" s="19">
        <v>0.85055446921160094</v>
      </c>
    </row>
    <row r="139" spans="1:3">
      <c r="A139" s="18" t="s">
        <v>716</v>
      </c>
      <c r="B139" s="19">
        <v>3.8650000000000002</v>
      </c>
      <c r="C139" s="19">
        <v>0.84854030107372758</v>
      </c>
    </row>
    <row r="140" spans="1:3">
      <c r="A140" s="18" t="s">
        <v>153</v>
      </c>
      <c r="B140" s="19">
        <v>3.8450000000000002</v>
      </c>
      <c r="C140" s="19">
        <v>0.87672610483451985</v>
      </c>
    </row>
    <row r="141" spans="1:3">
      <c r="A141" s="18" t="s">
        <v>576</v>
      </c>
      <c r="B141" s="19">
        <v>3.7650000000000001</v>
      </c>
      <c r="C141" s="19">
        <v>0.94263296820016595</v>
      </c>
    </row>
    <row r="142" spans="1:3">
      <c r="A142" s="18" t="s">
        <v>717</v>
      </c>
      <c r="B142" s="19">
        <v>3.8050000000000002</v>
      </c>
      <c r="C142" s="19">
        <v>0.84127809996204972</v>
      </c>
    </row>
    <row r="143" spans="1:3">
      <c r="A143" s="18" t="s">
        <v>718</v>
      </c>
      <c r="B143" s="19">
        <v>3.6999999999999997</v>
      </c>
      <c r="C143" s="19">
        <v>0.92646864264026441</v>
      </c>
    </row>
    <row r="144" spans="1:3">
      <c r="A144" s="18" t="s">
        <v>157</v>
      </c>
      <c r="B144" s="19">
        <v>3.73</v>
      </c>
      <c r="C144" s="19">
        <v>0.89817941958936443</v>
      </c>
    </row>
    <row r="145" spans="1:3">
      <c r="A145" s="18" t="s">
        <v>440</v>
      </c>
      <c r="B145" s="19">
        <v>3.77</v>
      </c>
      <c r="C145" s="19">
        <v>0.86405251952469664</v>
      </c>
    </row>
    <row r="146" spans="1:3">
      <c r="A146" s="18" t="s">
        <v>580</v>
      </c>
      <c r="B146" s="19">
        <v>3.63</v>
      </c>
      <c r="C146" s="19">
        <v>0.9174031428275442</v>
      </c>
    </row>
    <row r="147" spans="1:3">
      <c r="A147" s="18" t="s">
        <v>720</v>
      </c>
      <c r="B147" s="19">
        <v>3.56</v>
      </c>
      <c r="C147" s="19">
        <v>1.00752054140438</v>
      </c>
    </row>
    <row r="148" spans="1:3">
      <c r="A148" s="18" t="s">
        <v>721</v>
      </c>
      <c r="B148" s="19">
        <v>3.5549999999999997</v>
      </c>
      <c r="C148" s="19">
        <v>1.0018718728112019</v>
      </c>
    </row>
    <row r="149" spans="1:3">
      <c r="A149" s="18" t="s">
        <v>722</v>
      </c>
      <c r="B149" s="19">
        <v>3.56</v>
      </c>
      <c r="C149" s="19">
        <v>0.98417488107553819</v>
      </c>
    </row>
    <row r="150" spans="1:3">
      <c r="A150" s="18" t="s">
        <v>723</v>
      </c>
      <c r="B150" s="19">
        <v>3.5149999999999997</v>
      </c>
      <c r="C150" s="19">
        <v>0.9933151473463524</v>
      </c>
    </row>
    <row r="151" spans="1:3">
      <c r="A151" s="18" t="s">
        <v>724</v>
      </c>
      <c r="B151" s="19">
        <v>3.59</v>
      </c>
      <c r="C151" s="19">
        <v>0.9740103750660376</v>
      </c>
    </row>
    <row r="152" spans="1:3">
      <c r="A152" s="18" t="s">
        <v>750</v>
      </c>
      <c r="B152" s="19">
        <v>3.6599999999999997</v>
      </c>
      <c r="C152" s="19">
        <v>0.84939981170259893</v>
      </c>
    </row>
    <row r="153" spans="1:3">
      <c r="A153" s="18" t="s">
        <v>754</v>
      </c>
      <c r="B153" s="19">
        <v>3.6999999999999997</v>
      </c>
      <c r="C153" s="19">
        <v>0.81054532737476093</v>
      </c>
    </row>
    <row r="154" spans="1:3">
      <c r="A154" s="18" t="s">
        <v>759</v>
      </c>
      <c r="B154" s="19">
        <v>3.65</v>
      </c>
      <c r="C154" s="19">
        <v>0.9562032812031962</v>
      </c>
    </row>
    <row r="155" spans="1:3">
      <c r="A155" s="18" t="s">
        <v>768</v>
      </c>
      <c r="B155" s="19">
        <v>3.76</v>
      </c>
      <c r="C155" s="19">
        <v>0.82043236344380022</v>
      </c>
    </row>
    <row r="156" spans="1:3">
      <c r="A156" s="18" t="s">
        <v>726</v>
      </c>
      <c r="B156" s="19">
        <v>3.8389802631578918</v>
      </c>
      <c r="C156" s="19">
        <v>0.919439689797096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5"/>
  <sheetViews>
    <sheetView workbookViewId="0">
      <selection activeCell="I3" sqref="I3"/>
    </sheetView>
  </sheetViews>
  <sheetFormatPr defaultRowHeight="15"/>
  <cols>
    <col min="2" max="9" width="17" customWidth="1"/>
  </cols>
  <sheetData>
    <row r="2" spans="2:9">
      <c r="D2" s="10">
        <f>LastAvailableDate-1</f>
        <v>42073</v>
      </c>
      <c r="E2" s="10">
        <f>WORKDAY(LastAvailableDate,-5,)</f>
        <v>42067</v>
      </c>
      <c r="F2" s="10">
        <f>WORKDAY(LastAvailableDate,-22,0)</f>
        <v>42044</v>
      </c>
      <c r="G2" s="10">
        <f>WORKDAY(LastAvailableDate,-66,0)</f>
        <v>41982</v>
      </c>
      <c r="H2" s="10">
        <f>WORKDAY(LastAvailableDate,-112,0)</f>
        <v>41918</v>
      </c>
      <c r="I2" s="10">
        <f>WORKDAY(LastAvailableDate,-235,0)</f>
        <v>41745</v>
      </c>
    </row>
    <row r="3" spans="2:9">
      <c r="B3" s="22"/>
      <c r="C3" s="22" t="s">
        <v>18</v>
      </c>
      <c r="D3" s="26" t="s">
        <v>740</v>
      </c>
      <c r="E3" s="27" t="s">
        <v>741</v>
      </c>
      <c r="F3" s="29" t="s">
        <v>742</v>
      </c>
      <c r="G3" s="30" t="s">
        <v>743</v>
      </c>
      <c r="H3" s="27" t="s">
        <v>744</v>
      </c>
      <c r="I3" s="22" t="s">
        <v>745</v>
      </c>
    </row>
    <row r="4" spans="2:9">
      <c r="B4" s="25" t="s">
        <v>732</v>
      </c>
      <c r="C4" s="31">
        <f>VLOOKUP(TEXT(LastAvailableDate,"yyyy-mm-dd"),CurrentMtgRatesDataTable8[#All],3,0)</f>
        <v>3.76</v>
      </c>
      <c r="D4" s="28">
        <f>VLOOKUP(TEXT(D2,"yyyy-mm-dd"),CurrentMtgRatesDataTable8[#All],3,0)</f>
        <v>3.76</v>
      </c>
      <c r="E4" s="28">
        <f>VLOOKUP(TEXT(E2,"yyyy-mm-dd"),CurrentMtgRatesDataTable8[#All],3,0)</f>
        <v>3.65</v>
      </c>
      <c r="F4" s="28">
        <f>VLOOKUP(TEXT(F2,"yyyy-mm-dd"),CurrentMtgRatesDataTable8[#All],3,0)</f>
        <v>3.59</v>
      </c>
      <c r="G4" s="28">
        <f>VLOOKUP(TEXT(G2,"yyyy-mm-dd"),CurrentMtgRatesDataTable8[#All],3,0)</f>
        <v>3.8050000000000002</v>
      </c>
      <c r="H4" s="28">
        <f>VLOOKUP(TEXT(H2,"yyyy-mm-dd"),CurrentMtgRatesDataTable8[#All],3,0)</f>
        <v>3.9950000000000001</v>
      </c>
      <c r="I4" s="28">
        <f>VLOOKUP(TEXT(I2,"yyyy-mm-dd"),CurrentMtgRatesDataTable8[#All],3,0)</f>
        <v>4.1949999999999994</v>
      </c>
    </row>
    <row r="5" spans="2:9">
      <c r="B5" s="25" t="s">
        <v>731</v>
      </c>
      <c r="C5" s="24">
        <f>VLOOKUP(TEXT(LastAvailableDate,"yyyy-mm-dd"),CurrentMtgRatesDataTable8[#All],11,0)</f>
        <v>0.82043236344380022</v>
      </c>
      <c r="D5" s="28">
        <f>VLOOKUP(TEXT(D2,"yyyy-mm-dd"),CurrentMtgRatesDataTable8[#All],11,0)</f>
        <v>0.82043236344380022</v>
      </c>
      <c r="E5" s="28">
        <f>VLOOKUP(TEXT(E2,"yyyy-mm-dd"),CurrentMtgRatesDataTable8[#All],11,0)</f>
        <v>0.9562032812031962</v>
      </c>
      <c r="F5" s="28">
        <f>VLOOKUP(TEXT(F2,"yyyy-mm-dd"),CurrentMtgRatesDataTable8[#All],11,0)</f>
        <v>0.9740103750660376</v>
      </c>
      <c r="G5" s="28">
        <f>VLOOKUP(TEXT(G2,"yyyy-mm-dd"),CurrentMtgRatesDataTable8[#All],11,0)</f>
        <v>0.84127809996204972</v>
      </c>
      <c r="H5" s="28">
        <f>VLOOKUP(TEXT(H2,"yyyy-mm-dd"),CurrentMtgRatesDataTable8[#All],11,0)</f>
        <v>0.85514214899144481</v>
      </c>
      <c r="I5" s="28">
        <f>VLOOKUP(TEXT(I2,"yyyy-mm-dd"),CurrentMtgRatesDataTable8[#All],11,0)</f>
        <v>0.89024370816722831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2015-03-19T13:06:43Z</cp:lastPrinted>
  <dcterms:created xsi:type="dcterms:W3CDTF">2013-04-04T19:42:48Z</dcterms:created>
  <dcterms:modified xsi:type="dcterms:W3CDTF">2015-03-19T13:06:53Z</dcterms:modified>
</cp:coreProperties>
</file>