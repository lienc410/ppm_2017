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60" yWindow="120" windowWidth="29715" windowHeight="15390"/>
  </bookViews>
  <sheets>
    <sheet name="Report" sheetId="4" r:id="rId1"/>
    <sheet name="Input" sheetId="15" r:id="rId2"/>
    <sheet name="Raw" sheetId="14" r:id="rId3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Dir">Report!$T$3</definedName>
    <definedName name="PDFReportName">Report!$T$4</definedName>
    <definedName name="_xlnm.Print_Area" localSheetId="0">Report!$B$7:$N$60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M53" i="4" l="1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  <c r="T4" i="4"/>
</calcChain>
</file>

<file path=xl/sharedStrings.xml><?xml version="1.0" encoding="utf-8"?>
<sst xmlns="http://schemas.openxmlformats.org/spreadsheetml/2006/main" count="721" uniqueCount="67">
  <si>
    <t>Database Env</t>
  </si>
  <si>
    <t>Save Data to DB</t>
  </si>
  <si>
    <t>As of Date</t>
  </si>
  <si>
    <t>Report Name</t>
  </si>
  <si>
    <t>No</t>
  </si>
  <si>
    <t>PROD</t>
  </si>
  <si>
    <t>Report Folder</t>
  </si>
  <si>
    <t>S:\IT\Production\Daily Reports\Primary Market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</si>
  <si>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</si>
  <si>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</si>
  <si>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</si>
  <si>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</si>
  <si>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</si>
  <si>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</si>
  <si>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</si>
  <si>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</si>
  <si>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</si>
  <si>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</si>
  <si>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</si>
  <si>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</si>
  <si>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</si>
  <si>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</si>
  <si>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</si>
  <si>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</si>
  <si>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</si>
  <si>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</si>
  <si>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</si>
  <si>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</si>
  <si>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</si>
  <si>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</si>
  <si>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</si>
  <si>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</si>
  <si>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</si>
  <si>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</si>
  <si>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</si>
  <si>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</si>
  <si>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</si>
  <si>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</si>
  <si>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</si>
  <si>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</si>
  <si>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</si>
  <si>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</si>
  <si>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</si>
  <si>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</si>
  <si>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</si>
  <si>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</si>
  <si>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</si>
  <si>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</si>
  <si>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</si>
  <si>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</si>
  <si>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</si>
  <si>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</si>
  <si>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</si>
  <si>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</si>
  <si>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</si>
  <si>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</si>
  <si>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</si>
  <si>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</si>
  <si>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</si>
  <si>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</si>
  <si>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</si>
  <si>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</si>
  <si>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</si>
  <si>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</si>
  <si>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</si>
  <si>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SF Effective g-fee</t>
  </si>
  <si>
    <t>SF New Issued g-fee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</si>
</sst>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6" formatCode="#,##0.00;[Red]\(#,##0.00\)"/>
    <numFmt numFmtId="198" formatCode="&quot;$&quot;#,##0;[Red]\(&quot;$&quot;##,#00\)"/>
    <numFmt numFmtId="199" formatCode="#,##0;[Red]\(#,##0\)"/>
    <numFmt numFmtId="200" formatCode=";;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</borders>
  <cellStyleXfs count="619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</cellStyleXfs>
  <cellXfs count="383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6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6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6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6" fontId="129" fillId="0" borderId="0" xfId="559" applyNumberFormat="1" applyFont="1" applyFill="1" applyAlignment="1" applyProtection="1">
      <alignment horizontal="right"/>
    </xf>
    <xf numFmtId="196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6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6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6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6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6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6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6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6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6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6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6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6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6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6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6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6" fontId="129" fillId="0" borderId="0" xfId="586" applyNumberFormat="1" applyFont="1" applyFill="1" applyAlignment="1" applyProtection="1">
      <alignment horizontal="right"/>
    </xf>
    <xf numFmtId="196" fontId="129" fillId="0" borderId="0" xfId="587" applyNumberFormat="1" applyFont="1" applyFill="1" applyAlignment="1" applyProtection="1">
      <alignment horizontal="right"/>
    </xf>
    <xf numFmtId="196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6" fontId="129" fillId="0" borderId="0" xfId="590" applyNumberFormat="1" applyFont="1" applyFill="1" applyAlignment="1" applyProtection="1">
      <alignment horizontal="right"/>
    </xf>
    <xf numFmtId="198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6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9" fontId="129" fillId="0" borderId="0" xfId="594" applyNumberFormat="1" applyFont="1" applyFill="1" applyAlignment="1" applyProtection="1">
      <alignment horizontal="right"/>
    </xf>
    <xf numFmtId="196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9" fontId="129" fillId="0" borderId="0" xfId="595" applyNumberFormat="1" applyFont="1" applyFill="1" applyAlignment="1" applyProtection="1">
      <alignment horizontal="right"/>
    </xf>
    <xf numFmtId="196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6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6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6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6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9" fontId="129" fillId="0" borderId="0" xfId="607" applyNumberFormat="1" applyFont="1" applyFill="1" applyAlignment="1" applyProtection="1">
      <alignment horizontal="right"/>
    </xf>
    <xf numFmtId="196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9" fontId="129" fillId="0" borderId="0" xfId="608" applyNumberFormat="1" applyFont="1" applyFill="1" applyAlignment="1" applyProtection="1">
      <alignment horizontal="right"/>
    </xf>
    <xf numFmtId="196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6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6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6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6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6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6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6" fontId="129" fillId="0" borderId="0" xfId="527" applyNumberFormat="1" applyFont="1" applyFill="1" applyAlignment="1" applyProtection="1"/>
    <xf numFmtId="0" fontId="130" fillId="0" borderId="0" xfId="527" applyAlignment="1"/>
    <xf numFmtId="196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6" fontId="129" fillId="0" borderId="0" xfId="530" applyNumberFormat="1" applyFont="1" applyFill="1" applyAlignment="1" applyProtection="1"/>
    <xf numFmtId="0" fontId="130" fillId="0" borderId="0" xfId="530" applyAlignment="1"/>
    <xf numFmtId="196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6" fontId="129" fillId="0" borderId="0" xfId="534" applyNumberFormat="1" applyFont="1" applyFill="1" applyAlignment="1" applyProtection="1"/>
    <xf numFmtId="0" fontId="130" fillId="0" borderId="0" xfId="534" applyAlignment="1"/>
    <xf numFmtId="196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6" fontId="129" fillId="0" borderId="0" xfId="537" applyNumberFormat="1" applyFont="1" applyFill="1" applyAlignment="1" applyProtection="1"/>
    <xf numFmtId="0" fontId="130" fillId="0" borderId="0" xfId="537" applyAlignment="1"/>
    <xf numFmtId="196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6" fontId="129" fillId="0" borderId="0" xfId="540" applyNumberFormat="1" applyFont="1" applyFill="1" applyAlignment="1" applyProtection="1"/>
    <xf numFmtId="0" fontId="130" fillId="0" borderId="0" xfId="540" applyAlignment="1"/>
    <xf numFmtId="196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6" fontId="129" fillId="0" borderId="0" xfId="543" applyNumberFormat="1" applyFont="1" applyFill="1" applyAlignment="1" applyProtection="1"/>
    <xf numFmtId="0" fontId="130" fillId="0" borderId="0" xfId="543" applyAlignment="1"/>
    <xf numFmtId="196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6" fontId="129" fillId="0" borderId="0" xfId="546" applyNumberFormat="1" applyFont="1" applyFill="1" applyAlignment="1" applyProtection="1"/>
    <xf numFmtId="0" fontId="130" fillId="0" borderId="0" xfId="546" applyAlignment="1"/>
    <xf numFmtId="196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6" fontId="129" fillId="0" borderId="0" xfId="549" applyNumberFormat="1" applyFont="1" applyFill="1" applyAlignment="1" applyProtection="1"/>
    <xf numFmtId="0" fontId="130" fillId="0" borderId="0" xfId="549" applyAlignment="1"/>
    <xf numFmtId="196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6" fontId="129" fillId="0" borderId="0" xfId="555" applyNumberFormat="1" applyFont="1" applyFill="1" applyAlignment="1" applyProtection="1"/>
    <xf numFmtId="0" fontId="130" fillId="0" borderId="0" xfId="555" applyAlignment="1"/>
    <xf numFmtId="196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8" fontId="129" fillId="0" borderId="0" xfId="591" applyNumberFormat="1" applyFont="1" applyFill="1" applyAlignment="1" applyProtection="1"/>
    <xf numFmtId="0" fontId="130" fillId="0" borderId="0" xfId="591" applyAlignment="1"/>
    <xf numFmtId="198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8" fontId="129" fillId="0" borderId="0" xfId="595" applyNumberFormat="1" applyFont="1" applyFill="1" applyAlignment="1" applyProtection="1"/>
    <xf numFmtId="0" fontId="130" fillId="0" borderId="0" xfId="595" applyAlignment="1"/>
    <xf numFmtId="198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8" fontId="129" fillId="0" borderId="0" xfId="599" applyNumberFormat="1" applyFont="1" applyFill="1" applyAlignment="1" applyProtection="1"/>
    <xf numFmtId="0" fontId="130" fillId="0" borderId="0" xfId="599" applyAlignment="1"/>
    <xf numFmtId="198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8" fontId="129" fillId="0" borderId="0" xfId="604" applyNumberFormat="1" applyFont="1" applyFill="1" applyAlignment="1" applyProtection="1"/>
    <xf numFmtId="0" fontId="130" fillId="0" borderId="0" xfId="604" applyAlignment="1"/>
    <xf numFmtId="198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8" fontId="129" fillId="0" borderId="0" xfId="608" applyNumberFormat="1" applyFont="1" applyFill="1" applyAlignment="1" applyProtection="1"/>
    <xf numFmtId="0" fontId="130" fillId="0" borderId="0" xfId="608" applyAlignment="1"/>
    <xf numFmtId="198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8" fontId="129" fillId="0" borderId="0" xfId="612" applyNumberFormat="1" applyFont="1" applyFill="1" applyAlignment="1" applyProtection="1"/>
    <xf numFmtId="0" fontId="130" fillId="0" borderId="0" xfId="612" applyAlignment="1"/>
    <xf numFmtId="198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8" fontId="129" fillId="0" borderId="0" xfId="615" applyNumberFormat="1" applyFont="1" applyFill="1" applyAlignment="1" applyProtection="1"/>
    <xf numFmtId="0" fontId="130" fillId="0" borderId="0" xfId="615" applyAlignment="1"/>
    <xf numFmtId="198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0" fontId="127" fillId="51" borderId="38" xfId="0" applyNumberFormat="1" applyFont="1" applyFill="1" applyBorder="1" applyAlignment="1">
      <alignment horizontal="center"/>
    </xf>
    <xf numFmtId="200" fontId="0" fillId="0" borderId="43" xfId="0" applyNumberFormat="1" applyBorder="1"/>
    <xf numFmtId="200" fontId="0" fillId="0" borderId="39" xfId="0" applyNumberFormat="1" applyBorder="1"/>
    <xf numFmtId="200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</cellXfs>
  <cellStyles count="619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0"/>
  <tableStyles count="0" defaultTableStyle="TableStyleMedium2" defaultPivotStyle="PivotStyleLight16"/>
  <colors>
    <mruColors>
      <color rgb="FF2E398A"/>
      <color rgb="FFAD275C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SF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SF New Issued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962624"/>
        <c:axId val="337765504"/>
      </c:lineChart>
      <c:catAx>
        <c:axId val="3339626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337765504"/>
        <c:crosses val="autoZero"/>
        <c:auto val="1"/>
        <c:lblAlgn val="ctr"/>
        <c:lblOffset val="100"/>
        <c:noMultiLvlLbl val="0"/>
      </c:catAx>
      <c:valAx>
        <c:axId val="33776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396262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 Mae</a:t>
          </a:r>
        </a:p>
      </xdr:txBody>
    </xdr:sp>
    <xdr:clientData/>
  </xdr:twoCellAnchor>
  <xdr:twoCellAnchor>
    <xdr:from>
      <xdr:col>11</xdr:col>
      <xdr:colOff>226484</xdr:colOff>
      <xdr:row>56</xdr:row>
      <xdr:rowOff>184157</xdr:rowOff>
    </xdr:from>
    <xdr:to>
      <xdr:col>12</xdr:col>
      <xdr:colOff>819151</xdr:colOff>
      <xdr:row>58</xdr:row>
      <xdr:rowOff>14823</xdr:rowOff>
    </xdr:to>
    <xdr:sp macro="" textlink="">
      <xdr:nvSpPr>
        <xdr:cNvPr id="8" name="TextBox 7"/>
        <xdr:cNvSpPr txBox="1"/>
      </xdr:nvSpPr>
      <xdr:spPr>
        <a:xfrm>
          <a:off x="10587567" y="108521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 Mae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8"/>
  <sheetViews>
    <sheetView showGridLines="0" tabSelected="1" zoomScale="90" zoomScaleNormal="90" workbookViewId="0">
      <selection activeCell="T40" sqref="T40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6</v>
      </c>
      <c r="T3" s="4" t="s">
        <v>7</v>
      </c>
    </row>
    <row r="4" spans="19:22">
      <c r="S4" s="1" t="s">
        <v>3</v>
      </c>
      <c r="T4" s="4" t="str">
        <f>PDFReportDir &amp; "Upfront Loan-Level Price Adjustments " &amp; TEXT(CurrentCloseDate, "yyyy-mm-dd") &amp; ".pdf"</f>
        <v>S:\IT\Production\Daily Reports\Primary MarketUpfront Loan-Level Price Adjustments 2015-03-23.pdf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64</v>
      </c>
    </row>
    <row r="38" spans="3:14">
      <c r="C38" s="9"/>
      <c r="D38" s="374">
        <v>2014</v>
      </c>
      <c r="E38" s="375"/>
      <c r="F38" s="375"/>
      <c r="G38" s="376"/>
      <c r="H38" s="375">
        <v>2013</v>
      </c>
      <c r="I38" s="375"/>
      <c r="J38" s="375"/>
      <c r="K38" s="376"/>
      <c r="L38" s="377">
        <v>2012</v>
      </c>
    </row>
    <row r="39" spans="3:14">
      <c r="C39" s="9"/>
      <c r="D39" s="11" t="s">
        <v>59</v>
      </c>
      <c r="E39" s="11" t="s">
        <v>60</v>
      </c>
      <c r="F39" s="11" t="s">
        <v>61</v>
      </c>
      <c r="G39" s="11" t="s">
        <v>62</v>
      </c>
      <c r="H39" s="11" t="s">
        <v>59</v>
      </c>
      <c r="I39" s="11" t="s">
        <v>60</v>
      </c>
      <c r="J39" s="11" t="s">
        <v>61</v>
      </c>
      <c r="K39" s="11" t="s">
        <v>62</v>
      </c>
      <c r="L39" s="11" t="s">
        <v>59</v>
      </c>
    </row>
    <row r="40" spans="3:14">
      <c r="C40" s="373" t="str">
        <f>Input!D2</f>
        <v>SF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3" t="str">
        <f>Input!E2</f>
        <v>SF New Issued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63</v>
      </c>
    </row>
    <row r="44" spans="3:14">
      <c r="C44" s="9"/>
      <c r="D44" s="10" t="s">
        <v>25</v>
      </c>
      <c r="E44" s="10"/>
      <c r="F44" s="10"/>
      <c r="G44" s="10"/>
      <c r="H44" s="10"/>
      <c r="I44" s="10"/>
      <c r="J44" s="10"/>
      <c r="K44" s="10"/>
    </row>
    <row r="45" spans="3:14">
      <c r="C45" s="9" t="s">
        <v>8</v>
      </c>
      <c r="D45" s="11" t="s">
        <v>17</v>
      </c>
      <c r="E45" s="11" t="s">
        <v>18</v>
      </c>
      <c r="F45" s="11" t="s">
        <v>19</v>
      </c>
      <c r="G45" s="11" t="s">
        <v>20</v>
      </c>
      <c r="H45" s="11" t="s">
        <v>21</v>
      </c>
      <c r="I45" s="11" t="s">
        <v>22</v>
      </c>
      <c r="J45" s="11" t="s">
        <v>23</v>
      </c>
      <c r="K45" s="11" t="s">
        <v>24</v>
      </c>
    </row>
    <row r="46" spans="3:14">
      <c r="C46" s="15" t="s">
        <v>9</v>
      </c>
      <c r="D46" s="13">
        <v>0</v>
      </c>
      <c r="E46" s="13">
        <v>0.25</v>
      </c>
      <c r="F46" s="13">
        <v>0.25</v>
      </c>
      <c r="G46" s="13">
        <v>0.5</v>
      </c>
      <c r="H46" s="13">
        <v>0.5</v>
      </c>
      <c r="I46" s="13">
        <v>0.5</v>
      </c>
      <c r="J46" s="13">
        <v>0.5</v>
      </c>
      <c r="K46" s="13">
        <v>0.5</v>
      </c>
      <c r="M46" s="381" t="str">
        <f>"Max:"&amp;TEXT(MAX($D$46:$K$53,$D$55:$K$58),"0.00")</f>
        <v>Max:3.75</v>
      </c>
      <c r="N46" s="378">
        <f>MAX($D$46:$K$53,$D$55:$K$58)</f>
        <v>3.75</v>
      </c>
    </row>
    <row r="47" spans="3:14">
      <c r="C47" s="15" t="s">
        <v>10</v>
      </c>
      <c r="D47" s="13">
        <v>0</v>
      </c>
      <c r="E47" s="13">
        <v>0.25</v>
      </c>
      <c r="F47" s="13">
        <v>0.5</v>
      </c>
      <c r="G47" s="13">
        <v>0.75</v>
      </c>
      <c r="H47" s="13">
        <v>0.75</v>
      </c>
      <c r="I47" s="13">
        <v>0.75</v>
      </c>
      <c r="J47" s="13">
        <v>0.75</v>
      </c>
      <c r="K47" s="13">
        <v>0.75</v>
      </c>
      <c r="M47" s="382"/>
      <c r="N47" s="379">
        <f>N46-($N$46-$N$53)/7</f>
        <v>3.2142857142857144</v>
      </c>
    </row>
    <row r="48" spans="3:14">
      <c r="C48" s="15" t="s">
        <v>11</v>
      </c>
      <c r="D48" s="13">
        <v>0</v>
      </c>
      <c r="E48" s="13">
        <v>0.75</v>
      </c>
      <c r="F48" s="13">
        <v>1</v>
      </c>
      <c r="G48" s="13">
        <v>1.25</v>
      </c>
      <c r="H48" s="13">
        <v>1.25</v>
      </c>
      <c r="I48" s="13">
        <v>1.25</v>
      </c>
      <c r="J48" s="13">
        <v>1.25</v>
      </c>
      <c r="K48" s="13">
        <v>1.25</v>
      </c>
      <c r="M48" s="382"/>
      <c r="N48" s="379">
        <f t="shared" ref="N48:N52" si="0">N47-($N$46-$N$53)/7</f>
        <v>2.6785714285714288</v>
      </c>
    </row>
    <row r="49" spans="3:14">
      <c r="C49" s="15" t="s">
        <v>12</v>
      </c>
      <c r="D49" s="13">
        <v>0.25</v>
      </c>
      <c r="E49" s="13">
        <v>0.75</v>
      </c>
      <c r="F49" s="13">
        <v>1.5</v>
      </c>
      <c r="G49" s="13">
        <v>2</v>
      </c>
      <c r="H49" s="13">
        <v>1.75</v>
      </c>
      <c r="I49" s="13">
        <v>1.5</v>
      </c>
      <c r="J49" s="13">
        <v>1.5</v>
      </c>
      <c r="K49" s="13">
        <v>1.25</v>
      </c>
      <c r="M49" s="382"/>
      <c r="N49" s="379">
        <f t="shared" si="0"/>
        <v>2.1428571428571432</v>
      </c>
    </row>
    <row r="50" spans="3:14">
      <c r="C50" s="15" t="s">
        <v>13</v>
      </c>
      <c r="D50" s="13">
        <v>0.25</v>
      </c>
      <c r="E50" s="13">
        <v>1.25</v>
      </c>
      <c r="F50" s="13">
        <v>2.25</v>
      </c>
      <c r="G50" s="13">
        <v>2.75</v>
      </c>
      <c r="H50" s="13">
        <v>3</v>
      </c>
      <c r="I50" s="13">
        <v>2.5</v>
      </c>
      <c r="J50" s="13">
        <v>2.5</v>
      </c>
      <c r="K50" s="13">
        <v>2</v>
      </c>
      <c r="M50" s="382"/>
      <c r="N50" s="379">
        <f t="shared" si="0"/>
        <v>1.6071428571428577</v>
      </c>
    </row>
    <row r="51" spans="3:14">
      <c r="C51" s="15" t="s">
        <v>14</v>
      </c>
      <c r="D51" s="13">
        <v>0.75</v>
      </c>
      <c r="E51" s="13">
        <v>1.5</v>
      </c>
      <c r="F51" s="13">
        <v>2.75</v>
      </c>
      <c r="G51" s="13">
        <v>3.25</v>
      </c>
      <c r="H51" s="13">
        <v>3.5</v>
      </c>
      <c r="I51" s="13">
        <v>3</v>
      </c>
      <c r="J51" s="13">
        <v>3</v>
      </c>
      <c r="K51" s="13">
        <v>2.5</v>
      </c>
      <c r="M51" s="382"/>
      <c r="N51" s="379">
        <f t="shared" si="0"/>
        <v>1.0714285714285721</v>
      </c>
    </row>
    <row r="52" spans="3:14">
      <c r="C52" s="15" t="s">
        <v>15</v>
      </c>
      <c r="D52" s="13">
        <v>0.75</v>
      </c>
      <c r="E52" s="13">
        <v>1.75</v>
      </c>
      <c r="F52" s="13">
        <v>3.25</v>
      </c>
      <c r="G52" s="13">
        <v>3.25</v>
      </c>
      <c r="H52" s="13">
        <v>3.5</v>
      </c>
      <c r="I52" s="13">
        <v>3.5</v>
      </c>
      <c r="J52" s="13">
        <v>3.5</v>
      </c>
      <c r="K52" s="13">
        <v>3.25</v>
      </c>
      <c r="M52" s="382"/>
      <c r="N52" s="379">
        <f t="shared" si="0"/>
        <v>0.53571428571428636</v>
      </c>
    </row>
    <row r="53" spans="3:14">
      <c r="C53" s="15" t="s">
        <v>16</v>
      </c>
      <c r="D53" s="13">
        <v>0.75</v>
      </c>
      <c r="E53" s="13">
        <v>1.75</v>
      </c>
      <c r="F53" s="13">
        <v>3.25</v>
      </c>
      <c r="G53" s="13">
        <v>3.25</v>
      </c>
      <c r="H53" s="13">
        <v>3.5</v>
      </c>
      <c r="I53" s="13">
        <v>3.5</v>
      </c>
      <c r="J53" s="13">
        <v>3.5</v>
      </c>
      <c r="K53" s="13">
        <v>3.5</v>
      </c>
      <c r="M53" s="381" t="str">
        <f>"Min:"&amp;TEXT(MIN($D$46:$K$53,$D$55:$K$58),"0.00")</f>
        <v>Min:0.00</v>
      </c>
      <c r="N53" s="380">
        <f>MIN($D$46:$K$53,$D$55:$K$58)</f>
        <v>0</v>
      </c>
    </row>
    <row r="54" spans="3:14">
      <c r="C54" s="12" t="s">
        <v>26</v>
      </c>
      <c r="D54" s="12"/>
      <c r="E54" s="12"/>
      <c r="F54" s="12"/>
      <c r="G54" s="12"/>
      <c r="H54" s="12"/>
      <c r="I54" s="12"/>
      <c r="J54" s="12"/>
      <c r="K54" s="12"/>
    </row>
    <row r="55" spans="3:14">
      <c r="C55" s="16" t="s">
        <v>27</v>
      </c>
      <c r="D55" s="14">
        <v>1.75</v>
      </c>
      <c r="E55" s="14">
        <v>1.75</v>
      </c>
      <c r="F55" s="14">
        <v>1.75</v>
      </c>
      <c r="G55" s="14">
        <v>3</v>
      </c>
      <c r="H55" s="14">
        <v>3.75</v>
      </c>
      <c r="I55" s="13" t="s">
        <v>31</v>
      </c>
      <c r="J55" s="13" t="s">
        <v>31</v>
      </c>
      <c r="K55" s="13" t="s">
        <v>31</v>
      </c>
    </row>
    <row r="56" spans="3:14">
      <c r="C56" s="16" t="s">
        <v>29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3" t="s">
        <v>31</v>
      </c>
      <c r="J56" s="13" t="s">
        <v>31</v>
      </c>
      <c r="K56" s="13" t="s">
        <v>31</v>
      </c>
    </row>
    <row r="57" spans="3:14">
      <c r="C57" s="16" t="s">
        <v>28</v>
      </c>
      <c r="D57" s="14">
        <v>1</v>
      </c>
      <c r="E57" s="14">
        <v>1</v>
      </c>
      <c r="F57" s="14">
        <v>1</v>
      </c>
      <c r="G57" s="13" t="s">
        <v>31</v>
      </c>
      <c r="H57" s="13" t="s">
        <v>31</v>
      </c>
      <c r="I57" s="13" t="s">
        <v>31</v>
      </c>
      <c r="J57" s="13" t="s">
        <v>31</v>
      </c>
      <c r="K57" s="13" t="s">
        <v>31</v>
      </c>
    </row>
    <row r="58" spans="3:14">
      <c r="C58" s="16" t="s">
        <v>30</v>
      </c>
      <c r="D58" s="14">
        <v>0</v>
      </c>
      <c r="E58" s="14">
        <v>0</v>
      </c>
      <c r="F58" s="14">
        <v>0</v>
      </c>
      <c r="G58" s="14">
        <v>0.75</v>
      </c>
      <c r="H58" s="14">
        <v>0.75</v>
      </c>
      <c r="I58" s="14">
        <v>0.75</v>
      </c>
      <c r="J58" s="14">
        <v>0.75</v>
      </c>
      <c r="K58" s="14">
        <v>0.75</v>
      </c>
    </row>
  </sheetData>
  <mergeCells count="4">
    <mergeCell ref="D44:K44"/>
    <mergeCell ref="C54:K54"/>
    <mergeCell ref="D38:G38"/>
    <mergeCell ref="H38:K38"/>
  </mergeCells>
  <conditionalFormatting sqref="D46:K53 D55:K58"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M15" sqref="M15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7" t="s">
        <v>65</v>
      </c>
      <c r="E2" s="17" t="s">
        <v>66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8">
        <v>2007</v>
      </c>
      <c r="C12" t="s">
        <v>62</v>
      </c>
      <c r="D12">
        <v>21.8</v>
      </c>
      <c r="E12">
        <v>21.8</v>
      </c>
    </row>
    <row r="13" spans="2:5">
      <c r="B13" s="8"/>
      <c r="C13" t="s">
        <v>61</v>
      </c>
      <c r="D13">
        <v>21.6</v>
      </c>
      <c r="E13">
        <v>21.5</v>
      </c>
    </row>
    <row r="14" spans="2:5">
      <c r="B14" s="8"/>
      <c r="C14" t="s">
        <v>60</v>
      </c>
      <c r="D14">
        <v>22.8</v>
      </c>
      <c r="E14">
        <v>22.8</v>
      </c>
    </row>
    <row r="15" spans="2:5">
      <c r="B15" s="8"/>
      <c r="C15" t="s">
        <v>59</v>
      </c>
      <c r="D15">
        <v>23.7</v>
      </c>
      <c r="E15">
        <v>32.200000000000003</v>
      </c>
    </row>
    <row r="16" spans="2:5">
      <c r="B16" s="8">
        <v>2008</v>
      </c>
      <c r="C16" t="s">
        <v>62</v>
      </c>
      <c r="D16">
        <v>29.5</v>
      </c>
      <c r="E16">
        <v>29</v>
      </c>
    </row>
    <row r="17" spans="2:5">
      <c r="B17" s="8"/>
      <c r="C17" t="s">
        <v>61</v>
      </c>
      <c r="D17">
        <v>27.9</v>
      </c>
      <c r="E17">
        <v>26.4</v>
      </c>
    </row>
    <row r="18" spans="2:5">
      <c r="B18" s="8"/>
      <c r="C18" t="s">
        <v>60</v>
      </c>
      <c r="D18">
        <v>23.6</v>
      </c>
      <c r="E18">
        <v>24.7</v>
      </c>
    </row>
    <row r="19" spans="2:5">
      <c r="B19" s="8"/>
      <c r="C19" t="s">
        <v>59</v>
      </c>
      <c r="D19">
        <v>31</v>
      </c>
      <c r="E19">
        <v>32.200000000000003</v>
      </c>
    </row>
    <row r="20" spans="2:5">
      <c r="B20" s="8">
        <v>2009</v>
      </c>
      <c r="C20" t="s">
        <v>62</v>
      </c>
      <c r="D20">
        <v>27.9</v>
      </c>
      <c r="E20">
        <v>21</v>
      </c>
    </row>
    <row r="21" spans="2:5">
      <c r="B21" s="8"/>
      <c r="C21" t="s">
        <v>61</v>
      </c>
      <c r="D21">
        <v>26.1</v>
      </c>
      <c r="E21">
        <v>23.7</v>
      </c>
    </row>
    <row r="22" spans="2:5">
      <c r="B22" s="8"/>
      <c r="C22" t="s">
        <v>60</v>
      </c>
      <c r="D22">
        <v>29.3</v>
      </c>
      <c r="E22">
        <v>24.7</v>
      </c>
    </row>
    <row r="23" spans="2:5">
      <c r="B23" s="8"/>
      <c r="C23" t="s">
        <v>59</v>
      </c>
      <c r="D23">
        <v>27.9</v>
      </c>
      <c r="E23">
        <v>23.8</v>
      </c>
    </row>
    <row r="24" spans="2:5">
      <c r="B24" s="8">
        <v>2010</v>
      </c>
      <c r="C24" t="s">
        <v>62</v>
      </c>
      <c r="D24">
        <v>24.4</v>
      </c>
      <c r="E24">
        <v>26.9</v>
      </c>
    </row>
    <row r="25" spans="2:5">
      <c r="B25" s="8"/>
      <c r="C25" t="s">
        <v>61</v>
      </c>
      <c r="D25">
        <v>25</v>
      </c>
      <c r="E25">
        <v>27.3</v>
      </c>
    </row>
    <row r="26" spans="2:5">
      <c r="B26" s="8"/>
      <c r="C26" t="s">
        <v>60</v>
      </c>
      <c r="D26">
        <v>25.2</v>
      </c>
      <c r="E26">
        <v>25.3</v>
      </c>
    </row>
    <row r="27" spans="2:5">
      <c r="B27" s="8"/>
      <c r="C27" t="s">
        <v>59</v>
      </c>
      <c r="D27">
        <v>25.1</v>
      </c>
      <c r="E27">
        <v>25.7</v>
      </c>
    </row>
    <row r="28" spans="2:5">
      <c r="B28" s="8">
        <v>2011</v>
      </c>
      <c r="C28" t="s">
        <v>62</v>
      </c>
      <c r="D28">
        <v>26</v>
      </c>
      <c r="E28">
        <v>26.1</v>
      </c>
    </row>
    <row r="29" spans="2:5">
      <c r="B29" s="8"/>
      <c r="C29" t="s">
        <v>61</v>
      </c>
      <c r="D29">
        <v>26.1</v>
      </c>
      <c r="E29">
        <v>31.6</v>
      </c>
    </row>
    <row r="30" spans="2:5">
      <c r="B30" s="8"/>
      <c r="C30" t="s">
        <v>60</v>
      </c>
      <c r="D30">
        <v>26.1</v>
      </c>
      <c r="E30">
        <v>31.1</v>
      </c>
    </row>
    <row r="31" spans="2:5">
      <c r="B31" s="8"/>
      <c r="C31" t="s">
        <v>59</v>
      </c>
      <c r="D31">
        <v>26.2</v>
      </c>
      <c r="E31">
        <v>28.8</v>
      </c>
    </row>
    <row r="32" spans="2:5">
      <c r="B32" s="8">
        <v>2012</v>
      </c>
      <c r="C32" t="s">
        <v>62</v>
      </c>
      <c r="D32">
        <v>26.8</v>
      </c>
      <c r="E32">
        <v>28.9</v>
      </c>
    </row>
    <row r="33" spans="2:5">
      <c r="B33" s="8"/>
      <c r="C33" t="s">
        <v>61</v>
      </c>
      <c r="D33">
        <v>27.7</v>
      </c>
      <c r="E33">
        <v>40.299999999999997</v>
      </c>
    </row>
    <row r="34" spans="2:5">
      <c r="B34" s="8"/>
      <c r="C34" t="s">
        <v>60</v>
      </c>
      <c r="D34">
        <v>28.3</v>
      </c>
      <c r="E34">
        <v>41.8</v>
      </c>
    </row>
    <row r="35" spans="2:5">
      <c r="B35" s="8"/>
      <c r="C35" t="s">
        <v>59</v>
      </c>
      <c r="D35">
        <v>28.7</v>
      </c>
      <c r="E35">
        <v>39.9</v>
      </c>
    </row>
    <row r="36" spans="2:5">
      <c r="B36" s="8">
        <v>2013</v>
      </c>
      <c r="C36" t="s">
        <v>62</v>
      </c>
      <c r="D36">
        <v>33.5</v>
      </c>
      <c r="E36">
        <v>54.4</v>
      </c>
    </row>
    <row r="37" spans="2:5">
      <c r="B37" s="8"/>
      <c r="C37" t="s">
        <v>61</v>
      </c>
      <c r="D37">
        <v>35.799999999999997</v>
      </c>
      <c r="E37">
        <v>56.9</v>
      </c>
    </row>
    <row r="38" spans="2:5">
      <c r="B38" s="8"/>
      <c r="C38" t="s">
        <v>60</v>
      </c>
      <c r="D38">
        <v>38</v>
      </c>
      <c r="E38">
        <v>58.7</v>
      </c>
    </row>
    <row r="39" spans="2:5">
      <c r="B39" s="8"/>
      <c r="C39" t="s">
        <v>59</v>
      </c>
      <c r="D39">
        <v>36.700000000000003</v>
      </c>
      <c r="E39">
        <v>57.4</v>
      </c>
    </row>
    <row r="40" spans="2:5">
      <c r="B40" s="8">
        <v>2014</v>
      </c>
      <c r="C40" t="s">
        <v>62</v>
      </c>
      <c r="D40">
        <v>39.799999999999997</v>
      </c>
      <c r="E40">
        <v>63</v>
      </c>
    </row>
    <row r="41" spans="2:5">
      <c r="B41" s="8"/>
      <c r="C41" t="s">
        <v>61</v>
      </c>
      <c r="D41">
        <v>40.299999999999997</v>
      </c>
      <c r="E41">
        <v>62.6</v>
      </c>
    </row>
    <row r="42" spans="2:5">
      <c r="B42" s="8"/>
      <c r="C42" t="s">
        <v>60</v>
      </c>
      <c r="D42">
        <v>41.2</v>
      </c>
      <c r="E42">
        <v>63.5</v>
      </c>
    </row>
    <row r="43" spans="2:5">
      <c r="B43" s="8"/>
      <c r="C43" t="s">
        <v>59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C4" sqref="C4:C5"/>
    </sheetView>
  </sheetViews>
  <sheetFormatPr defaultRowHeight="15"/>
  <cols>
    <col min="3" max="3" width="38" bestFit="1" customWidth="1"/>
  </cols>
  <sheetData>
    <row r="2" spans="3:30">
      <c r="D2" s="230" t="s">
        <v>36</v>
      </c>
      <c r="E2" s="231"/>
      <c r="F2" s="231"/>
      <c r="G2" s="231"/>
      <c r="H2" s="231"/>
      <c r="I2" s="231"/>
      <c r="J2" s="231"/>
      <c r="K2" s="231"/>
      <c r="L2" s="231"/>
      <c r="M2" s="231"/>
      <c r="N2" s="231"/>
    </row>
    <row r="3" spans="3:30">
      <c r="D3" s="232">
        <v>2014</v>
      </c>
      <c r="E3" s="229"/>
      <c r="F3" s="229"/>
      <c r="G3" s="18" t="s">
        <v>33</v>
      </c>
      <c r="H3" s="232">
        <v>2013</v>
      </c>
      <c r="I3" s="229"/>
      <c r="J3" s="229"/>
      <c r="K3" s="18" t="s">
        <v>33</v>
      </c>
      <c r="L3" s="232">
        <v>2012</v>
      </c>
      <c r="M3" s="229"/>
      <c r="N3" s="229"/>
    </row>
    <row r="4" spans="3:30">
      <c r="C4" s="17" t="s">
        <v>32</v>
      </c>
      <c r="D4" s="233">
        <v>40.799999999999997</v>
      </c>
      <c r="E4" s="229"/>
      <c r="F4" s="18" t="s">
        <v>33</v>
      </c>
      <c r="G4" s="18" t="s">
        <v>33</v>
      </c>
      <c r="H4" s="233">
        <v>36.700000000000003</v>
      </c>
      <c r="I4" s="229"/>
      <c r="J4" s="18" t="s">
        <v>33</v>
      </c>
      <c r="K4" s="18" t="s">
        <v>33</v>
      </c>
      <c r="L4" s="233">
        <v>28.7</v>
      </c>
      <c r="M4" s="229"/>
    </row>
    <row r="5" spans="3:30">
      <c r="C5" s="17" t="s">
        <v>37</v>
      </c>
      <c r="D5" s="233">
        <v>62.9</v>
      </c>
      <c r="E5" s="229"/>
      <c r="F5" s="18" t="s">
        <v>33</v>
      </c>
      <c r="G5" s="18" t="s">
        <v>33</v>
      </c>
      <c r="H5" s="233">
        <v>57.4</v>
      </c>
      <c r="I5" s="229"/>
      <c r="J5" s="18" t="s">
        <v>33</v>
      </c>
      <c r="K5" s="18" t="s">
        <v>33</v>
      </c>
      <c r="L5" s="233">
        <v>39.9</v>
      </c>
      <c r="M5" s="229"/>
    </row>
    <row r="8" spans="3:30">
      <c r="C8" s="18" t="s">
        <v>33</v>
      </c>
      <c r="D8" s="17" t="s">
        <v>34</v>
      </c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18" t="s">
        <v>33</v>
      </c>
      <c r="W8" s="229"/>
      <c r="X8" s="229"/>
      <c r="Y8" s="229"/>
      <c r="Z8" s="229"/>
      <c r="AA8" s="229"/>
      <c r="AB8" s="229"/>
      <c r="AC8" s="229"/>
      <c r="AD8" s="229"/>
    </row>
    <row r="9" spans="3:30">
      <c r="C9" s="232">
        <v>2014</v>
      </c>
      <c r="D9" s="229"/>
      <c r="E9" s="229"/>
      <c r="F9" s="18" t="s">
        <v>33</v>
      </c>
      <c r="G9" s="18" t="s">
        <v>33</v>
      </c>
      <c r="H9" s="232">
        <v>2013</v>
      </c>
      <c r="I9" s="229"/>
      <c r="J9" s="229"/>
      <c r="V9" s="229"/>
    </row>
    <row r="10" spans="3:30">
      <c r="C10" s="17" t="s">
        <v>32</v>
      </c>
      <c r="D10" s="233">
        <v>41.2</v>
      </c>
      <c r="E10" s="229"/>
      <c r="F10" s="18" t="s">
        <v>33</v>
      </c>
      <c r="G10" s="18" t="s">
        <v>33</v>
      </c>
      <c r="H10" s="18" t="s">
        <v>33</v>
      </c>
      <c r="I10" s="233">
        <v>38</v>
      </c>
      <c r="J10" s="229"/>
    </row>
    <row r="11" spans="3:30">
      <c r="C11" s="17" t="s">
        <v>37</v>
      </c>
      <c r="D11" s="233">
        <v>63.5</v>
      </c>
      <c r="E11" s="229"/>
      <c r="F11" s="18" t="s">
        <v>33</v>
      </c>
      <c r="G11" s="18" t="s">
        <v>33</v>
      </c>
      <c r="H11" s="18" t="s">
        <v>33</v>
      </c>
      <c r="I11" s="233">
        <v>58.7</v>
      </c>
      <c r="J11" s="229"/>
    </row>
    <row r="14" spans="3:30">
      <c r="D14" s="19" t="s">
        <v>38</v>
      </c>
      <c r="E14" s="234"/>
      <c r="F14" s="234"/>
      <c r="G14" s="234"/>
      <c r="H14" s="234"/>
      <c r="I14" s="234"/>
      <c r="J14" s="234"/>
      <c r="K14" s="234"/>
      <c r="L14" s="234"/>
      <c r="M14" s="234"/>
      <c r="N14" s="234"/>
      <c r="O14" s="234"/>
      <c r="P14" s="234"/>
    </row>
    <row r="15" spans="3:30">
      <c r="D15" s="235">
        <v>2014</v>
      </c>
      <c r="E15" s="236"/>
      <c r="F15" s="236"/>
      <c r="G15" s="20" t="s">
        <v>33</v>
      </c>
      <c r="H15" s="20" t="s">
        <v>33</v>
      </c>
      <c r="I15" s="235">
        <v>2013</v>
      </c>
      <c r="J15" s="236"/>
      <c r="K15" s="236"/>
    </row>
    <row r="16" spans="3:30">
      <c r="C16" s="22" t="s">
        <v>32</v>
      </c>
      <c r="D16" s="237">
        <v>40.299999999999997</v>
      </c>
      <c r="E16" s="238"/>
      <c r="F16" s="21" t="s">
        <v>33</v>
      </c>
      <c r="G16" s="21" t="s">
        <v>33</v>
      </c>
      <c r="H16" s="21" t="s">
        <v>33</v>
      </c>
      <c r="I16" s="237">
        <v>35.799999999999997</v>
      </c>
      <c r="J16" s="238"/>
    </row>
    <row r="17" spans="3:15">
      <c r="C17" s="24" t="s">
        <v>37</v>
      </c>
      <c r="D17" s="239">
        <v>62.6</v>
      </c>
      <c r="E17" s="240"/>
      <c r="F17" s="23" t="s">
        <v>33</v>
      </c>
      <c r="G17" s="23" t="s">
        <v>33</v>
      </c>
      <c r="H17" s="23" t="s">
        <v>33</v>
      </c>
      <c r="I17" s="239">
        <v>56.9</v>
      </c>
      <c r="J17" s="240"/>
    </row>
    <row r="20" spans="3:15">
      <c r="D20" s="26" t="s">
        <v>39</v>
      </c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</row>
    <row r="21" spans="3:15">
      <c r="D21" s="242">
        <v>2014</v>
      </c>
      <c r="E21" s="241"/>
      <c r="F21" s="241"/>
      <c r="G21" s="25" t="s">
        <v>33</v>
      </c>
      <c r="H21" s="242">
        <v>2013</v>
      </c>
      <c r="I21" s="241"/>
      <c r="J21" s="241"/>
      <c r="K21" s="241"/>
      <c r="L21" s="25" t="s">
        <v>33</v>
      </c>
      <c r="M21" s="26"/>
      <c r="N21" s="241"/>
      <c r="O21" s="241"/>
    </row>
    <row r="22" spans="3:15">
      <c r="C22" s="28" t="s">
        <v>32</v>
      </c>
      <c r="D22" s="243">
        <v>39.799999999999997</v>
      </c>
      <c r="E22" s="244"/>
      <c r="F22" s="27" t="s">
        <v>33</v>
      </c>
      <c r="G22" s="27" t="s">
        <v>33</v>
      </c>
      <c r="H22" s="27" t="s">
        <v>33</v>
      </c>
      <c r="I22" s="243">
        <v>33.5</v>
      </c>
      <c r="J22" s="244"/>
    </row>
    <row r="23" spans="3:15">
      <c r="C23" s="30" t="s">
        <v>37</v>
      </c>
      <c r="D23" s="245">
        <v>63</v>
      </c>
      <c r="E23" s="246"/>
      <c r="F23" s="29" t="s">
        <v>33</v>
      </c>
      <c r="G23" s="29" t="s">
        <v>33</v>
      </c>
      <c r="H23" s="29" t="s">
        <v>33</v>
      </c>
      <c r="I23" s="245">
        <v>54.4</v>
      </c>
      <c r="J23" s="246"/>
    </row>
    <row r="28" spans="3:15">
      <c r="D28" s="247" t="s">
        <v>36</v>
      </c>
      <c r="E28" s="248"/>
      <c r="F28" s="248"/>
      <c r="G28" s="248"/>
      <c r="H28" s="248"/>
      <c r="I28" s="248"/>
      <c r="J28" s="248"/>
      <c r="K28" s="248"/>
      <c r="L28" s="248"/>
      <c r="M28" s="248"/>
      <c r="N28" s="248"/>
    </row>
    <row r="29" spans="3:15">
      <c r="D29" s="249">
        <v>2013</v>
      </c>
      <c r="E29" s="250"/>
      <c r="F29" s="250"/>
      <c r="G29" s="31" t="s">
        <v>33</v>
      </c>
      <c r="H29" s="249">
        <v>2012</v>
      </c>
      <c r="I29" s="250"/>
      <c r="J29" s="250"/>
      <c r="K29" s="31" t="s">
        <v>33</v>
      </c>
      <c r="L29" s="249">
        <v>2011</v>
      </c>
      <c r="M29" s="250"/>
      <c r="N29" s="250"/>
    </row>
    <row r="30" spans="3:15">
      <c r="C30" s="33" t="s">
        <v>32</v>
      </c>
      <c r="D30" s="251">
        <v>36.700000000000003</v>
      </c>
      <c r="E30" s="252"/>
      <c r="F30" s="32" t="s">
        <v>33</v>
      </c>
      <c r="G30" s="32" t="s">
        <v>33</v>
      </c>
      <c r="H30" s="251">
        <v>28.7</v>
      </c>
      <c r="I30" s="252"/>
      <c r="J30" s="32" t="s">
        <v>33</v>
      </c>
      <c r="K30" s="32" t="s">
        <v>33</v>
      </c>
      <c r="L30" s="251">
        <v>26.2</v>
      </c>
      <c r="M30" s="252"/>
    </row>
    <row r="31" spans="3:15">
      <c r="C31" s="35" t="s">
        <v>37</v>
      </c>
      <c r="D31" s="253">
        <v>57.4</v>
      </c>
      <c r="E31" s="254"/>
      <c r="F31" s="34" t="s">
        <v>33</v>
      </c>
      <c r="G31" s="34" t="s">
        <v>33</v>
      </c>
      <c r="H31" s="253">
        <v>39.9</v>
      </c>
      <c r="I31" s="254"/>
      <c r="J31" s="34" t="s">
        <v>33</v>
      </c>
      <c r="K31" s="34" t="s">
        <v>33</v>
      </c>
      <c r="L31" s="253">
        <v>28.8</v>
      </c>
      <c r="M31" s="254"/>
    </row>
    <row r="33" spans="3:16">
      <c r="D33" s="36" t="s">
        <v>41</v>
      </c>
      <c r="E33" s="255"/>
      <c r="F33" s="255"/>
      <c r="G33" s="255"/>
      <c r="H33" s="255"/>
      <c r="I33" s="255"/>
      <c r="J33" s="255"/>
      <c r="K33" s="255"/>
      <c r="L33" s="255"/>
      <c r="M33" s="255"/>
      <c r="N33" s="255"/>
    </row>
    <row r="34" spans="3:16">
      <c r="D34" s="36" t="s">
        <v>42</v>
      </c>
      <c r="E34" s="255"/>
      <c r="F34" s="255"/>
      <c r="G34" s="255"/>
      <c r="H34" s="255"/>
      <c r="I34" s="255"/>
      <c r="J34" s="255"/>
      <c r="K34" s="255"/>
      <c r="L34" s="255"/>
      <c r="M34" s="255"/>
      <c r="N34" s="255"/>
    </row>
    <row r="35" spans="3:16">
      <c r="C35" s="38" t="s">
        <v>32</v>
      </c>
      <c r="D35" s="256">
        <v>38</v>
      </c>
      <c r="E35" s="257"/>
      <c r="F35" s="37" t="s">
        <v>33</v>
      </c>
      <c r="G35" s="37" t="s">
        <v>33</v>
      </c>
      <c r="H35" s="256">
        <v>28.3</v>
      </c>
      <c r="I35" s="257"/>
    </row>
    <row r="36" spans="3:16">
      <c r="C36" s="40" t="s">
        <v>37</v>
      </c>
      <c r="D36" s="258">
        <v>58.7</v>
      </c>
      <c r="E36" s="259"/>
      <c r="F36" s="39" t="s">
        <v>33</v>
      </c>
      <c r="G36" s="39" t="s">
        <v>33</v>
      </c>
      <c r="H36" s="258">
        <v>41.8</v>
      </c>
      <c r="I36" s="259"/>
    </row>
    <row r="38" spans="3:16">
      <c r="D38" s="42" t="s">
        <v>38</v>
      </c>
      <c r="E38" s="260"/>
      <c r="F38" s="260"/>
      <c r="G38" s="260"/>
      <c r="H38" s="260"/>
      <c r="I38" s="260"/>
      <c r="J38" s="260"/>
      <c r="K38" s="260"/>
      <c r="L38" s="260"/>
      <c r="M38" s="260"/>
      <c r="N38" s="260"/>
    </row>
    <row r="39" spans="3:16">
      <c r="D39" s="261">
        <v>2013</v>
      </c>
      <c r="E39" s="260"/>
      <c r="F39" s="260"/>
      <c r="G39" s="41" t="s">
        <v>33</v>
      </c>
      <c r="H39" s="261">
        <v>2012</v>
      </c>
      <c r="I39" s="260"/>
      <c r="J39" s="260"/>
      <c r="K39" s="41" t="s">
        <v>33</v>
      </c>
      <c r="L39" s="42" t="s">
        <v>40</v>
      </c>
      <c r="M39" s="260"/>
      <c r="N39" s="260"/>
    </row>
    <row r="40" spans="3:16">
      <c r="C40" s="44" t="s">
        <v>32</v>
      </c>
      <c r="D40" s="262">
        <v>35.799999999999997</v>
      </c>
      <c r="E40" s="263"/>
      <c r="F40" s="43" t="s">
        <v>33</v>
      </c>
      <c r="G40" s="43" t="s">
        <v>33</v>
      </c>
      <c r="H40" s="262">
        <v>27.7</v>
      </c>
      <c r="I40" s="263"/>
    </row>
    <row r="41" spans="3:16">
      <c r="C41" s="46" t="s">
        <v>37</v>
      </c>
      <c r="D41" s="264">
        <v>56.9</v>
      </c>
      <c r="E41" s="265"/>
      <c r="F41" s="45" t="s">
        <v>33</v>
      </c>
      <c r="G41" s="45" t="s">
        <v>33</v>
      </c>
      <c r="H41" s="264">
        <v>40.299999999999997</v>
      </c>
      <c r="I41" s="265"/>
    </row>
    <row r="43" spans="3:16">
      <c r="D43" s="48" t="s">
        <v>39</v>
      </c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</row>
    <row r="44" spans="3:16">
      <c r="D44" s="267">
        <v>2013</v>
      </c>
      <c r="E44" s="266"/>
      <c r="F44" s="266"/>
      <c r="G44" s="47" t="s">
        <v>33</v>
      </c>
      <c r="H44" s="267">
        <v>2012</v>
      </c>
      <c r="I44" s="266"/>
      <c r="J44" s="266"/>
      <c r="K44" s="266"/>
      <c r="L44" s="266"/>
      <c r="M44" s="47" t="s">
        <v>33</v>
      </c>
      <c r="N44" s="48" t="s">
        <v>40</v>
      </c>
      <c r="O44" s="266"/>
      <c r="P44" s="266"/>
    </row>
    <row r="45" spans="3:16">
      <c r="C45" s="50" t="s">
        <v>32</v>
      </c>
      <c r="D45" s="268">
        <v>33.5</v>
      </c>
      <c r="E45" s="269"/>
      <c r="F45" s="49" t="s">
        <v>33</v>
      </c>
      <c r="G45" s="49" t="s">
        <v>33</v>
      </c>
      <c r="H45" s="49" t="s">
        <v>33</v>
      </c>
      <c r="I45" s="268">
        <v>26.8</v>
      </c>
      <c r="J45" s="269"/>
    </row>
    <row r="46" spans="3:16">
      <c r="C46" s="52" t="s">
        <v>37</v>
      </c>
      <c r="D46" s="270">
        <v>54.4</v>
      </c>
      <c r="E46" s="271"/>
      <c r="F46" s="51" t="s">
        <v>33</v>
      </c>
      <c r="G46" s="51" t="s">
        <v>33</v>
      </c>
      <c r="H46" s="51" t="s">
        <v>33</v>
      </c>
      <c r="I46" s="270">
        <v>28.9</v>
      </c>
      <c r="J46" s="271"/>
    </row>
    <row r="49" spans="3:16">
      <c r="D49" s="272" t="s">
        <v>36</v>
      </c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3:16">
      <c r="D50" s="274">
        <v>2012</v>
      </c>
      <c r="E50" s="275"/>
      <c r="F50" s="275"/>
      <c r="G50" s="53" t="s">
        <v>33</v>
      </c>
      <c r="H50" s="274">
        <v>2011</v>
      </c>
      <c r="I50" s="275"/>
      <c r="J50" s="275"/>
      <c r="K50" s="53" t="s">
        <v>33</v>
      </c>
      <c r="L50" s="274">
        <v>2010</v>
      </c>
      <c r="M50" s="275"/>
      <c r="N50" s="275"/>
    </row>
    <row r="51" spans="3:16">
      <c r="C51" s="55" t="s">
        <v>32</v>
      </c>
      <c r="D51" s="276">
        <v>28.7</v>
      </c>
      <c r="E51" s="277"/>
      <c r="F51" s="54" t="s">
        <v>33</v>
      </c>
      <c r="G51" s="54" t="s">
        <v>33</v>
      </c>
      <c r="H51" s="276">
        <v>26.2</v>
      </c>
      <c r="I51" s="277"/>
      <c r="J51" s="54" t="s">
        <v>33</v>
      </c>
      <c r="K51" s="54" t="s">
        <v>33</v>
      </c>
      <c r="L51" s="276">
        <v>25.1</v>
      </c>
      <c r="M51" s="277"/>
    </row>
    <row r="52" spans="3:16">
      <c r="C52" s="58" t="s">
        <v>37</v>
      </c>
      <c r="D52" s="278">
        <v>39.9</v>
      </c>
      <c r="E52" s="279"/>
      <c r="F52" s="57" t="s">
        <v>33</v>
      </c>
      <c r="G52" s="57" t="s">
        <v>33</v>
      </c>
      <c r="H52" s="278">
        <v>28.8</v>
      </c>
      <c r="I52" s="279"/>
      <c r="J52" s="57" t="s">
        <v>33</v>
      </c>
      <c r="K52" s="57" t="s">
        <v>33</v>
      </c>
      <c r="L52" s="278">
        <v>25.7</v>
      </c>
      <c r="M52" s="279"/>
    </row>
    <row r="53" spans="3:16">
      <c r="C53" s="58"/>
      <c r="D53" s="56"/>
      <c r="E53" s="56"/>
      <c r="F53" s="56"/>
      <c r="G53" s="56"/>
      <c r="H53" s="56"/>
      <c r="I53" s="56"/>
      <c r="J53" s="56"/>
      <c r="K53" s="56"/>
      <c r="L53" s="56"/>
      <c r="M53" s="56"/>
    </row>
    <row r="54" spans="3:16">
      <c r="D54" s="60" t="s">
        <v>34</v>
      </c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  <c r="P54" s="280"/>
    </row>
    <row r="55" spans="3:16">
      <c r="D55" s="281">
        <v>2012</v>
      </c>
      <c r="E55" s="280"/>
      <c r="F55" s="280"/>
      <c r="G55" s="59" t="s">
        <v>33</v>
      </c>
      <c r="H55" s="281">
        <v>2011</v>
      </c>
      <c r="I55" s="280"/>
      <c r="J55" s="280"/>
      <c r="K55" s="280"/>
      <c r="L55" s="280"/>
      <c r="M55" s="59" t="s">
        <v>33</v>
      </c>
      <c r="N55" s="60" t="s">
        <v>40</v>
      </c>
      <c r="O55" s="280"/>
      <c r="P55" s="280"/>
    </row>
    <row r="56" spans="3:16">
      <c r="C56" s="62" t="s">
        <v>32</v>
      </c>
      <c r="D56" s="282">
        <v>28.3</v>
      </c>
      <c r="E56" s="283"/>
      <c r="F56" s="61" t="s">
        <v>33</v>
      </c>
      <c r="G56" s="61" t="s">
        <v>33</v>
      </c>
      <c r="H56" s="61" t="s">
        <v>33</v>
      </c>
      <c r="I56" s="282">
        <v>26.1</v>
      </c>
      <c r="J56" s="283"/>
    </row>
    <row r="57" spans="3:16">
      <c r="C57" s="64" t="s">
        <v>37</v>
      </c>
      <c r="D57" s="284">
        <v>41.8</v>
      </c>
      <c r="E57" s="285"/>
      <c r="F57" s="63" t="s">
        <v>33</v>
      </c>
      <c r="G57" s="63" t="s">
        <v>33</v>
      </c>
      <c r="H57" s="63" t="s">
        <v>33</v>
      </c>
      <c r="I57" s="284">
        <v>31.1</v>
      </c>
      <c r="J57" s="285"/>
    </row>
    <row r="59" spans="3:16">
      <c r="D59" s="75" t="s">
        <v>38</v>
      </c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</row>
    <row r="60" spans="3:16">
      <c r="D60" s="287">
        <v>2012</v>
      </c>
      <c r="E60" s="286"/>
      <c r="F60" s="286"/>
      <c r="G60" s="74" t="s">
        <v>33</v>
      </c>
      <c r="H60" s="287">
        <v>2011</v>
      </c>
      <c r="I60" s="286"/>
      <c r="J60" s="286"/>
      <c r="K60" s="74" t="s">
        <v>33</v>
      </c>
      <c r="L60" s="75" t="s">
        <v>40</v>
      </c>
      <c r="M60" s="286"/>
      <c r="N60" s="286"/>
      <c r="O60" s="286"/>
      <c r="P60" s="286"/>
    </row>
    <row r="61" spans="3:16">
      <c r="C61" s="77" t="s">
        <v>32</v>
      </c>
      <c r="D61" s="288">
        <v>27.7</v>
      </c>
      <c r="E61" s="289"/>
      <c r="F61" s="76" t="s">
        <v>33</v>
      </c>
      <c r="G61" s="76" t="s">
        <v>33</v>
      </c>
      <c r="H61" s="288">
        <v>26.1</v>
      </c>
      <c r="I61" s="289"/>
      <c r="J61" s="73"/>
      <c r="K61" s="74"/>
      <c r="L61" s="75"/>
      <c r="M61" s="73"/>
      <c r="N61" s="73"/>
      <c r="O61" s="73"/>
      <c r="P61" s="73"/>
    </row>
    <row r="62" spans="3:16">
      <c r="C62" s="79" t="s">
        <v>37</v>
      </c>
      <c r="D62" s="290">
        <v>40.299999999999997</v>
      </c>
      <c r="E62" s="291"/>
      <c r="F62" s="78" t="s">
        <v>33</v>
      </c>
      <c r="G62" s="78" t="s">
        <v>33</v>
      </c>
      <c r="H62" s="290">
        <v>31.6</v>
      </c>
      <c r="I62" s="291"/>
    </row>
    <row r="64" spans="3:16">
      <c r="D64" s="66" t="s">
        <v>39</v>
      </c>
      <c r="E64" s="292"/>
      <c r="F64" s="292"/>
      <c r="G64" s="292"/>
      <c r="H64" s="292"/>
      <c r="I64" s="292"/>
      <c r="J64" s="292"/>
      <c r="K64" s="292"/>
      <c r="L64" s="292"/>
      <c r="M64" s="292"/>
    </row>
    <row r="65" spans="3:14">
      <c r="D65" s="293">
        <v>2012</v>
      </c>
      <c r="E65" s="292"/>
      <c r="F65" s="65" t="s">
        <v>33</v>
      </c>
      <c r="G65" s="65" t="s">
        <v>33</v>
      </c>
      <c r="H65" s="293">
        <v>2011</v>
      </c>
      <c r="I65" s="292"/>
      <c r="J65" s="65" t="s">
        <v>33</v>
      </c>
      <c r="K65" s="65" t="s">
        <v>33</v>
      </c>
      <c r="L65" s="66" t="s">
        <v>40</v>
      </c>
      <c r="M65" s="292"/>
    </row>
    <row r="66" spans="3:14">
      <c r="C66" s="68" t="s">
        <v>32</v>
      </c>
      <c r="D66" s="67" t="s">
        <v>33</v>
      </c>
      <c r="E66" s="67" t="s">
        <v>33</v>
      </c>
      <c r="F66" s="69">
        <v>26.8</v>
      </c>
      <c r="G66" s="67" t="s">
        <v>33</v>
      </c>
      <c r="H66" s="67" t="s">
        <v>33</v>
      </c>
      <c r="I66" s="67" t="s">
        <v>33</v>
      </c>
      <c r="J66" s="69">
        <v>26</v>
      </c>
    </row>
    <row r="67" spans="3:14">
      <c r="C67" s="71" t="s">
        <v>37</v>
      </c>
      <c r="D67" s="70" t="s">
        <v>33</v>
      </c>
      <c r="E67" s="70" t="s">
        <v>33</v>
      </c>
      <c r="F67" s="72">
        <v>28.9</v>
      </c>
      <c r="G67" s="70" t="s">
        <v>33</v>
      </c>
      <c r="H67" s="70" t="s">
        <v>33</v>
      </c>
      <c r="I67" s="70" t="s">
        <v>33</v>
      </c>
      <c r="J67" s="72">
        <v>26.1</v>
      </c>
    </row>
    <row r="70" spans="3:14">
      <c r="D70" s="294" t="s">
        <v>36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3:14">
      <c r="D71" s="296">
        <v>2011</v>
      </c>
      <c r="E71" s="297"/>
      <c r="F71" s="80" t="s">
        <v>33</v>
      </c>
      <c r="G71" s="80" t="s">
        <v>33</v>
      </c>
      <c r="H71" s="296">
        <v>2010</v>
      </c>
      <c r="I71" s="297"/>
      <c r="J71" s="80" t="s">
        <v>33</v>
      </c>
      <c r="K71" s="80" t="s">
        <v>33</v>
      </c>
      <c r="L71" s="296">
        <v>2009</v>
      </c>
      <c r="M71" s="297"/>
    </row>
    <row r="72" spans="3:14">
      <c r="C72" s="82" t="s">
        <v>32</v>
      </c>
      <c r="D72" s="81" t="s">
        <v>33</v>
      </c>
      <c r="E72" s="81" t="s">
        <v>33</v>
      </c>
      <c r="F72" s="83">
        <v>26.2</v>
      </c>
      <c r="G72" s="81" t="s">
        <v>33</v>
      </c>
      <c r="H72" s="81" t="s">
        <v>33</v>
      </c>
      <c r="I72" s="81" t="s">
        <v>33</v>
      </c>
      <c r="J72" s="83">
        <v>25.1</v>
      </c>
      <c r="N72" s="87">
        <v>27.9</v>
      </c>
    </row>
    <row r="73" spans="3:14">
      <c r="C73" s="85" t="s">
        <v>37</v>
      </c>
      <c r="D73" s="84" t="s">
        <v>33</v>
      </c>
      <c r="E73" s="84" t="s">
        <v>33</v>
      </c>
      <c r="F73" s="86">
        <v>28.8</v>
      </c>
      <c r="G73" s="84" t="s">
        <v>33</v>
      </c>
      <c r="H73" s="84" t="s">
        <v>33</v>
      </c>
      <c r="I73" s="84" t="s">
        <v>33</v>
      </c>
      <c r="J73" s="86">
        <v>25.7</v>
      </c>
      <c r="K73" s="84" t="s">
        <v>33</v>
      </c>
      <c r="N73" s="87">
        <v>23.8</v>
      </c>
    </row>
    <row r="75" spans="3:14">
      <c r="D75" s="89" t="s">
        <v>34</v>
      </c>
      <c r="E75" s="298"/>
      <c r="F75" s="298"/>
      <c r="G75" s="298"/>
      <c r="H75" s="298"/>
      <c r="I75" s="298"/>
      <c r="J75" s="298"/>
      <c r="K75" s="298"/>
      <c r="L75" s="298"/>
      <c r="M75" s="298"/>
    </row>
    <row r="76" spans="3:14">
      <c r="D76" s="299">
        <v>2011</v>
      </c>
      <c r="E76" s="298"/>
      <c r="F76" s="88" t="s">
        <v>33</v>
      </c>
      <c r="G76" s="88" t="s">
        <v>33</v>
      </c>
      <c r="H76" s="299">
        <v>2010</v>
      </c>
      <c r="I76" s="298"/>
      <c r="J76" s="88" t="s">
        <v>33</v>
      </c>
      <c r="K76" s="88" t="s">
        <v>33</v>
      </c>
      <c r="L76" s="89" t="s">
        <v>40</v>
      </c>
      <c r="M76" s="298"/>
    </row>
    <row r="77" spans="3:14">
      <c r="C77" s="91" t="s">
        <v>32</v>
      </c>
      <c r="D77" s="90" t="s">
        <v>33</v>
      </c>
      <c r="E77" s="90" t="s">
        <v>33</v>
      </c>
      <c r="F77" s="92">
        <v>26.1</v>
      </c>
      <c r="G77" s="90" t="s">
        <v>33</v>
      </c>
      <c r="H77" s="90" t="s">
        <v>33</v>
      </c>
      <c r="I77" s="90" t="s">
        <v>33</v>
      </c>
      <c r="J77" s="92">
        <v>25.2</v>
      </c>
    </row>
    <row r="78" spans="3:14">
      <c r="C78" s="94" t="s">
        <v>37</v>
      </c>
      <c r="D78" s="93" t="s">
        <v>33</v>
      </c>
      <c r="E78" s="93" t="s">
        <v>33</v>
      </c>
      <c r="F78" s="95">
        <v>31.1</v>
      </c>
      <c r="G78" s="93" t="s">
        <v>33</v>
      </c>
      <c r="H78" s="93" t="s">
        <v>33</v>
      </c>
      <c r="I78" s="93" t="s">
        <v>33</v>
      </c>
      <c r="J78" s="95">
        <v>25.3</v>
      </c>
    </row>
    <row r="81" spans="3:14">
      <c r="D81" s="97" t="s">
        <v>38</v>
      </c>
      <c r="E81" s="300"/>
      <c r="F81" s="300"/>
      <c r="G81" s="300"/>
      <c r="H81" s="300"/>
      <c r="I81" s="300"/>
      <c r="J81" s="300"/>
      <c r="K81" s="300"/>
      <c r="L81" s="300"/>
      <c r="M81" s="300"/>
    </row>
    <row r="82" spans="3:14">
      <c r="D82" s="301">
        <v>2011</v>
      </c>
      <c r="E82" s="300"/>
      <c r="F82" s="96" t="s">
        <v>33</v>
      </c>
      <c r="G82" s="96" t="s">
        <v>33</v>
      </c>
      <c r="H82" s="301">
        <v>2010</v>
      </c>
      <c r="I82" s="300"/>
      <c r="J82" s="96" t="s">
        <v>33</v>
      </c>
      <c r="K82" s="96" t="s">
        <v>33</v>
      </c>
      <c r="L82" s="97" t="s">
        <v>40</v>
      </c>
      <c r="M82" s="300"/>
    </row>
    <row r="83" spans="3:14">
      <c r="C83" s="99" t="s">
        <v>32</v>
      </c>
      <c r="D83" s="98" t="s">
        <v>33</v>
      </c>
      <c r="E83" s="98" t="s">
        <v>33</v>
      </c>
      <c r="F83" s="100">
        <v>26.1</v>
      </c>
      <c r="G83" s="98" t="s">
        <v>33</v>
      </c>
      <c r="H83" s="98" t="s">
        <v>33</v>
      </c>
      <c r="I83" s="98" t="s">
        <v>33</v>
      </c>
      <c r="J83" s="100">
        <v>25</v>
      </c>
    </row>
    <row r="84" spans="3:14">
      <c r="C84" s="102" t="s">
        <v>37</v>
      </c>
      <c r="D84" s="101" t="s">
        <v>33</v>
      </c>
      <c r="E84" s="101" t="s">
        <v>33</v>
      </c>
      <c r="F84" s="103">
        <v>31.6</v>
      </c>
      <c r="G84" s="101" t="s">
        <v>33</v>
      </c>
      <c r="H84" s="101" t="s">
        <v>33</v>
      </c>
      <c r="I84" s="101" t="s">
        <v>33</v>
      </c>
      <c r="J84" s="103">
        <v>27.3</v>
      </c>
    </row>
    <row r="86" spans="3:14">
      <c r="D86" s="105" t="s">
        <v>39</v>
      </c>
      <c r="E86" s="302"/>
      <c r="F86" s="302"/>
      <c r="G86" s="302"/>
      <c r="H86" s="302"/>
      <c r="I86" s="302"/>
      <c r="J86" s="302"/>
      <c r="K86" s="302"/>
      <c r="L86" s="302"/>
      <c r="M86" s="302"/>
    </row>
    <row r="87" spans="3:14">
      <c r="D87" s="303">
        <v>2011</v>
      </c>
      <c r="E87" s="302"/>
      <c r="F87" s="104" t="s">
        <v>33</v>
      </c>
      <c r="G87" s="104" t="s">
        <v>33</v>
      </c>
      <c r="H87" s="303">
        <v>2010</v>
      </c>
      <c r="I87" s="302"/>
      <c r="J87" s="104" t="s">
        <v>33</v>
      </c>
      <c r="K87" s="104" t="s">
        <v>33</v>
      </c>
      <c r="L87" s="105" t="s">
        <v>40</v>
      </c>
      <c r="M87" s="302"/>
    </row>
    <row r="88" spans="3:14">
      <c r="C88" s="107" t="s">
        <v>32</v>
      </c>
      <c r="D88" s="106" t="s">
        <v>33</v>
      </c>
      <c r="E88" s="106" t="s">
        <v>33</v>
      </c>
      <c r="F88" s="108">
        <v>26</v>
      </c>
      <c r="G88" s="106" t="s">
        <v>33</v>
      </c>
      <c r="H88" s="106" t="s">
        <v>33</v>
      </c>
      <c r="I88" s="106" t="s">
        <v>33</v>
      </c>
      <c r="J88" s="108">
        <v>24.4</v>
      </c>
    </row>
    <row r="89" spans="3:14">
      <c r="C89" s="110" t="s">
        <v>37</v>
      </c>
      <c r="D89" s="109" t="s">
        <v>33</v>
      </c>
      <c r="E89" s="109" t="s">
        <v>33</v>
      </c>
      <c r="F89" s="111">
        <v>26.1</v>
      </c>
      <c r="G89" s="109" t="s">
        <v>33</v>
      </c>
      <c r="H89" s="109" t="s">
        <v>33</v>
      </c>
      <c r="I89" s="109" t="s">
        <v>33</v>
      </c>
      <c r="J89" s="111">
        <v>26.9</v>
      </c>
    </row>
    <row r="91" spans="3:14">
      <c r="D91" s="304" t="s">
        <v>36</v>
      </c>
      <c r="E91" s="305"/>
      <c r="F91" s="305"/>
      <c r="G91" s="305"/>
      <c r="H91" s="305"/>
      <c r="I91" s="305"/>
      <c r="J91" s="305"/>
      <c r="K91" s="305"/>
      <c r="L91" s="305"/>
      <c r="M91" s="305"/>
    </row>
    <row r="92" spans="3:14">
      <c r="D92" s="306">
        <v>2010</v>
      </c>
      <c r="E92" s="307"/>
      <c r="F92" s="112" t="s">
        <v>33</v>
      </c>
      <c r="G92" s="112" t="s">
        <v>33</v>
      </c>
      <c r="H92" s="306">
        <v>2009</v>
      </c>
      <c r="I92" s="307"/>
      <c r="J92" s="112" t="s">
        <v>33</v>
      </c>
      <c r="K92" s="112" t="s">
        <v>33</v>
      </c>
      <c r="L92" s="306">
        <v>2008</v>
      </c>
      <c r="M92" s="307"/>
    </row>
    <row r="93" spans="3:14">
      <c r="C93" s="114" t="s">
        <v>32</v>
      </c>
      <c r="D93" s="113" t="s">
        <v>33</v>
      </c>
      <c r="E93" s="113" t="s">
        <v>33</v>
      </c>
      <c r="F93" s="115">
        <v>25.1</v>
      </c>
      <c r="G93" s="113" t="s">
        <v>33</v>
      </c>
      <c r="H93" s="113" t="s">
        <v>33</v>
      </c>
      <c r="I93" s="113" t="s">
        <v>33</v>
      </c>
      <c r="J93" s="115">
        <v>27.9</v>
      </c>
      <c r="K93" s="113" t="s">
        <v>33</v>
      </c>
      <c r="L93" s="113" t="s">
        <v>33</v>
      </c>
      <c r="M93" s="113" t="s">
        <v>33</v>
      </c>
      <c r="N93" s="115">
        <v>30.9</v>
      </c>
    </row>
    <row r="94" spans="3:14">
      <c r="C94" s="117" t="s">
        <v>37</v>
      </c>
      <c r="D94" s="116" t="s">
        <v>33</v>
      </c>
      <c r="E94" s="116" t="s">
        <v>33</v>
      </c>
      <c r="F94" s="118">
        <v>25.7</v>
      </c>
      <c r="G94" s="116" t="s">
        <v>33</v>
      </c>
      <c r="H94" s="116" t="s">
        <v>33</v>
      </c>
      <c r="I94" s="116" t="s">
        <v>33</v>
      </c>
      <c r="J94" s="118">
        <v>23.8</v>
      </c>
      <c r="K94" s="116" t="s">
        <v>33</v>
      </c>
      <c r="L94" s="116" t="s">
        <v>33</v>
      </c>
      <c r="M94" s="116" t="s">
        <v>33</v>
      </c>
      <c r="N94" s="118">
        <v>28</v>
      </c>
    </row>
    <row r="96" spans="3:14">
      <c r="D96" s="121" t="s">
        <v>43</v>
      </c>
      <c r="E96" s="308"/>
      <c r="F96" s="308"/>
      <c r="G96" s="308"/>
      <c r="H96" s="308"/>
      <c r="I96" s="308"/>
    </row>
    <row r="97" spans="3:25">
      <c r="D97" s="120" t="s">
        <v>33</v>
      </c>
      <c r="E97" s="119"/>
      <c r="F97" s="119"/>
      <c r="G97" s="119"/>
      <c r="H97" s="119"/>
      <c r="I97" s="119"/>
    </row>
    <row r="98" spans="3:25">
      <c r="D98" s="121" t="s">
        <v>44</v>
      </c>
      <c r="E98" s="308"/>
      <c r="F98" s="308"/>
      <c r="G98" s="308"/>
      <c r="H98" s="308"/>
      <c r="I98" s="308"/>
    </row>
    <row r="99" spans="3:25">
      <c r="C99" s="123" t="s">
        <v>32</v>
      </c>
      <c r="D99" s="122" t="s">
        <v>33</v>
      </c>
      <c r="E99" s="122" t="s">
        <v>33</v>
      </c>
      <c r="F99" s="124">
        <v>25.2</v>
      </c>
      <c r="G99" s="122" t="s">
        <v>33</v>
      </c>
      <c r="H99" s="122" t="s">
        <v>33</v>
      </c>
      <c r="I99" s="122" t="s">
        <v>33</v>
      </c>
      <c r="J99" s="124">
        <v>29.3</v>
      </c>
    </row>
    <row r="100" spans="3:25">
      <c r="C100" s="126" t="s">
        <v>37</v>
      </c>
      <c r="D100" s="125" t="s">
        <v>33</v>
      </c>
      <c r="E100" s="125" t="s">
        <v>33</v>
      </c>
      <c r="F100" s="127">
        <v>25.3</v>
      </c>
      <c r="G100" s="125" t="s">
        <v>33</v>
      </c>
      <c r="H100" s="125" t="s">
        <v>33</v>
      </c>
      <c r="I100" s="125" t="s">
        <v>33</v>
      </c>
      <c r="J100" s="127">
        <v>24.7</v>
      </c>
    </row>
    <row r="102" spans="3:25">
      <c r="D102" s="129" t="s">
        <v>38</v>
      </c>
      <c r="E102" s="309"/>
      <c r="F102" s="309"/>
      <c r="G102" s="309"/>
      <c r="H102" s="309"/>
      <c r="I102" s="309"/>
    </row>
    <row r="103" spans="3:25">
      <c r="D103" s="310">
        <v>2010</v>
      </c>
      <c r="E103" s="309"/>
      <c r="F103" s="128" t="s">
        <v>33</v>
      </c>
      <c r="G103" s="128" t="s">
        <v>33</v>
      </c>
      <c r="H103" s="310">
        <v>2009</v>
      </c>
      <c r="I103" s="309"/>
    </row>
    <row r="104" spans="3:25">
      <c r="C104" s="131" t="s">
        <v>32</v>
      </c>
      <c r="D104" s="130" t="s">
        <v>33</v>
      </c>
      <c r="E104" s="130" t="s">
        <v>33</v>
      </c>
      <c r="F104" s="132">
        <v>25</v>
      </c>
      <c r="G104" s="130" t="s">
        <v>33</v>
      </c>
      <c r="H104" s="130" t="s">
        <v>33</v>
      </c>
      <c r="I104" s="130" t="s">
        <v>33</v>
      </c>
      <c r="J104" s="132">
        <v>26.1</v>
      </c>
    </row>
    <row r="105" spans="3:25">
      <c r="C105" s="134" t="s">
        <v>45</v>
      </c>
      <c r="D105" s="133" t="s">
        <v>33</v>
      </c>
      <c r="E105" s="133" t="s">
        <v>33</v>
      </c>
      <c r="F105" s="135">
        <v>27.3</v>
      </c>
      <c r="G105" s="133" t="s">
        <v>33</v>
      </c>
      <c r="H105" s="133" t="s">
        <v>33</v>
      </c>
      <c r="I105" s="133" t="s">
        <v>33</v>
      </c>
      <c r="J105" s="135">
        <v>23.7</v>
      </c>
    </row>
    <row r="107" spans="3:25">
      <c r="D107" s="137" t="s">
        <v>39</v>
      </c>
      <c r="E107" s="311"/>
      <c r="F107" s="311"/>
      <c r="G107" s="311"/>
      <c r="H107" s="311"/>
      <c r="I107" s="311"/>
    </row>
    <row r="108" spans="3:25">
      <c r="D108" s="312">
        <v>2010</v>
      </c>
      <c r="E108" s="311"/>
      <c r="F108" s="136" t="s">
        <v>33</v>
      </c>
      <c r="G108" s="136" t="s">
        <v>33</v>
      </c>
      <c r="H108" s="312">
        <v>2009</v>
      </c>
      <c r="I108" s="311"/>
    </row>
    <row r="109" spans="3:25">
      <c r="C109" s="139" t="s">
        <v>32</v>
      </c>
      <c r="D109" s="138" t="s">
        <v>33</v>
      </c>
      <c r="E109" s="138" t="s">
        <v>33</v>
      </c>
      <c r="F109" s="140">
        <v>24.4</v>
      </c>
      <c r="G109" s="138" t="s">
        <v>33</v>
      </c>
      <c r="H109" s="138" t="s">
        <v>33</v>
      </c>
      <c r="I109" s="138" t="s">
        <v>33</v>
      </c>
      <c r="J109" s="140">
        <v>27.9</v>
      </c>
    </row>
    <row r="110" spans="3:25">
      <c r="C110" s="142" t="s">
        <v>45</v>
      </c>
      <c r="D110" s="141" t="s">
        <v>33</v>
      </c>
      <c r="E110" s="141" t="s">
        <v>33</v>
      </c>
      <c r="F110" s="143">
        <v>26.9</v>
      </c>
      <c r="G110" s="141" t="s">
        <v>33</v>
      </c>
      <c r="H110" s="141" t="s">
        <v>33</v>
      </c>
      <c r="I110" s="141" t="s">
        <v>33</v>
      </c>
      <c r="J110" s="143">
        <v>21</v>
      </c>
    </row>
    <row r="112" spans="3:25">
      <c r="D112" s="313" t="s">
        <v>36</v>
      </c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</row>
    <row r="113" spans="3:23">
      <c r="D113" s="315">
        <v>2008</v>
      </c>
      <c r="E113" s="316"/>
      <c r="F113" s="145" t="s">
        <v>33</v>
      </c>
      <c r="G113" s="145" t="s">
        <v>33</v>
      </c>
      <c r="H113" s="315">
        <v>2007</v>
      </c>
      <c r="I113" s="316"/>
      <c r="J113" s="145" t="s">
        <v>33</v>
      </c>
      <c r="K113" s="145" t="s">
        <v>33</v>
      </c>
      <c r="L113" s="315">
        <v>2006</v>
      </c>
      <c r="M113" s="316"/>
      <c r="N113" s="145" t="s">
        <v>33</v>
      </c>
      <c r="O113" s="145" t="s">
        <v>33</v>
      </c>
      <c r="P113" s="315">
        <v>2005</v>
      </c>
      <c r="Q113" s="316"/>
      <c r="R113" s="145" t="s">
        <v>33</v>
      </c>
      <c r="S113" s="145" t="s">
        <v>33</v>
      </c>
      <c r="T113" s="315">
        <v>2004</v>
      </c>
      <c r="U113" s="316"/>
    </row>
    <row r="114" spans="3:23">
      <c r="C114" s="148" t="s">
        <v>46</v>
      </c>
      <c r="D114" s="147" t="s">
        <v>33</v>
      </c>
      <c r="E114" s="147" t="s">
        <v>33</v>
      </c>
      <c r="F114" s="149">
        <v>31</v>
      </c>
      <c r="G114" s="148" t="s">
        <v>47</v>
      </c>
      <c r="H114" s="147" t="s">
        <v>33</v>
      </c>
      <c r="I114" s="147" t="s">
        <v>33</v>
      </c>
      <c r="J114" s="149">
        <v>23.7</v>
      </c>
      <c r="K114" s="148" t="s">
        <v>47</v>
      </c>
      <c r="L114" s="147" t="s">
        <v>33</v>
      </c>
      <c r="M114" s="147" t="s">
        <v>33</v>
      </c>
      <c r="N114" s="149">
        <v>22.2</v>
      </c>
      <c r="O114" s="148" t="s">
        <v>47</v>
      </c>
      <c r="P114" s="147" t="s">
        <v>33</v>
      </c>
      <c r="Q114" s="147" t="s">
        <v>33</v>
      </c>
      <c r="R114" s="149">
        <v>22.3</v>
      </c>
      <c r="S114" s="148" t="s">
        <v>47</v>
      </c>
      <c r="T114" s="147" t="s">
        <v>33</v>
      </c>
      <c r="U114" s="147" t="s">
        <v>33</v>
      </c>
      <c r="V114" s="149">
        <v>21.8</v>
      </c>
      <c r="W114" s="148" t="s">
        <v>47</v>
      </c>
    </row>
    <row r="115" spans="3:23">
      <c r="C115" s="150" t="s">
        <v>48</v>
      </c>
      <c r="D115" s="146"/>
      <c r="E115" s="144"/>
      <c r="F115" s="151">
        <v>32.200000000000003</v>
      </c>
      <c r="G115" s="145"/>
      <c r="H115" s="146"/>
      <c r="I115" s="144"/>
      <c r="J115" s="152">
        <v>32.200000000000003</v>
      </c>
      <c r="K115" s="145"/>
      <c r="L115" s="146"/>
      <c r="M115" s="144"/>
      <c r="N115" s="153">
        <v>22.4</v>
      </c>
      <c r="O115" s="145"/>
      <c r="P115" s="146"/>
      <c r="Q115" s="144"/>
      <c r="R115" s="145"/>
      <c r="S115" s="145"/>
      <c r="T115" s="146"/>
      <c r="U115" s="144"/>
    </row>
    <row r="117" spans="3:23">
      <c r="D117" s="155" t="s">
        <v>35</v>
      </c>
      <c r="E117" s="317"/>
      <c r="F117" s="317"/>
      <c r="G117" s="317"/>
      <c r="H117" s="317"/>
      <c r="I117" s="317"/>
      <c r="J117" s="317"/>
      <c r="K117" s="317"/>
      <c r="L117" s="317"/>
      <c r="M117" s="317"/>
      <c r="N117" s="317"/>
      <c r="O117" s="317"/>
      <c r="P117" s="317"/>
      <c r="Q117" s="317"/>
    </row>
    <row r="118" spans="3:23">
      <c r="D118" s="318">
        <v>2008</v>
      </c>
      <c r="E118" s="317"/>
      <c r="F118" s="317"/>
      <c r="G118" s="317"/>
      <c r="H118" s="317"/>
      <c r="I118" s="317"/>
      <c r="J118" s="154" t="s">
        <v>33</v>
      </c>
      <c r="K118" s="154" t="s">
        <v>33</v>
      </c>
      <c r="L118" s="318">
        <v>2007</v>
      </c>
      <c r="M118" s="317"/>
      <c r="N118" s="317"/>
      <c r="O118" s="317"/>
      <c r="P118" s="317"/>
      <c r="Q118" s="317"/>
    </row>
    <row r="119" spans="3:23">
      <c r="C119" s="162" t="s">
        <v>48</v>
      </c>
      <c r="D119" s="161" t="s">
        <v>33</v>
      </c>
      <c r="E119" s="319">
        <v>1475</v>
      </c>
      <c r="F119" s="320"/>
      <c r="G119" s="161" t="s">
        <v>33</v>
      </c>
      <c r="H119" s="161" t="s">
        <v>33</v>
      </c>
      <c r="I119" s="161" t="s">
        <v>33</v>
      </c>
      <c r="J119" s="163">
        <v>23.6</v>
      </c>
      <c r="K119" s="162" t="s">
        <v>47</v>
      </c>
      <c r="L119" s="161" t="s">
        <v>33</v>
      </c>
      <c r="M119" s="319">
        <v>1232</v>
      </c>
      <c r="N119" s="320"/>
      <c r="O119" s="161" t="s">
        <v>33</v>
      </c>
      <c r="P119" s="161" t="s">
        <v>33</v>
      </c>
      <c r="Q119" s="161" t="s">
        <v>33</v>
      </c>
      <c r="R119" s="163">
        <v>22.8</v>
      </c>
      <c r="S119" s="162" t="s">
        <v>47</v>
      </c>
    </row>
    <row r="120" spans="3:23">
      <c r="C120" s="158" t="s">
        <v>48</v>
      </c>
      <c r="D120" s="157" t="s">
        <v>33</v>
      </c>
      <c r="E120" s="321">
        <v>1546</v>
      </c>
      <c r="F120" s="322"/>
      <c r="G120" s="157" t="s">
        <v>33</v>
      </c>
      <c r="H120" s="157" t="s">
        <v>33</v>
      </c>
      <c r="I120" s="157" t="s">
        <v>33</v>
      </c>
      <c r="J120" s="159">
        <v>24.7</v>
      </c>
      <c r="K120" s="158" t="s">
        <v>47</v>
      </c>
      <c r="L120" s="157" t="s">
        <v>33</v>
      </c>
      <c r="M120" s="321">
        <v>1235</v>
      </c>
      <c r="N120" s="322"/>
      <c r="O120" s="157" t="s">
        <v>33</v>
      </c>
      <c r="P120" s="157" t="s">
        <v>33</v>
      </c>
      <c r="Q120" s="157" t="s">
        <v>33</v>
      </c>
      <c r="R120" s="159">
        <v>22.8</v>
      </c>
      <c r="S120" s="158" t="s">
        <v>47</v>
      </c>
    </row>
    <row r="121" spans="3:23">
      <c r="C121" s="158"/>
      <c r="D121" s="157"/>
      <c r="E121" s="160"/>
      <c r="F121" s="156"/>
      <c r="G121" s="157"/>
      <c r="H121" s="157"/>
      <c r="I121" s="157"/>
      <c r="J121" s="159"/>
      <c r="K121" s="158"/>
      <c r="L121" s="157"/>
      <c r="M121" s="160"/>
      <c r="N121" s="156"/>
      <c r="O121" s="157"/>
      <c r="P121" s="157"/>
      <c r="Q121" s="157"/>
      <c r="R121" s="159"/>
      <c r="S121" s="158"/>
    </row>
    <row r="122" spans="3:23">
      <c r="D122" s="177" t="s">
        <v>52</v>
      </c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175" t="s">
        <v>33</v>
      </c>
      <c r="S122" s="175" t="s">
        <v>33</v>
      </c>
      <c r="T122" s="176" t="s">
        <v>33</v>
      </c>
      <c r="U122" s="174"/>
    </row>
    <row r="123" spans="3:23">
      <c r="D123" s="324">
        <v>2008</v>
      </c>
      <c r="E123" s="323"/>
      <c r="F123" s="323"/>
      <c r="G123" s="323"/>
      <c r="H123" s="323"/>
      <c r="I123" s="323"/>
      <c r="J123" s="175" t="s">
        <v>33</v>
      </c>
      <c r="K123" s="175" t="s">
        <v>33</v>
      </c>
      <c r="L123" s="324">
        <v>2007</v>
      </c>
      <c r="M123" s="323"/>
      <c r="N123" s="323"/>
      <c r="O123" s="323"/>
      <c r="P123" s="323"/>
      <c r="Q123" s="323"/>
      <c r="R123" s="175" t="s">
        <v>33</v>
      </c>
      <c r="S123" s="175" t="s">
        <v>33</v>
      </c>
      <c r="T123" s="177" t="s">
        <v>50</v>
      </c>
      <c r="U123" s="323"/>
    </row>
    <row r="124" spans="3:23">
      <c r="D124" s="173" t="s">
        <v>50</v>
      </c>
      <c r="E124" s="325"/>
      <c r="F124" s="172" t="s">
        <v>33</v>
      </c>
      <c r="G124" s="172" t="s">
        <v>33</v>
      </c>
      <c r="H124" s="173" t="s">
        <v>51</v>
      </c>
      <c r="I124" s="325"/>
      <c r="J124" s="172" t="s">
        <v>33</v>
      </c>
      <c r="K124" s="172" t="s">
        <v>33</v>
      </c>
      <c r="L124" s="173" t="s">
        <v>50</v>
      </c>
      <c r="M124" s="325"/>
      <c r="N124" s="172" t="s">
        <v>33</v>
      </c>
      <c r="O124" s="172" t="s">
        <v>33</v>
      </c>
      <c r="P124" s="173" t="s">
        <v>51</v>
      </c>
      <c r="Q124" s="325"/>
      <c r="R124" s="172" t="s">
        <v>33</v>
      </c>
      <c r="S124" s="172" t="s">
        <v>33</v>
      </c>
      <c r="T124" s="173" t="s">
        <v>40</v>
      </c>
      <c r="U124" s="325"/>
    </row>
    <row r="125" spans="3:23">
      <c r="C125" s="169" t="s">
        <v>48</v>
      </c>
      <c r="D125" s="168" t="s">
        <v>33</v>
      </c>
      <c r="E125" s="326">
        <v>3360</v>
      </c>
      <c r="F125" s="327"/>
      <c r="G125" s="168" t="s">
        <v>33</v>
      </c>
      <c r="H125" s="168" t="s">
        <v>33</v>
      </c>
      <c r="I125" s="168" t="s">
        <v>33</v>
      </c>
      <c r="J125" s="171">
        <v>27.9</v>
      </c>
      <c r="K125" s="169" t="s">
        <v>47</v>
      </c>
      <c r="L125" s="168" t="s">
        <v>33</v>
      </c>
      <c r="M125" s="326">
        <v>2218</v>
      </c>
      <c r="N125" s="327"/>
      <c r="O125" s="168" t="s">
        <v>33</v>
      </c>
      <c r="P125" s="168" t="s">
        <v>33</v>
      </c>
      <c r="Q125" s="168" t="s">
        <v>33</v>
      </c>
      <c r="R125" s="171">
        <v>21.6</v>
      </c>
      <c r="S125" s="169" t="s">
        <v>47</v>
      </c>
      <c r="T125" s="168" t="s">
        <v>33</v>
      </c>
      <c r="U125" s="168" t="s">
        <v>33</v>
      </c>
      <c r="V125" s="170">
        <v>51</v>
      </c>
      <c r="W125" s="169" t="s">
        <v>49</v>
      </c>
    </row>
    <row r="126" spans="3:23">
      <c r="C126" s="165" t="s">
        <v>48</v>
      </c>
      <c r="D126" s="164" t="s">
        <v>33</v>
      </c>
      <c r="E126" s="328">
        <v>3177</v>
      </c>
      <c r="F126" s="329"/>
      <c r="G126" s="164" t="s">
        <v>33</v>
      </c>
      <c r="H126" s="164" t="s">
        <v>33</v>
      </c>
      <c r="I126" s="164" t="s">
        <v>33</v>
      </c>
      <c r="J126" s="167">
        <v>26.4</v>
      </c>
      <c r="K126" s="165" t="s">
        <v>47</v>
      </c>
      <c r="L126" s="164" t="s">
        <v>33</v>
      </c>
      <c r="M126" s="328">
        <v>2204</v>
      </c>
      <c r="N126" s="329"/>
      <c r="O126" s="164" t="s">
        <v>33</v>
      </c>
      <c r="P126" s="164" t="s">
        <v>33</v>
      </c>
      <c r="Q126" s="164" t="s">
        <v>33</v>
      </c>
      <c r="R126" s="167">
        <v>21.5</v>
      </c>
      <c r="S126" s="165" t="s">
        <v>47</v>
      </c>
      <c r="T126" s="164" t="s">
        <v>33</v>
      </c>
      <c r="U126" s="164" t="s">
        <v>33</v>
      </c>
      <c r="V126" s="166">
        <v>44</v>
      </c>
      <c r="W126" s="165" t="s">
        <v>49</v>
      </c>
    </row>
    <row r="128" spans="3:23">
      <c r="D128" s="179" t="s">
        <v>39</v>
      </c>
      <c r="E128" s="330"/>
      <c r="F128" s="330"/>
      <c r="G128" s="330"/>
      <c r="H128" s="330"/>
      <c r="I128" s="330"/>
      <c r="J128" s="330"/>
      <c r="K128" s="330"/>
      <c r="L128" s="330"/>
      <c r="M128" s="330"/>
      <c r="N128" s="330"/>
      <c r="O128" s="330"/>
      <c r="P128" s="330"/>
      <c r="Q128" s="330"/>
    </row>
    <row r="129" spans="3:27">
      <c r="D129" s="331">
        <v>2008</v>
      </c>
      <c r="E129" s="330"/>
      <c r="F129" s="330"/>
      <c r="G129" s="330"/>
      <c r="H129" s="330"/>
      <c r="I129" s="330"/>
      <c r="J129" s="178" t="s">
        <v>33</v>
      </c>
      <c r="K129" s="178" t="s">
        <v>33</v>
      </c>
      <c r="L129" s="331">
        <v>2007</v>
      </c>
      <c r="M129" s="330"/>
      <c r="N129" s="330"/>
      <c r="O129" s="330"/>
      <c r="P129" s="330"/>
      <c r="Q129" s="330"/>
    </row>
    <row r="130" spans="3:27">
      <c r="D130" s="179" t="s">
        <v>50</v>
      </c>
      <c r="E130" s="330"/>
      <c r="F130" s="178" t="s">
        <v>33</v>
      </c>
      <c r="G130" s="178" t="s">
        <v>33</v>
      </c>
      <c r="H130" s="179" t="s">
        <v>51</v>
      </c>
      <c r="I130" s="330"/>
      <c r="J130" s="178" t="s">
        <v>33</v>
      </c>
      <c r="K130" s="178" t="s">
        <v>33</v>
      </c>
      <c r="L130" s="179" t="s">
        <v>50</v>
      </c>
      <c r="M130" s="330"/>
      <c r="N130" s="178" t="s">
        <v>33</v>
      </c>
      <c r="O130" s="178" t="s">
        <v>33</v>
      </c>
      <c r="P130" s="179" t="s">
        <v>51</v>
      </c>
      <c r="Q130" s="330"/>
    </row>
    <row r="131" spans="3:27">
      <c r="C131" s="181" t="s">
        <v>48</v>
      </c>
      <c r="D131" s="180" t="s">
        <v>33</v>
      </c>
      <c r="E131" s="332">
        <v>1752</v>
      </c>
      <c r="F131" s="333"/>
      <c r="G131" s="180" t="s">
        <v>33</v>
      </c>
      <c r="H131" s="180" t="s">
        <v>33</v>
      </c>
      <c r="I131" s="180" t="s">
        <v>33</v>
      </c>
      <c r="J131" s="182">
        <v>29.5</v>
      </c>
      <c r="K131" s="181" t="s">
        <v>47</v>
      </c>
      <c r="L131" s="180" t="s">
        <v>33</v>
      </c>
      <c r="M131" s="332">
        <v>1098</v>
      </c>
      <c r="N131" s="333"/>
      <c r="O131" s="180" t="s">
        <v>33</v>
      </c>
      <c r="P131" s="180" t="s">
        <v>33</v>
      </c>
      <c r="Q131" s="180" t="s">
        <v>33</v>
      </c>
      <c r="R131" s="182">
        <v>21.8</v>
      </c>
      <c r="S131" s="181" t="s">
        <v>47</v>
      </c>
    </row>
    <row r="132" spans="3:27">
      <c r="C132" s="184" t="s">
        <v>48</v>
      </c>
      <c r="D132" s="183" t="s">
        <v>33</v>
      </c>
      <c r="E132" s="334">
        <v>1719</v>
      </c>
      <c r="F132" s="335"/>
      <c r="G132" s="183" t="s">
        <v>33</v>
      </c>
      <c r="H132" s="183" t="s">
        <v>33</v>
      </c>
      <c r="I132" s="183" t="s">
        <v>33</v>
      </c>
      <c r="J132" s="185">
        <v>29</v>
      </c>
      <c r="K132" s="184" t="s">
        <v>47</v>
      </c>
      <c r="L132" s="183" t="s">
        <v>33</v>
      </c>
      <c r="M132" s="334">
        <v>1100</v>
      </c>
      <c r="N132" s="335"/>
      <c r="O132" s="183" t="s">
        <v>33</v>
      </c>
      <c r="P132" s="183" t="s">
        <v>33</v>
      </c>
      <c r="Q132" s="183" t="s">
        <v>33</v>
      </c>
      <c r="R132" s="185">
        <v>21.8</v>
      </c>
      <c r="S132" s="184" t="s">
        <v>47</v>
      </c>
    </row>
    <row r="135" spans="3:27">
      <c r="D135" s="336" t="s">
        <v>36</v>
      </c>
      <c r="E135" s="337"/>
      <c r="F135" s="337"/>
      <c r="G135" s="337"/>
      <c r="H135" s="337"/>
      <c r="I135" s="337"/>
      <c r="J135" s="337"/>
      <c r="K135" s="337"/>
      <c r="L135" s="337"/>
      <c r="M135" s="337"/>
      <c r="N135" s="337"/>
      <c r="O135" s="337"/>
      <c r="P135" s="337"/>
      <c r="Q135" s="337"/>
      <c r="R135" s="337"/>
      <c r="S135" s="337"/>
      <c r="T135" s="337"/>
      <c r="U135" s="337"/>
      <c r="V135" s="337"/>
      <c r="W135" s="337"/>
      <c r="X135" s="337"/>
      <c r="Y135" s="337"/>
    </row>
    <row r="136" spans="3:27">
      <c r="D136" s="338">
        <v>2007</v>
      </c>
      <c r="E136" s="339"/>
      <c r="F136" s="339"/>
      <c r="G136" s="339"/>
      <c r="H136" s="339"/>
      <c r="I136" s="339"/>
      <c r="J136" s="186" t="s">
        <v>33</v>
      </c>
      <c r="K136" s="186" t="s">
        <v>33</v>
      </c>
      <c r="L136" s="338">
        <v>2006</v>
      </c>
      <c r="M136" s="339"/>
      <c r="N136" s="339"/>
      <c r="O136" s="339"/>
      <c r="P136" s="339"/>
      <c r="Q136" s="339"/>
      <c r="R136" s="186" t="s">
        <v>33</v>
      </c>
      <c r="S136" s="186" t="s">
        <v>33</v>
      </c>
      <c r="T136" s="338">
        <v>2005</v>
      </c>
      <c r="U136" s="339"/>
      <c r="V136" s="339"/>
      <c r="W136" s="339"/>
      <c r="X136" s="339"/>
      <c r="Y136" s="339"/>
    </row>
    <row r="137" spans="3:27">
      <c r="D137" s="187" t="s">
        <v>33</v>
      </c>
      <c r="E137" s="188" t="s">
        <v>50</v>
      </c>
      <c r="F137" s="340"/>
      <c r="G137" s="187" t="s">
        <v>33</v>
      </c>
      <c r="H137" s="187" t="s">
        <v>33</v>
      </c>
      <c r="I137" s="188" t="s">
        <v>53</v>
      </c>
      <c r="J137" s="340"/>
      <c r="K137" s="187" t="s">
        <v>33</v>
      </c>
      <c r="L137" s="187" t="s">
        <v>33</v>
      </c>
      <c r="M137" s="188" t="s">
        <v>50</v>
      </c>
      <c r="N137" s="340"/>
      <c r="O137" s="187" t="s">
        <v>33</v>
      </c>
      <c r="P137" s="187" t="s">
        <v>33</v>
      </c>
      <c r="Q137" s="188" t="s">
        <v>53</v>
      </c>
      <c r="R137" s="340"/>
      <c r="S137" s="187" t="s">
        <v>33</v>
      </c>
      <c r="T137" s="187" t="s">
        <v>33</v>
      </c>
      <c r="U137" s="188" t="s">
        <v>50</v>
      </c>
      <c r="V137" s="340"/>
      <c r="W137" s="187" t="s">
        <v>33</v>
      </c>
      <c r="X137" s="187" t="s">
        <v>33</v>
      </c>
      <c r="Y137" s="188" t="s">
        <v>53</v>
      </c>
      <c r="Z137" s="340"/>
    </row>
    <row r="138" spans="3:27">
      <c r="C138" s="193" t="s">
        <v>48</v>
      </c>
      <c r="D138" s="192" t="s">
        <v>33</v>
      </c>
      <c r="E138" s="341">
        <v>5071</v>
      </c>
      <c r="F138" s="342"/>
      <c r="G138" s="192" t="s">
        <v>33</v>
      </c>
      <c r="H138" s="192" t="s">
        <v>33</v>
      </c>
      <c r="I138" s="192" t="s">
        <v>33</v>
      </c>
      <c r="J138" s="194">
        <v>23.7</v>
      </c>
      <c r="K138" s="193" t="s">
        <v>47</v>
      </c>
      <c r="L138" s="192" t="s">
        <v>33</v>
      </c>
      <c r="M138" s="341">
        <v>4250</v>
      </c>
      <c r="N138" s="342"/>
      <c r="O138" s="192" t="s">
        <v>33</v>
      </c>
      <c r="P138" s="192" t="s">
        <v>33</v>
      </c>
      <c r="Q138" s="192" t="s">
        <v>33</v>
      </c>
      <c r="R138" s="194">
        <v>22.2</v>
      </c>
      <c r="S138" s="193" t="s">
        <v>47</v>
      </c>
      <c r="T138" s="192" t="s">
        <v>33</v>
      </c>
      <c r="U138" s="341">
        <v>4006</v>
      </c>
      <c r="V138" s="342"/>
      <c r="W138" s="192" t="s">
        <v>33</v>
      </c>
      <c r="X138" s="192" t="s">
        <v>33</v>
      </c>
      <c r="Y138" s="192" t="s">
        <v>33</v>
      </c>
      <c r="Z138" s="194">
        <v>22.3</v>
      </c>
      <c r="AA138" s="193" t="s">
        <v>47</v>
      </c>
    </row>
    <row r="139" spans="3:27">
      <c r="C139" s="190" t="s">
        <v>48</v>
      </c>
      <c r="D139" s="189" t="s">
        <v>33</v>
      </c>
      <c r="E139" s="343">
        <v>5063</v>
      </c>
      <c r="F139" s="344"/>
      <c r="G139" s="189" t="s">
        <v>33</v>
      </c>
      <c r="H139" s="189" t="s">
        <v>33</v>
      </c>
      <c r="I139" s="189" t="s">
        <v>33</v>
      </c>
      <c r="J139" s="191">
        <v>23.7</v>
      </c>
      <c r="K139" s="190" t="s">
        <v>47</v>
      </c>
      <c r="L139" s="189" t="s">
        <v>33</v>
      </c>
      <c r="M139" s="343">
        <v>4288</v>
      </c>
      <c r="N139" s="344"/>
      <c r="O139" s="189" t="s">
        <v>33</v>
      </c>
      <c r="P139" s="189" t="s">
        <v>33</v>
      </c>
      <c r="Q139" s="189" t="s">
        <v>33</v>
      </c>
      <c r="R139" s="191">
        <v>22.4</v>
      </c>
      <c r="S139" s="190" t="s">
        <v>47</v>
      </c>
      <c r="T139" s="189" t="s">
        <v>33</v>
      </c>
      <c r="U139" s="343">
        <v>4055</v>
      </c>
      <c r="V139" s="344"/>
      <c r="W139" s="189" t="s">
        <v>33</v>
      </c>
      <c r="X139" s="189" t="s">
        <v>33</v>
      </c>
      <c r="Y139" s="189" t="s">
        <v>33</v>
      </c>
      <c r="Z139" s="191">
        <v>22.6</v>
      </c>
      <c r="AA139" s="190" t="s">
        <v>47</v>
      </c>
    </row>
    <row r="141" spans="3:27">
      <c r="D141" s="198" t="s">
        <v>35</v>
      </c>
      <c r="E141" s="345"/>
      <c r="F141" s="345"/>
      <c r="G141" s="345"/>
      <c r="H141" s="345"/>
      <c r="I141" s="345"/>
      <c r="J141" s="345"/>
      <c r="K141" s="345"/>
      <c r="L141" s="345"/>
      <c r="M141" s="345"/>
      <c r="N141" s="345"/>
      <c r="O141" s="345"/>
      <c r="P141" s="345"/>
      <c r="Q141" s="345"/>
      <c r="R141" s="345"/>
      <c r="S141" s="345"/>
      <c r="T141" s="345"/>
      <c r="U141" s="345"/>
    </row>
    <row r="142" spans="3:27">
      <c r="D142" s="346">
        <v>2007</v>
      </c>
      <c r="E142" s="345"/>
      <c r="F142" s="345"/>
      <c r="G142" s="345"/>
      <c r="H142" s="345"/>
      <c r="I142" s="345"/>
      <c r="J142" s="196" t="s">
        <v>33</v>
      </c>
      <c r="K142" s="196" t="s">
        <v>33</v>
      </c>
      <c r="L142" s="346">
        <v>2006</v>
      </c>
      <c r="M142" s="345"/>
      <c r="N142" s="345"/>
      <c r="O142" s="345"/>
      <c r="P142" s="345"/>
      <c r="Q142" s="345"/>
      <c r="R142" s="196" t="s">
        <v>33</v>
      </c>
      <c r="S142" s="196" t="s">
        <v>33</v>
      </c>
      <c r="T142" s="197" t="s">
        <v>33</v>
      </c>
      <c r="U142" s="195"/>
    </row>
    <row r="143" spans="3:27">
      <c r="D143" s="200" t="s">
        <v>50</v>
      </c>
      <c r="E143" s="347"/>
      <c r="F143" s="199" t="s">
        <v>33</v>
      </c>
      <c r="G143" s="199" t="s">
        <v>33</v>
      </c>
      <c r="H143" s="200" t="s">
        <v>51</v>
      </c>
      <c r="I143" s="347"/>
      <c r="J143" s="199" t="s">
        <v>33</v>
      </c>
      <c r="K143" s="199" t="s">
        <v>33</v>
      </c>
      <c r="L143" s="200" t="s">
        <v>50</v>
      </c>
      <c r="M143" s="347"/>
      <c r="N143" s="199" t="s">
        <v>33</v>
      </c>
      <c r="O143" s="199" t="s">
        <v>33</v>
      </c>
      <c r="P143" s="200" t="s">
        <v>51</v>
      </c>
      <c r="Q143" s="347"/>
      <c r="R143" s="199" t="s">
        <v>33</v>
      </c>
      <c r="S143" s="199" t="s">
        <v>33</v>
      </c>
      <c r="T143" s="200" t="s">
        <v>40</v>
      </c>
      <c r="U143" s="347"/>
    </row>
    <row r="144" spans="3:27">
      <c r="C144" s="206" t="s">
        <v>48</v>
      </c>
      <c r="D144" s="205" t="s">
        <v>33</v>
      </c>
      <c r="E144" s="348">
        <v>3450</v>
      </c>
      <c r="F144" s="349"/>
      <c r="G144" s="205" t="s">
        <v>33</v>
      </c>
      <c r="H144" s="205" t="s">
        <v>33</v>
      </c>
      <c r="I144" s="205" t="s">
        <v>33</v>
      </c>
      <c r="J144" s="208">
        <v>22</v>
      </c>
      <c r="K144" s="206" t="s">
        <v>47</v>
      </c>
      <c r="L144" s="205" t="s">
        <v>33</v>
      </c>
      <c r="M144" s="348">
        <v>2968</v>
      </c>
      <c r="N144" s="349"/>
      <c r="O144" s="205" t="s">
        <v>33</v>
      </c>
      <c r="P144" s="205" t="s">
        <v>33</v>
      </c>
      <c r="Q144" s="205" t="s">
        <v>33</v>
      </c>
      <c r="R144" s="208">
        <v>20.9</v>
      </c>
      <c r="S144" s="206" t="s">
        <v>47</v>
      </c>
      <c r="T144" s="205" t="s">
        <v>33</v>
      </c>
      <c r="U144" s="205" t="s">
        <v>33</v>
      </c>
      <c r="V144" s="207">
        <v>16</v>
      </c>
      <c r="W144" s="206" t="s">
        <v>49</v>
      </c>
    </row>
    <row r="145" spans="3:27">
      <c r="C145" s="202" t="s">
        <v>48</v>
      </c>
      <c r="D145" s="201" t="s">
        <v>33</v>
      </c>
      <c r="E145" s="350">
        <v>3439</v>
      </c>
      <c r="F145" s="351"/>
      <c r="G145" s="201" t="s">
        <v>33</v>
      </c>
      <c r="H145" s="201" t="s">
        <v>33</v>
      </c>
      <c r="I145" s="201" t="s">
        <v>33</v>
      </c>
      <c r="J145" s="204">
        <v>21.9</v>
      </c>
      <c r="K145" s="202" t="s">
        <v>47</v>
      </c>
      <c r="L145" s="201" t="s">
        <v>33</v>
      </c>
      <c r="M145" s="350">
        <v>2978</v>
      </c>
      <c r="N145" s="351"/>
      <c r="O145" s="201" t="s">
        <v>33</v>
      </c>
      <c r="P145" s="201" t="s">
        <v>33</v>
      </c>
      <c r="Q145" s="201" t="s">
        <v>33</v>
      </c>
      <c r="R145" s="204">
        <v>21</v>
      </c>
      <c r="S145" s="202" t="s">
        <v>47</v>
      </c>
      <c r="T145" s="201" t="s">
        <v>33</v>
      </c>
      <c r="U145" s="201" t="s">
        <v>33</v>
      </c>
      <c r="V145" s="203">
        <v>15</v>
      </c>
      <c r="W145" s="202" t="s">
        <v>49</v>
      </c>
    </row>
    <row r="147" spans="3:27">
      <c r="D147" s="352" t="s">
        <v>36</v>
      </c>
      <c r="E147" s="353"/>
      <c r="F147" s="353"/>
      <c r="G147" s="353"/>
      <c r="H147" s="353"/>
      <c r="I147" s="353"/>
      <c r="J147" s="353"/>
      <c r="K147" s="353"/>
      <c r="L147" s="353"/>
      <c r="M147" s="353"/>
      <c r="N147" s="353"/>
      <c r="O147" s="353"/>
      <c r="P147" s="353"/>
      <c r="Q147" s="353"/>
      <c r="R147" s="353"/>
      <c r="S147" s="353"/>
      <c r="T147" s="353"/>
      <c r="U147" s="353"/>
      <c r="V147" s="353"/>
      <c r="W147" s="353"/>
      <c r="X147" s="353"/>
      <c r="Y147" s="353"/>
    </row>
    <row r="148" spans="3:27">
      <c r="D148" s="354">
        <v>2005</v>
      </c>
      <c r="E148" s="355"/>
      <c r="F148" s="355"/>
      <c r="G148" s="355"/>
      <c r="H148" s="355"/>
      <c r="I148" s="355"/>
      <c r="J148" s="209" t="s">
        <v>33</v>
      </c>
      <c r="K148" s="209" t="s">
        <v>33</v>
      </c>
      <c r="L148" s="354">
        <v>2004</v>
      </c>
      <c r="M148" s="355"/>
      <c r="N148" s="355"/>
      <c r="O148" s="355"/>
      <c r="P148" s="355"/>
      <c r="Q148" s="355"/>
      <c r="R148" s="209" t="s">
        <v>33</v>
      </c>
      <c r="S148" s="209" t="s">
        <v>33</v>
      </c>
      <c r="T148" s="354">
        <v>2003</v>
      </c>
      <c r="U148" s="355"/>
      <c r="V148" s="355"/>
      <c r="W148" s="355"/>
      <c r="X148" s="355"/>
      <c r="Y148" s="355"/>
    </row>
    <row r="149" spans="3:27">
      <c r="D149" s="211" t="s">
        <v>50</v>
      </c>
      <c r="E149" s="356"/>
      <c r="F149" s="210" t="s">
        <v>33</v>
      </c>
      <c r="G149" s="210" t="s">
        <v>33</v>
      </c>
      <c r="H149" s="211" t="s">
        <v>53</v>
      </c>
      <c r="I149" s="356"/>
      <c r="J149" s="210" t="s">
        <v>33</v>
      </c>
      <c r="K149" s="210" t="s">
        <v>33</v>
      </c>
      <c r="L149" s="211" t="s">
        <v>50</v>
      </c>
      <c r="M149" s="356"/>
      <c r="N149" s="210" t="s">
        <v>33</v>
      </c>
      <c r="O149" s="210" t="s">
        <v>33</v>
      </c>
      <c r="P149" s="211" t="s">
        <v>53</v>
      </c>
      <c r="Q149" s="356"/>
      <c r="R149" s="210" t="s">
        <v>33</v>
      </c>
      <c r="S149" s="210" t="s">
        <v>33</v>
      </c>
      <c r="T149" s="211" t="s">
        <v>50</v>
      </c>
      <c r="U149" s="356"/>
      <c r="V149" s="210" t="s">
        <v>33</v>
      </c>
      <c r="W149" s="210" t="s">
        <v>33</v>
      </c>
      <c r="X149" s="211" t="s">
        <v>53</v>
      </c>
      <c r="Y149" s="356"/>
    </row>
    <row r="150" spans="3:27">
      <c r="C150" s="216" t="s">
        <v>54</v>
      </c>
      <c r="D150" s="215" t="s">
        <v>33</v>
      </c>
      <c r="E150" s="357">
        <v>3779</v>
      </c>
      <c r="F150" s="358"/>
      <c r="G150" s="215" t="s">
        <v>33</v>
      </c>
      <c r="H150" s="215" t="s">
        <v>33</v>
      </c>
      <c r="I150" s="215" t="s">
        <v>33</v>
      </c>
      <c r="J150" s="217">
        <v>21</v>
      </c>
      <c r="K150" s="216" t="s">
        <v>47</v>
      </c>
      <c r="L150" s="215" t="s">
        <v>33</v>
      </c>
      <c r="M150" s="357">
        <v>3604</v>
      </c>
      <c r="N150" s="358"/>
      <c r="O150" s="215" t="s">
        <v>33</v>
      </c>
      <c r="P150" s="215" t="s">
        <v>33</v>
      </c>
      <c r="Q150" s="215" t="s">
        <v>33</v>
      </c>
      <c r="R150" s="217">
        <v>20.8</v>
      </c>
      <c r="S150" s="216" t="s">
        <v>47</v>
      </c>
      <c r="T150" s="215" t="s">
        <v>33</v>
      </c>
      <c r="U150" s="357">
        <v>3281</v>
      </c>
      <c r="V150" s="358"/>
      <c r="W150" s="215" t="s">
        <v>33</v>
      </c>
      <c r="X150" s="215" t="s">
        <v>33</v>
      </c>
      <c r="Y150" s="215" t="s">
        <v>33</v>
      </c>
      <c r="Z150" s="217">
        <v>21</v>
      </c>
      <c r="AA150" s="216" t="s">
        <v>47</v>
      </c>
    </row>
    <row r="151" spans="3:27">
      <c r="C151" s="213" t="s">
        <v>54</v>
      </c>
      <c r="D151" s="212" t="s">
        <v>33</v>
      </c>
      <c r="E151" s="359">
        <v>3828</v>
      </c>
      <c r="F151" s="360"/>
      <c r="G151" s="212" t="s">
        <v>33</v>
      </c>
      <c r="H151" s="212" t="s">
        <v>33</v>
      </c>
      <c r="I151" s="212" t="s">
        <v>33</v>
      </c>
      <c r="J151" s="214">
        <v>21.3</v>
      </c>
      <c r="K151" s="213" t="s">
        <v>47</v>
      </c>
      <c r="L151" s="212" t="s">
        <v>33</v>
      </c>
      <c r="M151" s="359">
        <v>3640</v>
      </c>
      <c r="N151" s="360"/>
      <c r="O151" s="212" t="s">
        <v>33</v>
      </c>
      <c r="P151" s="212" t="s">
        <v>33</v>
      </c>
      <c r="Q151" s="212" t="s">
        <v>33</v>
      </c>
      <c r="R151" s="214">
        <v>21</v>
      </c>
      <c r="S151" s="213" t="s">
        <v>47</v>
      </c>
      <c r="T151" s="212" t="s">
        <v>33</v>
      </c>
      <c r="U151" s="359">
        <v>3474</v>
      </c>
      <c r="V151" s="360"/>
      <c r="W151" s="212" t="s">
        <v>33</v>
      </c>
      <c r="X151" s="212" t="s">
        <v>33</v>
      </c>
      <c r="Y151" s="212" t="s">
        <v>33</v>
      </c>
      <c r="Z151" s="214">
        <v>22.2</v>
      </c>
      <c r="AA151" s="213" t="s">
        <v>47</v>
      </c>
    </row>
    <row r="153" spans="3:27">
      <c r="D153" s="361" t="s">
        <v>36</v>
      </c>
      <c r="E153" s="362"/>
      <c r="F153" s="362"/>
      <c r="G153" s="362"/>
      <c r="H153" s="362"/>
      <c r="I153" s="362"/>
      <c r="J153" s="362"/>
      <c r="K153" s="362"/>
      <c r="L153" s="362"/>
      <c r="M153" s="362"/>
      <c r="N153" s="362"/>
      <c r="O153" s="362"/>
      <c r="P153" s="362"/>
      <c r="Q153" s="362"/>
      <c r="R153" s="362"/>
      <c r="S153" s="362"/>
      <c r="T153" s="362"/>
      <c r="U153" s="362"/>
      <c r="V153" s="362"/>
      <c r="W153" s="362"/>
      <c r="X153" s="362"/>
      <c r="Y153" s="362"/>
    </row>
    <row r="154" spans="3:27">
      <c r="D154" s="363">
        <v>2004</v>
      </c>
      <c r="E154" s="364"/>
      <c r="F154" s="364"/>
      <c r="G154" s="364"/>
      <c r="H154" s="364"/>
      <c r="I154" s="364"/>
      <c r="J154" s="218" t="s">
        <v>33</v>
      </c>
      <c r="K154" s="218" t="s">
        <v>33</v>
      </c>
      <c r="L154" s="363">
        <v>2003</v>
      </c>
      <c r="M154" s="364"/>
      <c r="N154" s="364"/>
      <c r="O154" s="364"/>
      <c r="P154" s="364"/>
      <c r="Q154" s="364"/>
      <c r="R154" s="218" t="s">
        <v>33</v>
      </c>
      <c r="S154" s="218" t="s">
        <v>33</v>
      </c>
      <c r="T154" s="363">
        <v>2002</v>
      </c>
      <c r="U154" s="364"/>
      <c r="V154" s="364"/>
      <c r="W154" s="364"/>
      <c r="X154" s="364"/>
      <c r="Y154" s="364"/>
    </row>
    <row r="155" spans="3:27">
      <c r="C155" s="223" t="s">
        <v>54</v>
      </c>
      <c r="D155" s="222" t="s">
        <v>33</v>
      </c>
      <c r="E155" s="365">
        <v>3604</v>
      </c>
      <c r="F155" s="366"/>
      <c r="G155" s="222" t="s">
        <v>33</v>
      </c>
      <c r="H155" s="222" t="s">
        <v>33</v>
      </c>
      <c r="I155" s="222" t="s">
        <v>33</v>
      </c>
      <c r="J155" s="224">
        <v>20.8</v>
      </c>
      <c r="K155" s="223" t="s">
        <v>47</v>
      </c>
      <c r="L155" s="222" t="s">
        <v>33</v>
      </c>
      <c r="M155" s="365">
        <v>3281</v>
      </c>
      <c r="N155" s="366"/>
      <c r="O155" s="222" t="s">
        <v>33</v>
      </c>
      <c r="P155" s="222" t="s">
        <v>33</v>
      </c>
      <c r="Q155" s="222" t="s">
        <v>33</v>
      </c>
      <c r="R155" s="224">
        <v>21</v>
      </c>
      <c r="S155" s="223" t="s">
        <v>47</v>
      </c>
      <c r="T155" s="222" t="s">
        <v>33</v>
      </c>
      <c r="U155" s="365">
        <v>2516</v>
      </c>
      <c r="V155" s="366"/>
      <c r="W155" s="222" t="s">
        <v>33</v>
      </c>
      <c r="X155" s="222" t="s">
        <v>33</v>
      </c>
      <c r="Y155" s="222" t="s">
        <v>33</v>
      </c>
      <c r="Z155" s="224">
        <v>19.3</v>
      </c>
      <c r="AA155" s="223" t="s">
        <v>47</v>
      </c>
    </row>
    <row r="156" spans="3:27">
      <c r="C156" s="220" t="s">
        <v>55</v>
      </c>
      <c r="D156" s="219" t="s">
        <v>33</v>
      </c>
      <c r="E156" s="367">
        <v>3640</v>
      </c>
      <c r="F156" s="368"/>
      <c r="G156" s="219" t="s">
        <v>33</v>
      </c>
      <c r="H156" s="219" t="s">
        <v>33</v>
      </c>
      <c r="I156" s="219" t="s">
        <v>33</v>
      </c>
      <c r="J156" s="221">
        <v>21</v>
      </c>
      <c r="K156" s="220" t="s">
        <v>47</v>
      </c>
      <c r="L156" s="219" t="s">
        <v>33</v>
      </c>
      <c r="M156" s="367">
        <v>3474</v>
      </c>
      <c r="N156" s="368"/>
      <c r="O156" s="219" t="s">
        <v>33</v>
      </c>
      <c r="P156" s="219" t="s">
        <v>33</v>
      </c>
      <c r="Q156" s="219" t="s">
        <v>33</v>
      </c>
      <c r="R156" s="221">
        <v>22.2</v>
      </c>
      <c r="S156" s="220" t="s">
        <v>47</v>
      </c>
      <c r="T156" s="219" t="s">
        <v>33</v>
      </c>
      <c r="U156" s="367">
        <v>2808</v>
      </c>
      <c r="V156" s="368"/>
      <c r="W156" s="219" t="s">
        <v>33</v>
      </c>
      <c r="X156" s="219" t="s">
        <v>33</v>
      </c>
      <c r="Y156" s="219" t="s">
        <v>33</v>
      </c>
      <c r="Z156" s="221">
        <v>21.5</v>
      </c>
      <c r="AA156" s="220" t="s">
        <v>47</v>
      </c>
    </row>
    <row r="158" spans="3:27">
      <c r="D158" s="369" t="s">
        <v>56</v>
      </c>
      <c r="E158" s="370"/>
      <c r="F158" s="370"/>
      <c r="G158" s="370"/>
      <c r="H158" s="370"/>
      <c r="I158" s="370"/>
      <c r="J158" s="370"/>
      <c r="K158" s="370"/>
      <c r="L158" s="370"/>
      <c r="M158" s="370"/>
      <c r="N158" s="370"/>
    </row>
    <row r="159" spans="3:27">
      <c r="C159" s="226" t="s">
        <v>57</v>
      </c>
      <c r="D159" s="225" t="s">
        <v>33</v>
      </c>
      <c r="E159" s="371">
        <v>2002</v>
      </c>
      <c r="F159" s="372"/>
      <c r="G159" s="372"/>
      <c r="H159" s="225" t="s">
        <v>33</v>
      </c>
      <c r="I159" s="371">
        <v>2001</v>
      </c>
      <c r="J159" s="372"/>
      <c r="K159" s="372"/>
      <c r="L159" s="225" t="s">
        <v>33</v>
      </c>
      <c r="M159" s="371">
        <v>2000</v>
      </c>
      <c r="N159" s="372"/>
      <c r="O159" s="372"/>
      <c r="P159" s="225" t="s">
        <v>33</v>
      </c>
      <c r="Q159" s="371">
        <v>1999</v>
      </c>
      <c r="R159" s="372"/>
      <c r="S159" s="372"/>
      <c r="T159" s="225" t="s">
        <v>33</v>
      </c>
      <c r="U159" s="371">
        <v>1998</v>
      </c>
      <c r="V159" s="372"/>
      <c r="W159" s="372"/>
    </row>
    <row r="160" spans="3:27">
      <c r="C160" s="227" t="s">
        <v>58</v>
      </c>
      <c r="D160" s="225" t="s">
        <v>33</v>
      </c>
      <c r="E160" s="225" t="s">
        <v>33</v>
      </c>
      <c r="F160" s="228">
        <v>0.191</v>
      </c>
      <c r="G160" s="227" t="s">
        <v>49</v>
      </c>
      <c r="H160" s="225" t="s">
        <v>33</v>
      </c>
      <c r="I160" s="225" t="s">
        <v>33</v>
      </c>
      <c r="J160" s="228">
        <v>0.19</v>
      </c>
      <c r="K160" s="227" t="s">
        <v>49</v>
      </c>
      <c r="L160" s="225" t="s">
        <v>33</v>
      </c>
      <c r="M160" s="225" t="s">
        <v>33</v>
      </c>
      <c r="N160" s="228">
        <v>0.19500000000000001</v>
      </c>
      <c r="O160" s="227" t="s">
        <v>49</v>
      </c>
      <c r="P160" s="225" t="s">
        <v>33</v>
      </c>
      <c r="Q160" s="225" t="s">
        <v>33</v>
      </c>
      <c r="R160" s="228">
        <v>0.193</v>
      </c>
      <c r="S160" s="227" t="s">
        <v>49</v>
      </c>
      <c r="T160" s="225" t="s">
        <v>33</v>
      </c>
      <c r="U160" s="225" t="s">
        <v>33</v>
      </c>
      <c r="V160" s="228">
        <v>0.20200000000000001</v>
      </c>
      <c r="W160" s="227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Report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2015-03-26T16:32:48Z</cp:lastPrinted>
  <dcterms:created xsi:type="dcterms:W3CDTF">2013-04-04T19:42:48Z</dcterms:created>
  <dcterms:modified xsi:type="dcterms:W3CDTF">2015-03-26T17:48:44Z</dcterms:modified>
</cp:coreProperties>
</file>