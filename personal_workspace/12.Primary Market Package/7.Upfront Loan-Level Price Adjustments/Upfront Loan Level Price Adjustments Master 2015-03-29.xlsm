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20" windowWidth="29715" windowHeight="15390"/>
  </bookViews>
  <sheets>
    <sheet name="Report" sheetId="4" r:id="rId1"/>
    <sheet name="Input" sheetId="15" r:id="rId2"/>
    <sheet name="Raw" sheetId="14" r:id="rId3"/>
  </sheets>
  <functionGroups builtInGroupCount="17"/>
  <definedNames>
    <definedName name="CurrentCloseDate">Report!$T$2</definedName>
    <definedName name="DatabaseEnv">Report!$T$1</definedName>
    <definedName name="LastAvailableDate">Report!$T$9</definedName>
    <definedName name="LastSurveyDate">Report!$T$8</definedName>
    <definedName name="PDFReportDir">Report!$T$3</definedName>
    <definedName name="PDFReportName">Report!$T$4</definedName>
    <definedName name="_xlnm.Print_Area" localSheetId="0">Report!$B$7:$N$60</definedName>
    <definedName name="SaveRatesToDB">Report!$V$1</definedName>
  </definedNames>
  <calcPr calcId="145621"/>
</workbook>
</file>

<file path=xl/calcChain.xml><?xml version="1.0" encoding="utf-8"?>
<calcChain xmlns="http://schemas.openxmlformats.org/spreadsheetml/2006/main">
  <c r="T4" i="4" l="1"/>
  <c r="M53" i="4" l="1"/>
  <c r="M46" i="4"/>
  <c r="N46" i="4"/>
  <c r="N47" i="4" s="1"/>
  <c r="N48" i="4" s="1"/>
  <c r="N49" i="4" s="1"/>
  <c r="N50" i="4" s="1"/>
  <c r="N51" i="4" s="1"/>
  <c r="N52" i="4" s="1"/>
  <c r="N53" i="4"/>
  <c r="L41" i="4" l="1"/>
  <c r="K41" i="4"/>
  <c r="J41" i="4"/>
  <c r="I41" i="4"/>
  <c r="H41" i="4"/>
  <c r="G41" i="4"/>
  <c r="F41" i="4"/>
  <c r="E41" i="4"/>
  <c r="D41" i="4"/>
  <c r="L40" i="4"/>
  <c r="K40" i="4"/>
  <c r="J40" i="4"/>
  <c r="I40" i="4"/>
  <c r="H40" i="4"/>
  <c r="G40" i="4"/>
  <c r="F40" i="4"/>
  <c r="E40" i="4"/>
  <c r="D40" i="4"/>
  <c r="C41" i="4"/>
  <c r="C40" i="4"/>
</calcChain>
</file>

<file path=xl/sharedStrings.xml><?xml version="1.0" encoding="utf-8"?>
<sst xmlns="http://schemas.openxmlformats.org/spreadsheetml/2006/main" count="721" uniqueCount="67">
  <si>
    <t>Database Env</t>
  </si>
  <si>
    <t>Save Data to DB</t>
  </si>
  <si>
    <t>As of Date</t>
  </si>
  <si>
    <t>Report Name</t>
  </si>
  <si>
    <t>No</t>
  </si>
  <si>
    <t>PROD</t>
  </si>
  <si>
    <t>Report Folder</t>
  </si>
  <si>
    <t>S:\IT\Production\Daily Reports\Primary Market</t>
  </si>
  <si>
    <t>Credit Score</t>
  </si>
  <si>
    <t>&gt; 740</t>
  </si>
  <si>
    <t>720 - 739</t>
  </si>
  <si>
    <t>700 - 719</t>
  </si>
  <si>
    <t>680 - 699</t>
  </si>
  <si>
    <t>660 - 679</t>
  </si>
  <si>
    <t>640 - 659</t>
  </si>
  <si>
    <t>620 - 639</t>
  </si>
  <si>
    <t>&lt; 620</t>
  </si>
  <si>
    <t>&lt;= 60</t>
  </si>
  <si>
    <t>60.01-70</t>
  </si>
  <si>
    <t>70.01-75</t>
  </si>
  <si>
    <t>75.01-80</t>
  </si>
  <si>
    <t>80.01-85</t>
  </si>
  <si>
    <t>85.01-90</t>
  </si>
  <si>
    <t>90.01-95</t>
  </si>
  <si>
    <t>95.01-97</t>
  </si>
  <si>
    <t>LTV</t>
  </si>
  <si>
    <t>Product Feature (Cumulative)</t>
  </si>
  <si>
    <t>Investment Property</t>
  </si>
  <si>
    <t>3-4 Unit Property</t>
  </si>
  <si>
    <t>2 Unit Property</t>
  </si>
  <si>
    <t>Condominiums</t>
  </si>
  <si>
    <t>N/A</t>
  </si>
  <si>
    <t>Single-family effective guaranty fee</t>
  </si>
  <si>
    <t/>
  </si>
  <si>
    <t>For the Three Months Ended September 30,</t>
  </si>
  <si>
    <t>For the Nine Months Ended September 30,</t>
  </si>
  <si>
    <t>For the Year Ended December 31,</t>
  </si>
  <si>
    <t>Single-family average charged guaranty</t>
  </si>
  <si>
    <t>For the Three Months Ended June 30,</t>
  </si>
  <si>
    <t>For the Three Months Ended March 31,</t>
  </si>
  <si>
    <t>Variance</t>
  </si>
  <si>
    <t>For the Three Months Ended</t>
  </si>
  <si>
    <t>September 30,</t>
  </si>
  <si>
    <t>For the Three Months</t>
  </si>
  <si>
    <t>Ended September 30,</t>
  </si>
  <si>
    <t>Single-family average charged fee on new</t>
  </si>
  <si>
    <t>Average effective guaranty fee rate (in</t>
  </si>
  <si>
    <t>bp</t>
  </si>
  <si>
    <t>Guaranty fee income/average effective</t>
  </si>
  <si>
    <t>%</t>
  </si>
  <si>
    <t>Amount</t>
  </si>
  <si>
    <t>Rate (2)</t>
  </si>
  <si>
    <t>For the Six Months Ended June 30,</t>
  </si>
  <si>
    <t>Rate (1)</t>
  </si>
  <si>
    <t>Guaranty fee income and average effective</t>
  </si>
  <si>
    <t>Guaranty fee income, excluding impairment</t>
  </si>
  <si>
    <t>Year Ended December 31,</t>
  </si>
  <si>
    <t>Other Data:</t>
  </si>
  <si>
    <t>Average effective guaranty fee rate</t>
  </si>
  <si>
    <t>Q4</t>
  </si>
  <si>
    <t>Q3</t>
  </si>
  <si>
    <t>Q2</t>
  </si>
  <si>
    <t>Q1</t>
  </si>
  <si>
    <t>FNMA Upfront Loan-Level Price Adjustments</t>
  </si>
  <si>
    <t>Effective Guaranty Fee</t>
  </si>
  <si>
    <t>SF Effective g-fee</t>
  </si>
  <si>
    <t>SF New Issued g-fee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</si>
</sst>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8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#,##0.00;[Red]\(#,##0.00\)"/>
    <numFmt numFmtId="195" formatCode="&quot;$&quot;#,##0;[Red]\(&quot;$&quot;##,#00\)"/>
    <numFmt numFmtId="196" formatCode="#,##0;[Red]\(#,##0\)"/>
    <numFmt numFmtId="197" formatCode=";;"/>
  </numFmts>
  <fonts count="1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AD275C"/>
      <name val="Calibri"/>
      <family val="2"/>
      <scheme val="minor"/>
    </font>
    <font>
      <sz val="9"/>
      <color indexed="0"/>
      <name val="Courier New"/>
      <family val="3"/>
    </font>
    <font>
      <sz val="9"/>
      <color indexed="0"/>
      <name val="Helvetica"/>
      <family val="2"/>
    </font>
  </fonts>
  <fills count="5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EBE4"/>
        <bgColor rgb="FF000000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/>
      <bottom/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/>
      <diagonal/>
    </border>
    <border>
      <left style="thin">
        <color rgb="FF2E398A"/>
      </left>
      <right style="thin">
        <color rgb="FF2E398A"/>
      </right>
      <top/>
      <bottom style="thin">
        <color rgb="FF2E398A"/>
      </bottom>
      <diagonal/>
    </border>
  </borders>
  <cellStyleXfs count="619">
    <xf numFmtId="0" fontId="0" fillId="0" borderId="0"/>
    <xf numFmtId="0" fontId="5" fillId="6" borderId="7" applyNumberFormat="0"/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0" fontId="7" fillId="0" borderId="0" applyNumberFormat="0" applyFill="0" applyBorder="0" applyAlignment="0" applyProtection="0">
      <alignment horizontal="left" wrapText="1"/>
    </xf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6" fillId="5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9" borderId="0" applyNumberFormat="0" applyBorder="0" applyAlignment="0" applyProtection="0"/>
    <xf numFmtId="0" fontId="9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11" borderId="0" applyNumberFormat="0" applyBorder="0" applyAlignment="0" applyProtection="0"/>
    <xf numFmtId="0" fontId="11" fillId="13" borderId="0" applyNumberFormat="0" applyBorder="0" applyAlignment="0" applyProtection="0"/>
    <xf numFmtId="0" fontId="9" fillId="14" borderId="0" applyNumberFormat="0" applyBorder="0" applyAlignment="0" applyProtection="0"/>
    <xf numFmtId="0" fontId="10" fillId="15" borderId="0" applyNumberFormat="0" applyBorder="0" applyAlignment="0" applyProtection="0"/>
    <xf numFmtId="0" fontId="11" fillId="14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8" borderId="0" applyNumberFormat="0" applyBorder="0" applyAlignment="0" applyProtection="0"/>
    <xf numFmtId="0" fontId="9" fillId="16" borderId="0" applyNumberFormat="0" applyBorder="0" applyAlignment="0" applyProtection="0"/>
    <xf numFmtId="0" fontId="10" fillId="17" borderId="0" applyNumberFormat="0" applyBorder="0" applyAlignment="0" applyProtection="0"/>
    <xf numFmtId="0" fontId="11" fillId="18" borderId="0" applyNumberFormat="0" applyBorder="0" applyAlignment="0" applyProtection="0"/>
    <xf numFmtId="0" fontId="9" fillId="19" borderId="0" applyNumberFormat="0" applyBorder="0" applyAlignment="0" applyProtection="0"/>
    <xf numFmtId="0" fontId="10" fillId="19" borderId="0" applyNumberFormat="0" applyBorder="0" applyAlignment="0" applyProtection="0"/>
    <xf numFmtId="0" fontId="11" fillId="19" borderId="0" applyNumberFormat="0" applyBorder="0" applyAlignment="0" applyProtection="0"/>
    <xf numFmtId="0" fontId="9" fillId="10" borderId="0" applyNumberFormat="0" applyBorder="0" applyAlignment="0" applyProtection="0"/>
    <xf numFmtId="0" fontId="10" fillId="13" borderId="0" applyNumberFormat="0" applyBorder="0" applyAlignment="0" applyProtection="0"/>
    <xf numFmtId="0" fontId="11" fillId="20" borderId="0" applyNumberFormat="0" applyBorder="0" applyAlignment="0" applyProtection="0"/>
    <xf numFmtId="0" fontId="9" fillId="16" borderId="0" applyNumberFormat="0" applyBorder="0" applyAlignment="0" applyProtection="0"/>
    <xf numFmtId="0" fontId="10" fillId="21" borderId="0" applyNumberFormat="0" applyBorder="0" applyAlignment="0" applyProtection="0"/>
    <xf numFmtId="0" fontId="11" fillId="13" borderId="0" applyNumberFormat="0" applyBorder="0" applyAlignment="0" applyProtection="0"/>
    <xf numFmtId="0" fontId="9" fillId="18" borderId="0" applyNumberFormat="0" applyBorder="0" applyAlignment="0" applyProtection="0"/>
    <xf numFmtId="0" fontId="10" fillId="15" borderId="0" applyNumberFormat="0" applyBorder="0" applyAlignment="0" applyProtection="0"/>
    <xf numFmtId="0" fontId="11" fillId="18" borderId="0" applyNumberFormat="0" applyBorder="0" applyAlignment="0" applyProtection="0"/>
    <xf numFmtId="0" fontId="9" fillId="8" borderId="0" applyNumberFormat="0" applyBorder="0" applyAlignment="0" applyProtection="0"/>
    <xf numFmtId="0" fontId="10" fillId="8" borderId="0" applyNumberFormat="0" applyBorder="0" applyAlignment="0" applyProtection="0"/>
    <xf numFmtId="0" fontId="11" fillId="22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5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24" borderId="0" applyNumberFormat="0" applyBorder="0" applyAlignment="0" applyProtection="0"/>
    <xf numFmtId="0" fontId="14" fillId="23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8" borderId="0" applyNumberFormat="0" applyBorder="0" applyAlignment="0" applyProtection="0"/>
    <xf numFmtId="0" fontId="12" fillId="23" borderId="0" applyNumberFormat="0" applyBorder="0" applyAlignment="0" applyProtection="0"/>
    <xf numFmtId="0" fontId="13" fillId="29" borderId="0" applyNumberFormat="0" applyBorder="0" applyAlignment="0" applyProtection="0"/>
    <xf numFmtId="0" fontId="14" fillId="30" borderId="0" applyNumberFormat="0" applyBorder="0" applyAlignment="0" applyProtection="0"/>
    <xf numFmtId="0" fontId="12" fillId="31" borderId="0" applyNumberFormat="0" applyBorder="0" applyAlignment="0" applyProtection="0"/>
    <xf numFmtId="0" fontId="13" fillId="32" borderId="0" applyNumberFormat="0" applyBorder="0" applyAlignment="0" applyProtection="0"/>
    <xf numFmtId="0" fontId="14" fillId="31" borderId="0" applyNumberFormat="0" applyBorder="0" applyAlignment="0" applyProtection="0"/>
    <xf numFmtId="0" fontId="12" fillId="33" borderId="0" applyNumberFormat="0" applyBorder="0" applyAlignment="0" applyProtection="0"/>
    <xf numFmtId="0" fontId="13" fillId="32" borderId="0" applyNumberFormat="0" applyBorder="0" applyAlignment="0" applyProtection="0"/>
    <xf numFmtId="0" fontId="14" fillId="33" borderId="0" applyNumberFormat="0" applyBorder="0" applyAlignment="0" applyProtection="0"/>
    <xf numFmtId="0" fontId="12" fillId="29" borderId="0" applyNumberFormat="0" applyBorder="0" applyAlignment="0" applyProtection="0"/>
    <xf numFmtId="0" fontId="13" fillId="29" borderId="0" applyNumberFormat="0" applyBorder="0" applyAlignment="0" applyProtection="0"/>
    <xf numFmtId="0" fontId="14" fillId="27" borderId="0" applyNumberFormat="0" applyBorder="0" applyAlignment="0" applyProtection="0"/>
    <xf numFmtId="0" fontId="12" fillId="23" borderId="0" applyNumberFormat="0" applyBorder="0" applyAlignment="0" applyProtection="0"/>
    <xf numFmtId="0" fontId="13" fillId="33" borderId="0" applyNumberFormat="0" applyBorder="0" applyAlignment="0" applyProtection="0"/>
    <xf numFmtId="0" fontId="14" fillId="23" borderId="0" applyNumberFormat="0" applyBorder="0" applyAlignment="0" applyProtection="0"/>
    <xf numFmtId="0" fontId="12" fillId="34" borderId="0" applyNumberFormat="0" applyBorder="0" applyAlignment="0" applyProtection="0"/>
    <xf numFmtId="0" fontId="13" fillId="34" borderId="0" applyNumberFormat="0" applyBorder="0" applyAlignment="0" applyProtection="0"/>
    <xf numFmtId="0" fontId="14" fillId="34" borderId="0" applyNumberFormat="0" applyBorder="0" applyAlignment="0" applyProtection="0"/>
    <xf numFmtId="0" fontId="7" fillId="0" borderId="0"/>
    <xf numFmtId="17" fontId="7" fillId="0" borderId="0" applyFont="0" applyFill="0" applyBorder="0" applyProtection="0">
      <alignment horizontal="left"/>
    </xf>
    <xf numFmtId="0" fontId="7" fillId="0" borderId="0" applyFont="0" applyFill="0" applyBorder="0" applyProtection="0">
      <alignment horizontal="left"/>
    </xf>
    <xf numFmtId="0" fontId="15" fillId="9" borderId="0" applyNumberFormat="0" applyBorder="0" applyAlignment="0" applyProtection="0"/>
    <xf numFmtId="0" fontId="16" fillId="9" borderId="0" applyNumberFormat="0" applyBorder="0" applyAlignment="0" applyProtection="0"/>
    <xf numFmtId="0" fontId="17" fillId="9" borderId="0" applyNumberFormat="0" applyBorder="0" applyAlignment="0" applyProtection="0"/>
    <xf numFmtId="38" fontId="18" fillId="12" borderId="0"/>
    <xf numFmtId="0" fontId="19" fillId="0" borderId="0" applyNumberFormat="0" applyFill="0" applyBorder="0" applyAlignment="0" applyProtection="0"/>
    <xf numFmtId="0" fontId="20" fillId="35" borderId="0">
      <alignment horizontal="left"/>
    </xf>
    <xf numFmtId="2" fontId="21" fillId="36" borderId="8" applyProtection="0">
      <alignment horizontal="left"/>
      <protection locked="0"/>
    </xf>
    <xf numFmtId="0" fontId="22" fillId="0" borderId="0" applyNumberFormat="0" applyFill="0" applyBorder="0" applyAlignment="0" applyProtection="0"/>
    <xf numFmtId="0" fontId="23" fillId="0" borderId="1" applyNumberFormat="0" applyFill="0" applyAlignment="0" applyProtection="0"/>
    <xf numFmtId="0" fontId="7" fillId="37" borderId="0"/>
    <xf numFmtId="167" fontId="8" fillId="0" borderId="0" applyFont="0" applyFill="0" applyBorder="0" applyAlignment="0" applyProtection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0" fontId="7" fillId="0" borderId="0" applyFill="0" applyBorder="0" applyAlignment="0"/>
    <xf numFmtId="0" fontId="7" fillId="0" borderId="0" applyFill="0" applyBorder="0" applyAlignment="0"/>
    <xf numFmtId="168" fontId="25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6" fillId="12" borderId="9" applyNumberFormat="0" applyAlignment="0" applyProtection="0"/>
    <xf numFmtId="0" fontId="27" fillId="14" borderId="9" applyNumberFormat="0" applyAlignment="0" applyProtection="0"/>
    <xf numFmtId="0" fontId="28" fillId="16" borderId="9" applyNumberFormat="0" applyAlignment="0" applyProtection="0"/>
    <xf numFmtId="0" fontId="29" fillId="38" borderId="10" applyNumberFormat="0"/>
    <xf numFmtId="0" fontId="30" fillId="39" borderId="11" applyBorder="0">
      <alignment horizontal="center" wrapText="1"/>
    </xf>
    <xf numFmtId="0" fontId="30" fillId="2" borderId="11" applyBorder="0">
      <alignment horizontal="center" wrapText="1"/>
    </xf>
    <xf numFmtId="0" fontId="31" fillId="40" borderId="10" applyNumberFormat="0"/>
    <xf numFmtId="0" fontId="32" fillId="41" borderId="10" applyNumberFormat="0"/>
    <xf numFmtId="0" fontId="3" fillId="41" borderId="10" applyNumberFormat="0"/>
    <xf numFmtId="0" fontId="31" fillId="40" borderId="10" applyNumberFormat="0"/>
    <xf numFmtId="0" fontId="32" fillId="40" borderId="10" applyNumberFormat="0"/>
    <xf numFmtId="0" fontId="31" fillId="38" borderId="10" applyNumberFormat="0"/>
    <xf numFmtId="0" fontId="29" fillId="38" borderId="10" applyNumberFormat="0"/>
    <xf numFmtId="0" fontId="5" fillId="6" borderId="7" applyNumberFormat="0" applyBorder="0"/>
    <xf numFmtId="0" fontId="5" fillId="6" borderId="7" applyNumberFormat="0" applyBorder="0"/>
    <xf numFmtId="0" fontId="5" fillId="6" borderId="7" applyNumberFormat="0"/>
    <xf numFmtId="0" fontId="5" fillId="6" borderId="7" applyNumberFormat="0" applyBorder="0"/>
    <xf numFmtId="14" fontId="33" fillId="40" borderId="12" applyNumberFormat="0" applyAlignment="0"/>
    <xf numFmtId="14" fontId="33" fillId="41" borderId="12" applyNumberFormat="0" applyAlignment="0"/>
    <xf numFmtId="14" fontId="34" fillId="41" borderId="12" applyNumberFormat="0" applyAlignment="0"/>
    <xf numFmtId="0" fontId="35" fillId="42" borderId="13" applyNumberFormat="0" applyAlignment="0" applyProtection="0"/>
    <xf numFmtId="0" fontId="36" fillId="42" borderId="13" applyNumberFormat="0" applyAlignment="0" applyProtection="0"/>
    <xf numFmtId="0" fontId="37" fillId="42" borderId="13" applyNumberFormat="0" applyAlignment="0" applyProtection="0"/>
    <xf numFmtId="0" fontId="38" fillId="0" borderId="0" applyNumberFormat="0" applyFill="0" applyBorder="0" applyAlignment="0" applyProtection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172" fontId="39" fillId="0" borderId="0"/>
    <xf numFmtId="172" fontId="40" fillId="0" borderId="0"/>
    <xf numFmtId="0" fontId="24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3" fontId="7" fillId="0" borderId="0" applyFill="0" applyBorder="0" applyAlignment="0" applyProtection="0"/>
    <xf numFmtId="0" fontId="41" fillId="0" borderId="0"/>
    <xf numFmtId="0" fontId="42" fillId="0" borderId="0" applyNumberFormat="0" applyAlignment="0">
      <alignment horizontal="left"/>
    </xf>
    <xf numFmtId="0" fontId="43" fillId="0" borderId="0">
      <alignment horizontal="center"/>
    </xf>
    <xf numFmtId="0" fontId="41" fillId="0" borderId="0"/>
    <xf numFmtId="0" fontId="24" fillId="0" borderId="0" applyFont="0" applyFill="0" applyBorder="0" applyAlignment="0" applyProtection="0"/>
    <xf numFmtId="169" fontId="7" fillId="0" borderId="0" applyFont="0" applyFill="0" applyBorder="0" applyAlignment="0" applyProtection="0"/>
    <xf numFmtId="8" fontId="44" fillId="0" borderId="14">
      <protection locked="0"/>
    </xf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5" fontId="7" fillId="0" borderId="0" applyFill="0" applyBorder="0" applyAlignment="0" applyProtection="0"/>
    <xf numFmtId="173" fontId="8" fillId="0" borderId="0" applyFont="0" applyFill="0" applyBorder="0" applyAlignment="0" applyProtection="0"/>
    <xf numFmtId="10" fontId="7" fillId="0" borderId="0" applyFont="0" applyFill="0" applyBorder="0" applyProtection="0">
      <alignment horizontal="center"/>
    </xf>
    <xf numFmtId="174" fontId="7" fillId="0" borderId="0" applyFont="0" applyFill="0" applyBorder="0" applyProtection="0"/>
    <xf numFmtId="175" fontId="7" fillId="0" borderId="0" applyFont="0" applyFill="0" applyBorder="0" applyProtection="0"/>
    <xf numFmtId="15" fontId="45" fillId="0" borderId="0" applyFont="0" applyFill="0" applyBorder="0" applyAlignment="0" applyProtection="0"/>
    <xf numFmtId="0" fontId="41" fillId="0" borderId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76" fontId="7" fillId="0" borderId="0" applyFill="0" applyBorder="0" applyAlignment="0" applyProtection="0"/>
    <xf numFmtId="15" fontId="10" fillId="12" borderId="0"/>
    <xf numFmtId="14" fontId="10" fillId="0" borderId="0" applyFill="0" applyBorder="0" applyAlignment="0"/>
    <xf numFmtId="0" fontId="43" fillId="36" borderId="0">
      <alignment horizontal="left"/>
    </xf>
    <xf numFmtId="176" fontId="7" fillId="0" borderId="0" applyFill="0" applyBorder="0" applyAlignment="0" applyProtection="0"/>
    <xf numFmtId="14" fontId="7" fillId="0" borderId="0"/>
    <xf numFmtId="0" fontId="46" fillId="19" borderId="0">
      <alignment horizontal="left"/>
    </xf>
    <xf numFmtId="0" fontId="47" fillId="0" borderId="0">
      <alignment horizontal="left"/>
    </xf>
    <xf numFmtId="38" fontId="48" fillId="0" borderId="15">
      <alignment vertical="center"/>
    </xf>
    <xf numFmtId="177" fontId="7" fillId="0" borderId="0">
      <alignment horizontal="right"/>
    </xf>
    <xf numFmtId="1" fontId="7" fillId="0" borderId="0">
      <alignment horizontal="right"/>
    </xf>
    <xf numFmtId="1" fontId="7" fillId="0" borderId="0">
      <alignment horizontal="right"/>
    </xf>
    <xf numFmtId="178" fontId="7" fillId="0" borderId="0">
      <alignment horizontal="right"/>
    </xf>
    <xf numFmtId="49" fontId="7" fillId="0" borderId="0">
      <alignment horizontal="left"/>
    </xf>
    <xf numFmtId="49" fontId="7" fillId="0" borderId="0">
      <alignment horizontal="left"/>
    </xf>
    <xf numFmtId="49" fontId="7" fillId="0" borderId="0">
      <alignment horizontal="right"/>
    </xf>
    <xf numFmtId="14" fontId="7" fillId="0" borderId="0">
      <alignment horizontal="left"/>
    </xf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49" fillId="0" borderId="0" applyNumberFormat="0" applyAlignment="0">
      <alignment horizontal="left"/>
    </xf>
    <xf numFmtId="9" fontId="50" fillId="0" borderId="6" applyNumberFormat="0" applyBorder="0" applyAlignment="0">
      <protection locked="0"/>
    </xf>
    <xf numFmtId="179" fontId="7" fillId="0" borderId="0" applyFon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" fontId="7" fillId="0" borderId="0" applyFill="0" applyBorder="0" applyAlignment="0" applyProtection="0"/>
    <xf numFmtId="180" fontId="7" fillId="0" borderId="0" applyFont="0" applyFill="0" applyBorder="0" applyAlignment="0" applyProtection="0"/>
    <xf numFmtId="0" fontId="10" fillId="12" borderId="0"/>
    <xf numFmtId="0" fontId="54" fillId="11" borderId="0" applyNumberFormat="0" applyBorder="0" applyAlignment="0" applyProtection="0"/>
    <xf numFmtId="0" fontId="55" fillId="15" borderId="0" applyNumberFormat="0" applyBorder="0" applyAlignment="0" applyProtection="0"/>
    <xf numFmtId="0" fontId="56" fillId="11" borderId="0" applyNumberFormat="0" applyBorder="0" applyAlignment="0" applyProtection="0"/>
    <xf numFmtId="2" fontId="57" fillId="36" borderId="8" applyProtection="0">
      <alignment horizontal="left"/>
      <protection locked="0"/>
    </xf>
    <xf numFmtId="38" fontId="38" fillId="43" borderId="0" applyNumberFormat="0" applyBorder="0" applyAlignment="0" applyProtection="0"/>
    <xf numFmtId="0" fontId="58" fillId="0" borderId="16" applyNumberFormat="0" applyAlignment="0" applyProtection="0">
      <alignment horizontal="left" vertical="center"/>
    </xf>
    <xf numFmtId="0" fontId="58" fillId="0" borderId="2">
      <alignment horizontal="left" vertical="center"/>
    </xf>
    <xf numFmtId="0" fontId="59" fillId="16" borderId="6">
      <alignment horizontal="centerContinuous"/>
    </xf>
    <xf numFmtId="0" fontId="60" fillId="0" borderId="17" applyNumberFormat="0" applyFill="0" applyAlignment="0" applyProtection="0"/>
    <xf numFmtId="0" fontId="61" fillId="0" borderId="18" applyNumberFormat="0" applyFill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9" applyNumberFormat="0" applyFill="0" applyAlignment="0" applyProtection="0"/>
    <xf numFmtId="0" fontId="65" fillId="0" borderId="20" applyNumberFormat="0" applyFill="0" applyAlignment="0" applyProtection="0"/>
    <xf numFmtId="0" fontId="66" fillId="0" borderId="21" applyNumberFormat="0" applyFill="0" applyAlignment="0" applyProtection="0"/>
    <xf numFmtId="0" fontId="46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7" fillId="0" borderId="20" applyNumberFormat="0" applyFill="0" applyAlignment="0" applyProtection="0"/>
    <xf numFmtId="0" fontId="68" fillId="0" borderId="22" applyNumberFormat="0" applyFill="0" applyAlignment="0" applyProtection="0"/>
    <xf numFmtId="0" fontId="69" fillId="0" borderId="23" applyNumberFormat="0" applyFill="0" applyAlignment="0" applyProtection="0"/>
    <xf numFmtId="0" fontId="70" fillId="0" borderId="24" applyNumberFormat="0" applyFill="0" applyAlignment="0" applyProtection="0"/>
    <xf numFmtId="0" fontId="6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12" borderId="0"/>
    <xf numFmtId="0" fontId="63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72" fillId="0" borderId="0" applyNumberFormat="0" applyFill="0" applyBorder="0" applyAlignment="0" applyProtection="0">
      <alignment vertical="top"/>
      <protection locked="0"/>
    </xf>
    <xf numFmtId="10" fontId="38" fillId="44" borderId="6" applyNumberFormat="0" applyBorder="0" applyAlignment="0" applyProtection="0"/>
    <xf numFmtId="2" fontId="73" fillId="0" borderId="25" applyNumberFormat="0" applyFill="0" applyBorder="0" applyAlignment="0">
      <alignment horizontal="center"/>
      <protection locked="0"/>
    </xf>
    <xf numFmtId="2" fontId="73" fillId="0" borderId="25" applyNumberFormat="0" applyFill="0" applyBorder="0" applyAlignment="0">
      <alignment horizontal="center"/>
      <protection locked="0"/>
    </xf>
    <xf numFmtId="0" fontId="2" fillId="3" borderId="4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0" fontId="74" fillId="8" borderId="9" applyNumberFormat="0" applyAlignment="0" applyProtection="0"/>
    <xf numFmtId="37" fontId="75" fillId="0" borderId="0" applyNumberFormat="0" applyAlignment="0">
      <protection locked="0"/>
    </xf>
    <xf numFmtId="0" fontId="76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7" fillId="0" borderId="26" applyNumberFormat="0" applyFill="0" applyAlignment="0" applyProtection="0"/>
    <xf numFmtId="0" fontId="78" fillId="0" borderId="26" applyNumberFormat="0" applyFill="0" applyAlignment="0" applyProtection="0"/>
    <xf numFmtId="0" fontId="79" fillId="0" borderId="26" applyNumberFormat="0" applyFill="0" applyAlignment="0" applyProtection="0"/>
    <xf numFmtId="0" fontId="7" fillId="43" borderId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38" fontId="10" fillId="12" borderId="0"/>
    <xf numFmtId="0" fontId="80" fillId="8" borderId="0" applyNumberFormat="0" applyBorder="0" applyAlignment="0" applyProtection="0"/>
    <xf numFmtId="0" fontId="81" fillId="13" borderId="0" applyNumberFormat="0" applyBorder="0" applyAlignment="0" applyProtection="0"/>
    <xf numFmtId="0" fontId="82" fillId="37" borderId="0" applyNumberFormat="0" applyBorder="0" applyAlignment="0" applyProtection="0"/>
    <xf numFmtId="37" fontId="83" fillId="0" borderId="0"/>
    <xf numFmtId="0" fontId="46" fillId="12" borderId="0" applyNumberFormat="0" applyFont="0" applyFill="0" applyBorder="0" applyAlignment="0"/>
    <xf numFmtId="10" fontId="10" fillId="12" borderId="0"/>
    <xf numFmtId="181" fontId="84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7" fillId="0" borderId="0"/>
    <xf numFmtId="0" fontId="7" fillId="0" borderId="0"/>
    <xf numFmtId="0" fontId="7" fillId="41" borderId="0"/>
    <xf numFmtId="0" fontId="7" fillId="41" borderId="0"/>
    <xf numFmtId="0" fontId="7" fillId="0" borderId="0"/>
    <xf numFmtId="0" fontId="7" fillId="0" borderId="0"/>
    <xf numFmtId="0" fontId="31" fillId="40" borderId="0"/>
    <xf numFmtId="0" fontId="31" fillId="40" borderId="0"/>
    <xf numFmtId="0" fontId="31" fillId="4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1" fillId="40" borderId="0"/>
    <xf numFmtId="0" fontId="7" fillId="0" borderId="0"/>
    <xf numFmtId="0" fontId="7" fillId="0" borderId="0"/>
    <xf numFmtId="0" fontId="31" fillId="40" borderId="0"/>
    <xf numFmtId="0" fontId="1" fillId="0" borderId="0"/>
    <xf numFmtId="0" fontId="1" fillId="0" borderId="0"/>
    <xf numFmtId="0" fontId="7" fillId="0" borderId="0">
      <alignment vertical="top"/>
    </xf>
    <xf numFmtId="0" fontId="7" fillId="0" borderId="0">
      <alignment vertical="top"/>
    </xf>
    <xf numFmtId="0" fontId="11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85" fillId="0" borderId="0"/>
    <xf numFmtId="0" fontId="7" fillId="0" borderId="0"/>
    <xf numFmtId="0" fontId="7" fillId="0" borderId="0"/>
    <xf numFmtId="0" fontId="31" fillId="4" borderId="5" applyNumberFormat="0" applyFont="0" applyAlignment="0" applyProtection="0"/>
    <xf numFmtId="0" fontId="10" fillId="10" borderId="27" applyNumberFormat="0" applyFont="0" applyAlignment="0" applyProtection="0"/>
    <xf numFmtId="0" fontId="86" fillId="10" borderId="27" applyNumberFormat="0" applyFont="0" applyAlignment="0" applyProtection="0"/>
    <xf numFmtId="0" fontId="31" fillId="4" borderId="5" applyNumberFormat="0" applyFont="0" applyAlignment="0" applyProtection="0"/>
    <xf numFmtId="0" fontId="87" fillId="0" borderId="0"/>
    <xf numFmtId="0" fontId="11" fillId="10" borderId="27" applyNumberFormat="0" applyFont="0" applyAlignment="0" applyProtection="0"/>
    <xf numFmtId="0" fontId="31" fillId="4" borderId="5" applyNumberFormat="0" applyFont="0" applyAlignment="0" applyProtection="0"/>
    <xf numFmtId="0" fontId="3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0" fontId="1" fillId="4" borderId="5" applyNumberFormat="0" applyFont="0" applyAlignment="0" applyProtection="0"/>
    <xf numFmtId="182" fontId="24" fillId="0" borderId="0">
      <alignment horizontal="center"/>
    </xf>
    <xf numFmtId="37" fontId="7" fillId="0" borderId="0"/>
    <xf numFmtId="183" fontId="38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184" fontId="88" fillId="0" borderId="0" applyNumberFormat="0" applyFill="0" applyBorder="0" applyAlignment="0" applyProtection="0"/>
    <xf numFmtId="164" fontId="24" fillId="0" borderId="0">
      <alignment horizontal="center"/>
    </xf>
    <xf numFmtId="0" fontId="31" fillId="7" borderId="0" applyNumberFormat="0" applyFont="0" applyBorder="0" applyAlignment="0" applyProtection="0"/>
    <xf numFmtId="0" fontId="88" fillId="0" borderId="28"/>
    <xf numFmtId="2" fontId="89" fillId="36" borderId="8">
      <alignment horizontal="left"/>
    </xf>
    <xf numFmtId="0" fontId="90" fillId="12" borderId="29" applyNumberFormat="0" applyAlignment="0" applyProtection="0"/>
    <xf numFmtId="0" fontId="91" fillId="14" borderId="29" applyNumberFormat="0" applyAlignment="0" applyProtection="0"/>
    <xf numFmtId="0" fontId="92" fillId="16" borderId="29" applyNumberFormat="0" applyAlignment="0" applyProtection="0"/>
    <xf numFmtId="40" fontId="10" fillId="36" borderId="0">
      <alignment horizontal="right"/>
    </xf>
    <xf numFmtId="0" fontId="93" fillId="44" borderId="0">
      <alignment horizontal="center"/>
    </xf>
    <xf numFmtId="0" fontId="36" fillId="45" borderId="8"/>
    <xf numFmtId="0" fontId="94" fillId="0" borderId="0" applyBorder="0">
      <alignment horizontal="centerContinuous"/>
    </xf>
    <xf numFmtId="0" fontId="95" fillId="0" borderId="0" applyBorder="0">
      <alignment horizontal="centerContinuous"/>
    </xf>
    <xf numFmtId="0" fontId="58" fillId="0" borderId="0"/>
    <xf numFmtId="0" fontId="7" fillId="0" borderId="0" applyFont="0" applyFill="0" applyBorder="0" applyAlignment="0" applyProtection="0"/>
    <xf numFmtId="171" fontId="7" fillId="0" borderId="0" applyFont="0" applyFill="0" applyBorder="0" applyAlignment="0" applyProtection="0"/>
    <xf numFmtId="0" fontId="96" fillId="0" borderId="0" applyFont="0" applyFill="0" applyBorder="0" applyAlignment="0" applyProtection="0"/>
    <xf numFmtId="185" fontId="25" fillId="0" borderId="0" applyFont="0" applyFill="0" applyBorder="0" applyAlignment="0" applyProtection="0"/>
    <xf numFmtId="10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88" fillId="0" borderId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8" fontId="7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186" fontId="24" fillId="0" borderId="0">
      <alignment horizontal="center"/>
    </xf>
    <xf numFmtId="187" fontId="24" fillId="0" borderId="6">
      <alignment horizontal="center"/>
    </xf>
    <xf numFmtId="0" fontId="97" fillId="0" borderId="30" applyAlignment="0">
      <alignment horizontal="center"/>
    </xf>
    <xf numFmtId="0" fontId="98" fillId="43" borderId="0"/>
    <xf numFmtId="0" fontId="48" fillId="0" borderId="0" applyNumberFormat="0" applyFont="0" applyFill="0" applyBorder="0" applyAlignment="0" applyProtection="0">
      <alignment horizontal="left"/>
    </xf>
    <xf numFmtId="0" fontId="99" fillId="0" borderId="3">
      <alignment horizontal="center"/>
    </xf>
    <xf numFmtId="0" fontId="45" fillId="0" borderId="0">
      <alignment vertical="top"/>
    </xf>
    <xf numFmtId="188" fontId="45" fillId="0" borderId="0">
      <alignment vertical="top"/>
    </xf>
    <xf numFmtId="0" fontId="97" fillId="0" borderId="0">
      <alignment horizontal="left"/>
    </xf>
    <xf numFmtId="0" fontId="97" fillId="0" borderId="0">
      <alignment horizontal="right"/>
    </xf>
    <xf numFmtId="0" fontId="10" fillId="0" borderId="8" applyNumberFormat="0" applyBorder="0" applyAlignment="0"/>
    <xf numFmtId="189" fontId="100" fillId="0" borderId="0" applyNumberFormat="0" applyFill="0" applyBorder="0" applyAlignment="0" applyProtection="0">
      <alignment horizontal="left"/>
    </xf>
    <xf numFmtId="0" fontId="46" fillId="33" borderId="0">
      <alignment horizontal="left"/>
    </xf>
    <xf numFmtId="0" fontId="101" fillId="0" borderId="31"/>
    <xf numFmtId="187" fontId="21" fillId="10" borderId="0">
      <alignment horizontal="center"/>
    </xf>
    <xf numFmtId="187" fontId="102" fillId="10" borderId="0">
      <alignment horizontal="center"/>
    </xf>
    <xf numFmtId="187" fontId="21" fillId="11" borderId="0">
      <alignment horizontal="center"/>
    </xf>
    <xf numFmtId="0" fontId="21" fillId="10" borderId="0">
      <alignment horizontal="left"/>
    </xf>
    <xf numFmtId="0" fontId="103" fillId="0" borderId="0" applyFont="0" applyFill="0" applyBorder="0" applyAlignment="0" applyProtection="0"/>
    <xf numFmtId="190" fontId="25" fillId="0" borderId="0" applyFont="0" applyFill="0" applyBorder="0" applyAlignment="0" applyProtection="0"/>
    <xf numFmtId="191" fontId="7" fillId="0" borderId="0"/>
    <xf numFmtId="0" fontId="7" fillId="0" borderId="0"/>
    <xf numFmtId="0" fontId="7" fillId="0" borderId="0">
      <alignment horizontal="left" wrapText="1"/>
    </xf>
    <xf numFmtId="0" fontId="21" fillId="10" borderId="0">
      <alignment horizontal="center"/>
    </xf>
    <xf numFmtId="0" fontId="97" fillId="0" borderId="0"/>
    <xf numFmtId="0" fontId="104" fillId="0" borderId="0"/>
    <xf numFmtId="40" fontId="105" fillId="0" borderId="0" applyBorder="0">
      <alignment horizontal="right"/>
    </xf>
    <xf numFmtId="0" fontId="7" fillId="36" borderId="27"/>
    <xf numFmtId="0" fontId="24" fillId="0" borderId="0">
      <alignment horizontal="center"/>
    </xf>
    <xf numFmtId="15" fontId="24" fillId="0" borderId="0">
      <alignment horizontal="center"/>
    </xf>
    <xf numFmtId="0" fontId="106" fillId="0" borderId="0">
      <alignment horizontal="center"/>
    </xf>
    <xf numFmtId="3" fontId="24" fillId="0" borderId="0">
      <alignment horizontal="center"/>
    </xf>
    <xf numFmtId="192" fontId="24" fillId="0" borderId="0">
      <alignment horizontal="center"/>
    </xf>
    <xf numFmtId="187" fontId="24" fillId="0" borderId="0">
      <alignment horizontal="center"/>
    </xf>
    <xf numFmtId="0" fontId="107" fillId="46" borderId="0"/>
    <xf numFmtId="193" fontId="24" fillId="0" borderId="0">
      <alignment horizontal="center"/>
    </xf>
    <xf numFmtId="193" fontId="24" fillId="0" borderId="32">
      <alignment horizontal="center"/>
    </xf>
    <xf numFmtId="0" fontId="24" fillId="0" borderId="0">
      <alignment horizontal="left"/>
    </xf>
    <xf numFmtId="0" fontId="108" fillId="0" borderId="0">
      <alignment horizontal="center"/>
    </xf>
    <xf numFmtId="0" fontId="109" fillId="0" borderId="0" applyNumberFormat="0" applyFill="0" applyBorder="0"/>
    <xf numFmtId="0" fontId="10" fillId="12" borderId="0"/>
    <xf numFmtId="49" fontId="10" fillId="0" borderId="0" applyFill="0" applyBorder="0" applyAlignment="0"/>
    <xf numFmtId="0" fontId="24" fillId="0" borderId="0" applyFill="0" applyBorder="0" applyAlignment="0"/>
    <xf numFmtId="169" fontId="7" fillId="0" borderId="0" applyFill="0" applyBorder="0" applyAlignment="0"/>
    <xf numFmtId="0" fontId="7" fillId="0" borderId="0" applyFill="0" applyBorder="0" applyAlignment="0"/>
    <xf numFmtId="171" fontId="7" fillId="0" borderId="0" applyFill="0" applyBorder="0" applyAlignment="0"/>
    <xf numFmtId="49" fontId="7" fillId="0" borderId="0"/>
    <xf numFmtId="0" fontId="110" fillId="0" borderId="0">
      <alignment horizontal="right"/>
    </xf>
    <xf numFmtId="0" fontId="111" fillId="0" borderId="0">
      <alignment horizontal="right"/>
      <protection locked="0"/>
    </xf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14" fillId="0" borderId="0" applyNumberFormat="0" applyFill="0" applyBorder="0" applyAlignment="0" applyProtection="0"/>
    <xf numFmtId="0" fontId="18" fillId="12" borderId="0"/>
    <xf numFmtId="0" fontId="31" fillId="47" borderId="33" applyBorder="0">
      <alignment horizontal="center" wrapText="1"/>
    </xf>
    <xf numFmtId="0" fontId="30" fillId="39" borderId="11" applyBorder="0">
      <alignment horizontal="center" wrapText="1"/>
    </xf>
    <xf numFmtId="0" fontId="31" fillId="48" borderId="11" applyBorder="0">
      <alignment horizontal="center" wrapText="1"/>
    </xf>
    <xf numFmtId="0" fontId="30" fillId="2" borderId="11" applyBorder="0">
      <alignment horizontal="center" wrapText="1"/>
    </xf>
    <xf numFmtId="0" fontId="6" fillId="49" borderId="11" applyBorder="0">
      <alignment horizontal="center" wrapText="1"/>
    </xf>
    <xf numFmtId="0" fontId="30" fillId="50" borderId="11" applyBorder="0">
      <alignment horizontal="center" wrapText="1"/>
    </xf>
    <xf numFmtId="0" fontId="30" fillId="50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6" fillId="49" borderId="11" applyBorder="0">
      <alignment horizontal="center" wrapText="1"/>
    </xf>
    <xf numFmtId="0" fontId="97" fillId="0" borderId="0" applyNumberFormat="0" applyFill="0" applyBorder="0" applyAlignment="0" applyProtection="0"/>
    <xf numFmtId="0" fontId="115" fillId="0" borderId="34" applyNumberFormat="0" applyFill="0" applyAlignment="0" applyProtection="0"/>
    <xf numFmtId="0" fontId="18" fillId="0" borderId="35" applyNumberFormat="0" applyFill="0" applyAlignment="0" applyProtection="0"/>
    <xf numFmtId="0" fontId="7" fillId="0" borderId="36" applyNumberFormat="0" applyFill="0" applyAlignment="0" applyProtection="0"/>
    <xf numFmtId="0" fontId="116" fillId="0" borderId="37" applyNumberFormat="0" applyFill="0" applyAlignment="0" applyProtection="0"/>
    <xf numFmtId="0" fontId="117" fillId="12" borderId="0"/>
    <xf numFmtId="0" fontId="118" fillId="0" borderId="0" applyNumberFormat="0" applyFill="0" applyBorder="0" applyAlignment="0" applyProtection="0"/>
    <xf numFmtId="0" fontId="119" fillId="0" borderId="0" applyNumberFormat="0" applyFill="0" applyBorder="0" applyAlignment="0" applyProtection="0"/>
    <xf numFmtId="0" fontId="120" fillId="0" borderId="0" applyNumberFormat="0" applyFill="0" applyBorder="0" applyAlignment="0" applyProtection="0"/>
    <xf numFmtId="1" fontId="121" fillId="40" borderId="12"/>
    <xf numFmtId="1" fontId="121" fillId="41" borderId="12"/>
    <xf numFmtId="2" fontId="122" fillId="41" borderId="12"/>
    <xf numFmtId="0" fontId="123" fillId="40" borderId="7" applyNumberFormat="0" applyAlignment="0"/>
    <xf numFmtId="0" fontId="124" fillId="41" borderId="7" applyNumberFormat="0" applyAlignment="0"/>
    <xf numFmtId="1" fontId="125" fillId="41" borderId="12" applyNumberFormat="0"/>
    <xf numFmtId="177" fontId="126" fillId="41" borderId="12" applyNumberFormat="0"/>
    <xf numFmtId="0" fontId="7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  <xf numFmtId="0" fontId="130" fillId="0" borderId="0"/>
  </cellStyleXfs>
  <cellXfs count="383">
    <xf numFmtId="0" fontId="0" fillId="0" borderId="0" xfId="0"/>
    <xf numFmtId="0" fontId="4" fillId="0" borderId="6" xfId="0" applyFont="1" applyBorder="1"/>
    <xf numFmtId="0" fontId="5" fillId="6" borderId="6" xfId="1" applyFont="1" applyBorder="1" applyAlignment="1">
      <alignment horizontal="center"/>
    </xf>
    <xf numFmtId="14" fontId="5" fillId="6" borderId="6" xfId="1" applyNumberFormat="1" applyFont="1" applyBorder="1"/>
    <xf numFmtId="0" fontId="5" fillId="6" borderId="6" xfId="1" applyFont="1" applyBorder="1" applyAlignment="1">
      <alignment horizontal="left"/>
    </xf>
    <xf numFmtId="14" fontId="0" fillId="0" borderId="0" xfId="0" applyNumberFormat="1"/>
    <xf numFmtId="0" fontId="128" fillId="0" borderId="0" xfId="0" applyFont="1"/>
    <xf numFmtId="0" fontId="0" fillId="0" borderId="38" xfId="0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164" fontId="127" fillId="51" borderId="38" xfId="0" applyNumberFormat="1" applyFont="1" applyFill="1" applyBorder="1" applyAlignment="1">
      <alignment horizontal="center"/>
    </xf>
    <xf numFmtId="2" fontId="6" fillId="0" borderId="38" xfId="0" applyNumberFormat="1" applyFont="1" applyBorder="1" applyAlignment="1">
      <alignment horizontal="center"/>
    </xf>
    <xf numFmtId="2" fontId="6" fillId="0" borderId="38" xfId="0" applyNumberFormat="1" applyFont="1" applyFill="1" applyBorder="1" applyAlignment="1">
      <alignment horizontal="center"/>
    </xf>
    <xf numFmtId="0" fontId="4" fillId="0" borderId="38" xfId="0" quotePrefix="1" applyFont="1" applyBorder="1" applyAlignment="1">
      <alignment horizontal="center"/>
    </xf>
    <xf numFmtId="0" fontId="4" fillId="0" borderId="38" xfId="0" applyFont="1" applyFill="1" applyBorder="1" applyAlignment="1">
      <alignment horizontal="center"/>
    </xf>
    <xf numFmtId="0" fontId="129" fillId="0" borderId="0" xfId="0" applyFont="1" applyFill="1" applyAlignment="1" applyProtection="1"/>
    <xf numFmtId="0" fontId="129" fillId="0" borderId="0" xfId="0" applyFont="1" applyFill="1" applyAlignment="1" applyProtection="1">
      <alignment horizontal="right"/>
    </xf>
    <xf numFmtId="0" fontId="129" fillId="0" borderId="0" xfId="525" applyFont="1" applyFill="1" applyAlignment="1" applyProtection="1"/>
    <xf numFmtId="0" fontId="129" fillId="0" borderId="0" xfId="526" applyFont="1" applyFill="1" applyAlignment="1" applyProtection="1">
      <alignment horizontal="right"/>
    </xf>
    <xf numFmtId="0" fontId="129" fillId="0" borderId="0" xfId="527" applyFont="1" applyFill="1" applyAlignment="1" applyProtection="1">
      <alignment horizontal="right"/>
    </xf>
    <xf numFmtId="0" fontId="129" fillId="0" borderId="0" xfId="527" applyFont="1" applyFill="1" applyAlignment="1" applyProtection="1"/>
    <xf numFmtId="0" fontId="129" fillId="0" borderId="0" xfId="528" applyFont="1" applyFill="1" applyAlignment="1" applyProtection="1">
      <alignment horizontal="right"/>
    </xf>
    <xf numFmtId="0" fontId="129" fillId="0" borderId="0" xfId="528" applyFont="1" applyFill="1" applyAlignment="1" applyProtection="1"/>
    <xf numFmtId="0" fontId="129" fillId="0" borderId="0" xfId="529" applyFont="1" applyFill="1" applyAlignment="1" applyProtection="1">
      <alignment horizontal="right"/>
    </xf>
    <xf numFmtId="0" fontId="129" fillId="0" borderId="0" xfId="529" applyFont="1" applyFill="1" applyAlignment="1" applyProtection="1"/>
    <xf numFmtId="0" fontId="129" fillId="0" borderId="0" xfId="530" applyFont="1" applyFill="1" applyAlignment="1" applyProtection="1">
      <alignment horizontal="right"/>
    </xf>
    <xf numFmtId="0" fontId="129" fillId="0" borderId="0" xfId="530" applyFont="1" applyFill="1" applyAlignment="1" applyProtection="1"/>
    <xf numFmtId="0" fontId="129" fillId="0" borderId="0" xfId="531" applyFont="1" applyFill="1" applyAlignment="1" applyProtection="1">
      <alignment horizontal="right"/>
    </xf>
    <xf numFmtId="0" fontId="129" fillId="0" borderId="0" xfId="531" applyFont="1" applyFill="1" applyAlignment="1" applyProtection="1"/>
    <xf numFmtId="0" fontId="129" fillId="0" borderId="0" xfId="533" applyFont="1" applyFill="1" applyAlignment="1" applyProtection="1">
      <alignment horizontal="right"/>
    </xf>
    <xf numFmtId="0" fontId="129" fillId="0" borderId="0" xfId="534" applyFont="1" applyFill="1" applyAlignment="1" applyProtection="1">
      <alignment horizontal="right"/>
    </xf>
    <xf numFmtId="0" fontId="129" fillId="0" borderId="0" xfId="534" applyFont="1" applyFill="1" applyAlignment="1" applyProtection="1"/>
    <xf numFmtId="0" fontId="129" fillId="0" borderId="0" xfId="535" applyFont="1" applyFill="1" applyAlignment="1" applyProtection="1">
      <alignment horizontal="right"/>
    </xf>
    <xf numFmtId="0" fontId="129" fillId="0" borderId="0" xfId="535" applyFont="1" applyFill="1" applyAlignment="1" applyProtection="1"/>
    <xf numFmtId="0" fontId="129" fillId="0" borderId="0" xfId="536" applyFont="1" applyFill="1" applyAlignment="1" applyProtection="1"/>
    <xf numFmtId="0" fontId="129" fillId="0" borderId="0" xfId="537" applyFont="1" applyFill="1" applyAlignment="1" applyProtection="1">
      <alignment horizontal="right"/>
    </xf>
    <xf numFmtId="0" fontId="129" fillId="0" borderId="0" xfId="537" applyFont="1" applyFill="1" applyAlignment="1" applyProtection="1"/>
    <xf numFmtId="0" fontId="129" fillId="0" borderId="0" xfId="538" applyFont="1" applyFill="1" applyAlignment="1" applyProtection="1">
      <alignment horizontal="right"/>
    </xf>
    <xf numFmtId="0" fontId="129" fillId="0" borderId="0" xfId="538" applyFont="1" applyFill="1" applyAlignment="1" applyProtection="1"/>
    <xf numFmtId="0" fontId="129" fillId="0" borderId="0" xfId="539" applyFont="1" applyFill="1" applyAlignment="1" applyProtection="1">
      <alignment horizontal="right"/>
    </xf>
    <xf numFmtId="0" fontId="129" fillId="0" borderId="0" xfId="539" applyFont="1" applyFill="1" applyAlignment="1" applyProtection="1"/>
    <xf numFmtId="0" fontId="129" fillId="0" borderId="0" xfId="540" applyFont="1" applyFill="1" applyAlignment="1" applyProtection="1">
      <alignment horizontal="right"/>
    </xf>
    <xf numFmtId="0" fontId="129" fillId="0" borderId="0" xfId="540" applyFont="1" applyFill="1" applyAlignment="1" applyProtection="1"/>
    <xf numFmtId="0" fontId="129" fillId="0" borderId="0" xfId="541" applyFont="1" applyFill="1" applyAlignment="1" applyProtection="1">
      <alignment horizontal="right"/>
    </xf>
    <xf numFmtId="0" fontId="129" fillId="0" borderId="0" xfId="541" applyFont="1" applyFill="1" applyAlignment="1" applyProtection="1"/>
    <xf numFmtId="0" fontId="129" fillId="0" borderId="0" xfId="542" applyFont="1" applyFill="1" applyAlignment="1" applyProtection="1">
      <alignment horizontal="right"/>
    </xf>
    <xf numFmtId="0" fontId="129" fillId="0" borderId="0" xfId="542" applyFont="1" applyFill="1" applyAlignment="1" applyProtection="1"/>
    <xf numFmtId="0" fontId="129" fillId="0" borderId="0" xfId="543" applyFont="1" applyFill="1" applyAlignment="1" applyProtection="1">
      <alignment horizontal="right"/>
    </xf>
    <xf numFmtId="0" fontId="129" fillId="0" borderId="0" xfId="543" applyFont="1" applyFill="1" applyAlignment="1" applyProtection="1"/>
    <xf numFmtId="0" fontId="129" fillId="0" borderId="0" xfId="544" applyFont="1" applyFill="1" applyAlignment="1" applyProtection="1">
      <alignment horizontal="right"/>
    </xf>
    <xf numFmtId="0" fontId="129" fillId="0" borderId="0" xfId="544" applyFont="1" applyFill="1" applyAlignment="1" applyProtection="1"/>
    <xf numFmtId="0" fontId="129" fillId="0" borderId="0" xfId="545" applyFont="1" applyFill="1" applyAlignment="1" applyProtection="1">
      <alignment horizontal="right"/>
    </xf>
    <xf numFmtId="0" fontId="129" fillId="0" borderId="0" xfId="546" applyFont="1" applyFill="1" applyAlignment="1" applyProtection="1">
      <alignment horizontal="right"/>
    </xf>
    <xf numFmtId="0" fontId="129" fillId="0" borderId="0" xfId="546" applyFont="1" applyFill="1" applyAlignment="1" applyProtection="1"/>
    <xf numFmtId="0" fontId="130" fillId="0" borderId="0" xfId="547"/>
    <xf numFmtId="0" fontId="129" fillId="0" borderId="0" xfId="547" applyFont="1" applyFill="1" applyAlignment="1" applyProtection="1">
      <alignment horizontal="right"/>
    </xf>
    <xf numFmtId="0" fontId="129" fillId="0" borderId="0" xfId="547" applyFont="1" applyFill="1" applyAlignment="1" applyProtection="1"/>
    <xf numFmtId="0" fontId="129" fillId="0" borderId="0" xfId="548" applyFont="1" applyFill="1" applyAlignment="1" applyProtection="1">
      <alignment horizontal="right"/>
    </xf>
    <xf numFmtId="0" fontId="129" fillId="0" borderId="0" xfId="548" applyFont="1" applyFill="1" applyAlignment="1" applyProtection="1"/>
    <xf numFmtId="0" fontId="129" fillId="0" borderId="0" xfId="549" applyFont="1" applyFill="1" applyAlignment="1" applyProtection="1">
      <alignment horizontal="right"/>
    </xf>
    <xf numFmtId="0" fontId="129" fillId="0" borderId="0" xfId="549" applyFont="1" applyFill="1" applyAlignment="1" applyProtection="1"/>
    <xf numFmtId="0" fontId="129" fillId="0" borderId="0" xfId="550" applyFont="1" applyFill="1" applyAlignment="1" applyProtection="1">
      <alignment horizontal="right"/>
    </xf>
    <xf numFmtId="0" fontId="129" fillId="0" borderId="0" xfId="550" applyFont="1" applyFill="1" applyAlignment="1" applyProtection="1"/>
    <xf numFmtId="0" fontId="129" fillId="0" borderId="0" xfId="551" applyFont="1" applyFill="1" applyAlignment="1" applyProtection="1">
      <alignment horizontal="right"/>
    </xf>
    <xf numFmtId="0" fontId="129" fillId="0" borderId="0" xfId="551" applyFont="1" applyFill="1" applyAlignment="1" applyProtection="1"/>
    <xf numFmtId="0" fontId="129" fillId="0" borderId="0" xfId="552" applyFont="1" applyFill="1" applyAlignment="1" applyProtection="1">
      <alignment horizontal="right"/>
    </xf>
    <xf numFmtId="0" fontId="129" fillId="0" borderId="0" xfId="552" applyFont="1" applyFill="1" applyAlignment="1" applyProtection="1"/>
    <xf numFmtId="194" fontId="129" fillId="0" borderId="0" xfId="552" applyNumberFormat="1" applyFont="1" applyFill="1" applyAlignment="1" applyProtection="1">
      <alignment horizontal="right"/>
    </xf>
    <xf numFmtId="0" fontId="129" fillId="0" borderId="0" xfId="553" applyFont="1" applyFill="1" applyAlignment="1" applyProtection="1">
      <alignment horizontal="right"/>
    </xf>
    <xf numFmtId="0" fontId="129" fillId="0" borderId="0" xfId="553" applyFont="1" applyFill="1" applyAlignment="1" applyProtection="1"/>
    <xf numFmtId="194" fontId="129" fillId="0" borderId="0" xfId="553" applyNumberFormat="1" applyFont="1" applyFill="1" applyAlignment="1" applyProtection="1">
      <alignment horizontal="right"/>
    </xf>
    <xf numFmtId="0" fontId="130" fillId="0" borderId="0" xfId="554"/>
    <xf numFmtId="0" fontId="129" fillId="0" borderId="0" xfId="554" applyFont="1" applyFill="1" applyAlignment="1" applyProtection="1">
      <alignment horizontal="right"/>
    </xf>
    <xf numFmtId="0" fontId="129" fillId="0" borderId="0" xfId="554" applyFont="1" applyFill="1" applyAlignment="1" applyProtection="1"/>
    <xf numFmtId="0" fontId="129" fillId="0" borderId="0" xfId="555" applyFont="1" applyFill="1" applyAlignment="1" applyProtection="1">
      <alignment horizontal="right"/>
    </xf>
    <xf numFmtId="0" fontId="129" fillId="0" borderId="0" xfId="555" applyFont="1" applyFill="1" applyAlignment="1" applyProtection="1"/>
    <xf numFmtId="0" fontId="129" fillId="0" borderId="0" xfId="556" applyFont="1" applyFill="1" applyAlignment="1" applyProtection="1">
      <alignment horizontal="right"/>
    </xf>
    <xf numFmtId="0" fontId="129" fillId="0" borderId="0" xfId="556" applyFont="1" applyFill="1" applyAlignment="1" applyProtection="1"/>
    <xf numFmtId="0" fontId="129" fillId="0" borderId="0" xfId="557" applyFont="1" applyFill="1" applyAlignment="1" applyProtection="1">
      <alignment horizontal="right"/>
    </xf>
    <xf numFmtId="0" fontId="129" fillId="0" borderId="0" xfId="558" applyFont="1" applyFill="1" applyAlignment="1" applyProtection="1">
      <alignment horizontal="right"/>
    </xf>
    <xf numFmtId="0" fontId="129" fillId="0" borderId="0" xfId="558" applyFont="1" applyFill="1" applyAlignment="1" applyProtection="1"/>
    <xf numFmtId="194" fontId="129" fillId="0" borderId="0" xfId="558" applyNumberFormat="1" applyFont="1" applyFill="1" applyAlignment="1" applyProtection="1">
      <alignment horizontal="right"/>
    </xf>
    <xf numFmtId="0" fontId="129" fillId="0" borderId="0" xfId="559" applyFont="1" applyFill="1" applyAlignment="1" applyProtection="1">
      <alignment horizontal="right"/>
    </xf>
    <xf numFmtId="0" fontId="129" fillId="0" borderId="0" xfId="559" applyFont="1" applyFill="1" applyAlignment="1" applyProtection="1"/>
    <xf numFmtId="194" fontId="129" fillId="0" borderId="0" xfId="559" applyNumberFormat="1" applyFont="1" applyFill="1" applyAlignment="1" applyProtection="1">
      <alignment horizontal="right"/>
    </xf>
    <xf numFmtId="194" fontId="129" fillId="0" borderId="0" xfId="560" applyNumberFormat="1" applyFont="1" applyFill="1" applyAlignment="1" applyProtection="1">
      <alignment horizontal="right"/>
    </xf>
    <xf numFmtId="0" fontId="129" fillId="0" borderId="0" xfId="561" applyFont="1" applyFill="1" applyAlignment="1" applyProtection="1">
      <alignment horizontal="right"/>
    </xf>
    <xf numFmtId="0" fontId="129" fillId="0" borderId="0" xfId="561" applyFont="1" applyFill="1" applyAlignment="1" applyProtection="1"/>
    <xf numFmtId="0" fontId="129" fillId="0" borderId="0" xfId="562" applyFont="1" applyFill="1" applyAlignment="1" applyProtection="1">
      <alignment horizontal="right"/>
    </xf>
    <xf numFmtId="0" fontId="129" fillId="0" borderId="0" xfId="562" applyFont="1" applyFill="1" applyAlignment="1" applyProtection="1"/>
    <xf numFmtId="194" fontId="129" fillId="0" borderId="0" xfId="562" applyNumberFormat="1" applyFont="1" applyFill="1" applyAlignment="1" applyProtection="1">
      <alignment horizontal="right"/>
    </xf>
    <xf numFmtId="0" fontId="129" fillId="0" borderId="0" xfId="563" applyFont="1" applyFill="1" applyAlignment="1" applyProtection="1">
      <alignment horizontal="right"/>
    </xf>
    <xf numFmtId="0" fontId="129" fillId="0" borderId="0" xfId="563" applyFont="1" applyFill="1" applyAlignment="1" applyProtection="1"/>
    <xf numFmtId="194" fontId="129" fillId="0" borderId="0" xfId="563" applyNumberFormat="1" applyFont="1" applyFill="1" applyAlignment="1" applyProtection="1">
      <alignment horizontal="right"/>
    </xf>
    <xf numFmtId="0" fontId="129" fillId="0" borderId="0" xfId="564" applyFont="1" applyFill="1" applyAlignment="1" applyProtection="1">
      <alignment horizontal="right"/>
    </xf>
    <xf numFmtId="0" fontId="129" fillId="0" borderId="0" xfId="564" applyFont="1" applyFill="1" applyAlignment="1" applyProtection="1"/>
    <xf numFmtId="0" fontId="129" fillId="0" borderId="0" xfId="565" applyFont="1" applyFill="1" applyAlignment="1" applyProtection="1">
      <alignment horizontal="right"/>
    </xf>
    <xf numFmtId="0" fontId="129" fillId="0" borderId="0" xfId="565" applyFont="1" applyFill="1" applyAlignment="1" applyProtection="1"/>
    <xf numFmtId="194" fontId="129" fillId="0" borderId="0" xfId="565" applyNumberFormat="1" applyFont="1" applyFill="1" applyAlignment="1" applyProtection="1">
      <alignment horizontal="right"/>
    </xf>
    <xf numFmtId="0" fontId="129" fillId="0" borderId="0" xfId="566" applyFont="1" applyFill="1" applyAlignment="1" applyProtection="1">
      <alignment horizontal="right"/>
    </xf>
    <xf numFmtId="0" fontId="129" fillId="0" borderId="0" xfId="566" applyFont="1" applyFill="1" applyAlignment="1" applyProtection="1"/>
    <xf numFmtId="194" fontId="129" fillId="0" borderId="0" xfId="566" applyNumberFormat="1" applyFont="1" applyFill="1" applyAlignment="1" applyProtection="1">
      <alignment horizontal="right"/>
    </xf>
    <xf numFmtId="0" fontId="129" fillId="0" borderId="0" xfId="567" applyFont="1" applyFill="1" applyAlignment="1" applyProtection="1">
      <alignment horizontal="right"/>
    </xf>
    <xf numFmtId="0" fontId="129" fillId="0" borderId="0" xfId="567" applyFont="1" applyFill="1" applyAlignment="1" applyProtection="1"/>
    <xf numFmtId="0" fontId="129" fillId="0" borderId="0" xfId="568" applyFont="1" applyFill="1" applyAlignment="1" applyProtection="1">
      <alignment horizontal="right"/>
    </xf>
    <xf numFmtId="0" fontId="129" fillId="0" borderId="0" xfId="568" applyFont="1" applyFill="1" applyAlignment="1" applyProtection="1"/>
    <xf numFmtId="194" fontId="129" fillId="0" borderId="0" xfId="568" applyNumberFormat="1" applyFont="1" applyFill="1" applyAlignment="1" applyProtection="1">
      <alignment horizontal="right"/>
    </xf>
    <xf numFmtId="0" fontId="129" fillId="0" borderId="0" xfId="569" applyFont="1" applyFill="1" applyAlignment="1" applyProtection="1">
      <alignment horizontal="right"/>
    </xf>
    <xf numFmtId="0" fontId="129" fillId="0" borderId="0" xfId="569" applyFont="1" applyFill="1" applyAlignment="1" applyProtection="1"/>
    <xf numFmtId="194" fontId="129" fillId="0" borderId="0" xfId="569" applyNumberFormat="1" applyFont="1" applyFill="1" applyAlignment="1" applyProtection="1">
      <alignment horizontal="right"/>
    </xf>
    <xf numFmtId="0" fontId="129" fillId="0" borderId="0" xfId="570" applyFont="1" applyFill="1" applyAlignment="1" applyProtection="1">
      <alignment horizontal="right"/>
    </xf>
    <xf numFmtId="0" fontId="129" fillId="0" borderId="0" xfId="571" applyFont="1" applyFill="1" applyAlignment="1" applyProtection="1">
      <alignment horizontal="right"/>
    </xf>
    <xf numFmtId="0" fontId="129" fillId="0" borderId="0" xfId="571" applyFont="1" applyFill="1" applyAlignment="1" applyProtection="1"/>
    <xf numFmtId="194" fontId="129" fillId="0" borderId="0" xfId="571" applyNumberFormat="1" applyFont="1" applyFill="1" applyAlignment="1" applyProtection="1">
      <alignment horizontal="right"/>
    </xf>
    <xf numFmtId="0" fontId="129" fillId="0" borderId="0" xfId="572" applyFont="1" applyFill="1" applyAlignment="1" applyProtection="1">
      <alignment horizontal="right"/>
    </xf>
    <xf numFmtId="0" fontId="129" fillId="0" borderId="0" xfId="572" applyFont="1" applyFill="1" applyAlignment="1" applyProtection="1"/>
    <xf numFmtId="194" fontId="129" fillId="0" borderId="0" xfId="572" applyNumberFormat="1" applyFont="1" applyFill="1" applyAlignment="1" applyProtection="1">
      <alignment horizontal="right"/>
    </xf>
    <xf numFmtId="0" fontId="130" fillId="0" borderId="0" xfId="573"/>
    <xf numFmtId="0" fontId="129" fillId="0" borderId="0" xfId="573" applyFont="1" applyFill="1" applyAlignment="1" applyProtection="1">
      <alignment horizontal="center"/>
    </xf>
    <xf numFmtId="0" fontId="129" fillId="0" borderId="0" xfId="573" applyFont="1" applyFill="1" applyAlignment="1" applyProtection="1"/>
    <xf numFmtId="0" fontId="129" fillId="0" borderId="0" xfId="574" applyFont="1" applyFill="1" applyAlignment="1" applyProtection="1">
      <alignment horizontal="right"/>
    </xf>
    <xf numFmtId="0" fontId="129" fillId="0" borderId="0" xfId="574" applyFont="1" applyFill="1" applyAlignment="1" applyProtection="1"/>
    <xf numFmtId="194" fontId="129" fillId="0" borderId="0" xfId="574" applyNumberFormat="1" applyFont="1" applyFill="1" applyAlignment="1" applyProtection="1">
      <alignment horizontal="right"/>
    </xf>
    <xf numFmtId="0" fontId="129" fillId="0" borderId="0" xfId="575" applyFont="1" applyFill="1" applyAlignment="1" applyProtection="1">
      <alignment horizontal="right"/>
    </xf>
    <xf numFmtId="0" fontId="129" fillId="0" borderId="0" xfId="575" applyFont="1" applyFill="1" applyAlignment="1" applyProtection="1"/>
    <xf numFmtId="194" fontId="129" fillId="0" borderId="0" xfId="575" applyNumberFormat="1" applyFont="1" applyFill="1" applyAlignment="1" applyProtection="1">
      <alignment horizontal="right"/>
    </xf>
    <xf numFmtId="0" fontId="129" fillId="0" borderId="0" xfId="576" applyFont="1" applyFill="1" applyAlignment="1" applyProtection="1">
      <alignment horizontal="right"/>
    </xf>
    <xf numFmtId="0" fontId="129" fillId="0" borderId="0" xfId="576" applyFont="1" applyFill="1" applyAlignment="1" applyProtection="1"/>
    <xf numFmtId="0" fontId="129" fillId="0" borderId="0" xfId="577" applyFont="1" applyFill="1" applyAlignment="1" applyProtection="1">
      <alignment horizontal="right"/>
    </xf>
    <xf numFmtId="0" fontId="129" fillId="0" borderId="0" xfId="577" applyFont="1" applyFill="1" applyAlignment="1" applyProtection="1"/>
    <xf numFmtId="194" fontId="129" fillId="0" borderId="0" xfId="577" applyNumberFormat="1" applyFont="1" applyFill="1" applyAlignment="1" applyProtection="1">
      <alignment horizontal="right"/>
    </xf>
    <xf numFmtId="0" fontId="129" fillId="0" borderId="0" xfId="578" applyFont="1" applyFill="1" applyAlignment="1" applyProtection="1">
      <alignment horizontal="right"/>
    </xf>
    <xf numFmtId="0" fontId="129" fillId="0" borderId="0" xfId="578" applyFont="1" applyFill="1" applyAlignment="1" applyProtection="1"/>
    <xf numFmtId="194" fontId="129" fillId="0" borderId="0" xfId="578" applyNumberFormat="1" applyFont="1" applyFill="1" applyAlignment="1" applyProtection="1">
      <alignment horizontal="right"/>
    </xf>
    <xf numFmtId="0" fontId="129" fillId="0" borderId="0" xfId="579" applyFont="1" applyFill="1" applyAlignment="1" applyProtection="1">
      <alignment horizontal="right"/>
    </xf>
    <xf numFmtId="0" fontId="129" fillId="0" borderId="0" xfId="579" applyFont="1" applyFill="1" applyAlignment="1" applyProtection="1"/>
    <xf numFmtId="0" fontId="129" fillId="0" borderId="0" xfId="580" applyFont="1" applyFill="1" applyAlignment="1" applyProtection="1">
      <alignment horizontal="right"/>
    </xf>
    <xf numFmtId="0" fontId="129" fillId="0" borderId="0" xfId="580" applyFont="1" applyFill="1" applyAlignment="1" applyProtection="1"/>
    <xf numFmtId="194" fontId="129" fillId="0" borderId="0" xfId="580" applyNumberFormat="1" applyFont="1" applyFill="1" applyAlignment="1" applyProtection="1">
      <alignment horizontal="right"/>
    </xf>
    <xf numFmtId="0" fontId="129" fillId="0" borderId="0" xfId="581" applyFont="1" applyFill="1" applyAlignment="1" applyProtection="1">
      <alignment horizontal="right"/>
    </xf>
    <xf numFmtId="0" fontId="129" fillId="0" borderId="0" xfId="581" applyFont="1" applyFill="1" applyAlignment="1" applyProtection="1"/>
    <xf numFmtId="194" fontId="129" fillId="0" borderId="0" xfId="581" applyNumberFormat="1" applyFont="1" applyFill="1" applyAlignment="1" applyProtection="1">
      <alignment horizontal="right"/>
    </xf>
    <xf numFmtId="0" fontId="130" fillId="0" borderId="0" xfId="583"/>
    <xf numFmtId="0" fontId="129" fillId="0" borderId="0" xfId="583" applyFont="1" applyFill="1" applyAlignment="1" applyProtection="1">
      <alignment horizontal="right"/>
    </xf>
    <xf numFmtId="2" fontId="129" fillId="0" borderId="0" xfId="583" applyNumberFormat="1" applyFont="1" applyFill="1" applyAlignment="1" applyProtection="1">
      <alignment horizontal="center"/>
    </xf>
    <xf numFmtId="0" fontId="129" fillId="0" borderId="0" xfId="584" applyFont="1" applyFill="1" applyAlignment="1" applyProtection="1">
      <alignment horizontal="right"/>
    </xf>
    <xf numFmtId="0" fontId="129" fillId="0" borderId="0" xfId="584" applyFont="1" applyFill="1" applyAlignment="1" applyProtection="1"/>
    <xf numFmtId="194" fontId="129" fillId="0" borderId="0" xfId="584" applyNumberFormat="1" applyFont="1" applyFill="1" applyAlignment="1" applyProtection="1">
      <alignment horizontal="right"/>
    </xf>
    <xf numFmtId="0" fontId="129" fillId="0" borderId="0" xfId="585" applyFont="1" applyFill="1" applyAlignment="1" applyProtection="1"/>
    <xf numFmtId="194" fontId="129" fillId="0" borderId="0" xfId="586" applyNumberFormat="1" applyFont="1" applyFill="1" applyAlignment="1" applyProtection="1">
      <alignment horizontal="right"/>
    </xf>
    <xf numFmtId="194" fontId="129" fillId="0" borderId="0" xfId="587" applyNumberFormat="1" applyFont="1" applyFill="1" applyAlignment="1" applyProtection="1">
      <alignment horizontal="right"/>
    </xf>
    <xf numFmtId="194" fontId="129" fillId="0" borderId="0" xfId="588" applyNumberFormat="1" applyFont="1" applyFill="1" applyAlignment="1" applyProtection="1">
      <alignment horizontal="right"/>
    </xf>
    <xf numFmtId="0" fontId="129" fillId="0" borderId="0" xfId="589" applyFont="1" applyFill="1" applyAlignment="1" applyProtection="1">
      <alignment horizontal="right"/>
    </xf>
    <xf numFmtId="0" fontId="129" fillId="0" borderId="0" xfId="589" applyFont="1" applyFill="1" applyAlignment="1" applyProtection="1"/>
    <xf numFmtId="0" fontId="130" fillId="0" borderId="0" xfId="590"/>
    <xf numFmtId="0" fontId="129" fillId="0" borderId="0" xfId="590" applyFont="1" applyFill="1" applyAlignment="1" applyProtection="1">
      <alignment horizontal="right"/>
    </xf>
    <xf numFmtId="0" fontId="129" fillId="0" borderId="0" xfId="590" applyFont="1" applyFill="1" applyAlignment="1" applyProtection="1"/>
    <xf numFmtId="194" fontId="129" fillId="0" borderId="0" xfId="590" applyNumberFormat="1" applyFont="1" applyFill="1" applyAlignment="1" applyProtection="1">
      <alignment horizontal="right"/>
    </xf>
    <xf numFmtId="195" fontId="129" fillId="0" borderId="0" xfId="590" applyNumberFormat="1" applyFont="1" applyFill="1" applyAlignment="1" applyProtection="1">
      <alignment horizontal="right"/>
    </xf>
    <xf numFmtId="0" fontId="129" fillId="0" borderId="0" xfId="591" applyFont="1" applyFill="1" applyAlignment="1" applyProtection="1">
      <alignment horizontal="right"/>
    </xf>
    <xf numFmtId="0" fontId="129" fillId="0" borderId="0" xfId="591" applyFont="1" applyFill="1" applyAlignment="1" applyProtection="1"/>
    <xf numFmtId="194" fontId="129" fillId="0" borderId="0" xfId="591" applyNumberFormat="1" applyFont="1" applyFill="1" applyAlignment="1" applyProtection="1">
      <alignment horizontal="right"/>
    </xf>
    <xf numFmtId="0" fontId="129" fillId="0" borderId="0" xfId="594" applyFont="1" applyFill="1" applyAlignment="1" applyProtection="1">
      <alignment horizontal="right"/>
    </xf>
    <xf numFmtId="0" fontId="129" fillId="0" borderId="0" xfId="594" applyFont="1" applyFill="1" applyAlignment="1" applyProtection="1"/>
    <xf numFmtId="196" fontId="129" fillId="0" borderId="0" xfId="594" applyNumberFormat="1" applyFont="1" applyFill="1" applyAlignment="1" applyProtection="1">
      <alignment horizontal="right"/>
    </xf>
    <xf numFmtId="194" fontId="129" fillId="0" borderId="0" xfId="594" applyNumberFormat="1" applyFont="1" applyFill="1" applyAlignment="1" applyProtection="1">
      <alignment horizontal="right"/>
    </xf>
    <xf numFmtId="0" fontId="129" fillId="0" borderId="0" xfId="595" applyFont="1" applyFill="1" applyAlignment="1" applyProtection="1">
      <alignment horizontal="right"/>
    </xf>
    <xf numFmtId="0" fontId="129" fillId="0" borderId="0" xfId="595" applyFont="1" applyFill="1" applyAlignment="1" applyProtection="1"/>
    <xf numFmtId="196" fontId="129" fillId="0" borderId="0" xfId="595" applyNumberFormat="1" applyFont="1" applyFill="1" applyAlignment="1" applyProtection="1">
      <alignment horizontal="right"/>
    </xf>
    <xf numFmtId="194" fontId="129" fillId="0" borderId="0" xfId="595" applyNumberFormat="1" applyFont="1" applyFill="1" applyAlignment="1" applyProtection="1">
      <alignment horizontal="right"/>
    </xf>
    <xf numFmtId="0" fontId="129" fillId="0" borderId="0" xfId="596" applyFont="1" applyFill="1" applyAlignment="1" applyProtection="1">
      <alignment horizontal="right"/>
    </xf>
    <xf numFmtId="0" fontId="129" fillId="0" borderId="0" xfId="596" applyFont="1" applyFill="1" applyAlignment="1" applyProtection="1"/>
    <xf numFmtId="0" fontId="130" fillId="0" borderId="0" xfId="597"/>
    <xf numFmtId="0" fontId="129" fillId="0" borderId="0" xfId="597" applyFont="1" applyFill="1" applyAlignment="1" applyProtection="1">
      <alignment horizontal="right"/>
    </xf>
    <xf numFmtId="0" fontId="129" fillId="0" borderId="0" xfId="597" applyFont="1" applyFill="1" applyAlignment="1" applyProtection="1">
      <alignment horizontal="center"/>
    </xf>
    <xf numFmtId="0" fontId="129" fillId="0" borderId="0" xfId="597" applyFont="1" applyFill="1" applyAlignment="1" applyProtection="1"/>
    <xf numFmtId="0" fontId="129" fillId="0" borderId="0" xfId="598" applyFont="1" applyFill="1" applyAlignment="1" applyProtection="1">
      <alignment horizontal="right"/>
    </xf>
    <xf numFmtId="0" fontId="129" fillId="0" borderId="0" xfId="598" applyFont="1" applyFill="1" applyAlignment="1" applyProtection="1"/>
    <xf numFmtId="0" fontId="129" fillId="0" borderId="0" xfId="599" applyFont="1" applyFill="1" applyAlignment="1" applyProtection="1">
      <alignment horizontal="right"/>
    </xf>
    <xf numFmtId="0" fontId="129" fillId="0" borderId="0" xfId="599" applyFont="1" applyFill="1" applyAlignment="1" applyProtection="1"/>
    <xf numFmtId="194" fontId="129" fillId="0" borderId="0" xfId="599" applyNumberFormat="1" applyFont="1" applyFill="1" applyAlignment="1" applyProtection="1">
      <alignment horizontal="right"/>
    </xf>
    <xf numFmtId="0" fontId="129" fillId="0" borderId="0" xfId="600" applyFont="1" applyFill="1" applyAlignment="1" applyProtection="1">
      <alignment horizontal="right"/>
    </xf>
    <xf numFmtId="0" fontId="129" fillId="0" borderId="0" xfId="600" applyFont="1" applyFill="1" applyAlignment="1" applyProtection="1"/>
    <xf numFmtId="194" fontId="129" fillId="0" borderId="0" xfId="600" applyNumberFormat="1" applyFont="1" applyFill="1" applyAlignment="1" applyProtection="1">
      <alignment horizontal="right"/>
    </xf>
    <xf numFmtId="0" fontId="129" fillId="0" borderId="0" xfId="601" applyFont="1" applyFill="1" applyAlignment="1" applyProtection="1">
      <alignment horizontal="right"/>
    </xf>
    <xf numFmtId="0" fontId="129" fillId="0" borderId="0" xfId="602" applyFont="1" applyFill="1" applyAlignment="1" applyProtection="1">
      <alignment horizontal="right"/>
    </xf>
    <xf numFmtId="0" fontId="129" fillId="0" borderId="0" xfId="602" applyFont="1" applyFill="1" applyAlignment="1" applyProtection="1"/>
    <xf numFmtId="0" fontId="129" fillId="0" borderId="0" xfId="603" applyFont="1" applyFill="1" applyAlignment="1" applyProtection="1">
      <alignment horizontal="right"/>
    </xf>
    <xf numFmtId="0" fontId="129" fillId="0" borderId="0" xfId="603" applyFont="1" applyFill="1" applyAlignment="1" applyProtection="1"/>
    <xf numFmtId="194" fontId="129" fillId="0" borderId="0" xfId="603" applyNumberFormat="1" applyFont="1" applyFill="1" applyAlignment="1" applyProtection="1">
      <alignment horizontal="right"/>
    </xf>
    <xf numFmtId="0" fontId="129" fillId="0" borderId="0" xfId="604" applyFont="1" applyFill="1" applyAlignment="1" applyProtection="1">
      <alignment horizontal="right"/>
    </xf>
    <xf numFmtId="0" fontId="129" fillId="0" borderId="0" xfId="604" applyFont="1" applyFill="1" applyAlignment="1" applyProtection="1"/>
    <xf numFmtId="194" fontId="129" fillId="0" borderId="0" xfId="604" applyNumberFormat="1" applyFont="1" applyFill="1" applyAlignment="1" applyProtection="1">
      <alignment horizontal="right"/>
    </xf>
    <xf numFmtId="0" fontId="130" fillId="0" borderId="0" xfId="605"/>
    <xf numFmtId="0" fontId="129" fillId="0" borderId="0" xfId="605" applyFont="1" applyFill="1" applyAlignment="1" applyProtection="1">
      <alignment horizontal="right"/>
    </xf>
    <xf numFmtId="0" fontId="129" fillId="0" borderId="0" xfId="605" applyFont="1" applyFill="1" applyAlignment="1" applyProtection="1">
      <alignment horizontal="center"/>
    </xf>
    <xf numFmtId="0" fontId="129" fillId="0" borderId="0" xfId="605" applyFont="1" applyFill="1" applyAlignment="1" applyProtection="1"/>
    <xf numFmtId="0" fontId="129" fillId="0" borderId="0" xfId="606" applyFont="1" applyFill="1" applyAlignment="1" applyProtection="1">
      <alignment horizontal="right"/>
    </xf>
    <xf numFmtId="0" fontId="129" fillId="0" borderId="0" xfId="606" applyFont="1" applyFill="1" applyAlignment="1" applyProtection="1"/>
    <xf numFmtId="0" fontId="129" fillId="0" borderId="0" xfId="607" applyFont="1" applyFill="1" applyAlignment="1" applyProtection="1">
      <alignment horizontal="right"/>
    </xf>
    <xf numFmtId="0" fontId="129" fillId="0" borderId="0" xfId="607" applyFont="1" applyFill="1" applyAlignment="1" applyProtection="1"/>
    <xf numFmtId="196" fontId="129" fillId="0" borderId="0" xfId="607" applyNumberFormat="1" applyFont="1" applyFill="1" applyAlignment="1" applyProtection="1">
      <alignment horizontal="right"/>
    </xf>
    <xf numFmtId="194" fontId="129" fillId="0" borderId="0" xfId="607" applyNumberFormat="1" applyFont="1" applyFill="1" applyAlignment="1" applyProtection="1">
      <alignment horizontal="right"/>
    </xf>
    <xf numFmtId="0" fontId="129" fillId="0" borderId="0" xfId="608" applyFont="1" applyFill="1" applyAlignment="1" applyProtection="1">
      <alignment horizontal="right"/>
    </xf>
    <xf numFmtId="0" fontId="129" fillId="0" borderId="0" xfId="608" applyFont="1" applyFill="1" applyAlignment="1" applyProtection="1"/>
    <xf numFmtId="196" fontId="129" fillId="0" borderId="0" xfId="608" applyNumberFormat="1" applyFont="1" applyFill="1" applyAlignment="1" applyProtection="1">
      <alignment horizontal="right"/>
    </xf>
    <xf numFmtId="194" fontId="129" fillId="0" borderId="0" xfId="608" applyNumberFormat="1" applyFont="1" applyFill="1" applyAlignment="1" applyProtection="1">
      <alignment horizontal="right"/>
    </xf>
    <xf numFmtId="0" fontId="129" fillId="0" borderId="0" xfId="609" applyFont="1" applyFill="1" applyAlignment="1" applyProtection="1">
      <alignment horizontal="right"/>
    </xf>
    <xf numFmtId="0" fontId="129" fillId="0" borderId="0" xfId="610" applyFont="1" applyFill="1" applyAlignment="1" applyProtection="1">
      <alignment horizontal="right"/>
    </xf>
    <xf numFmtId="0" fontId="129" fillId="0" borderId="0" xfId="610" applyFont="1" applyFill="1" applyAlignment="1" applyProtection="1"/>
    <xf numFmtId="0" fontId="129" fillId="0" borderId="0" xfId="611" applyFont="1" applyFill="1" applyAlignment="1" applyProtection="1">
      <alignment horizontal="right"/>
    </xf>
    <xf numFmtId="0" fontId="129" fillId="0" borderId="0" xfId="611" applyFont="1" applyFill="1" applyAlignment="1" applyProtection="1"/>
    <xf numFmtId="194" fontId="129" fillId="0" borderId="0" xfId="611" applyNumberFormat="1" applyFont="1" applyFill="1" applyAlignment="1" applyProtection="1">
      <alignment horizontal="right"/>
    </xf>
    <xf numFmtId="0" fontId="129" fillId="0" borderId="0" xfId="612" applyFont="1" applyFill="1" applyAlignment="1" applyProtection="1">
      <alignment horizontal="right"/>
    </xf>
    <xf numFmtId="0" fontId="129" fillId="0" borderId="0" xfId="612" applyFont="1" applyFill="1" applyAlignment="1" applyProtection="1"/>
    <xf numFmtId="194" fontId="129" fillId="0" borderId="0" xfId="612" applyNumberFormat="1" applyFont="1" applyFill="1" applyAlignment="1" applyProtection="1">
      <alignment horizontal="right"/>
    </xf>
    <xf numFmtId="0" fontId="129" fillId="0" borderId="0" xfId="613" applyFont="1" applyFill="1" applyAlignment="1" applyProtection="1">
      <alignment horizontal="right"/>
    </xf>
    <xf numFmtId="0" fontId="129" fillId="0" borderId="0" xfId="614" applyFont="1" applyFill="1" applyAlignment="1" applyProtection="1">
      <alignment horizontal="right"/>
    </xf>
    <xf numFmtId="0" fontId="129" fillId="0" borderId="0" xfId="614" applyFont="1" applyFill="1" applyAlignment="1" applyProtection="1"/>
    <xf numFmtId="194" fontId="129" fillId="0" borderId="0" xfId="614" applyNumberFormat="1" applyFont="1" applyFill="1" applyAlignment="1" applyProtection="1">
      <alignment horizontal="right"/>
    </xf>
    <xf numFmtId="0" fontId="129" fillId="0" borderId="0" xfId="615" applyFont="1" applyFill="1" applyAlignment="1" applyProtection="1">
      <alignment horizontal="right"/>
    </xf>
    <xf numFmtId="0" fontId="129" fillId="0" borderId="0" xfId="615" applyFont="1" applyFill="1" applyAlignment="1" applyProtection="1"/>
    <xf numFmtId="194" fontId="129" fillId="0" borderId="0" xfId="615" applyNumberFormat="1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right"/>
    </xf>
    <xf numFmtId="0" fontId="129" fillId="0" borderId="0" xfId="618" applyFont="1" applyFill="1" applyAlignment="1" applyProtection="1">
      <alignment horizontal="center"/>
    </xf>
    <xf numFmtId="0" fontId="129" fillId="0" borderId="0" xfId="618" applyFont="1" applyFill="1" applyAlignment="1" applyProtection="1"/>
    <xf numFmtId="194" fontId="129" fillId="0" borderId="0" xfId="618" applyNumberFormat="1" applyFont="1" applyFill="1" applyAlignment="1" applyProtection="1">
      <alignment horizontal="right"/>
    </xf>
    <xf numFmtId="0" fontId="0" fillId="0" borderId="0" xfId="0" applyAlignment="1"/>
    <xf numFmtId="0" fontId="129" fillId="39" borderId="0" xfId="0" applyFont="1" applyFill="1" applyAlignment="1" applyProtection="1"/>
    <xf numFmtId="0" fontId="0" fillId="39" borderId="0" xfId="0" applyFill="1" applyAlignment="1"/>
    <xf numFmtId="2" fontId="129" fillId="0" borderId="0" xfId="0" applyNumberFormat="1" applyFont="1" applyFill="1" applyAlignment="1" applyProtection="1"/>
    <xf numFmtId="194" fontId="129" fillId="0" borderId="0" xfId="0" applyNumberFormat="1" applyFont="1" applyFill="1" applyAlignment="1" applyProtection="1"/>
    <xf numFmtId="0" fontId="130" fillId="0" borderId="0" xfId="525" applyAlignment="1"/>
    <xf numFmtId="2" fontId="129" fillId="0" borderId="0" xfId="526" applyNumberFormat="1" applyFont="1" applyFill="1" applyAlignment="1" applyProtection="1"/>
    <xf numFmtId="0" fontId="130" fillId="0" borderId="0" xfId="526" applyAlignment="1"/>
    <xf numFmtId="194" fontId="129" fillId="0" borderId="0" xfId="527" applyNumberFormat="1" applyFont="1" applyFill="1" applyAlignment="1" applyProtection="1"/>
    <xf numFmtId="0" fontId="130" fillId="0" borderId="0" xfId="527" applyAlignment="1"/>
    <xf numFmtId="194" fontId="129" fillId="0" borderId="0" xfId="528" applyNumberFormat="1" applyFont="1" applyFill="1" applyAlignment="1" applyProtection="1"/>
    <xf numFmtId="0" fontId="130" fillId="0" borderId="0" xfId="528" applyAlignment="1"/>
    <xf numFmtId="0" fontId="130" fillId="0" borderId="0" xfId="529" applyAlignment="1"/>
    <xf numFmtId="2" fontId="129" fillId="0" borderId="0" xfId="529" applyNumberFormat="1" applyFont="1" applyFill="1" applyAlignment="1" applyProtection="1"/>
    <xf numFmtId="194" fontId="129" fillId="0" borderId="0" xfId="530" applyNumberFormat="1" applyFont="1" applyFill="1" applyAlignment="1" applyProtection="1"/>
    <xf numFmtId="0" fontId="130" fillId="0" borderId="0" xfId="530" applyAlignment="1"/>
    <xf numFmtId="194" fontId="129" fillId="0" borderId="0" xfId="531" applyNumberFormat="1" applyFont="1" applyFill="1" applyAlignment="1" applyProtection="1"/>
    <xf numFmtId="0" fontId="130" fillId="0" borderId="0" xfId="531" applyAlignment="1"/>
    <xf numFmtId="0" fontId="129" fillId="39" borderId="0" xfId="533" applyFont="1" applyFill="1" applyAlignment="1" applyProtection="1"/>
    <xf numFmtId="0" fontId="130" fillId="39" borderId="0" xfId="533" applyFill="1" applyAlignment="1"/>
    <xf numFmtId="2" fontId="129" fillId="0" borderId="0" xfId="533" applyNumberFormat="1" applyFont="1" applyFill="1" applyAlignment="1" applyProtection="1"/>
    <xf numFmtId="0" fontId="130" fillId="0" borderId="0" xfId="533" applyAlignment="1"/>
    <xf numFmtId="194" fontId="129" fillId="0" borderId="0" xfId="534" applyNumberFormat="1" applyFont="1" applyFill="1" applyAlignment="1" applyProtection="1"/>
    <xf numFmtId="0" fontId="130" fillId="0" borderId="0" xfId="534" applyAlignment="1"/>
    <xf numFmtId="194" fontId="129" fillId="0" borderId="0" xfId="535" applyNumberFormat="1" applyFont="1" applyFill="1" applyAlignment="1" applyProtection="1"/>
    <xf numFmtId="0" fontId="130" fillId="0" borderId="0" xfId="535" applyAlignment="1"/>
    <xf numFmtId="0" fontId="130" fillId="0" borderId="0" xfId="536" applyAlignment="1"/>
    <xf numFmtId="194" fontId="129" fillId="0" borderId="0" xfId="537" applyNumberFormat="1" applyFont="1" applyFill="1" applyAlignment="1" applyProtection="1"/>
    <xf numFmtId="0" fontId="130" fillId="0" borderId="0" xfId="537" applyAlignment="1"/>
    <xf numFmtId="194" fontId="129" fillId="0" borderId="0" xfId="538" applyNumberFormat="1" applyFont="1" applyFill="1" applyAlignment="1" applyProtection="1"/>
    <xf numFmtId="0" fontId="130" fillId="0" borderId="0" xfId="538" applyAlignment="1"/>
    <xf numFmtId="0" fontId="130" fillId="0" borderId="0" xfId="539" applyAlignment="1"/>
    <xf numFmtId="2" fontId="129" fillId="0" borderId="0" xfId="539" applyNumberFormat="1" applyFont="1" applyFill="1" applyAlignment="1" applyProtection="1"/>
    <xf numFmtId="194" fontId="129" fillId="0" borderId="0" xfId="540" applyNumberFormat="1" applyFont="1" applyFill="1" applyAlignment="1" applyProtection="1"/>
    <xf numFmtId="0" fontId="130" fillId="0" borderId="0" xfId="540" applyAlignment="1"/>
    <xf numFmtId="194" fontId="129" fillId="0" borderId="0" xfId="541" applyNumberFormat="1" applyFont="1" applyFill="1" applyAlignment="1" applyProtection="1"/>
    <xf numFmtId="0" fontId="130" fillId="0" borderId="0" xfId="541" applyAlignment="1"/>
    <xf numFmtId="0" fontId="130" fillId="0" borderId="0" xfId="542" applyAlignment="1"/>
    <xf numFmtId="2" fontId="129" fillId="0" borderId="0" xfId="542" applyNumberFormat="1" applyFont="1" applyFill="1" applyAlignment="1" applyProtection="1"/>
    <xf numFmtId="194" fontId="129" fillId="0" borderId="0" xfId="543" applyNumberFormat="1" applyFont="1" applyFill="1" applyAlignment="1" applyProtection="1"/>
    <xf numFmtId="0" fontId="130" fillId="0" borderId="0" xfId="543" applyAlignment="1"/>
    <xf numFmtId="194" fontId="129" fillId="0" borderId="0" xfId="544" applyNumberFormat="1" applyFont="1" applyFill="1" applyAlignment="1" applyProtection="1"/>
    <xf numFmtId="0" fontId="130" fillId="0" borderId="0" xfId="544" applyAlignment="1"/>
    <xf numFmtId="0" fontId="129" fillId="39" borderId="0" xfId="545" applyFont="1" applyFill="1" applyAlignment="1" applyProtection="1"/>
    <xf numFmtId="0" fontId="130" fillId="39" borderId="0" xfId="545" applyFill="1" applyAlignment="1"/>
    <xf numFmtId="2" fontId="129" fillId="0" borderId="0" xfId="545" applyNumberFormat="1" applyFont="1" applyFill="1" applyAlignment="1" applyProtection="1"/>
    <xf numFmtId="0" fontId="130" fillId="0" borderId="0" xfId="545" applyAlignment="1"/>
    <xf numFmtId="194" fontId="129" fillId="0" borderId="0" xfId="546" applyNumberFormat="1" applyFont="1" applyFill="1" applyAlignment="1" applyProtection="1"/>
    <xf numFmtId="0" fontId="130" fillId="0" borderId="0" xfId="546" applyAlignment="1"/>
    <xf numFmtId="194" fontId="129" fillId="0" borderId="0" xfId="547" applyNumberFormat="1" applyFont="1" applyFill="1" applyAlignment="1" applyProtection="1"/>
    <xf numFmtId="0" fontId="130" fillId="0" borderId="0" xfId="547" applyAlignment="1"/>
    <xf numFmtId="0" fontId="130" fillId="0" borderId="0" xfId="548" applyAlignment="1"/>
    <xf numFmtId="2" fontId="129" fillId="0" borderId="0" xfId="548" applyNumberFormat="1" applyFont="1" applyFill="1" applyAlignment="1" applyProtection="1"/>
    <xf numFmtId="194" fontId="129" fillId="0" borderId="0" xfId="549" applyNumberFormat="1" applyFont="1" applyFill="1" applyAlignment="1" applyProtection="1"/>
    <xf numFmtId="0" fontId="130" fillId="0" borderId="0" xfId="549" applyAlignment="1"/>
    <xf numFmtId="194" fontId="129" fillId="0" borderId="0" xfId="550" applyNumberFormat="1" applyFont="1" applyFill="1" applyAlignment="1" applyProtection="1"/>
    <xf numFmtId="0" fontId="130" fillId="0" borderId="0" xfId="550" applyAlignment="1"/>
    <xf numFmtId="0" fontId="130" fillId="0" borderId="0" xfId="554" applyAlignment="1"/>
    <xf numFmtId="2" fontId="129" fillId="0" borderId="0" xfId="554" applyNumberFormat="1" applyFont="1" applyFill="1" applyAlignment="1" applyProtection="1"/>
    <xf numFmtId="194" fontId="129" fillId="0" borderId="0" xfId="555" applyNumberFormat="1" applyFont="1" applyFill="1" applyAlignment="1" applyProtection="1"/>
    <xf numFmtId="0" fontId="130" fillId="0" borderId="0" xfId="555" applyAlignment="1"/>
    <xf numFmtId="194" fontId="129" fillId="0" borderId="0" xfId="556" applyNumberFormat="1" applyFont="1" applyFill="1" applyAlignment="1" applyProtection="1"/>
    <xf numFmtId="0" fontId="130" fillId="0" borderId="0" xfId="556" applyAlignment="1"/>
    <xf numFmtId="0" fontId="130" fillId="0" borderId="0" xfId="551" applyAlignment="1"/>
    <xf numFmtId="2" fontId="129" fillId="0" borderId="0" xfId="551" applyNumberFormat="1" applyFont="1" applyFill="1" applyAlignment="1" applyProtection="1"/>
    <xf numFmtId="0" fontId="129" fillId="39" borderId="0" xfId="557" applyFont="1" applyFill="1" applyAlignment="1" applyProtection="1"/>
    <xf numFmtId="0" fontId="130" fillId="39" borderId="0" xfId="557" applyFill="1" applyAlignment="1"/>
    <xf numFmtId="2" fontId="129" fillId="0" borderId="0" xfId="557" applyNumberFormat="1" applyFont="1" applyFill="1" applyAlignment="1" applyProtection="1"/>
    <xf numFmtId="0" fontId="130" fillId="0" borderId="0" xfId="557" applyAlignment="1"/>
    <xf numFmtId="0" fontId="130" fillId="0" borderId="0" xfId="561" applyAlignment="1"/>
    <xf numFmtId="2" fontId="129" fillId="0" borderId="0" xfId="561" applyNumberFormat="1" applyFont="1" applyFill="1" applyAlignment="1" applyProtection="1"/>
    <xf numFmtId="0" fontId="130" fillId="0" borderId="0" xfId="564" applyAlignment="1"/>
    <xf numFmtId="2" fontId="129" fillId="0" borderId="0" xfId="564" applyNumberFormat="1" applyFont="1" applyFill="1" applyAlignment="1" applyProtection="1"/>
    <xf numFmtId="0" fontId="130" fillId="0" borderId="0" xfId="567" applyAlignment="1"/>
    <xf numFmtId="2" fontId="129" fillId="0" borderId="0" xfId="567" applyNumberFormat="1" applyFont="1" applyFill="1" applyAlignment="1" applyProtection="1"/>
    <xf numFmtId="0" fontId="129" fillId="39" borderId="0" xfId="570" applyFont="1" applyFill="1" applyAlignment="1" applyProtection="1"/>
    <xf numFmtId="0" fontId="130" fillId="39" borderId="0" xfId="570" applyFill="1" applyAlignment="1"/>
    <xf numFmtId="2" fontId="129" fillId="0" borderId="0" xfId="570" applyNumberFormat="1" applyFont="1" applyFill="1" applyAlignment="1" applyProtection="1"/>
    <xf numFmtId="0" fontId="130" fillId="0" borderId="0" xfId="570" applyAlignment="1"/>
    <xf numFmtId="0" fontId="130" fillId="0" borderId="0" xfId="573" applyAlignment="1"/>
    <xf numFmtId="0" fontId="130" fillId="0" borderId="0" xfId="576" applyAlignment="1"/>
    <xf numFmtId="2" fontId="129" fillId="0" borderId="0" xfId="576" applyNumberFormat="1" applyFont="1" applyFill="1" applyAlignment="1" applyProtection="1"/>
    <xf numFmtId="0" fontId="130" fillId="0" borderId="0" xfId="579" applyAlignment="1"/>
    <xf numFmtId="2" fontId="129" fillId="0" borderId="0" xfId="579" applyNumberFormat="1" applyFont="1" applyFill="1" applyAlignment="1" applyProtection="1"/>
    <xf numFmtId="0" fontId="129" fillId="39" borderId="0" xfId="582" applyFont="1" applyFill="1" applyAlignment="1" applyProtection="1"/>
    <xf numFmtId="0" fontId="130" fillId="39" borderId="0" xfId="582" applyFill="1" applyAlignment="1"/>
    <xf numFmtId="2" fontId="129" fillId="0" borderId="0" xfId="583" applyNumberFormat="1" applyFont="1" applyFill="1" applyAlignment="1" applyProtection="1"/>
    <xf numFmtId="0" fontId="130" fillId="0" borderId="0" xfId="583" applyAlignment="1"/>
    <xf numFmtId="0" fontId="130" fillId="0" borderId="0" xfId="589" applyAlignment="1"/>
    <xf numFmtId="2" fontId="129" fillId="0" borderId="0" xfId="589" applyNumberFormat="1" applyFont="1" applyFill="1" applyAlignment="1" applyProtection="1"/>
    <xf numFmtId="195" fontId="129" fillId="0" borderId="0" xfId="591" applyNumberFormat="1" applyFont="1" applyFill="1" applyAlignment="1" applyProtection="1"/>
    <xf numFmtId="0" fontId="130" fillId="0" borderId="0" xfId="591" applyAlignment="1"/>
    <xf numFmtId="195" fontId="129" fillId="0" borderId="0" xfId="590" applyNumberFormat="1" applyFont="1" applyFill="1" applyAlignment="1" applyProtection="1"/>
    <xf numFmtId="0" fontId="130" fillId="0" borderId="0" xfId="590" applyAlignment="1"/>
    <xf numFmtId="0" fontId="130" fillId="0" borderId="0" xfId="597" applyAlignment="1"/>
    <xf numFmtId="2" fontId="129" fillId="0" borderId="0" xfId="597" applyNumberFormat="1" applyFont="1" applyFill="1" applyAlignment="1" applyProtection="1"/>
    <xf numFmtId="0" fontId="130" fillId="0" borderId="0" xfId="596" applyAlignment="1"/>
    <xf numFmtId="195" fontId="129" fillId="0" borderId="0" xfId="595" applyNumberFormat="1" applyFont="1" applyFill="1" applyAlignment="1" applyProtection="1"/>
    <xf numFmtId="0" fontId="130" fillId="0" borderId="0" xfId="595" applyAlignment="1"/>
    <xf numFmtId="195" fontId="129" fillId="0" borderId="0" xfId="594" applyNumberFormat="1" applyFont="1" applyFill="1" applyAlignment="1" applyProtection="1"/>
    <xf numFmtId="0" fontId="130" fillId="0" borderId="0" xfId="594" applyAlignment="1"/>
    <xf numFmtId="0" fontId="130" fillId="0" borderId="0" xfId="598" applyAlignment="1"/>
    <xf numFmtId="2" fontId="129" fillId="0" borderId="0" xfId="598" applyNumberFormat="1" applyFont="1" applyFill="1" applyAlignment="1" applyProtection="1"/>
    <xf numFmtId="195" fontId="129" fillId="0" borderId="0" xfId="599" applyNumberFormat="1" applyFont="1" applyFill="1" applyAlignment="1" applyProtection="1"/>
    <xf numFmtId="0" fontId="130" fillId="0" borderId="0" xfId="599" applyAlignment="1"/>
    <xf numFmtId="195" fontId="129" fillId="0" borderId="0" xfId="600" applyNumberFormat="1" applyFont="1" applyFill="1" applyAlignment="1" applyProtection="1"/>
    <xf numFmtId="0" fontId="130" fillId="0" borderId="0" xfId="600" applyAlignment="1"/>
    <xf numFmtId="0" fontId="129" fillId="39" borderId="0" xfId="601" applyFont="1" applyFill="1" applyAlignment="1" applyProtection="1"/>
    <xf numFmtId="0" fontId="130" fillId="39" borderId="0" xfId="601" applyFill="1" applyAlignment="1"/>
    <xf numFmtId="2" fontId="129" fillId="0" borderId="0" xfId="601" applyNumberFormat="1" applyFont="1" applyFill="1" applyAlignment="1" applyProtection="1"/>
    <xf numFmtId="0" fontId="130" fillId="0" borderId="0" xfId="601" applyAlignment="1"/>
    <xf numFmtId="0" fontId="130" fillId="0" borderId="0" xfId="602" applyAlignment="1"/>
    <xf numFmtId="195" fontId="129" fillId="0" borderId="0" xfId="604" applyNumberFormat="1" applyFont="1" applyFill="1" applyAlignment="1" applyProtection="1"/>
    <xf numFmtId="0" fontId="130" fillId="0" borderId="0" xfId="604" applyAlignment="1"/>
    <xf numFmtId="195" fontId="129" fillId="0" borderId="0" xfId="603" applyNumberFormat="1" applyFont="1" applyFill="1" applyAlignment="1" applyProtection="1"/>
    <xf numFmtId="0" fontId="130" fillId="0" borderId="0" xfId="603" applyAlignment="1"/>
    <xf numFmtId="0" fontId="130" fillId="0" borderId="0" xfId="605" applyAlignment="1"/>
    <xf numFmtId="2" fontId="129" fillId="0" borderId="0" xfId="605" applyNumberFormat="1" applyFont="1" applyFill="1" applyAlignment="1" applyProtection="1"/>
    <xf numFmtId="0" fontId="130" fillId="0" borderId="0" xfId="606" applyAlignment="1"/>
    <xf numFmtId="195" fontId="129" fillId="0" borderId="0" xfId="608" applyNumberFormat="1" applyFont="1" applyFill="1" applyAlignment="1" applyProtection="1"/>
    <xf numFmtId="0" fontId="130" fillId="0" borderId="0" xfId="608" applyAlignment="1"/>
    <xf numFmtId="195" fontId="129" fillId="0" borderId="0" xfId="607" applyNumberFormat="1" applyFont="1" applyFill="1" applyAlignment="1" applyProtection="1"/>
    <xf numFmtId="0" fontId="130" fillId="0" borderId="0" xfId="607" applyAlignment="1"/>
    <xf numFmtId="0" fontId="129" fillId="39" borderId="0" xfId="609" applyFont="1" applyFill="1" applyAlignment="1" applyProtection="1"/>
    <xf numFmtId="0" fontId="130" fillId="39" borderId="0" xfId="609" applyFill="1" applyAlignment="1"/>
    <xf numFmtId="2" fontId="129" fillId="0" borderId="0" xfId="609" applyNumberFormat="1" applyFont="1" applyFill="1" applyAlignment="1" applyProtection="1"/>
    <xf numFmtId="0" fontId="130" fillId="0" borderId="0" xfId="609" applyAlignment="1"/>
    <xf numFmtId="0" fontId="130" fillId="0" borderId="0" xfId="610" applyAlignment="1"/>
    <xf numFmtId="195" fontId="129" fillId="0" borderId="0" xfId="612" applyNumberFormat="1" applyFont="1" applyFill="1" applyAlignment="1" applyProtection="1"/>
    <xf numFmtId="0" fontId="130" fillId="0" borderId="0" xfId="612" applyAlignment="1"/>
    <xf numFmtId="195" fontId="129" fillId="0" borderId="0" xfId="611" applyNumberFormat="1" applyFont="1" applyFill="1" applyAlignment="1" applyProtection="1"/>
    <xf numFmtId="0" fontId="130" fillId="0" borderId="0" xfId="611" applyAlignment="1"/>
    <xf numFmtId="0" fontId="129" fillId="39" borderId="0" xfId="613" applyFont="1" applyFill="1" applyAlignment="1" applyProtection="1"/>
    <xf numFmtId="0" fontId="130" fillId="39" borderId="0" xfId="613" applyFill="1" applyAlignment="1"/>
    <xf numFmtId="2" fontId="129" fillId="0" borderId="0" xfId="613" applyNumberFormat="1" applyFont="1" applyFill="1" applyAlignment="1" applyProtection="1"/>
    <xf numFmtId="0" fontId="130" fillId="0" borderId="0" xfId="613" applyAlignment="1"/>
    <xf numFmtId="195" fontId="129" fillId="0" borderId="0" xfId="615" applyNumberFormat="1" applyFont="1" applyFill="1" applyAlignment="1" applyProtection="1"/>
    <xf numFmtId="0" fontId="130" fillId="0" borderId="0" xfId="615" applyAlignment="1"/>
    <xf numFmtId="195" fontId="129" fillId="0" borderId="0" xfId="614" applyNumberFormat="1" applyFont="1" applyFill="1" applyAlignment="1" applyProtection="1"/>
    <xf numFmtId="0" fontId="130" fillId="0" borderId="0" xfId="614" applyAlignment="1"/>
    <xf numFmtId="0" fontId="129" fillId="39" borderId="0" xfId="616" applyFont="1" applyFill="1" applyAlignment="1" applyProtection="1"/>
    <xf numFmtId="0" fontId="130" fillId="39" borderId="0" xfId="616" applyFill="1" applyAlignment="1"/>
    <xf numFmtId="2" fontId="129" fillId="0" borderId="0" xfId="618" applyNumberFormat="1" applyFont="1" applyFill="1" applyAlignment="1" applyProtection="1"/>
    <xf numFmtId="0" fontId="130" fillId="0" borderId="0" xfId="618" applyAlignment="1"/>
    <xf numFmtId="0" fontId="4" fillId="0" borderId="38" xfId="0" applyFont="1" applyBorder="1"/>
    <xf numFmtId="0" fontId="127" fillId="51" borderId="38" xfId="0" applyNumberFormat="1" applyFont="1" applyFill="1" applyBorder="1" applyAlignment="1">
      <alignment horizontal="center"/>
    </xf>
    <xf numFmtId="197" fontId="0" fillId="0" borderId="43" xfId="0" applyNumberFormat="1" applyBorder="1"/>
    <xf numFmtId="197" fontId="0" fillId="0" borderId="39" xfId="0" applyNumberFormat="1" applyBorder="1"/>
    <xf numFmtId="197" fontId="0" fillId="0" borderId="44" xfId="0" applyNumberFormat="1" applyBorder="1"/>
    <xf numFmtId="2" fontId="6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127" fillId="51" borderId="38" xfId="0" applyNumberFormat="1" applyFont="1" applyFill="1" applyBorder="1" applyAlignment="1">
      <alignment horizontal="center"/>
    </xf>
    <xf numFmtId="164" fontId="127" fillId="51" borderId="38" xfId="0" applyNumberFormat="1" applyFont="1" applyFill="1" applyBorder="1" applyAlignment="1">
      <alignment horizontal="left"/>
    </xf>
    <xf numFmtId="0" fontId="127" fillId="51" borderId="40" xfId="0" applyNumberFormat="1" applyFont="1" applyFill="1" applyBorder="1" applyAlignment="1">
      <alignment horizontal="center"/>
    </xf>
    <xf numFmtId="0" fontId="127" fillId="51" borderId="41" xfId="0" applyNumberFormat="1" applyFont="1" applyFill="1" applyBorder="1" applyAlignment="1">
      <alignment horizontal="center"/>
    </xf>
    <xf numFmtId="0" fontId="127" fillId="51" borderId="42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619">
    <cellStyle name="_Bonds" xfId="2"/>
    <cellStyle name="_Bonds 2" xfId="3"/>
    <cellStyle name="_Offering" xfId="4"/>
    <cellStyle name="_Offering 2" xfId="5"/>
    <cellStyle name="£ BP" xfId="6"/>
    <cellStyle name="¥ JY" xfId="7"/>
    <cellStyle name="20% - Accent1 2" xfId="8"/>
    <cellStyle name="20% - Accent1 2 2" xfId="9"/>
    <cellStyle name="20% - Accent1 2 3" xfId="10"/>
    <cellStyle name="20% - Accent1 3" xfId="11"/>
    <cellStyle name="20% - Accent1 3 2" xfId="12"/>
    <cellStyle name="20% - Accent1 3 3" xfId="13"/>
    <cellStyle name="20% - Accent1 4" xfId="14"/>
    <cellStyle name="20% - Accent1 5" xfId="15"/>
    <cellStyle name="20% - Accent2 2" xfId="16"/>
    <cellStyle name="20% - Accent2 3" xfId="17"/>
    <cellStyle name="20% - Accent2 4" xfId="18"/>
    <cellStyle name="20% - Accent3 2" xfId="19"/>
    <cellStyle name="20% - Accent3 3" xfId="20"/>
    <cellStyle name="20% - Accent3 4" xfId="21"/>
    <cellStyle name="20% - Accent4 2" xfId="22"/>
    <cellStyle name="20% - Accent4 3" xfId="23"/>
    <cellStyle name="20% - Accent4 4" xfId="24"/>
    <cellStyle name="20% - Accent5 2" xfId="25"/>
    <cellStyle name="20% - Accent5 3" xfId="26"/>
    <cellStyle name="20% - Accent5 4" xfId="27"/>
    <cellStyle name="20% - Accent6 2" xfId="28"/>
    <cellStyle name="20% - Accent6 3" xfId="29"/>
    <cellStyle name="20% - Accent6 4" xfId="30"/>
    <cellStyle name="40% - Accent1 2" xfId="31"/>
    <cellStyle name="40% - Accent1 3" xfId="32"/>
    <cellStyle name="40% - Accent1 4" xfId="33"/>
    <cellStyle name="40% - Accent2 2" xfId="34"/>
    <cellStyle name="40% - Accent2 3" xfId="35"/>
    <cellStyle name="40% - Accent2 4" xfId="36"/>
    <cellStyle name="40% - Accent3 2" xfId="37"/>
    <cellStyle name="40% - Accent3 3" xfId="38"/>
    <cellStyle name="40% - Accent3 4" xfId="39"/>
    <cellStyle name="40% - Accent4 2" xfId="40"/>
    <cellStyle name="40% - Accent4 3" xfId="41"/>
    <cellStyle name="40% - Accent4 4" xfId="42"/>
    <cellStyle name="40% - Accent5 2" xfId="43"/>
    <cellStyle name="40% - Accent5 3" xfId="44"/>
    <cellStyle name="40% - Accent5 4" xfId="45"/>
    <cellStyle name="40% - Accent6 2" xfId="46"/>
    <cellStyle name="40% - Accent6 3" xfId="47"/>
    <cellStyle name="40% - Accent6 4" xfId="48"/>
    <cellStyle name="60% - Accent1 2" xfId="49"/>
    <cellStyle name="60% - Accent1 3" xfId="50"/>
    <cellStyle name="60% - Accent1 4" xfId="51"/>
    <cellStyle name="60% - Accent2 2" xfId="52"/>
    <cellStyle name="60% - Accent2 3" xfId="53"/>
    <cellStyle name="60% - Accent2 4" xfId="54"/>
    <cellStyle name="60% - Accent3 2" xfId="55"/>
    <cellStyle name="60% - Accent3 3" xfId="56"/>
    <cellStyle name="60% - Accent3 4" xfId="57"/>
    <cellStyle name="60% - Accent4 2" xfId="58"/>
    <cellStyle name="60% - Accent4 3" xfId="59"/>
    <cellStyle name="60% - Accent4 4" xfId="60"/>
    <cellStyle name="60% - Accent5 2" xfId="61"/>
    <cellStyle name="60% - Accent5 3" xfId="62"/>
    <cellStyle name="60% - Accent5 4" xfId="63"/>
    <cellStyle name="60% - Accent6 2" xfId="64"/>
    <cellStyle name="60% - Accent6 3" xfId="65"/>
    <cellStyle name="60% - Accent6 4" xfId="66"/>
    <cellStyle name="Accent1 2" xfId="67"/>
    <cellStyle name="Accent1 3" xfId="68"/>
    <cellStyle name="Accent1 4" xfId="69"/>
    <cellStyle name="Accent2 2" xfId="70"/>
    <cellStyle name="Accent2 3" xfId="71"/>
    <cellStyle name="Accent2 4" xfId="72"/>
    <cellStyle name="Accent3 2" xfId="73"/>
    <cellStyle name="Accent3 3" xfId="74"/>
    <cellStyle name="Accent3 4" xfId="75"/>
    <cellStyle name="Accent4 2" xfId="76"/>
    <cellStyle name="Accent4 3" xfId="77"/>
    <cellStyle name="Accent4 4" xfId="78"/>
    <cellStyle name="Accent5 2" xfId="79"/>
    <cellStyle name="Accent5 3" xfId="80"/>
    <cellStyle name="Accent5 4" xfId="81"/>
    <cellStyle name="Accent6 2" xfId="82"/>
    <cellStyle name="Accent6 3" xfId="83"/>
    <cellStyle name="Accent6 4" xfId="84"/>
    <cellStyle name="Auto_OpenAuto_CloseExtractD_Sheet1" xfId="85"/>
    <cellStyle name="Axis.EffectiveDate" xfId="86"/>
    <cellStyle name="Axis.Seasoning" xfId="87"/>
    <cellStyle name="Bad 2" xfId="88"/>
    <cellStyle name="Bad 3" xfId="89"/>
    <cellStyle name="Bad 4" xfId="90"/>
    <cellStyle name="Big Money" xfId="91"/>
    <cellStyle name="Blue" xfId="92"/>
    <cellStyle name="blue axis cells" xfId="93"/>
    <cellStyle name="blue text cells" xfId="94"/>
    <cellStyle name="Body" xfId="95"/>
    <cellStyle name="Bold/Border" xfId="96"/>
    <cellStyle name="Border" xfId="97"/>
    <cellStyle name="Bullet" xfId="98"/>
    <cellStyle name="Calc Currency (0)" xfId="99"/>
    <cellStyle name="Calc Currency (0) 2" xfId="100"/>
    <cellStyle name="Calc Currency (2)" xfId="101"/>
    <cellStyle name="Calc Currency (2) 2" xfId="102"/>
    <cellStyle name="Calc Percent (0)" xfId="103"/>
    <cellStyle name="Calc Percent (0) 2" xfId="104"/>
    <cellStyle name="Calc Percent (1)" xfId="105"/>
    <cellStyle name="Calc Percent (1) 2" xfId="106"/>
    <cellStyle name="Calc Percent (2)" xfId="107"/>
    <cellStyle name="Calc Percent (2) 2" xfId="108"/>
    <cellStyle name="Calc Units (0)" xfId="109"/>
    <cellStyle name="Calc Units (0) 2" xfId="110"/>
    <cellStyle name="Calc Units (1)" xfId="111"/>
    <cellStyle name="Calc Units (1) 2" xfId="112"/>
    <cellStyle name="Calc Units (2)" xfId="113"/>
    <cellStyle name="Calc Units (2) 2" xfId="114"/>
    <cellStyle name="Calculation 2" xfId="115"/>
    <cellStyle name="Calculation 3" xfId="116"/>
    <cellStyle name="Calculation 4" xfId="117"/>
    <cellStyle name="CCM Input" xfId="118"/>
    <cellStyle name="CCM Title Calculations" xfId="119"/>
    <cellStyle name="CCM Title Indicative" xfId="120"/>
    <cellStyle name="Cello Calculation" xfId="121"/>
    <cellStyle name="Cello Calculation 2" xfId="122"/>
    <cellStyle name="Cello Calculation 2 2" xfId="123"/>
    <cellStyle name="Cello Calculation 3" xfId="124"/>
    <cellStyle name="Cello Calculation 4" xfId="125"/>
    <cellStyle name="Cello Input" xfId="1"/>
    <cellStyle name="Cello Input 2" xfId="126"/>
    <cellStyle name="Cello Input 2 2" xfId="127"/>
    <cellStyle name="Cello Input 2 3" xfId="128"/>
    <cellStyle name="Cello Input 2 5" xfId="129"/>
    <cellStyle name="Cello Input 3" xfId="130"/>
    <cellStyle name="Cello Input 4" xfId="131"/>
    <cellStyle name="Cello Linked Cell" xfId="132"/>
    <cellStyle name="Cello Linked Cell 2" xfId="133"/>
    <cellStyle name="Cello Linked Cell 2 2" xfId="134"/>
    <cellStyle name="Check Cell 2" xfId="135"/>
    <cellStyle name="Check Cell 3" xfId="136"/>
    <cellStyle name="Check Cell 4" xfId="137"/>
    <cellStyle name="Co. Names" xfId="138"/>
    <cellStyle name="Comma  - Style1" xfId="139"/>
    <cellStyle name="Comma  - Style1 2" xfId="140"/>
    <cellStyle name="Comma  - Style2" xfId="141"/>
    <cellStyle name="Comma  - Style2 2" xfId="142"/>
    <cellStyle name="Comma  - Style3" xfId="143"/>
    <cellStyle name="Comma  - Style3 2" xfId="144"/>
    <cellStyle name="Comma  - Style4" xfId="145"/>
    <cellStyle name="Comma  - Style4 2" xfId="146"/>
    <cellStyle name="Comma  - Style5" xfId="147"/>
    <cellStyle name="Comma  - Style5 2" xfId="148"/>
    <cellStyle name="Comma  - Style6" xfId="149"/>
    <cellStyle name="Comma  - Style6 2" xfId="150"/>
    <cellStyle name="Comma  - Style7" xfId="151"/>
    <cellStyle name="Comma  - Style7 2" xfId="152"/>
    <cellStyle name="Comma  - Style8" xfId="153"/>
    <cellStyle name="Comma  - Style8 2" xfId="154"/>
    <cellStyle name="Comma [00]" xfId="155"/>
    <cellStyle name="Comma [00] 2" xfId="156"/>
    <cellStyle name="Comma 10" xfId="157"/>
    <cellStyle name="Comma 11" xfId="158"/>
    <cellStyle name="Comma 12" xfId="159"/>
    <cellStyle name="Comma 13" xfId="160"/>
    <cellStyle name="Comma 14" xfId="161"/>
    <cellStyle name="Comma 15" xfId="162"/>
    <cellStyle name="Comma 16" xfId="163"/>
    <cellStyle name="Comma 16 2" xfId="164"/>
    <cellStyle name="Comma 17" xfId="165"/>
    <cellStyle name="Comma 18" xfId="166"/>
    <cellStyle name="Comma 19" xfId="167"/>
    <cellStyle name="Comma 2" xfId="168"/>
    <cellStyle name="Comma 20" xfId="169"/>
    <cellStyle name="Comma 21" xfId="170"/>
    <cellStyle name="Comma 22" xfId="171"/>
    <cellStyle name="Comma 23" xfId="172"/>
    <cellStyle name="Comma 24" xfId="173"/>
    <cellStyle name="Comma 25" xfId="174"/>
    <cellStyle name="Comma 26" xfId="175"/>
    <cellStyle name="Comma 27" xfId="176"/>
    <cellStyle name="Comma 28" xfId="177"/>
    <cellStyle name="Comma 29" xfId="178"/>
    <cellStyle name="Comma 29 2" xfId="179"/>
    <cellStyle name="Comma 3" xfId="180"/>
    <cellStyle name="Comma 30" xfId="181"/>
    <cellStyle name="Comma 4" xfId="182"/>
    <cellStyle name="Comma 4 2" xfId="183"/>
    <cellStyle name="Comma 5" xfId="184"/>
    <cellStyle name="Comma 6" xfId="185"/>
    <cellStyle name="Comma 7" xfId="186"/>
    <cellStyle name="Comma 8" xfId="187"/>
    <cellStyle name="Comma 9" xfId="188"/>
    <cellStyle name="Comma0" xfId="189"/>
    <cellStyle name="Comma1 - Style1" xfId="190"/>
    <cellStyle name="Copied" xfId="191"/>
    <cellStyle name="CTDSwitchAnalysisHeader" xfId="192"/>
    <cellStyle name="Curren - Style2" xfId="193"/>
    <cellStyle name="Currency [00]" xfId="194"/>
    <cellStyle name="Currency [00] 2" xfId="195"/>
    <cellStyle name="Currency [2]" xfId="196"/>
    <cellStyle name="Currency 10" xfId="197"/>
    <cellStyle name="Currency 11" xfId="198"/>
    <cellStyle name="Currency 12" xfId="199"/>
    <cellStyle name="Currency 13" xfId="200"/>
    <cellStyle name="Currency 14" xfId="201"/>
    <cellStyle name="Currency 15" xfId="202"/>
    <cellStyle name="Currency 2" xfId="203"/>
    <cellStyle name="Currency 3" xfId="204"/>
    <cellStyle name="Currency 4" xfId="205"/>
    <cellStyle name="Currency 5" xfId="206"/>
    <cellStyle name="Currency 6" xfId="207"/>
    <cellStyle name="Currency 7" xfId="208"/>
    <cellStyle name="Currency 8" xfId="209"/>
    <cellStyle name="Currency 9" xfId="210"/>
    <cellStyle name="Currency0" xfId="211"/>
    <cellStyle name="Dash" xfId="212"/>
    <cellStyle name="Data.LongPercent" xfId="213"/>
    <cellStyle name="Data.NumPercent" xfId="214"/>
    <cellStyle name="Data.NumShortPercent" xfId="215"/>
    <cellStyle name="date" xfId="216"/>
    <cellStyle name="Date - Style3" xfId="217"/>
    <cellStyle name="Date 2" xfId="218"/>
    <cellStyle name="Date 3" xfId="219"/>
    <cellStyle name="Date 4" xfId="220"/>
    <cellStyle name="Date 5" xfId="221"/>
    <cellStyle name="Date 6" xfId="222"/>
    <cellStyle name="Date 7" xfId="223"/>
    <cellStyle name="Date Short" xfId="224"/>
    <cellStyle name="date title" xfId="225"/>
    <cellStyle name="Date_DV01" xfId="226"/>
    <cellStyle name="DateFormat" xfId="227"/>
    <cellStyle name="DBAHandle" xfId="228"/>
    <cellStyle name="DBAParameter" xfId="229"/>
    <cellStyle name="DELTA" xfId="230"/>
    <cellStyle name="DS 0" xfId="231"/>
    <cellStyle name="DS 1" xfId="232"/>
    <cellStyle name="DS 2" xfId="233"/>
    <cellStyle name="DS 3" xfId="234"/>
    <cellStyle name="DS 4" xfId="235"/>
    <cellStyle name="DS 5" xfId="236"/>
    <cellStyle name="DS 5 2" xfId="237"/>
    <cellStyle name="DS 6" xfId="238"/>
    <cellStyle name="Enter Currency (0)" xfId="239"/>
    <cellStyle name="Enter Currency (0) 2" xfId="240"/>
    <cellStyle name="Enter Currency (2)" xfId="241"/>
    <cellStyle name="Enter Currency (2) 2" xfId="242"/>
    <cellStyle name="Enter Units (0)" xfId="243"/>
    <cellStyle name="Enter Units (0) 2" xfId="244"/>
    <cellStyle name="Enter Units (1)" xfId="245"/>
    <cellStyle name="Enter Units (1) 2" xfId="246"/>
    <cellStyle name="Enter Units (2)" xfId="247"/>
    <cellStyle name="Enter Units (2) 2" xfId="248"/>
    <cellStyle name="Entered" xfId="249"/>
    <cellStyle name="Entries" xfId="250"/>
    <cellStyle name="Euro" xfId="251"/>
    <cellStyle name="Explanatory Text 2" xfId="252"/>
    <cellStyle name="Explanatory Text 3" xfId="253"/>
    <cellStyle name="Explanatory Text 4" xfId="254"/>
    <cellStyle name="Fixed" xfId="255"/>
    <cellStyle name="FullTime" xfId="256"/>
    <cellStyle name="General" xfId="257"/>
    <cellStyle name="Good 2" xfId="258"/>
    <cellStyle name="Good 3" xfId="259"/>
    <cellStyle name="Good 4" xfId="260"/>
    <cellStyle name="gray text cells" xfId="261"/>
    <cellStyle name="Grey" xfId="262"/>
    <cellStyle name="Header1" xfId="263"/>
    <cellStyle name="Header2" xfId="264"/>
    <cellStyle name="Heading" xfId="265"/>
    <cellStyle name="Heading 1 2" xfId="266"/>
    <cellStyle name="Heading 1 2 2" xfId="267"/>
    <cellStyle name="Heading 1 3" xfId="268"/>
    <cellStyle name="Heading 1 4" xfId="269"/>
    <cellStyle name="Heading 1 5" xfId="270"/>
    <cellStyle name="Heading 2 2" xfId="271"/>
    <cellStyle name="Heading 2 2 2" xfId="272"/>
    <cellStyle name="Heading 2 3" xfId="273"/>
    <cellStyle name="Heading 2 4" xfId="274"/>
    <cellStyle name="Heading 2 5" xfId="275"/>
    <cellStyle name="Heading 3 2" xfId="276"/>
    <cellStyle name="Heading 3 3" xfId="277"/>
    <cellStyle name="Heading 3 4" xfId="278"/>
    <cellStyle name="Heading 4 2" xfId="279"/>
    <cellStyle name="Heading 4 3" xfId="280"/>
    <cellStyle name="Heading 4 4" xfId="281"/>
    <cellStyle name="Heading 5" xfId="282"/>
    <cellStyle name="HEADING1" xfId="283"/>
    <cellStyle name="HEADING2" xfId="284"/>
    <cellStyle name="Hyperlink 2" xfId="285"/>
    <cellStyle name="Input [yellow]" xfId="286"/>
    <cellStyle name="Input 2" xfId="287"/>
    <cellStyle name="Input 2 2" xfId="288"/>
    <cellStyle name="Input 2 3" xfId="289"/>
    <cellStyle name="Input 3" xfId="290"/>
    <cellStyle name="Input 4" xfId="291"/>
    <cellStyle name="Input 5" xfId="292"/>
    <cellStyle name="Input 6" xfId="293"/>
    <cellStyle name="Input 7" xfId="294"/>
    <cellStyle name="Item" xfId="295"/>
    <cellStyle name="Link Currency (0)" xfId="296"/>
    <cellStyle name="Link Currency (0) 2" xfId="297"/>
    <cellStyle name="Link Currency (2)" xfId="298"/>
    <cellStyle name="Link Currency (2) 2" xfId="299"/>
    <cellStyle name="Link Units (0)" xfId="300"/>
    <cellStyle name="Link Units (0) 2" xfId="301"/>
    <cellStyle name="Link Units (1)" xfId="302"/>
    <cellStyle name="Link Units (1) 2" xfId="303"/>
    <cellStyle name="Link Units (2)" xfId="304"/>
    <cellStyle name="Link Units (2) 2" xfId="305"/>
    <cellStyle name="Linked Cell 2" xfId="306"/>
    <cellStyle name="Linked Cell 3" xfId="307"/>
    <cellStyle name="Linked Cell 4" xfId="308"/>
    <cellStyle name="Lookup" xfId="309"/>
    <cellStyle name="Milliers [0]_Basis" xfId="310"/>
    <cellStyle name="Milliers_Basis" xfId="311"/>
    <cellStyle name="Monétaire [0]_Basis" xfId="312"/>
    <cellStyle name="Monétaire_Basis" xfId="313"/>
    <cellStyle name="Money" xfId="314"/>
    <cellStyle name="Neutral 2" xfId="315"/>
    <cellStyle name="Neutral 3" xfId="316"/>
    <cellStyle name="Neutral 4" xfId="317"/>
    <cellStyle name="no dec" xfId="318"/>
    <cellStyle name="NoChange" xfId="319"/>
    <cellStyle name="Non Zero" xfId="320"/>
    <cellStyle name="Normal" xfId="0" builtinId="0"/>
    <cellStyle name="Normal - Style1" xfId="321"/>
    <cellStyle name="Normal 10" xfId="322"/>
    <cellStyle name="Normal 10 2" xfId="323"/>
    <cellStyle name="Normal 100" xfId="581"/>
    <cellStyle name="Normal 101" xfId="582"/>
    <cellStyle name="Normal 102" xfId="583"/>
    <cellStyle name="Normal 103" xfId="584"/>
    <cellStyle name="Normal 104" xfId="585"/>
    <cellStyle name="Normal 105" xfId="586"/>
    <cellStyle name="Normal 106" xfId="587"/>
    <cellStyle name="Normal 107" xfId="324"/>
    <cellStyle name="Normal 108" xfId="588"/>
    <cellStyle name="Normal 109" xfId="589"/>
    <cellStyle name="Normal 11" xfId="325"/>
    <cellStyle name="Normal 11 2" xfId="326"/>
    <cellStyle name="Normal 110" xfId="590"/>
    <cellStyle name="Normal 111" xfId="591"/>
    <cellStyle name="Normal 112" xfId="592"/>
    <cellStyle name="Normal 113" xfId="593"/>
    <cellStyle name="Normal 114" xfId="594"/>
    <cellStyle name="Normal 115" xfId="595"/>
    <cellStyle name="Normal 116" xfId="596"/>
    <cellStyle name="Normal 117" xfId="597"/>
    <cellStyle name="Normal 118" xfId="598"/>
    <cellStyle name="Normal 119" xfId="599"/>
    <cellStyle name="Normal 12" xfId="327"/>
    <cellStyle name="Normal 120" xfId="600"/>
    <cellStyle name="Normal 121" xfId="601"/>
    <cellStyle name="Normal 122" xfId="602"/>
    <cellStyle name="Normal 123" xfId="603"/>
    <cellStyle name="Normal 124" xfId="604"/>
    <cellStyle name="Normal 125" xfId="605"/>
    <cellStyle name="Normal 126" xfId="606"/>
    <cellStyle name="Normal 127" xfId="607"/>
    <cellStyle name="Normal 128" xfId="608"/>
    <cellStyle name="Normal 129" xfId="609"/>
    <cellStyle name="Normal 13" xfId="328"/>
    <cellStyle name="Normal 130" xfId="610"/>
    <cellStyle name="Normal 131" xfId="611"/>
    <cellStyle name="Normal 132" xfId="612"/>
    <cellStyle name="Normal 133" xfId="613"/>
    <cellStyle name="Normal 134" xfId="614"/>
    <cellStyle name="Normal 135" xfId="615"/>
    <cellStyle name="Normal 136" xfId="616"/>
    <cellStyle name="Normal 137" xfId="617"/>
    <cellStyle name="Normal 138" xfId="618"/>
    <cellStyle name="Normal 14" xfId="329"/>
    <cellStyle name="Normal 15" xfId="330"/>
    <cellStyle name="Normal 16" xfId="331"/>
    <cellStyle name="Normal 17" xfId="332"/>
    <cellStyle name="Normal 18" xfId="333"/>
    <cellStyle name="Normal 19" xfId="334"/>
    <cellStyle name="Normal 2" xfId="335"/>
    <cellStyle name="Normal 2 2" xfId="336"/>
    <cellStyle name="Normal 2 2 2" xfId="337"/>
    <cellStyle name="Normal 2 3" xfId="338"/>
    <cellStyle name="Normal 2 3 2" xfId="339"/>
    <cellStyle name="Normal 2 3 2 2" xfId="340"/>
    <cellStyle name="Normal 2 3 3" xfId="341"/>
    <cellStyle name="Normal 2 4" xfId="342"/>
    <cellStyle name="Normal 2 4 2" xfId="343"/>
    <cellStyle name="Normal 2 4 2 2" xfId="344"/>
    <cellStyle name="Normal 2 4 3" xfId="345"/>
    <cellStyle name="Normal 2 5" xfId="346"/>
    <cellStyle name="Normal 2 5 2" xfId="347"/>
    <cellStyle name="Normal 2 6" xfId="348"/>
    <cellStyle name="Normal 2 7" xfId="349"/>
    <cellStyle name="Normal 20" xfId="350"/>
    <cellStyle name="Normal 21" xfId="351"/>
    <cellStyle name="Normal 22" xfId="352"/>
    <cellStyle name="Normal 23" xfId="353"/>
    <cellStyle name="Normal 24" xfId="354"/>
    <cellStyle name="Normal 25" xfId="355"/>
    <cellStyle name="Normal 26" xfId="356"/>
    <cellStyle name="Normal 27" xfId="357"/>
    <cellStyle name="Normal 28" xfId="358"/>
    <cellStyle name="Normal 28 2" xfId="359"/>
    <cellStyle name="Normal 29" xfId="360"/>
    <cellStyle name="Normal 3" xfId="361"/>
    <cellStyle name="Normal 3 2" xfId="362"/>
    <cellStyle name="Normal 30" xfId="363"/>
    <cellStyle name="Normal 31" xfId="364"/>
    <cellStyle name="Normal 32" xfId="365"/>
    <cellStyle name="Normal 33" xfId="366"/>
    <cellStyle name="Normal 34" xfId="367"/>
    <cellStyle name="Normal 35" xfId="368"/>
    <cellStyle name="Normal 36" xfId="369"/>
    <cellStyle name="Normal 37" xfId="370"/>
    <cellStyle name="Normal 38" xfId="371"/>
    <cellStyle name="Normal 38 2" xfId="372"/>
    <cellStyle name="Normal 38 2 2" xfId="373"/>
    <cellStyle name="Normal 38 3" xfId="374"/>
    <cellStyle name="Normal 39" xfId="375"/>
    <cellStyle name="Normal 4" xfId="376"/>
    <cellStyle name="Normal 4 2" xfId="377"/>
    <cellStyle name="Normal 4 3" xfId="378"/>
    <cellStyle name="Normal 4 4" xfId="379"/>
    <cellStyle name="Normal 40" xfId="380"/>
    <cellStyle name="Normal 41" xfId="381"/>
    <cellStyle name="Normal 42" xfId="382"/>
    <cellStyle name="Normal 42 2" xfId="383"/>
    <cellStyle name="Normal 43" xfId="525"/>
    <cellStyle name="Normal 44" xfId="526"/>
    <cellStyle name="Normal 45" xfId="527"/>
    <cellStyle name="Normal 46" xfId="528"/>
    <cellStyle name="Normal 47" xfId="529"/>
    <cellStyle name="Normal 48" xfId="530"/>
    <cellStyle name="Normal 49" xfId="531"/>
    <cellStyle name="Normal 5" xfId="384"/>
    <cellStyle name="Normal 50" xfId="532"/>
    <cellStyle name="Normal 51" xfId="533"/>
    <cellStyle name="Normal 52" xfId="534"/>
    <cellStyle name="Normal 53" xfId="535"/>
    <cellStyle name="Normal 54" xfId="536"/>
    <cellStyle name="Normal 55" xfId="537"/>
    <cellStyle name="Normal 56" xfId="538"/>
    <cellStyle name="Normal 57" xfId="539"/>
    <cellStyle name="Normal 58" xfId="540"/>
    <cellStyle name="Normal 59" xfId="541"/>
    <cellStyle name="Normal 6" xfId="385"/>
    <cellStyle name="Normal 6 2" xfId="386"/>
    <cellStyle name="Normal 60" xfId="542"/>
    <cellStyle name="Normal 61" xfId="543"/>
    <cellStyle name="Normal 62" xfId="544"/>
    <cellStyle name="Normal 63" xfId="545"/>
    <cellStyle name="Normal 64" xfId="546"/>
    <cellStyle name="Normal 65" xfId="547"/>
    <cellStyle name="Normal 66" xfId="548"/>
    <cellStyle name="Normal 67" xfId="549"/>
    <cellStyle name="Normal 68" xfId="550"/>
    <cellStyle name="Normal 69" xfId="551"/>
    <cellStyle name="Normal 7" xfId="387"/>
    <cellStyle name="Normal 7 2" xfId="388"/>
    <cellStyle name="Normal 70" xfId="552"/>
    <cellStyle name="Normal 71" xfId="553"/>
    <cellStyle name="Normal 72" xfId="554"/>
    <cellStyle name="Normal 73" xfId="555"/>
    <cellStyle name="Normal 74" xfId="556"/>
    <cellStyle name="Normal 75" xfId="557"/>
    <cellStyle name="Normal 76" xfId="558"/>
    <cellStyle name="Normal 77" xfId="559"/>
    <cellStyle name="Normal 78" xfId="560"/>
    <cellStyle name="Normal 79" xfId="561"/>
    <cellStyle name="Normal 8" xfId="389"/>
    <cellStyle name="Normal 80" xfId="562"/>
    <cellStyle name="Normal 81" xfId="563"/>
    <cellStyle name="Normal 82" xfId="564"/>
    <cellStyle name="Normal 83" xfId="565"/>
    <cellStyle name="Normal 84" xfId="566"/>
    <cellStyle name="Normal 85" xfId="567"/>
    <cellStyle name="Normal 86" xfId="568"/>
    <cellStyle name="Normal 87" xfId="569"/>
    <cellStyle name="Normal 88" xfId="390"/>
    <cellStyle name="Normal 89" xfId="570"/>
    <cellStyle name="Normal 9" xfId="391"/>
    <cellStyle name="Normal 9 2" xfId="392"/>
    <cellStyle name="Normal 90" xfId="571"/>
    <cellStyle name="Normal 91" xfId="572"/>
    <cellStyle name="Normal 92" xfId="573"/>
    <cellStyle name="Normal 93" xfId="574"/>
    <cellStyle name="Normal 94" xfId="575"/>
    <cellStyle name="Normal 95" xfId="576"/>
    <cellStyle name="Normal 96" xfId="577"/>
    <cellStyle name="Normal 97" xfId="578"/>
    <cellStyle name="Normal 98" xfId="579"/>
    <cellStyle name="Normal 99" xfId="580"/>
    <cellStyle name="Note 2" xfId="393"/>
    <cellStyle name="Note 2 2" xfId="394"/>
    <cellStyle name="Note 2 3" xfId="395"/>
    <cellStyle name="Note 2 4" xfId="396"/>
    <cellStyle name="Note 3" xfId="397"/>
    <cellStyle name="Note 4" xfId="398"/>
    <cellStyle name="Note 5" xfId="399"/>
    <cellStyle name="Note 6" xfId="400"/>
    <cellStyle name="Note 7" xfId="401"/>
    <cellStyle name="Note 7 2" xfId="402"/>
    <cellStyle name="Note 8" xfId="403"/>
    <cellStyle name="NumberAsPercent" xfId="404"/>
    <cellStyle name="NumberFormat" xfId="405"/>
    <cellStyle name="Numbers" xfId="406"/>
    <cellStyle name="Numbers - Bold" xfId="407"/>
    <cellStyle name="Numbers_increm pf" xfId="408"/>
    <cellStyle name="NumberTo1DecPlace" xfId="409"/>
    <cellStyle name="OffWhite" xfId="410"/>
    <cellStyle name="Option" xfId="411"/>
    <cellStyle name="orange text cell" xfId="412"/>
    <cellStyle name="Output 2" xfId="413"/>
    <cellStyle name="Output 3" xfId="414"/>
    <cellStyle name="Output 4" xfId="415"/>
    <cellStyle name="Output Amounts" xfId="416"/>
    <cellStyle name="Output Column Headings" xfId="417"/>
    <cellStyle name="Output Line Items" xfId="418"/>
    <cellStyle name="Output Report Heading" xfId="419"/>
    <cellStyle name="Output Report Title" xfId="420"/>
    <cellStyle name="Pageheading" xfId="421"/>
    <cellStyle name="Percent [0]" xfId="422"/>
    <cellStyle name="Percent [0] 2" xfId="423"/>
    <cellStyle name="Percent [00]" xfId="424"/>
    <cellStyle name="Percent [00] 2" xfId="425"/>
    <cellStyle name="Percent [2]" xfId="426"/>
    <cellStyle name="Percent 2" xfId="427"/>
    <cellStyle name="Percent 2 2" xfId="428"/>
    <cellStyle name="Percent 3" xfId="429"/>
    <cellStyle name="Percentage" xfId="430"/>
    <cellStyle name="PrePop Currency (0)" xfId="431"/>
    <cellStyle name="PrePop Currency (0) 2" xfId="432"/>
    <cellStyle name="PrePop Currency (2)" xfId="433"/>
    <cellStyle name="PrePop Currency (2) 2" xfId="434"/>
    <cellStyle name="PrePop Units (0)" xfId="435"/>
    <cellStyle name="PrePop Units (0) 2" xfId="436"/>
    <cellStyle name="PrePop Units (1)" xfId="437"/>
    <cellStyle name="PrePop Units (1) 2" xfId="438"/>
    <cellStyle name="PrePop Units (2)" xfId="439"/>
    <cellStyle name="PrePop Units (2) 2" xfId="440"/>
    <cellStyle name="PriceTo3DecPlaces" xfId="441"/>
    <cellStyle name="PriceWithBorderAround" xfId="442"/>
    <cellStyle name="PRICING" xfId="443"/>
    <cellStyle name="Product Header" xfId="444"/>
    <cellStyle name="PSChar" xfId="445"/>
    <cellStyle name="PSHeading" xfId="446"/>
    <cellStyle name="r" xfId="447"/>
    <cellStyle name="r_pldt" xfId="448"/>
    <cellStyle name="ReportLeftHeader" xfId="449"/>
    <cellStyle name="ReportRightHeader" xfId="450"/>
    <cellStyle name="results" xfId="451"/>
    <cellStyle name="RevList" xfId="452"/>
    <cellStyle name="RVRQueryHandle" xfId="453"/>
    <cellStyle name="Section" xfId="454"/>
    <cellStyle name="SecuritiesPricingTable" xfId="455"/>
    <cellStyle name="SecuritiesPricingTableFinalData" xfId="456"/>
    <cellStyle name="SecuritiesPricingTableManualData" xfId="457"/>
    <cellStyle name="SecuritiesPricingTableText" xfId="458"/>
    <cellStyle name="Short $" xfId="459"/>
    <cellStyle name="Short $ 2" xfId="460"/>
    <cellStyle name="SIZE" xfId="461"/>
    <cellStyle name="Standard_Swaps-Bonds-Blending" xfId="462"/>
    <cellStyle name="Style 1" xfId="463"/>
    <cellStyle name="StyleSecuritiesPricingTableInteger" xfId="464"/>
    <cellStyle name="Subheading" xfId="465"/>
    <cellStyle name="subtitle" xfId="466"/>
    <cellStyle name="Subtotal" xfId="467"/>
    <cellStyle name="Table" xfId="468"/>
    <cellStyle name="Tablebody" xfId="469"/>
    <cellStyle name="TablebodyDate" xfId="470"/>
    <cellStyle name="TablebodyHeading" xfId="471"/>
    <cellStyle name="TablebodyOutstandingAmount" xfId="472"/>
    <cellStyle name="TablebodyPercent" xfId="473"/>
    <cellStyle name="TablebodyPrice" xfId="474"/>
    <cellStyle name="TablebodyReverse" xfId="475"/>
    <cellStyle name="TablebodySpread" xfId="476"/>
    <cellStyle name="TablebodySpreadBorder" xfId="477"/>
    <cellStyle name="TablebodyText" xfId="478"/>
    <cellStyle name="Tableheading" xfId="479"/>
    <cellStyle name="Text" xfId="480"/>
    <cellStyle name="Text 2" xfId="481"/>
    <cellStyle name="Text Indent A" xfId="482"/>
    <cellStyle name="Text Indent B" xfId="483"/>
    <cellStyle name="Text Indent B 2" xfId="484"/>
    <cellStyle name="Text Indent C" xfId="485"/>
    <cellStyle name="Text Indent C 2" xfId="486"/>
    <cellStyle name="TextStyle" xfId="487"/>
    <cellStyle name="tic display" xfId="488"/>
    <cellStyle name="tic input" xfId="489"/>
    <cellStyle name="Title - Underline" xfId="490"/>
    <cellStyle name="Title 2" xfId="491"/>
    <cellStyle name="Title 3" xfId="492"/>
    <cellStyle name="Title 4" xfId="493"/>
    <cellStyle name="Title 5" xfId="494"/>
    <cellStyle name="Title 6" xfId="495"/>
    <cellStyle name="Title 7" xfId="496"/>
    <cellStyle name="Title Calculations" xfId="497"/>
    <cellStyle name="Title Calculations 2" xfId="498"/>
    <cellStyle name="Title Indicative" xfId="499"/>
    <cellStyle name="Title Indicative 2" xfId="500"/>
    <cellStyle name="Title Pricing Assumptions" xfId="501"/>
    <cellStyle name="Title Pricing Assumptions 2" xfId="502"/>
    <cellStyle name="Title Pricing Assumptions 2 2" xfId="503"/>
    <cellStyle name="Title Pricing Assumptions 2 3" xfId="504"/>
    <cellStyle name="Title Pricing Assumptions 3" xfId="505"/>
    <cellStyle name="Title Pricing Assumptions 3 12 8" xfId="506"/>
    <cellStyle name="Title Pricing Assumptions 3 6 4 2 8" xfId="507"/>
    <cellStyle name="Titles - Other" xfId="508"/>
    <cellStyle name="Total 2" xfId="509"/>
    <cellStyle name="Total 2 2" xfId="510"/>
    <cellStyle name="Total 3" xfId="511"/>
    <cellStyle name="Total 4" xfId="512"/>
    <cellStyle name="Warning" xfId="513"/>
    <cellStyle name="Warning Text 2" xfId="514"/>
    <cellStyle name="Warning Text 3" xfId="515"/>
    <cellStyle name="Warning Text 4" xfId="516"/>
    <cellStyle name="YB Calculations" xfId="517"/>
    <cellStyle name="YB Calculations 2" xfId="518"/>
    <cellStyle name="YB Curve" xfId="519"/>
    <cellStyle name="YB Indicative" xfId="520"/>
    <cellStyle name="YBINDIC" xfId="521"/>
    <cellStyle name="YBIOPOBE" xfId="522"/>
    <cellStyle name="YBPRICE" xfId="523"/>
    <cellStyle name="一般_原始檔案" xfId="524"/>
  </cellStyles>
  <dxfs count="0"/>
  <tableStyles count="0" defaultTableStyle="TableStyleMedium2" defaultPivotStyle="PivotStyleLight16"/>
  <colors>
    <mruColors>
      <color rgb="FF2E398A"/>
      <color rgb="FFAD275C"/>
      <color rgb="FFC7732D"/>
      <color rgb="FF74B629"/>
      <color rgb="FFC8C42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n-US" sz="1100"/>
              <a:t>Effective Guarantee Fees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Input!$D$2</c:f>
              <c:strCache>
                <c:ptCount val="1"/>
                <c:pt idx="0">
                  <c:v>SF Effective g-fee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3"/>
            <c:spPr>
              <a:solidFill>
                <a:srgbClr val="2E398A"/>
              </a:solidFill>
              <a:ln>
                <a:solidFill>
                  <a:srgbClr val="2E398A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Input!$D$3:$D$43</c:f>
              <c:numCache>
                <c:formatCode>General</c:formatCode>
                <c:ptCount val="41"/>
                <c:pt idx="0">
                  <c:v>20.2</c:v>
                </c:pt>
                <c:pt idx="1">
                  <c:v>19.3</c:v>
                </c:pt>
                <c:pt idx="2">
                  <c:v>19.5</c:v>
                </c:pt>
                <c:pt idx="3">
                  <c:v>19</c:v>
                </c:pt>
                <c:pt idx="4">
                  <c:v>19.3</c:v>
                </c:pt>
                <c:pt idx="5">
                  <c:v>21</c:v>
                </c:pt>
                <c:pt idx="6">
                  <c:v>20.8</c:v>
                </c:pt>
                <c:pt idx="7">
                  <c:v>21</c:v>
                </c:pt>
                <c:pt idx="8">
                  <c:v>22.2</c:v>
                </c:pt>
                <c:pt idx="9">
                  <c:v>21.8</c:v>
                </c:pt>
                <c:pt idx="10">
                  <c:v>21.6</c:v>
                </c:pt>
                <c:pt idx="11">
                  <c:v>22.8</c:v>
                </c:pt>
                <c:pt idx="12">
                  <c:v>23.7</c:v>
                </c:pt>
                <c:pt idx="13">
                  <c:v>29.5</c:v>
                </c:pt>
                <c:pt idx="14">
                  <c:v>27.9</c:v>
                </c:pt>
                <c:pt idx="15">
                  <c:v>23.6</c:v>
                </c:pt>
                <c:pt idx="16">
                  <c:v>31</c:v>
                </c:pt>
                <c:pt idx="17">
                  <c:v>27.9</c:v>
                </c:pt>
                <c:pt idx="18">
                  <c:v>26.1</c:v>
                </c:pt>
                <c:pt idx="19">
                  <c:v>29.3</c:v>
                </c:pt>
                <c:pt idx="20">
                  <c:v>27.9</c:v>
                </c:pt>
                <c:pt idx="21">
                  <c:v>24.4</c:v>
                </c:pt>
                <c:pt idx="22">
                  <c:v>25</c:v>
                </c:pt>
                <c:pt idx="23">
                  <c:v>25.2</c:v>
                </c:pt>
                <c:pt idx="24">
                  <c:v>25.1</c:v>
                </c:pt>
                <c:pt idx="25">
                  <c:v>26</c:v>
                </c:pt>
                <c:pt idx="26">
                  <c:v>26.1</c:v>
                </c:pt>
                <c:pt idx="27">
                  <c:v>26.1</c:v>
                </c:pt>
                <c:pt idx="28">
                  <c:v>26.2</c:v>
                </c:pt>
                <c:pt idx="29">
                  <c:v>26.8</c:v>
                </c:pt>
                <c:pt idx="30">
                  <c:v>27.7</c:v>
                </c:pt>
                <c:pt idx="31">
                  <c:v>28.3</c:v>
                </c:pt>
                <c:pt idx="32">
                  <c:v>28.7</c:v>
                </c:pt>
                <c:pt idx="33">
                  <c:v>33.5</c:v>
                </c:pt>
                <c:pt idx="34">
                  <c:v>35.799999999999997</c:v>
                </c:pt>
                <c:pt idx="35">
                  <c:v>38</c:v>
                </c:pt>
                <c:pt idx="36">
                  <c:v>36.700000000000003</c:v>
                </c:pt>
                <c:pt idx="37">
                  <c:v>39.799999999999997</c:v>
                </c:pt>
                <c:pt idx="38">
                  <c:v>40.299999999999997</c:v>
                </c:pt>
                <c:pt idx="39">
                  <c:v>41.2</c:v>
                </c:pt>
                <c:pt idx="40">
                  <c:v>40.799999999999997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Input!$E$2</c:f>
              <c:strCache>
                <c:ptCount val="1"/>
                <c:pt idx="0">
                  <c:v>SF New Issued g-fee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3"/>
            <c:spPr>
              <a:solidFill>
                <a:srgbClr val="AD275C"/>
              </a:solidFill>
              <a:ln>
                <a:solidFill>
                  <a:srgbClr val="AD275C"/>
                </a:solidFill>
              </a:ln>
            </c:spPr>
          </c:marker>
          <c:cat>
            <c:multiLvlStrRef>
              <c:f>Input!$B$3:$C$43</c:f>
              <c:multiLvlStrCache>
                <c:ptCount val="41"/>
                <c:lvl>
                  <c:pt idx="9">
                    <c:v>Q1</c:v>
                  </c:pt>
                  <c:pt idx="10">
                    <c:v>Q2</c:v>
                  </c:pt>
                  <c:pt idx="11">
                    <c:v>Q3</c:v>
                  </c:pt>
                  <c:pt idx="12">
                    <c:v>Q4</c:v>
                  </c:pt>
                  <c:pt idx="13">
                    <c:v>Q1</c:v>
                  </c:pt>
                  <c:pt idx="14">
                    <c:v>Q2</c:v>
                  </c:pt>
                  <c:pt idx="15">
                    <c:v>Q3</c:v>
                  </c:pt>
                  <c:pt idx="16">
                    <c:v>Q4</c:v>
                  </c:pt>
                  <c:pt idx="17">
                    <c:v>Q1</c:v>
                  </c:pt>
                  <c:pt idx="18">
                    <c:v>Q2</c:v>
                  </c:pt>
                  <c:pt idx="19">
                    <c:v>Q3</c:v>
                  </c:pt>
                  <c:pt idx="20">
                    <c:v>Q4</c:v>
                  </c:pt>
                  <c:pt idx="21">
                    <c:v>Q1</c:v>
                  </c:pt>
                  <c:pt idx="22">
                    <c:v>Q2</c:v>
                  </c:pt>
                  <c:pt idx="23">
                    <c:v>Q3</c:v>
                  </c:pt>
                  <c:pt idx="24">
                    <c:v>Q4</c:v>
                  </c:pt>
                  <c:pt idx="25">
                    <c:v>Q1</c:v>
                  </c:pt>
                  <c:pt idx="26">
                    <c:v>Q2</c:v>
                  </c:pt>
                  <c:pt idx="27">
                    <c:v>Q3</c:v>
                  </c:pt>
                  <c:pt idx="28">
                    <c:v>Q4</c:v>
                  </c:pt>
                  <c:pt idx="29">
                    <c:v>Q1</c:v>
                  </c:pt>
                  <c:pt idx="30">
                    <c:v>Q2</c:v>
                  </c:pt>
                  <c:pt idx="31">
                    <c:v>Q3</c:v>
                  </c:pt>
                  <c:pt idx="32">
                    <c:v>Q4</c:v>
                  </c:pt>
                  <c:pt idx="33">
                    <c:v>Q1</c:v>
                  </c:pt>
                  <c:pt idx="34">
                    <c:v>Q2</c:v>
                  </c:pt>
                  <c:pt idx="35">
                    <c:v>Q3</c:v>
                  </c:pt>
                  <c:pt idx="36">
                    <c:v>Q4</c:v>
                  </c:pt>
                  <c:pt idx="37">
                    <c:v>Q1</c:v>
                  </c:pt>
                  <c:pt idx="38">
                    <c:v>Q2</c:v>
                  </c:pt>
                  <c:pt idx="39">
                    <c:v>Q3</c:v>
                  </c:pt>
                  <c:pt idx="40">
                    <c:v>Q4</c:v>
                  </c:pt>
                </c:lvl>
                <c:lvl>
                  <c:pt idx="0">
                    <c:v>1998</c:v>
                  </c:pt>
                  <c:pt idx="1">
                    <c:v>1999</c:v>
                  </c:pt>
                  <c:pt idx="2">
                    <c:v>2000</c:v>
                  </c:pt>
                  <c:pt idx="3">
                    <c:v>2001</c:v>
                  </c:pt>
                  <c:pt idx="4">
                    <c:v>2002</c:v>
                  </c:pt>
                  <c:pt idx="5">
                    <c:v>2003</c:v>
                  </c:pt>
                  <c:pt idx="6">
                    <c:v>2004</c:v>
                  </c:pt>
                  <c:pt idx="7">
                    <c:v>2005</c:v>
                  </c:pt>
                  <c:pt idx="8">
                    <c:v>2006</c:v>
                  </c:pt>
                  <c:pt idx="9">
                    <c:v>2007</c:v>
                  </c:pt>
                  <c:pt idx="13">
                    <c:v>2008</c:v>
                  </c:pt>
                  <c:pt idx="17">
                    <c:v>2009</c:v>
                  </c:pt>
                  <c:pt idx="21">
                    <c:v>2010</c:v>
                  </c:pt>
                  <c:pt idx="25">
                    <c:v>2011</c:v>
                  </c:pt>
                  <c:pt idx="29">
                    <c:v>2012</c:v>
                  </c:pt>
                  <c:pt idx="33">
                    <c:v>2013</c:v>
                  </c:pt>
                  <c:pt idx="37">
                    <c:v>2014</c:v>
                  </c:pt>
                </c:lvl>
              </c:multiLvlStrCache>
            </c:multiLvlStrRef>
          </c:cat>
          <c:val>
            <c:numRef>
              <c:f>Input!$E$3:$E$43</c:f>
              <c:numCache>
                <c:formatCode>General</c:formatCode>
                <c:ptCount val="41"/>
                <c:pt idx="4">
                  <c:v>21.5</c:v>
                </c:pt>
                <c:pt idx="5">
                  <c:v>22.2</c:v>
                </c:pt>
                <c:pt idx="6">
                  <c:v>21</c:v>
                </c:pt>
                <c:pt idx="7">
                  <c:v>21.3</c:v>
                </c:pt>
                <c:pt idx="8">
                  <c:v>22.4</c:v>
                </c:pt>
                <c:pt idx="9">
                  <c:v>21.8</c:v>
                </c:pt>
                <c:pt idx="10">
                  <c:v>21.5</c:v>
                </c:pt>
                <c:pt idx="11">
                  <c:v>22.8</c:v>
                </c:pt>
                <c:pt idx="12">
                  <c:v>32.200000000000003</c:v>
                </c:pt>
                <c:pt idx="13">
                  <c:v>29</c:v>
                </c:pt>
                <c:pt idx="14">
                  <c:v>26.4</c:v>
                </c:pt>
                <c:pt idx="15">
                  <c:v>24.7</c:v>
                </c:pt>
                <c:pt idx="16">
                  <c:v>32.200000000000003</c:v>
                </c:pt>
                <c:pt idx="17">
                  <c:v>21</c:v>
                </c:pt>
                <c:pt idx="18">
                  <c:v>23.7</c:v>
                </c:pt>
                <c:pt idx="19">
                  <c:v>24.7</c:v>
                </c:pt>
                <c:pt idx="20">
                  <c:v>23.8</c:v>
                </c:pt>
                <c:pt idx="21">
                  <c:v>26.9</c:v>
                </c:pt>
                <c:pt idx="22">
                  <c:v>27.3</c:v>
                </c:pt>
                <c:pt idx="23">
                  <c:v>25.3</c:v>
                </c:pt>
                <c:pt idx="24">
                  <c:v>25.7</c:v>
                </c:pt>
                <c:pt idx="25">
                  <c:v>26.1</c:v>
                </c:pt>
                <c:pt idx="26">
                  <c:v>31.6</c:v>
                </c:pt>
                <c:pt idx="27">
                  <c:v>31.1</c:v>
                </c:pt>
                <c:pt idx="28">
                  <c:v>28.8</c:v>
                </c:pt>
                <c:pt idx="29">
                  <c:v>28.9</c:v>
                </c:pt>
                <c:pt idx="30">
                  <c:v>40.299999999999997</c:v>
                </c:pt>
                <c:pt idx="31">
                  <c:v>41.8</c:v>
                </c:pt>
                <c:pt idx="32">
                  <c:v>39.9</c:v>
                </c:pt>
                <c:pt idx="33">
                  <c:v>54.4</c:v>
                </c:pt>
                <c:pt idx="34">
                  <c:v>56.9</c:v>
                </c:pt>
                <c:pt idx="35">
                  <c:v>58.7</c:v>
                </c:pt>
                <c:pt idx="36">
                  <c:v>57.4</c:v>
                </c:pt>
                <c:pt idx="37">
                  <c:v>63</c:v>
                </c:pt>
                <c:pt idx="38">
                  <c:v>62.6</c:v>
                </c:pt>
                <c:pt idx="39">
                  <c:v>63.5</c:v>
                </c:pt>
                <c:pt idx="40">
                  <c:v>62.9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181696"/>
        <c:axId val="295491072"/>
      </c:lineChart>
      <c:catAx>
        <c:axId val="27318169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0" vert="eaVert"/>
          <a:lstStyle/>
          <a:p>
            <a:pPr>
              <a:defRPr sz="900"/>
            </a:pPr>
            <a:endParaRPr lang="en-US"/>
          </a:p>
        </c:txPr>
        <c:crossAx val="295491072"/>
        <c:crosses val="autoZero"/>
        <c:auto val="1"/>
        <c:lblAlgn val="ctr"/>
        <c:lblOffset val="100"/>
        <c:noMultiLvlLbl val="0"/>
      </c:catAx>
      <c:valAx>
        <c:axId val="295491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Guaranty Fees (bps)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3181696"/>
        <c:crosses val="autoZero"/>
        <c:crossBetween val="between"/>
      </c:valAx>
      <c:spPr>
        <a:ln>
          <a:solidFill>
            <a:schemeClr val="tx1"/>
          </a:solidFill>
        </a:ln>
      </c:spPr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1053354</xdr:colOff>
      <xdr:row>5</xdr:row>
      <xdr:rowOff>10265</xdr:rowOff>
    </xdr:from>
    <xdr:to>
      <xdr:col>19</xdr:col>
      <xdr:colOff>1580030</xdr:colOff>
      <xdr:row>6</xdr:row>
      <xdr:rowOff>144736</xdr:rowOff>
    </xdr:to>
    <xdr:sp macro="[0]!RunSwaptionVolReport" textlink="">
      <xdr:nvSpPr>
        <xdr:cNvPr id="6" name="Rounded Rectangle 5"/>
        <xdr:cNvSpPr/>
      </xdr:nvSpPr>
      <xdr:spPr>
        <a:xfrm>
          <a:off x="18113687" y="962765"/>
          <a:ext cx="1595593" cy="32497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1</xdr:col>
      <xdr:colOff>412750</xdr:colOff>
      <xdr:row>12</xdr:row>
      <xdr:rowOff>21167</xdr:rowOff>
    </xdr:from>
    <xdr:to>
      <xdr:col>12</xdr:col>
      <xdr:colOff>836083</xdr:colOff>
      <xdr:row>35</xdr:row>
      <xdr:rowOff>147637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338666</xdr:colOff>
      <xdr:row>34</xdr:row>
      <xdr:rowOff>10590</xdr:rowOff>
    </xdr:from>
    <xdr:to>
      <xdr:col>12</xdr:col>
      <xdr:colOff>84667</xdr:colOff>
      <xdr:row>35</xdr:row>
      <xdr:rowOff>31756</xdr:rowOff>
    </xdr:to>
    <xdr:sp macro="" textlink="">
      <xdr:nvSpPr>
        <xdr:cNvPr id="2" name="TextBox 1"/>
        <xdr:cNvSpPr txBox="1"/>
      </xdr:nvSpPr>
      <xdr:spPr>
        <a:xfrm>
          <a:off x="9853083" y="6487590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 Mae</a:t>
          </a:r>
        </a:p>
      </xdr:txBody>
    </xdr:sp>
    <xdr:clientData/>
  </xdr:twoCellAnchor>
  <xdr:twoCellAnchor>
    <xdr:from>
      <xdr:col>11</xdr:col>
      <xdr:colOff>226484</xdr:colOff>
      <xdr:row>56</xdr:row>
      <xdr:rowOff>184157</xdr:rowOff>
    </xdr:from>
    <xdr:to>
      <xdr:col>12</xdr:col>
      <xdr:colOff>819151</xdr:colOff>
      <xdr:row>58</xdr:row>
      <xdr:rowOff>14823</xdr:rowOff>
    </xdr:to>
    <xdr:sp macro="" textlink="">
      <xdr:nvSpPr>
        <xdr:cNvPr id="8" name="TextBox 7"/>
        <xdr:cNvSpPr txBox="1"/>
      </xdr:nvSpPr>
      <xdr:spPr>
        <a:xfrm>
          <a:off x="10587567" y="10852157"/>
          <a:ext cx="1439334" cy="2116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 Mae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V58"/>
  <sheetViews>
    <sheetView showGridLines="0" tabSelected="1" zoomScale="90" zoomScaleNormal="90" workbookViewId="0">
      <selection activeCell="O10" sqref="O10"/>
    </sheetView>
  </sheetViews>
  <sheetFormatPr defaultRowHeight="15"/>
  <cols>
    <col min="2" max="2" width="16.85546875" customWidth="1"/>
    <col min="3" max="3" width="27.7109375" bestFit="1" customWidth="1"/>
    <col min="4" max="13" width="12.7109375" customWidth="1"/>
    <col min="14" max="14" width="2" customWidth="1"/>
    <col min="15" max="15" width="19.5703125" customWidth="1"/>
    <col min="16" max="17" width="12.7109375" customWidth="1"/>
    <col min="19" max="19" width="16" bestFit="1" customWidth="1"/>
    <col min="20" max="20" width="24.140625" customWidth="1"/>
    <col min="21" max="21" width="15.7109375" bestFit="1" customWidth="1"/>
  </cols>
  <sheetData>
    <row r="1" spans="19:22">
      <c r="S1" s="1" t="s">
        <v>0</v>
      </c>
      <c r="T1" s="2" t="s">
        <v>5</v>
      </c>
      <c r="U1" t="s">
        <v>1</v>
      </c>
      <c r="V1" s="2" t="s">
        <v>4</v>
      </c>
    </row>
    <row r="2" spans="19:22">
      <c r="S2" s="1" t="s">
        <v>2</v>
      </c>
      <c r="T2" s="3">
        <v>42086</v>
      </c>
    </row>
    <row r="3" spans="19:22">
      <c r="S3" s="1" t="s">
        <v>6</v>
      </c>
      <c r="T3" s="4" t="s">
        <v>7</v>
      </c>
    </row>
    <row r="4" spans="19:22">
      <c r="S4" s="1" t="s">
        <v>3</v>
      </c>
      <c r="T4" s="4" t="str">
        <f>PDFReportDir &amp; "Effective g fee " &amp; TEXT(CurrentCloseDate, "yyyy-mm-dd") &amp; ".pdf"</f>
        <v>S:\IT\Production\Daily Reports\Primary MarketEffective g fee 2015-03-23.pdf</v>
      </c>
    </row>
    <row r="8" spans="19:22">
      <c r="T8" s="5"/>
      <c r="U8" s="5"/>
    </row>
    <row r="9" spans="19:22">
      <c r="T9" s="5"/>
    </row>
    <row r="10" spans="19:22">
      <c r="T10" s="5"/>
    </row>
    <row r="13" spans="19:22">
      <c r="T13" s="5"/>
    </row>
    <row r="37" spans="3:14">
      <c r="C37" s="6" t="s">
        <v>64</v>
      </c>
    </row>
    <row r="38" spans="3:14">
      <c r="C38" s="8"/>
      <c r="D38" s="379">
        <v>2014</v>
      </c>
      <c r="E38" s="380"/>
      <c r="F38" s="380"/>
      <c r="G38" s="381"/>
      <c r="H38" s="380">
        <v>2013</v>
      </c>
      <c r="I38" s="380"/>
      <c r="J38" s="380"/>
      <c r="K38" s="381"/>
      <c r="L38" s="371">
        <v>2012</v>
      </c>
    </row>
    <row r="39" spans="3:14">
      <c r="C39" s="8"/>
      <c r="D39" s="9" t="s">
        <v>59</v>
      </c>
      <c r="E39" s="9" t="s">
        <v>60</v>
      </c>
      <c r="F39" s="9" t="s">
        <v>61</v>
      </c>
      <c r="G39" s="9" t="s">
        <v>62</v>
      </c>
      <c r="H39" s="9" t="s">
        <v>59</v>
      </c>
      <c r="I39" s="9" t="s">
        <v>60</v>
      </c>
      <c r="J39" s="9" t="s">
        <v>61</v>
      </c>
      <c r="K39" s="9" t="s">
        <v>62</v>
      </c>
      <c r="L39" s="9" t="s">
        <v>59</v>
      </c>
    </row>
    <row r="40" spans="3:14">
      <c r="C40" s="370" t="str">
        <f>Input!D2</f>
        <v>SF Effective g-fee</v>
      </c>
      <c r="D40" s="7">
        <f>Input!D43</f>
        <v>40.799999999999997</v>
      </c>
      <c r="E40" s="7">
        <f>Input!D42</f>
        <v>41.2</v>
      </c>
      <c r="F40" s="7">
        <f>Input!D41</f>
        <v>40.299999999999997</v>
      </c>
      <c r="G40" s="7">
        <f>Input!D40</f>
        <v>39.799999999999997</v>
      </c>
      <c r="H40" s="7">
        <f>Input!D39</f>
        <v>36.700000000000003</v>
      </c>
      <c r="I40" s="7">
        <f>Input!D38</f>
        <v>38</v>
      </c>
      <c r="J40" s="7">
        <f>Input!D37</f>
        <v>35.799999999999997</v>
      </c>
      <c r="K40" s="7">
        <f>Input!D36</f>
        <v>33.5</v>
      </c>
      <c r="L40" s="7">
        <f>Input!D35</f>
        <v>28.7</v>
      </c>
    </row>
    <row r="41" spans="3:14">
      <c r="C41" s="370" t="str">
        <f>Input!E2</f>
        <v>SF New Issued g-fee</v>
      </c>
      <c r="D41" s="7">
        <f>Input!E43</f>
        <v>62.9</v>
      </c>
      <c r="E41" s="7">
        <f>Input!E42</f>
        <v>63.5</v>
      </c>
      <c r="F41" s="7">
        <f>Input!E41</f>
        <v>62.6</v>
      </c>
      <c r="G41" s="7">
        <f>Input!E40</f>
        <v>63</v>
      </c>
      <c r="H41" s="7">
        <f>Input!E39</f>
        <v>57.4</v>
      </c>
      <c r="I41" s="7">
        <f>Input!E38</f>
        <v>58.7</v>
      </c>
      <c r="J41" s="7">
        <f>Input!E37</f>
        <v>56.9</v>
      </c>
      <c r="K41" s="7">
        <f>Input!E36</f>
        <v>54.4</v>
      </c>
      <c r="L41" s="7">
        <f>Input!E35</f>
        <v>39.9</v>
      </c>
    </row>
    <row r="43" spans="3:14">
      <c r="C43" s="6" t="s">
        <v>63</v>
      </c>
    </row>
    <row r="44" spans="3:14">
      <c r="C44" s="8"/>
      <c r="D44" s="377" t="s">
        <v>25</v>
      </c>
      <c r="E44" s="377"/>
      <c r="F44" s="377"/>
      <c r="G44" s="377"/>
      <c r="H44" s="377"/>
      <c r="I44" s="377"/>
      <c r="J44" s="377"/>
      <c r="K44" s="377"/>
    </row>
    <row r="45" spans="3:14">
      <c r="C45" s="8" t="s">
        <v>8</v>
      </c>
      <c r="D45" s="9" t="s">
        <v>17</v>
      </c>
      <c r="E45" s="9" t="s">
        <v>18</v>
      </c>
      <c r="F45" s="9" t="s">
        <v>19</v>
      </c>
      <c r="G45" s="9" t="s">
        <v>20</v>
      </c>
      <c r="H45" s="9" t="s">
        <v>21</v>
      </c>
      <c r="I45" s="9" t="s">
        <v>22</v>
      </c>
      <c r="J45" s="9" t="s">
        <v>23</v>
      </c>
      <c r="K45" s="9" t="s">
        <v>24</v>
      </c>
    </row>
    <row r="46" spans="3:14">
      <c r="C46" s="12" t="s">
        <v>9</v>
      </c>
      <c r="D46" s="10">
        <v>0</v>
      </c>
      <c r="E46" s="10">
        <v>0.25</v>
      </c>
      <c r="F46" s="10">
        <v>0.25</v>
      </c>
      <c r="G46" s="10">
        <v>0.5</v>
      </c>
      <c r="H46" s="10">
        <v>0.5</v>
      </c>
      <c r="I46" s="10">
        <v>0.5</v>
      </c>
      <c r="J46" s="10">
        <v>0.5</v>
      </c>
      <c r="K46" s="10">
        <v>0.5</v>
      </c>
      <c r="M46" s="375" t="str">
        <f>"Max:"&amp;TEXT(MAX($D$46:$K$53,$D$55:$K$58),"0.00")</f>
        <v>Max:3.75</v>
      </c>
      <c r="N46" s="372">
        <f>MAX($D$46:$K$53,$D$55:$K$58)</f>
        <v>3.75</v>
      </c>
    </row>
    <row r="47" spans="3:14">
      <c r="C47" s="12" t="s">
        <v>10</v>
      </c>
      <c r="D47" s="10">
        <v>0</v>
      </c>
      <c r="E47" s="10">
        <v>0.25</v>
      </c>
      <c r="F47" s="10">
        <v>0.5</v>
      </c>
      <c r="G47" s="10">
        <v>0.75</v>
      </c>
      <c r="H47" s="10">
        <v>0.75</v>
      </c>
      <c r="I47" s="10">
        <v>0.75</v>
      </c>
      <c r="J47" s="10">
        <v>0.75</v>
      </c>
      <c r="K47" s="10">
        <v>0.75</v>
      </c>
      <c r="M47" s="376"/>
      <c r="N47" s="373">
        <f>N46-($N$46-$N$53)/7</f>
        <v>3.2142857142857144</v>
      </c>
    </row>
    <row r="48" spans="3:14">
      <c r="C48" s="12" t="s">
        <v>11</v>
      </c>
      <c r="D48" s="10">
        <v>0</v>
      </c>
      <c r="E48" s="10">
        <v>0.75</v>
      </c>
      <c r="F48" s="10">
        <v>1</v>
      </c>
      <c r="G48" s="10">
        <v>1.25</v>
      </c>
      <c r="H48" s="10">
        <v>1.25</v>
      </c>
      <c r="I48" s="10">
        <v>1.25</v>
      </c>
      <c r="J48" s="10">
        <v>1.25</v>
      </c>
      <c r="K48" s="10">
        <v>1.25</v>
      </c>
      <c r="M48" s="376"/>
      <c r="N48" s="373">
        <f t="shared" ref="N48:N52" si="0">N47-($N$46-$N$53)/7</f>
        <v>2.6785714285714288</v>
      </c>
    </row>
    <row r="49" spans="3:14">
      <c r="C49" s="12" t="s">
        <v>12</v>
      </c>
      <c r="D49" s="10">
        <v>0.25</v>
      </c>
      <c r="E49" s="10">
        <v>0.75</v>
      </c>
      <c r="F49" s="10">
        <v>1.5</v>
      </c>
      <c r="G49" s="10">
        <v>2</v>
      </c>
      <c r="H49" s="10">
        <v>1.75</v>
      </c>
      <c r="I49" s="10">
        <v>1.5</v>
      </c>
      <c r="J49" s="10">
        <v>1.5</v>
      </c>
      <c r="K49" s="10">
        <v>1.25</v>
      </c>
      <c r="M49" s="376"/>
      <c r="N49" s="373">
        <f t="shared" si="0"/>
        <v>2.1428571428571432</v>
      </c>
    </row>
    <row r="50" spans="3:14">
      <c r="C50" s="12" t="s">
        <v>13</v>
      </c>
      <c r="D50" s="10">
        <v>0.25</v>
      </c>
      <c r="E50" s="10">
        <v>1.25</v>
      </c>
      <c r="F50" s="10">
        <v>2.25</v>
      </c>
      <c r="G50" s="10">
        <v>2.75</v>
      </c>
      <c r="H50" s="10">
        <v>3</v>
      </c>
      <c r="I50" s="10">
        <v>2.5</v>
      </c>
      <c r="J50" s="10">
        <v>2.5</v>
      </c>
      <c r="K50" s="10">
        <v>2</v>
      </c>
      <c r="M50" s="376"/>
      <c r="N50" s="373">
        <f t="shared" si="0"/>
        <v>1.6071428571428577</v>
      </c>
    </row>
    <row r="51" spans="3:14">
      <c r="C51" s="12" t="s">
        <v>14</v>
      </c>
      <c r="D51" s="10">
        <v>0.75</v>
      </c>
      <c r="E51" s="10">
        <v>1.5</v>
      </c>
      <c r="F51" s="10">
        <v>2.75</v>
      </c>
      <c r="G51" s="10">
        <v>3.25</v>
      </c>
      <c r="H51" s="10">
        <v>3.5</v>
      </c>
      <c r="I51" s="10">
        <v>3</v>
      </c>
      <c r="J51" s="10">
        <v>3</v>
      </c>
      <c r="K51" s="10">
        <v>2.5</v>
      </c>
      <c r="M51" s="376"/>
      <c r="N51" s="373">
        <f t="shared" si="0"/>
        <v>1.0714285714285721</v>
      </c>
    </row>
    <row r="52" spans="3:14">
      <c r="C52" s="12" t="s">
        <v>15</v>
      </c>
      <c r="D52" s="10">
        <v>0.75</v>
      </c>
      <c r="E52" s="10">
        <v>1.75</v>
      </c>
      <c r="F52" s="10">
        <v>3.25</v>
      </c>
      <c r="G52" s="10">
        <v>3.25</v>
      </c>
      <c r="H52" s="10">
        <v>3.5</v>
      </c>
      <c r="I52" s="10">
        <v>3.5</v>
      </c>
      <c r="J52" s="10">
        <v>3.5</v>
      </c>
      <c r="K52" s="10">
        <v>3.25</v>
      </c>
      <c r="M52" s="376"/>
      <c r="N52" s="373">
        <f t="shared" si="0"/>
        <v>0.53571428571428636</v>
      </c>
    </row>
    <row r="53" spans="3:14">
      <c r="C53" s="12" t="s">
        <v>16</v>
      </c>
      <c r="D53" s="10">
        <v>0.75</v>
      </c>
      <c r="E53" s="10">
        <v>1.75</v>
      </c>
      <c r="F53" s="10">
        <v>3.25</v>
      </c>
      <c r="G53" s="10">
        <v>3.25</v>
      </c>
      <c r="H53" s="10">
        <v>3.5</v>
      </c>
      <c r="I53" s="10">
        <v>3.5</v>
      </c>
      <c r="J53" s="10">
        <v>3.5</v>
      </c>
      <c r="K53" s="10">
        <v>3.5</v>
      </c>
      <c r="M53" s="375" t="str">
        <f>"Min:"&amp;TEXT(MIN($D$46:$K$53,$D$55:$K$58),"0.00")</f>
        <v>Min:0.00</v>
      </c>
      <c r="N53" s="374">
        <f>MIN($D$46:$K$53,$D$55:$K$58)</f>
        <v>0</v>
      </c>
    </row>
    <row r="54" spans="3:14">
      <c r="C54" s="378" t="s">
        <v>26</v>
      </c>
      <c r="D54" s="378"/>
      <c r="E54" s="378"/>
      <c r="F54" s="378"/>
      <c r="G54" s="378"/>
      <c r="H54" s="378"/>
      <c r="I54" s="378"/>
      <c r="J54" s="378"/>
      <c r="K54" s="378"/>
    </row>
    <row r="55" spans="3:14">
      <c r="C55" s="13" t="s">
        <v>27</v>
      </c>
      <c r="D55" s="11">
        <v>1.75</v>
      </c>
      <c r="E55" s="11">
        <v>1.75</v>
      </c>
      <c r="F55" s="11">
        <v>1.75</v>
      </c>
      <c r="G55" s="11">
        <v>3</v>
      </c>
      <c r="H55" s="11">
        <v>3.75</v>
      </c>
      <c r="I55" s="10" t="s">
        <v>31</v>
      </c>
      <c r="J55" s="10" t="s">
        <v>31</v>
      </c>
      <c r="K55" s="10" t="s">
        <v>31</v>
      </c>
    </row>
    <row r="56" spans="3:14">
      <c r="C56" s="13" t="s">
        <v>29</v>
      </c>
      <c r="D56" s="11">
        <v>1</v>
      </c>
      <c r="E56" s="11">
        <v>1</v>
      </c>
      <c r="F56" s="11">
        <v>1</v>
      </c>
      <c r="G56" s="11">
        <v>1</v>
      </c>
      <c r="H56" s="11">
        <v>1</v>
      </c>
      <c r="I56" s="10" t="s">
        <v>31</v>
      </c>
      <c r="J56" s="10" t="s">
        <v>31</v>
      </c>
      <c r="K56" s="10" t="s">
        <v>31</v>
      </c>
    </row>
    <row r="57" spans="3:14">
      <c r="C57" s="13" t="s">
        <v>28</v>
      </c>
      <c r="D57" s="11">
        <v>1</v>
      </c>
      <c r="E57" s="11">
        <v>1</v>
      </c>
      <c r="F57" s="11">
        <v>1</v>
      </c>
      <c r="G57" s="10" t="s">
        <v>31</v>
      </c>
      <c r="H57" s="10" t="s">
        <v>31</v>
      </c>
      <c r="I57" s="10" t="s">
        <v>31</v>
      </c>
      <c r="J57" s="10" t="s">
        <v>31</v>
      </c>
      <c r="K57" s="10" t="s">
        <v>31</v>
      </c>
    </row>
    <row r="58" spans="3:14">
      <c r="C58" s="13" t="s">
        <v>30</v>
      </c>
      <c r="D58" s="11">
        <v>0</v>
      </c>
      <c r="E58" s="11">
        <v>0</v>
      </c>
      <c r="F58" s="11">
        <v>0</v>
      </c>
      <c r="G58" s="11">
        <v>0.75</v>
      </c>
      <c r="H58" s="11">
        <v>0.75</v>
      </c>
      <c r="I58" s="11">
        <v>0.75</v>
      </c>
      <c r="J58" s="11">
        <v>0.75</v>
      </c>
      <c r="K58" s="11">
        <v>0.75</v>
      </c>
    </row>
  </sheetData>
  <mergeCells count="4">
    <mergeCell ref="D44:K44"/>
    <mergeCell ref="C54:K54"/>
    <mergeCell ref="D38:G38"/>
    <mergeCell ref="H38:K38"/>
  </mergeCells>
  <conditionalFormatting sqref="D46:K53 D55:K58">
    <cfRule type="colorScale" priority="3">
      <colorScale>
        <cfvo type="min"/>
        <cfvo type="max"/>
        <color theme="0"/>
        <color theme="9" tint="0.39997558519241921"/>
      </colorScale>
    </cfRule>
    <cfRule type="colorScale" priority="4">
      <colorScale>
        <cfvo type="min"/>
        <cfvo type="max"/>
        <color theme="0"/>
        <color theme="6" tint="0.59999389629810485"/>
      </colorScale>
    </cfRule>
    <cfRule type="colorScale" priority="5">
      <colorScale>
        <cfvo type="min"/>
        <cfvo type="max"/>
        <color theme="0"/>
        <color theme="6" tint="0.79998168889431442"/>
      </colorScale>
    </cfRule>
    <cfRule type="colorScale" priority="2">
      <colorScale>
        <cfvo type="min"/>
        <cfvo type="max"/>
        <color theme="0"/>
        <color theme="4" tint="0.39997558519241921"/>
      </colorScale>
    </cfRule>
  </conditionalFormatting>
  <conditionalFormatting sqref="N46:N53">
    <cfRule type="colorScale" priority="1">
      <colorScale>
        <cfvo type="min"/>
        <cfvo type="max"/>
        <color theme="0"/>
        <color theme="4" tint="0.39997558519241921"/>
      </colorScale>
    </cfRule>
  </conditionalFormatting>
  <dataValidations disablePrompts="1" count="2">
    <dataValidation type="list" allowBlank="1" showInputMessage="1" showErrorMessage="1" sqref="V1">
      <formula1>"Yes, No"</formula1>
    </dataValidation>
    <dataValidation type="list" allowBlank="1" showInputMessage="1" showErrorMessage="1" sqref="T1">
      <formula1>"PROD, DEV"</formula1>
    </dataValidation>
  </dataValidations>
  <pageMargins left="0.25" right="0.25" top="0.255" bottom="0.25" header="0.1" footer="0.1"/>
  <pageSetup scale="74" orientation="landscape" horizontalDpi="1200" verticalDpi="1200" r:id="rId1"/>
  <headerFooter scaleWithDoc="0">
    <oddHeader>&amp;L&amp;G&amp;C&amp;"-,Bold"&amp;10&amp;K2E398A
&amp;15&amp;K2E398AEffective Guarantee Fees and Upfront Loan-Level Price Adjustments&amp;R&amp;"-,Bold"&amp;10&amp;K2E398A
As of 03/23/2015</oddHeader>
    <oddFooter>&amp;L&amp;10&amp;K2E398AReport created on &amp;D &amp;T&amp;C&amp;G
&amp;8&amp;K2E398APage &amp;P of 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43"/>
  <sheetViews>
    <sheetView workbookViewId="0">
      <selection activeCell="M15" sqref="M15"/>
    </sheetView>
  </sheetViews>
  <sheetFormatPr defaultRowHeight="15"/>
  <cols>
    <col min="4" max="4" width="38" bestFit="1" customWidth="1"/>
    <col min="5" max="5" width="40" bestFit="1" customWidth="1"/>
  </cols>
  <sheetData>
    <row r="2" spans="2:5">
      <c r="D2" s="14" t="s">
        <v>65</v>
      </c>
      <c r="E2" s="14" t="s">
        <v>66</v>
      </c>
    </row>
    <row r="3" spans="2:5">
      <c r="B3">
        <v>1998</v>
      </c>
      <c r="D3">
        <v>20.2</v>
      </c>
    </row>
    <row r="4" spans="2:5">
      <c r="B4">
        <v>1999</v>
      </c>
      <c r="D4">
        <v>19.3</v>
      </c>
    </row>
    <row r="5" spans="2:5">
      <c r="B5">
        <v>2000</v>
      </c>
      <c r="D5">
        <v>19.5</v>
      </c>
    </row>
    <row r="6" spans="2:5">
      <c r="B6">
        <v>2001</v>
      </c>
      <c r="D6">
        <v>19</v>
      </c>
    </row>
    <row r="7" spans="2:5">
      <c r="B7">
        <v>2002</v>
      </c>
      <c r="D7">
        <v>19.3</v>
      </c>
      <c r="E7">
        <v>21.5</v>
      </c>
    </row>
    <row r="8" spans="2:5">
      <c r="B8">
        <v>2003</v>
      </c>
      <c r="D8">
        <v>21</v>
      </c>
      <c r="E8">
        <v>22.2</v>
      </c>
    </row>
    <row r="9" spans="2:5">
      <c r="B9">
        <v>2004</v>
      </c>
      <c r="D9">
        <v>20.8</v>
      </c>
      <c r="E9">
        <v>21</v>
      </c>
    </row>
    <row r="10" spans="2:5">
      <c r="B10">
        <v>2005</v>
      </c>
      <c r="D10">
        <v>21</v>
      </c>
      <c r="E10">
        <v>21.3</v>
      </c>
    </row>
    <row r="11" spans="2:5">
      <c r="B11">
        <v>2006</v>
      </c>
      <c r="D11">
        <v>22.2</v>
      </c>
      <c r="E11">
        <v>22.4</v>
      </c>
    </row>
    <row r="12" spans="2:5">
      <c r="B12" s="382">
        <v>2007</v>
      </c>
      <c r="C12" t="s">
        <v>62</v>
      </c>
      <c r="D12">
        <v>21.8</v>
      </c>
      <c r="E12">
        <v>21.8</v>
      </c>
    </row>
    <row r="13" spans="2:5">
      <c r="B13" s="382"/>
      <c r="C13" t="s">
        <v>61</v>
      </c>
      <c r="D13">
        <v>21.6</v>
      </c>
      <c r="E13">
        <v>21.5</v>
      </c>
    </row>
    <row r="14" spans="2:5">
      <c r="B14" s="382"/>
      <c r="C14" t="s">
        <v>60</v>
      </c>
      <c r="D14">
        <v>22.8</v>
      </c>
      <c r="E14">
        <v>22.8</v>
      </c>
    </row>
    <row r="15" spans="2:5">
      <c r="B15" s="382"/>
      <c r="C15" t="s">
        <v>59</v>
      </c>
      <c r="D15">
        <v>23.7</v>
      </c>
      <c r="E15">
        <v>32.200000000000003</v>
      </c>
    </row>
    <row r="16" spans="2:5">
      <c r="B16" s="382">
        <v>2008</v>
      </c>
      <c r="C16" t="s">
        <v>62</v>
      </c>
      <c r="D16">
        <v>29.5</v>
      </c>
      <c r="E16">
        <v>29</v>
      </c>
    </row>
    <row r="17" spans="2:5">
      <c r="B17" s="382"/>
      <c r="C17" t="s">
        <v>61</v>
      </c>
      <c r="D17">
        <v>27.9</v>
      </c>
      <c r="E17">
        <v>26.4</v>
      </c>
    </row>
    <row r="18" spans="2:5">
      <c r="B18" s="382"/>
      <c r="C18" t="s">
        <v>60</v>
      </c>
      <c r="D18">
        <v>23.6</v>
      </c>
      <c r="E18">
        <v>24.7</v>
      </c>
    </row>
    <row r="19" spans="2:5">
      <c r="B19" s="382"/>
      <c r="C19" t="s">
        <v>59</v>
      </c>
      <c r="D19">
        <v>31</v>
      </c>
      <c r="E19">
        <v>32.200000000000003</v>
      </c>
    </row>
    <row r="20" spans="2:5">
      <c r="B20" s="382">
        <v>2009</v>
      </c>
      <c r="C20" t="s">
        <v>62</v>
      </c>
      <c r="D20">
        <v>27.9</v>
      </c>
      <c r="E20">
        <v>21</v>
      </c>
    </row>
    <row r="21" spans="2:5">
      <c r="B21" s="382"/>
      <c r="C21" t="s">
        <v>61</v>
      </c>
      <c r="D21">
        <v>26.1</v>
      </c>
      <c r="E21">
        <v>23.7</v>
      </c>
    </row>
    <row r="22" spans="2:5">
      <c r="B22" s="382"/>
      <c r="C22" t="s">
        <v>60</v>
      </c>
      <c r="D22">
        <v>29.3</v>
      </c>
      <c r="E22">
        <v>24.7</v>
      </c>
    </row>
    <row r="23" spans="2:5">
      <c r="B23" s="382"/>
      <c r="C23" t="s">
        <v>59</v>
      </c>
      <c r="D23">
        <v>27.9</v>
      </c>
      <c r="E23">
        <v>23.8</v>
      </c>
    </row>
    <row r="24" spans="2:5">
      <c r="B24" s="382">
        <v>2010</v>
      </c>
      <c r="C24" t="s">
        <v>62</v>
      </c>
      <c r="D24">
        <v>24.4</v>
      </c>
      <c r="E24">
        <v>26.9</v>
      </c>
    </row>
    <row r="25" spans="2:5">
      <c r="B25" s="382"/>
      <c r="C25" t="s">
        <v>61</v>
      </c>
      <c r="D25">
        <v>25</v>
      </c>
      <c r="E25">
        <v>27.3</v>
      </c>
    </row>
    <row r="26" spans="2:5">
      <c r="B26" s="382"/>
      <c r="C26" t="s">
        <v>60</v>
      </c>
      <c r="D26">
        <v>25.2</v>
      </c>
      <c r="E26">
        <v>25.3</v>
      </c>
    </row>
    <row r="27" spans="2:5">
      <c r="B27" s="382"/>
      <c r="C27" t="s">
        <v>59</v>
      </c>
      <c r="D27">
        <v>25.1</v>
      </c>
      <c r="E27">
        <v>25.7</v>
      </c>
    </row>
    <row r="28" spans="2:5">
      <c r="B28" s="382">
        <v>2011</v>
      </c>
      <c r="C28" t="s">
        <v>62</v>
      </c>
      <c r="D28">
        <v>26</v>
      </c>
      <c r="E28">
        <v>26.1</v>
      </c>
    </row>
    <row r="29" spans="2:5">
      <c r="B29" s="382"/>
      <c r="C29" t="s">
        <v>61</v>
      </c>
      <c r="D29">
        <v>26.1</v>
      </c>
      <c r="E29">
        <v>31.6</v>
      </c>
    </row>
    <row r="30" spans="2:5">
      <c r="B30" s="382"/>
      <c r="C30" t="s">
        <v>60</v>
      </c>
      <c r="D30">
        <v>26.1</v>
      </c>
      <c r="E30">
        <v>31.1</v>
      </c>
    </row>
    <row r="31" spans="2:5">
      <c r="B31" s="382"/>
      <c r="C31" t="s">
        <v>59</v>
      </c>
      <c r="D31">
        <v>26.2</v>
      </c>
      <c r="E31">
        <v>28.8</v>
      </c>
    </row>
    <row r="32" spans="2:5">
      <c r="B32" s="382">
        <v>2012</v>
      </c>
      <c r="C32" t="s">
        <v>62</v>
      </c>
      <c r="D32">
        <v>26.8</v>
      </c>
      <c r="E32">
        <v>28.9</v>
      </c>
    </row>
    <row r="33" spans="2:5">
      <c r="B33" s="382"/>
      <c r="C33" t="s">
        <v>61</v>
      </c>
      <c r="D33">
        <v>27.7</v>
      </c>
      <c r="E33">
        <v>40.299999999999997</v>
      </c>
    </row>
    <row r="34" spans="2:5">
      <c r="B34" s="382"/>
      <c r="C34" t="s">
        <v>60</v>
      </c>
      <c r="D34">
        <v>28.3</v>
      </c>
      <c r="E34">
        <v>41.8</v>
      </c>
    </row>
    <row r="35" spans="2:5">
      <c r="B35" s="382"/>
      <c r="C35" t="s">
        <v>59</v>
      </c>
      <c r="D35">
        <v>28.7</v>
      </c>
      <c r="E35">
        <v>39.9</v>
      </c>
    </row>
    <row r="36" spans="2:5">
      <c r="B36" s="382">
        <v>2013</v>
      </c>
      <c r="C36" t="s">
        <v>62</v>
      </c>
      <c r="D36">
        <v>33.5</v>
      </c>
      <c r="E36">
        <v>54.4</v>
      </c>
    </row>
    <row r="37" spans="2:5">
      <c r="B37" s="382"/>
      <c r="C37" t="s">
        <v>61</v>
      </c>
      <c r="D37">
        <v>35.799999999999997</v>
      </c>
      <c r="E37">
        <v>56.9</v>
      </c>
    </row>
    <row r="38" spans="2:5">
      <c r="B38" s="382"/>
      <c r="C38" t="s">
        <v>60</v>
      </c>
      <c r="D38">
        <v>38</v>
      </c>
      <c r="E38">
        <v>58.7</v>
      </c>
    </row>
    <row r="39" spans="2:5">
      <c r="B39" s="382"/>
      <c r="C39" t="s">
        <v>59</v>
      </c>
      <c r="D39">
        <v>36.700000000000003</v>
      </c>
      <c r="E39">
        <v>57.4</v>
      </c>
    </row>
    <row r="40" spans="2:5">
      <c r="B40" s="382">
        <v>2014</v>
      </c>
      <c r="C40" t="s">
        <v>62</v>
      </c>
      <c r="D40">
        <v>39.799999999999997</v>
      </c>
      <c r="E40">
        <v>63</v>
      </c>
    </row>
    <row r="41" spans="2:5">
      <c r="B41" s="382"/>
      <c r="C41" t="s">
        <v>61</v>
      </c>
      <c r="D41">
        <v>40.299999999999997</v>
      </c>
      <c r="E41">
        <v>62.6</v>
      </c>
    </row>
    <row r="42" spans="2:5">
      <c r="B42" s="382"/>
      <c r="C42" t="s">
        <v>60</v>
      </c>
      <c r="D42">
        <v>41.2</v>
      </c>
      <c r="E42">
        <v>63.5</v>
      </c>
    </row>
    <row r="43" spans="2:5">
      <c r="B43" s="382"/>
      <c r="C43" t="s">
        <v>59</v>
      </c>
      <c r="D43">
        <v>40.799999999999997</v>
      </c>
      <c r="E43">
        <v>62.9</v>
      </c>
    </row>
  </sheetData>
  <mergeCells count="8">
    <mergeCell ref="B40:B43"/>
    <mergeCell ref="B36:B39"/>
    <mergeCell ref="B12:B15"/>
    <mergeCell ref="B16:B19"/>
    <mergeCell ref="B20:B23"/>
    <mergeCell ref="B24:B27"/>
    <mergeCell ref="B28:B31"/>
    <mergeCell ref="B32:B3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AD160"/>
  <sheetViews>
    <sheetView workbookViewId="0">
      <selection activeCell="C4" sqref="C4:C5"/>
    </sheetView>
  </sheetViews>
  <sheetFormatPr defaultRowHeight="15"/>
  <cols>
    <col min="3" max="3" width="38" bestFit="1" customWidth="1"/>
  </cols>
  <sheetData>
    <row r="2" spans="3:30">
      <c r="D2" s="227" t="s">
        <v>36</v>
      </c>
      <c r="E2" s="228"/>
      <c r="F2" s="228"/>
      <c r="G2" s="228"/>
      <c r="H2" s="228"/>
      <c r="I2" s="228"/>
      <c r="J2" s="228"/>
      <c r="K2" s="228"/>
      <c r="L2" s="228"/>
      <c r="M2" s="228"/>
      <c r="N2" s="228"/>
    </row>
    <row r="3" spans="3:30">
      <c r="D3" s="229">
        <v>2014</v>
      </c>
      <c r="E3" s="226"/>
      <c r="F3" s="226"/>
      <c r="G3" s="15" t="s">
        <v>33</v>
      </c>
      <c r="H3" s="229">
        <v>2013</v>
      </c>
      <c r="I3" s="226"/>
      <c r="J3" s="226"/>
      <c r="K3" s="15" t="s">
        <v>33</v>
      </c>
      <c r="L3" s="229">
        <v>2012</v>
      </c>
      <c r="M3" s="226"/>
      <c r="N3" s="226"/>
    </row>
    <row r="4" spans="3:30">
      <c r="C4" s="14" t="s">
        <v>32</v>
      </c>
      <c r="D4" s="230">
        <v>40.799999999999997</v>
      </c>
      <c r="E4" s="226"/>
      <c r="F4" s="15" t="s">
        <v>33</v>
      </c>
      <c r="G4" s="15" t="s">
        <v>33</v>
      </c>
      <c r="H4" s="230">
        <v>36.700000000000003</v>
      </c>
      <c r="I4" s="226"/>
      <c r="J4" s="15" t="s">
        <v>33</v>
      </c>
      <c r="K4" s="15" t="s">
        <v>33</v>
      </c>
      <c r="L4" s="230">
        <v>28.7</v>
      </c>
      <c r="M4" s="226"/>
    </row>
    <row r="5" spans="3:30">
      <c r="C5" s="14" t="s">
        <v>37</v>
      </c>
      <c r="D5" s="230">
        <v>62.9</v>
      </c>
      <c r="E5" s="226"/>
      <c r="F5" s="15" t="s">
        <v>33</v>
      </c>
      <c r="G5" s="15" t="s">
        <v>33</v>
      </c>
      <c r="H5" s="230">
        <v>57.4</v>
      </c>
      <c r="I5" s="226"/>
      <c r="J5" s="15" t="s">
        <v>33</v>
      </c>
      <c r="K5" s="15" t="s">
        <v>33</v>
      </c>
      <c r="L5" s="230">
        <v>39.9</v>
      </c>
      <c r="M5" s="226"/>
    </row>
    <row r="8" spans="3:30">
      <c r="C8" s="15" t="s">
        <v>33</v>
      </c>
      <c r="D8" s="14" t="s">
        <v>34</v>
      </c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15" t="s">
        <v>33</v>
      </c>
      <c r="W8" s="226"/>
      <c r="X8" s="226"/>
      <c r="Y8" s="226"/>
      <c r="Z8" s="226"/>
      <c r="AA8" s="226"/>
      <c r="AB8" s="226"/>
      <c r="AC8" s="226"/>
      <c r="AD8" s="226"/>
    </row>
    <row r="9" spans="3:30">
      <c r="C9" s="229">
        <v>2014</v>
      </c>
      <c r="D9" s="226"/>
      <c r="E9" s="226"/>
      <c r="F9" s="15" t="s">
        <v>33</v>
      </c>
      <c r="G9" s="15" t="s">
        <v>33</v>
      </c>
      <c r="H9" s="229">
        <v>2013</v>
      </c>
      <c r="I9" s="226"/>
      <c r="J9" s="226"/>
      <c r="V9" s="226"/>
    </row>
    <row r="10" spans="3:30">
      <c r="C10" s="14" t="s">
        <v>32</v>
      </c>
      <c r="D10" s="230">
        <v>41.2</v>
      </c>
      <c r="E10" s="226"/>
      <c r="F10" s="15" t="s">
        <v>33</v>
      </c>
      <c r="G10" s="15" t="s">
        <v>33</v>
      </c>
      <c r="H10" s="15" t="s">
        <v>33</v>
      </c>
      <c r="I10" s="230">
        <v>38</v>
      </c>
      <c r="J10" s="226"/>
    </row>
    <row r="11" spans="3:30">
      <c r="C11" s="14" t="s">
        <v>37</v>
      </c>
      <c r="D11" s="230">
        <v>63.5</v>
      </c>
      <c r="E11" s="226"/>
      <c r="F11" s="15" t="s">
        <v>33</v>
      </c>
      <c r="G11" s="15" t="s">
        <v>33</v>
      </c>
      <c r="H11" s="15" t="s">
        <v>33</v>
      </c>
      <c r="I11" s="230">
        <v>58.7</v>
      </c>
      <c r="J11" s="226"/>
    </row>
    <row r="14" spans="3:30">
      <c r="D14" s="16" t="s">
        <v>38</v>
      </c>
      <c r="E14" s="231"/>
      <c r="F14" s="231"/>
      <c r="G14" s="231"/>
      <c r="H14" s="231"/>
      <c r="I14" s="231"/>
      <c r="J14" s="231"/>
      <c r="K14" s="231"/>
      <c r="L14" s="231"/>
      <c r="M14" s="231"/>
      <c r="N14" s="231"/>
      <c r="O14" s="231"/>
      <c r="P14" s="231"/>
    </row>
    <row r="15" spans="3:30">
      <c r="D15" s="232">
        <v>2014</v>
      </c>
      <c r="E15" s="233"/>
      <c r="F15" s="233"/>
      <c r="G15" s="17" t="s">
        <v>33</v>
      </c>
      <c r="H15" s="17" t="s">
        <v>33</v>
      </c>
      <c r="I15" s="232">
        <v>2013</v>
      </c>
      <c r="J15" s="233"/>
      <c r="K15" s="233"/>
    </row>
    <row r="16" spans="3:30">
      <c r="C16" s="19" t="s">
        <v>32</v>
      </c>
      <c r="D16" s="234">
        <v>40.299999999999997</v>
      </c>
      <c r="E16" s="235"/>
      <c r="F16" s="18" t="s">
        <v>33</v>
      </c>
      <c r="G16" s="18" t="s">
        <v>33</v>
      </c>
      <c r="H16" s="18" t="s">
        <v>33</v>
      </c>
      <c r="I16" s="234">
        <v>35.799999999999997</v>
      </c>
      <c r="J16" s="235"/>
    </row>
    <row r="17" spans="3:15">
      <c r="C17" s="21" t="s">
        <v>37</v>
      </c>
      <c r="D17" s="236">
        <v>62.6</v>
      </c>
      <c r="E17" s="237"/>
      <c r="F17" s="20" t="s">
        <v>33</v>
      </c>
      <c r="G17" s="20" t="s">
        <v>33</v>
      </c>
      <c r="H17" s="20" t="s">
        <v>33</v>
      </c>
      <c r="I17" s="236">
        <v>56.9</v>
      </c>
      <c r="J17" s="237"/>
    </row>
    <row r="20" spans="3:15">
      <c r="D20" s="23" t="s">
        <v>39</v>
      </c>
      <c r="E20" s="238"/>
      <c r="F20" s="238"/>
      <c r="G20" s="238"/>
      <c r="H20" s="238"/>
      <c r="I20" s="238"/>
      <c r="J20" s="238"/>
      <c r="K20" s="238"/>
      <c r="L20" s="238"/>
      <c r="M20" s="238"/>
      <c r="N20" s="238"/>
      <c r="O20" s="238"/>
    </row>
    <row r="21" spans="3:15">
      <c r="D21" s="239">
        <v>2014</v>
      </c>
      <c r="E21" s="238"/>
      <c r="F21" s="238"/>
      <c r="G21" s="22" t="s">
        <v>33</v>
      </c>
      <c r="H21" s="239">
        <v>2013</v>
      </c>
      <c r="I21" s="238"/>
      <c r="J21" s="238"/>
      <c r="K21" s="238"/>
      <c r="L21" s="22" t="s">
        <v>33</v>
      </c>
      <c r="M21" s="23"/>
      <c r="N21" s="238"/>
      <c r="O21" s="238"/>
    </row>
    <row r="22" spans="3:15">
      <c r="C22" s="25" t="s">
        <v>32</v>
      </c>
      <c r="D22" s="240">
        <v>39.799999999999997</v>
      </c>
      <c r="E22" s="241"/>
      <c r="F22" s="24" t="s">
        <v>33</v>
      </c>
      <c r="G22" s="24" t="s">
        <v>33</v>
      </c>
      <c r="H22" s="24" t="s">
        <v>33</v>
      </c>
      <c r="I22" s="240">
        <v>33.5</v>
      </c>
      <c r="J22" s="241"/>
    </row>
    <row r="23" spans="3:15">
      <c r="C23" s="27" t="s">
        <v>37</v>
      </c>
      <c r="D23" s="242">
        <v>63</v>
      </c>
      <c r="E23" s="243"/>
      <c r="F23" s="26" t="s">
        <v>33</v>
      </c>
      <c r="G23" s="26" t="s">
        <v>33</v>
      </c>
      <c r="H23" s="26" t="s">
        <v>33</v>
      </c>
      <c r="I23" s="242">
        <v>54.4</v>
      </c>
      <c r="J23" s="243"/>
    </row>
    <row r="28" spans="3:15">
      <c r="D28" s="244" t="s">
        <v>36</v>
      </c>
      <c r="E28" s="245"/>
      <c r="F28" s="245"/>
      <c r="G28" s="245"/>
      <c r="H28" s="245"/>
      <c r="I28" s="245"/>
      <c r="J28" s="245"/>
      <c r="K28" s="245"/>
      <c r="L28" s="245"/>
      <c r="M28" s="245"/>
      <c r="N28" s="245"/>
    </row>
    <row r="29" spans="3:15">
      <c r="D29" s="246">
        <v>2013</v>
      </c>
      <c r="E29" s="247"/>
      <c r="F29" s="247"/>
      <c r="G29" s="28" t="s">
        <v>33</v>
      </c>
      <c r="H29" s="246">
        <v>2012</v>
      </c>
      <c r="I29" s="247"/>
      <c r="J29" s="247"/>
      <c r="K29" s="28" t="s">
        <v>33</v>
      </c>
      <c r="L29" s="246">
        <v>2011</v>
      </c>
      <c r="M29" s="247"/>
      <c r="N29" s="247"/>
    </row>
    <row r="30" spans="3:15">
      <c r="C30" s="30" t="s">
        <v>32</v>
      </c>
      <c r="D30" s="248">
        <v>36.700000000000003</v>
      </c>
      <c r="E30" s="249"/>
      <c r="F30" s="29" t="s">
        <v>33</v>
      </c>
      <c r="G30" s="29" t="s">
        <v>33</v>
      </c>
      <c r="H30" s="248">
        <v>28.7</v>
      </c>
      <c r="I30" s="249"/>
      <c r="J30" s="29" t="s">
        <v>33</v>
      </c>
      <c r="K30" s="29" t="s">
        <v>33</v>
      </c>
      <c r="L30" s="248">
        <v>26.2</v>
      </c>
      <c r="M30" s="249"/>
    </row>
    <row r="31" spans="3:15">
      <c r="C31" s="32" t="s">
        <v>37</v>
      </c>
      <c r="D31" s="250">
        <v>57.4</v>
      </c>
      <c r="E31" s="251"/>
      <c r="F31" s="31" t="s">
        <v>33</v>
      </c>
      <c r="G31" s="31" t="s">
        <v>33</v>
      </c>
      <c r="H31" s="250">
        <v>39.9</v>
      </c>
      <c r="I31" s="251"/>
      <c r="J31" s="31" t="s">
        <v>33</v>
      </c>
      <c r="K31" s="31" t="s">
        <v>33</v>
      </c>
      <c r="L31" s="250">
        <v>28.8</v>
      </c>
      <c r="M31" s="251"/>
    </row>
    <row r="33" spans="3:16">
      <c r="D33" s="33" t="s">
        <v>41</v>
      </c>
      <c r="E33" s="252"/>
      <c r="F33" s="252"/>
      <c r="G33" s="252"/>
      <c r="H33" s="252"/>
      <c r="I33" s="252"/>
      <c r="J33" s="252"/>
      <c r="K33" s="252"/>
      <c r="L33" s="252"/>
      <c r="M33" s="252"/>
      <c r="N33" s="252"/>
    </row>
    <row r="34" spans="3:16">
      <c r="D34" s="33" t="s">
        <v>42</v>
      </c>
      <c r="E34" s="252"/>
      <c r="F34" s="252"/>
      <c r="G34" s="252"/>
      <c r="H34" s="252"/>
      <c r="I34" s="252"/>
      <c r="J34" s="252"/>
      <c r="K34" s="252"/>
      <c r="L34" s="252"/>
      <c r="M34" s="252"/>
      <c r="N34" s="252"/>
    </row>
    <row r="35" spans="3:16">
      <c r="C35" s="35" t="s">
        <v>32</v>
      </c>
      <c r="D35" s="253">
        <v>38</v>
      </c>
      <c r="E35" s="254"/>
      <c r="F35" s="34" t="s">
        <v>33</v>
      </c>
      <c r="G35" s="34" t="s">
        <v>33</v>
      </c>
      <c r="H35" s="253">
        <v>28.3</v>
      </c>
      <c r="I35" s="254"/>
    </row>
    <row r="36" spans="3:16">
      <c r="C36" s="37" t="s">
        <v>37</v>
      </c>
      <c r="D36" s="255">
        <v>58.7</v>
      </c>
      <c r="E36" s="256"/>
      <c r="F36" s="36" t="s">
        <v>33</v>
      </c>
      <c r="G36" s="36" t="s">
        <v>33</v>
      </c>
      <c r="H36" s="255">
        <v>41.8</v>
      </c>
      <c r="I36" s="256"/>
    </row>
    <row r="38" spans="3:16">
      <c r="D38" s="39" t="s">
        <v>38</v>
      </c>
      <c r="E38" s="257"/>
      <c r="F38" s="257"/>
      <c r="G38" s="257"/>
      <c r="H38" s="257"/>
      <c r="I38" s="257"/>
      <c r="J38" s="257"/>
      <c r="K38" s="257"/>
      <c r="L38" s="257"/>
      <c r="M38" s="257"/>
      <c r="N38" s="257"/>
    </row>
    <row r="39" spans="3:16">
      <c r="D39" s="258">
        <v>2013</v>
      </c>
      <c r="E39" s="257"/>
      <c r="F39" s="257"/>
      <c r="G39" s="38" t="s">
        <v>33</v>
      </c>
      <c r="H39" s="258">
        <v>2012</v>
      </c>
      <c r="I39" s="257"/>
      <c r="J39" s="257"/>
      <c r="K39" s="38" t="s">
        <v>33</v>
      </c>
      <c r="L39" s="39" t="s">
        <v>40</v>
      </c>
      <c r="M39" s="257"/>
      <c r="N39" s="257"/>
    </row>
    <row r="40" spans="3:16">
      <c r="C40" s="41" t="s">
        <v>32</v>
      </c>
      <c r="D40" s="259">
        <v>35.799999999999997</v>
      </c>
      <c r="E40" s="260"/>
      <c r="F40" s="40" t="s">
        <v>33</v>
      </c>
      <c r="G40" s="40" t="s">
        <v>33</v>
      </c>
      <c r="H40" s="259">
        <v>27.7</v>
      </c>
      <c r="I40" s="260"/>
    </row>
    <row r="41" spans="3:16">
      <c r="C41" s="43" t="s">
        <v>37</v>
      </c>
      <c r="D41" s="261">
        <v>56.9</v>
      </c>
      <c r="E41" s="262"/>
      <c r="F41" s="42" t="s">
        <v>33</v>
      </c>
      <c r="G41" s="42" t="s">
        <v>33</v>
      </c>
      <c r="H41" s="261">
        <v>40.299999999999997</v>
      </c>
      <c r="I41" s="262"/>
    </row>
    <row r="43" spans="3:16">
      <c r="D43" s="45" t="s">
        <v>39</v>
      </c>
      <c r="E43" s="263"/>
      <c r="F43" s="263"/>
      <c r="G43" s="263"/>
      <c r="H43" s="263"/>
      <c r="I43" s="263"/>
      <c r="J43" s="263"/>
      <c r="K43" s="263"/>
      <c r="L43" s="263"/>
      <c r="M43" s="263"/>
      <c r="N43" s="263"/>
      <c r="O43" s="263"/>
      <c r="P43" s="263"/>
    </row>
    <row r="44" spans="3:16">
      <c r="D44" s="264">
        <v>2013</v>
      </c>
      <c r="E44" s="263"/>
      <c r="F44" s="263"/>
      <c r="G44" s="44" t="s">
        <v>33</v>
      </c>
      <c r="H44" s="264">
        <v>2012</v>
      </c>
      <c r="I44" s="263"/>
      <c r="J44" s="263"/>
      <c r="K44" s="263"/>
      <c r="L44" s="263"/>
      <c r="M44" s="44" t="s">
        <v>33</v>
      </c>
      <c r="N44" s="45" t="s">
        <v>40</v>
      </c>
      <c r="O44" s="263"/>
      <c r="P44" s="263"/>
    </row>
    <row r="45" spans="3:16">
      <c r="C45" s="47" t="s">
        <v>32</v>
      </c>
      <c r="D45" s="265">
        <v>33.5</v>
      </c>
      <c r="E45" s="266"/>
      <c r="F45" s="46" t="s">
        <v>33</v>
      </c>
      <c r="G45" s="46" t="s">
        <v>33</v>
      </c>
      <c r="H45" s="46" t="s">
        <v>33</v>
      </c>
      <c r="I45" s="265">
        <v>26.8</v>
      </c>
      <c r="J45" s="266"/>
    </row>
    <row r="46" spans="3:16">
      <c r="C46" s="49" t="s">
        <v>37</v>
      </c>
      <c r="D46" s="267">
        <v>54.4</v>
      </c>
      <c r="E46" s="268"/>
      <c r="F46" s="48" t="s">
        <v>33</v>
      </c>
      <c r="G46" s="48" t="s">
        <v>33</v>
      </c>
      <c r="H46" s="48" t="s">
        <v>33</v>
      </c>
      <c r="I46" s="267">
        <v>28.9</v>
      </c>
      <c r="J46" s="268"/>
    </row>
    <row r="49" spans="3:16">
      <c r="D49" s="269" t="s">
        <v>36</v>
      </c>
      <c r="E49" s="270"/>
      <c r="F49" s="270"/>
      <c r="G49" s="270"/>
      <c r="H49" s="270"/>
      <c r="I49" s="270"/>
      <c r="J49" s="270"/>
      <c r="K49" s="270"/>
      <c r="L49" s="270"/>
      <c r="M49" s="270"/>
      <c r="N49" s="270"/>
    </row>
    <row r="50" spans="3:16">
      <c r="D50" s="271">
        <v>2012</v>
      </c>
      <c r="E50" s="272"/>
      <c r="F50" s="272"/>
      <c r="G50" s="50" t="s">
        <v>33</v>
      </c>
      <c r="H50" s="271">
        <v>2011</v>
      </c>
      <c r="I50" s="272"/>
      <c r="J50" s="272"/>
      <c r="K50" s="50" t="s">
        <v>33</v>
      </c>
      <c r="L50" s="271">
        <v>2010</v>
      </c>
      <c r="M50" s="272"/>
      <c r="N50" s="272"/>
    </row>
    <row r="51" spans="3:16">
      <c r="C51" s="52" t="s">
        <v>32</v>
      </c>
      <c r="D51" s="273">
        <v>28.7</v>
      </c>
      <c r="E51" s="274"/>
      <c r="F51" s="51" t="s">
        <v>33</v>
      </c>
      <c r="G51" s="51" t="s">
        <v>33</v>
      </c>
      <c r="H51" s="273">
        <v>26.2</v>
      </c>
      <c r="I51" s="274"/>
      <c r="J51" s="51" t="s">
        <v>33</v>
      </c>
      <c r="K51" s="51" t="s">
        <v>33</v>
      </c>
      <c r="L51" s="273">
        <v>25.1</v>
      </c>
      <c r="M51" s="274"/>
    </row>
    <row r="52" spans="3:16">
      <c r="C52" s="55" t="s">
        <v>37</v>
      </c>
      <c r="D52" s="275">
        <v>39.9</v>
      </c>
      <c r="E52" s="276"/>
      <c r="F52" s="54" t="s">
        <v>33</v>
      </c>
      <c r="G52" s="54" t="s">
        <v>33</v>
      </c>
      <c r="H52" s="275">
        <v>28.8</v>
      </c>
      <c r="I52" s="276"/>
      <c r="J52" s="54" t="s">
        <v>33</v>
      </c>
      <c r="K52" s="54" t="s">
        <v>33</v>
      </c>
      <c r="L52" s="275">
        <v>25.7</v>
      </c>
      <c r="M52" s="276"/>
    </row>
    <row r="53" spans="3:16">
      <c r="C53" s="55"/>
      <c r="D53" s="53"/>
      <c r="E53" s="53"/>
      <c r="F53" s="53"/>
      <c r="G53" s="53"/>
      <c r="H53" s="53"/>
      <c r="I53" s="53"/>
      <c r="J53" s="53"/>
      <c r="K53" s="53"/>
      <c r="L53" s="53"/>
      <c r="M53" s="53"/>
    </row>
    <row r="54" spans="3:16">
      <c r="D54" s="57" t="s">
        <v>34</v>
      </c>
      <c r="E54" s="277"/>
      <c r="F54" s="277"/>
      <c r="G54" s="277"/>
      <c r="H54" s="277"/>
      <c r="I54" s="277"/>
      <c r="J54" s="277"/>
      <c r="K54" s="277"/>
      <c r="L54" s="277"/>
      <c r="M54" s="277"/>
      <c r="N54" s="277"/>
      <c r="O54" s="277"/>
      <c r="P54" s="277"/>
    </row>
    <row r="55" spans="3:16">
      <c r="D55" s="278">
        <v>2012</v>
      </c>
      <c r="E55" s="277"/>
      <c r="F55" s="277"/>
      <c r="G55" s="56" t="s">
        <v>33</v>
      </c>
      <c r="H55" s="278">
        <v>2011</v>
      </c>
      <c r="I55" s="277"/>
      <c r="J55" s="277"/>
      <c r="K55" s="277"/>
      <c r="L55" s="277"/>
      <c r="M55" s="56" t="s">
        <v>33</v>
      </c>
      <c r="N55" s="57" t="s">
        <v>40</v>
      </c>
      <c r="O55" s="277"/>
      <c r="P55" s="277"/>
    </row>
    <row r="56" spans="3:16">
      <c r="C56" s="59" t="s">
        <v>32</v>
      </c>
      <c r="D56" s="279">
        <v>28.3</v>
      </c>
      <c r="E56" s="280"/>
      <c r="F56" s="58" t="s">
        <v>33</v>
      </c>
      <c r="G56" s="58" t="s">
        <v>33</v>
      </c>
      <c r="H56" s="58" t="s">
        <v>33</v>
      </c>
      <c r="I56" s="279">
        <v>26.1</v>
      </c>
      <c r="J56" s="280"/>
    </row>
    <row r="57" spans="3:16">
      <c r="C57" s="61" t="s">
        <v>37</v>
      </c>
      <c r="D57" s="281">
        <v>41.8</v>
      </c>
      <c r="E57" s="282"/>
      <c r="F57" s="60" t="s">
        <v>33</v>
      </c>
      <c r="G57" s="60" t="s">
        <v>33</v>
      </c>
      <c r="H57" s="60" t="s">
        <v>33</v>
      </c>
      <c r="I57" s="281">
        <v>31.1</v>
      </c>
      <c r="J57" s="282"/>
    </row>
    <row r="59" spans="3:16">
      <c r="D59" s="72" t="s">
        <v>38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</row>
    <row r="60" spans="3:16">
      <c r="D60" s="284">
        <v>2012</v>
      </c>
      <c r="E60" s="283"/>
      <c r="F60" s="283"/>
      <c r="G60" s="71" t="s">
        <v>33</v>
      </c>
      <c r="H60" s="284">
        <v>2011</v>
      </c>
      <c r="I60" s="283"/>
      <c r="J60" s="283"/>
      <c r="K60" s="71" t="s">
        <v>33</v>
      </c>
      <c r="L60" s="72" t="s">
        <v>40</v>
      </c>
      <c r="M60" s="283"/>
      <c r="N60" s="283"/>
      <c r="O60" s="283"/>
      <c r="P60" s="283"/>
    </row>
    <row r="61" spans="3:16">
      <c r="C61" s="74" t="s">
        <v>32</v>
      </c>
      <c r="D61" s="285">
        <v>27.7</v>
      </c>
      <c r="E61" s="286"/>
      <c r="F61" s="73" t="s">
        <v>33</v>
      </c>
      <c r="G61" s="73" t="s">
        <v>33</v>
      </c>
      <c r="H61" s="285">
        <v>26.1</v>
      </c>
      <c r="I61" s="286"/>
      <c r="J61" s="70"/>
      <c r="K61" s="71"/>
      <c r="L61" s="72"/>
      <c r="M61" s="70"/>
      <c r="N61" s="70"/>
      <c r="O61" s="70"/>
      <c r="P61" s="70"/>
    </row>
    <row r="62" spans="3:16">
      <c r="C62" s="76" t="s">
        <v>37</v>
      </c>
      <c r="D62" s="287">
        <v>40.299999999999997</v>
      </c>
      <c r="E62" s="288"/>
      <c r="F62" s="75" t="s">
        <v>33</v>
      </c>
      <c r="G62" s="75" t="s">
        <v>33</v>
      </c>
      <c r="H62" s="287">
        <v>31.6</v>
      </c>
      <c r="I62" s="288"/>
    </row>
    <row r="64" spans="3:16">
      <c r="D64" s="63" t="s">
        <v>39</v>
      </c>
      <c r="E64" s="289"/>
      <c r="F64" s="289"/>
      <c r="G64" s="289"/>
      <c r="H64" s="289"/>
      <c r="I64" s="289"/>
      <c r="J64" s="289"/>
      <c r="K64" s="289"/>
      <c r="L64" s="289"/>
      <c r="M64" s="289"/>
    </row>
    <row r="65" spans="3:14">
      <c r="D65" s="290">
        <v>2012</v>
      </c>
      <c r="E65" s="289"/>
      <c r="F65" s="62" t="s">
        <v>33</v>
      </c>
      <c r="G65" s="62" t="s">
        <v>33</v>
      </c>
      <c r="H65" s="290">
        <v>2011</v>
      </c>
      <c r="I65" s="289"/>
      <c r="J65" s="62" t="s">
        <v>33</v>
      </c>
      <c r="K65" s="62" t="s">
        <v>33</v>
      </c>
      <c r="L65" s="63" t="s">
        <v>40</v>
      </c>
      <c r="M65" s="289"/>
    </row>
    <row r="66" spans="3:14">
      <c r="C66" s="65" t="s">
        <v>32</v>
      </c>
      <c r="D66" s="64" t="s">
        <v>33</v>
      </c>
      <c r="E66" s="64" t="s">
        <v>33</v>
      </c>
      <c r="F66" s="66">
        <v>26.8</v>
      </c>
      <c r="G66" s="64" t="s">
        <v>33</v>
      </c>
      <c r="H66" s="64" t="s">
        <v>33</v>
      </c>
      <c r="I66" s="64" t="s">
        <v>33</v>
      </c>
      <c r="J66" s="66">
        <v>26</v>
      </c>
    </row>
    <row r="67" spans="3:14">
      <c r="C67" s="68" t="s">
        <v>37</v>
      </c>
      <c r="D67" s="67" t="s">
        <v>33</v>
      </c>
      <c r="E67" s="67" t="s">
        <v>33</v>
      </c>
      <c r="F67" s="69">
        <v>28.9</v>
      </c>
      <c r="G67" s="67" t="s">
        <v>33</v>
      </c>
      <c r="H67" s="67" t="s">
        <v>33</v>
      </c>
      <c r="I67" s="67" t="s">
        <v>33</v>
      </c>
      <c r="J67" s="69">
        <v>26.1</v>
      </c>
    </row>
    <row r="70" spans="3:14">
      <c r="D70" s="291" t="s">
        <v>36</v>
      </c>
      <c r="E70" s="292"/>
      <c r="F70" s="292"/>
      <c r="G70" s="292"/>
      <c r="H70" s="292"/>
      <c r="I70" s="292"/>
      <c r="J70" s="292"/>
      <c r="K70" s="292"/>
      <c r="L70" s="292"/>
      <c r="M70" s="292"/>
    </row>
    <row r="71" spans="3:14">
      <c r="D71" s="293">
        <v>2011</v>
      </c>
      <c r="E71" s="294"/>
      <c r="F71" s="77" t="s">
        <v>33</v>
      </c>
      <c r="G71" s="77" t="s">
        <v>33</v>
      </c>
      <c r="H71" s="293">
        <v>2010</v>
      </c>
      <c r="I71" s="294"/>
      <c r="J71" s="77" t="s">
        <v>33</v>
      </c>
      <c r="K71" s="77" t="s">
        <v>33</v>
      </c>
      <c r="L71" s="293">
        <v>2009</v>
      </c>
      <c r="M71" s="294"/>
    </row>
    <row r="72" spans="3:14">
      <c r="C72" s="79" t="s">
        <v>32</v>
      </c>
      <c r="D72" s="78" t="s">
        <v>33</v>
      </c>
      <c r="E72" s="78" t="s">
        <v>33</v>
      </c>
      <c r="F72" s="80">
        <v>26.2</v>
      </c>
      <c r="G72" s="78" t="s">
        <v>33</v>
      </c>
      <c r="H72" s="78" t="s">
        <v>33</v>
      </c>
      <c r="I72" s="78" t="s">
        <v>33</v>
      </c>
      <c r="J72" s="80">
        <v>25.1</v>
      </c>
      <c r="N72" s="84">
        <v>27.9</v>
      </c>
    </row>
    <row r="73" spans="3:14">
      <c r="C73" s="82" t="s">
        <v>37</v>
      </c>
      <c r="D73" s="81" t="s">
        <v>33</v>
      </c>
      <c r="E73" s="81" t="s">
        <v>33</v>
      </c>
      <c r="F73" s="83">
        <v>28.8</v>
      </c>
      <c r="G73" s="81" t="s">
        <v>33</v>
      </c>
      <c r="H73" s="81" t="s">
        <v>33</v>
      </c>
      <c r="I73" s="81" t="s">
        <v>33</v>
      </c>
      <c r="J73" s="83">
        <v>25.7</v>
      </c>
      <c r="K73" s="81" t="s">
        <v>33</v>
      </c>
      <c r="N73" s="84">
        <v>23.8</v>
      </c>
    </row>
    <row r="75" spans="3:14">
      <c r="D75" s="86" t="s">
        <v>34</v>
      </c>
      <c r="E75" s="295"/>
      <c r="F75" s="295"/>
      <c r="G75" s="295"/>
      <c r="H75" s="295"/>
      <c r="I75" s="295"/>
      <c r="J75" s="295"/>
      <c r="K75" s="295"/>
      <c r="L75" s="295"/>
      <c r="M75" s="295"/>
    </row>
    <row r="76" spans="3:14">
      <c r="D76" s="296">
        <v>2011</v>
      </c>
      <c r="E76" s="295"/>
      <c r="F76" s="85" t="s">
        <v>33</v>
      </c>
      <c r="G76" s="85" t="s">
        <v>33</v>
      </c>
      <c r="H76" s="296">
        <v>2010</v>
      </c>
      <c r="I76" s="295"/>
      <c r="J76" s="85" t="s">
        <v>33</v>
      </c>
      <c r="K76" s="85" t="s">
        <v>33</v>
      </c>
      <c r="L76" s="86" t="s">
        <v>40</v>
      </c>
      <c r="M76" s="295"/>
    </row>
    <row r="77" spans="3:14">
      <c r="C77" s="88" t="s">
        <v>32</v>
      </c>
      <c r="D77" s="87" t="s">
        <v>33</v>
      </c>
      <c r="E77" s="87" t="s">
        <v>33</v>
      </c>
      <c r="F77" s="89">
        <v>26.1</v>
      </c>
      <c r="G77" s="87" t="s">
        <v>33</v>
      </c>
      <c r="H77" s="87" t="s">
        <v>33</v>
      </c>
      <c r="I77" s="87" t="s">
        <v>33</v>
      </c>
      <c r="J77" s="89">
        <v>25.2</v>
      </c>
    </row>
    <row r="78" spans="3:14">
      <c r="C78" s="91" t="s">
        <v>37</v>
      </c>
      <c r="D78" s="90" t="s">
        <v>33</v>
      </c>
      <c r="E78" s="90" t="s">
        <v>33</v>
      </c>
      <c r="F78" s="92">
        <v>31.1</v>
      </c>
      <c r="G78" s="90" t="s">
        <v>33</v>
      </c>
      <c r="H78" s="90" t="s">
        <v>33</v>
      </c>
      <c r="I78" s="90" t="s">
        <v>33</v>
      </c>
      <c r="J78" s="92">
        <v>25.3</v>
      </c>
    </row>
    <row r="81" spans="3:14">
      <c r="D81" s="94" t="s">
        <v>38</v>
      </c>
      <c r="E81" s="297"/>
      <c r="F81" s="297"/>
      <c r="G81" s="297"/>
      <c r="H81" s="297"/>
      <c r="I81" s="297"/>
      <c r="J81" s="297"/>
      <c r="K81" s="297"/>
      <c r="L81" s="297"/>
      <c r="M81" s="297"/>
    </row>
    <row r="82" spans="3:14">
      <c r="D82" s="298">
        <v>2011</v>
      </c>
      <c r="E82" s="297"/>
      <c r="F82" s="93" t="s">
        <v>33</v>
      </c>
      <c r="G82" s="93" t="s">
        <v>33</v>
      </c>
      <c r="H82" s="298">
        <v>2010</v>
      </c>
      <c r="I82" s="297"/>
      <c r="J82" s="93" t="s">
        <v>33</v>
      </c>
      <c r="K82" s="93" t="s">
        <v>33</v>
      </c>
      <c r="L82" s="94" t="s">
        <v>40</v>
      </c>
      <c r="M82" s="297"/>
    </row>
    <row r="83" spans="3:14">
      <c r="C83" s="96" t="s">
        <v>32</v>
      </c>
      <c r="D83" s="95" t="s">
        <v>33</v>
      </c>
      <c r="E83" s="95" t="s">
        <v>33</v>
      </c>
      <c r="F83" s="97">
        <v>26.1</v>
      </c>
      <c r="G83" s="95" t="s">
        <v>33</v>
      </c>
      <c r="H83" s="95" t="s">
        <v>33</v>
      </c>
      <c r="I83" s="95" t="s">
        <v>33</v>
      </c>
      <c r="J83" s="97">
        <v>25</v>
      </c>
    </row>
    <row r="84" spans="3:14">
      <c r="C84" s="99" t="s">
        <v>37</v>
      </c>
      <c r="D84" s="98" t="s">
        <v>33</v>
      </c>
      <c r="E84" s="98" t="s">
        <v>33</v>
      </c>
      <c r="F84" s="100">
        <v>31.6</v>
      </c>
      <c r="G84" s="98" t="s">
        <v>33</v>
      </c>
      <c r="H84" s="98" t="s">
        <v>33</v>
      </c>
      <c r="I84" s="98" t="s">
        <v>33</v>
      </c>
      <c r="J84" s="100">
        <v>27.3</v>
      </c>
    </row>
    <row r="86" spans="3:14">
      <c r="D86" s="102" t="s">
        <v>39</v>
      </c>
      <c r="E86" s="299"/>
      <c r="F86" s="299"/>
      <c r="G86" s="299"/>
      <c r="H86" s="299"/>
      <c r="I86" s="299"/>
      <c r="J86" s="299"/>
      <c r="K86" s="299"/>
      <c r="L86" s="299"/>
      <c r="M86" s="299"/>
    </row>
    <row r="87" spans="3:14">
      <c r="D87" s="300">
        <v>2011</v>
      </c>
      <c r="E87" s="299"/>
      <c r="F87" s="101" t="s">
        <v>33</v>
      </c>
      <c r="G87" s="101" t="s">
        <v>33</v>
      </c>
      <c r="H87" s="300">
        <v>2010</v>
      </c>
      <c r="I87" s="299"/>
      <c r="J87" s="101" t="s">
        <v>33</v>
      </c>
      <c r="K87" s="101" t="s">
        <v>33</v>
      </c>
      <c r="L87" s="102" t="s">
        <v>40</v>
      </c>
      <c r="M87" s="299"/>
    </row>
    <row r="88" spans="3:14">
      <c r="C88" s="104" t="s">
        <v>32</v>
      </c>
      <c r="D88" s="103" t="s">
        <v>33</v>
      </c>
      <c r="E88" s="103" t="s">
        <v>33</v>
      </c>
      <c r="F88" s="105">
        <v>26</v>
      </c>
      <c r="G88" s="103" t="s">
        <v>33</v>
      </c>
      <c r="H88" s="103" t="s">
        <v>33</v>
      </c>
      <c r="I88" s="103" t="s">
        <v>33</v>
      </c>
      <c r="J88" s="105">
        <v>24.4</v>
      </c>
    </row>
    <row r="89" spans="3:14">
      <c r="C89" s="107" t="s">
        <v>37</v>
      </c>
      <c r="D89" s="106" t="s">
        <v>33</v>
      </c>
      <c r="E89" s="106" t="s">
        <v>33</v>
      </c>
      <c r="F89" s="108">
        <v>26.1</v>
      </c>
      <c r="G89" s="106" t="s">
        <v>33</v>
      </c>
      <c r="H89" s="106" t="s">
        <v>33</v>
      </c>
      <c r="I89" s="106" t="s">
        <v>33</v>
      </c>
      <c r="J89" s="108">
        <v>26.9</v>
      </c>
    </row>
    <row r="91" spans="3:14">
      <c r="D91" s="301" t="s">
        <v>36</v>
      </c>
      <c r="E91" s="302"/>
      <c r="F91" s="302"/>
      <c r="G91" s="302"/>
      <c r="H91" s="302"/>
      <c r="I91" s="302"/>
      <c r="J91" s="302"/>
      <c r="K91" s="302"/>
      <c r="L91" s="302"/>
      <c r="M91" s="302"/>
    </row>
    <row r="92" spans="3:14">
      <c r="D92" s="303">
        <v>2010</v>
      </c>
      <c r="E92" s="304"/>
      <c r="F92" s="109" t="s">
        <v>33</v>
      </c>
      <c r="G92" s="109" t="s">
        <v>33</v>
      </c>
      <c r="H92" s="303">
        <v>2009</v>
      </c>
      <c r="I92" s="304"/>
      <c r="J92" s="109" t="s">
        <v>33</v>
      </c>
      <c r="K92" s="109" t="s">
        <v>33</v>
      </c>
      <c r="L92" s="303">
        <v>2008</v>
      </c>
      <c r="M92" s="304"/>
    </row>
    <row r="93" spans="3:14">
      <c r="C93" s="111" t="s">
        <v>32</v>
      </c>
      <c r="D93" s="110" t="s">
        <v>33</v>
      </c>
      <c r="E93" s="110" t="s">
        <v>33</v>
      </c>
      <c r="F93" s="112">
        <v>25.1</v>
      </c>
      <c r="G93" s="110" t="s">
        <v>33</v>
      </c>
      <c r="H93" s="110" t="s">
        <v>33</v>
      </c>
      <c r="I93" s="110" t="s">
        <v>33</v>
      </c>
      <c r="J93" s="112">
        <v>27.9</v>
      </c>
      <c r="K93" s="110" t="s">
        <v>33</v>
      </c>
      <c r="L93" s="110" t="s">
        <v>33</v>
      </c>
      <c r="M93" s="110" t="s">
        <v>33</v>
      </c>
      <c r="N93" s="112">
        <v>30.9</v>
      </c>
    </row>
    <row r="94" spans="3:14">
      <c r="C94" s="114" t="s">
        <v>37</v>
      </c>
      <c r="D94" s="113" t="s">
        <v>33</v>
      </c>
      <c r="E94" s="113" t="s">
        <v>33</v>
      </c>
      <c r="F94" s="115">
        <v>25.7</v>
      </c>
      <c r="G94" s="113" t="s">
        <v>33</v>
      </c>
      <c r="H94" s="113" t="s">
        <v>33</v>
      </c>
      <c r="I94" s="113" t="s">
        <v>33</v>
      </c>
      <c r="J94" s="115">
        <v>23.8</v>
      </c>
      <c r="K94" s="113" t="s">
        <v>33</v>
      </c>
      <c r="L94" s="113" t="s">
        <v>33</v>
      </c>
      <c r="M94" s="113" t="s">
        <v>33</v>
      </c>
      <c r="N94" s="115">
        <v>28</v>
      </c>
    </row>
    <row r="96" spans="3:14">
      <c r="D96" s="118" t="s">
        <v>43</v>
      </c>
      <c r="E96" s="305"/>
      <c r="F96" s="305"/>
      <c r="G96" s="305"/>
      <c r="H96" s="305"/>
      <c r="I96" s="305"/>
    </row>
    <row r="97" spans="3:25">
      <c r="D97" s="117" t="s">
        <v>33</v>
      </c>
      <c r="E97" s="116"/>
      <c r="F97" s="116"/>
      <c r="G97" s="116"/>
      <c r="H97" s="116"/>
      <c r="I97" s="116"/>
    </row>
    <row r="98" spans="3:25">
      <c r="D98" s="118" t="s">
        <v>44</v>
      </c>
      <c r="E98" s="305"/>
      <c r="F98" s="305"/>
      <c r="G98" s="305"/>
      <c r="H98" s="305"/>
      <c r="I98" s="305"/>
    </row>
    <row r="99" spans="3:25">
      <c r="C99" s="120" t="s">
        <v>32</v>
      </c>
      <c r="D99" s="119" t="s">
        <v>33</v>
      </c>
      <c r="E99" s="119" t="s">
        <v>33</v>
      </c>
      <c r="F99" s="121">
        <v>25.2</v>
      </c>
      <c r="G99" s="119" t="s">
        <v>33</v>
      </c>
      <c r="H99" s="119" t="s">
        <v>33</v>
      </c>
      <c r="I99" s="119" t="s">
        <v>33</v>
      </c>
      <c r="J99" s="121">
        <v>29.3</v>
      </c>
    </row>
    <row r="100" spans="3:25">
      <c r="C100" s="123" t="s">
        <v>37</v>
      </c>
      <c r="D100" s="122" t="s">
        <v>33</v>
      </c>
      <c r="E100" s="122" t="s">
        <v>33</v>
      </c>
      <c r="F100" s="124">
        <v>25.3</v>
      </c>
      <c r="G100" s="122" t="s">
        <v>33</v>
      </c>
      <c r="H100" s="122" t="s">
        <v>33</v>
      </c>
      <c r="I100" s="122" t="s">
        <v>33</v>
      </c>
      <c r="J100" s="124">
        <v>24.7</v>
      </c>
    </row>
    <row r="102" spans="3:25">
      <c r="D102" s="126" t="s">
        <v>38</v>
      </c>
      <c r="E102" s="306"/>
      <c r="F102" s="306"/>
      <c r="G102" s="306"/>
      <c r="H102" s="306"/>
      <c r="I102" s="306"/>
    </row>
    <row r="103" spans="3:25">
      <c r="D103" s="307">
        <v>2010</v>
      </c>
      <c r="E103" s="306"/>
      <c r="F103" s="125" t="s">
        <v>33</v>
      </c>
      <c r="G103" s="125" t="s">
        <v>33</v>
      </c>
      <c r="H103" s="307">
        <v>2009</v>
      </c>
      <c r="I103" s="306"/>
    </row>
    <row r="104" spans="3:25">
      <c r="C104" s="128" t="s">
        <v>32</v>
      </c>
      <c r="D104" s="127" t="s">
        <v>33</v>
      </c>
      <c r="E104" s="127" t="s">
        <v>33</v>
      </c>
      <c r="F104" s="129">
        <v>25</v>
      </c>
      <c r="G104" s="127" t="s">
        <v>33</v>
      </c>
      <c r="H104" s="127" t="s">
        <v>33</v>
      </c>
      <c r="I104" s="127" t="s">
        <v>33</v>
      </c>
      <c r="J104" s="129">
        <v>26.1</v>
      </c>
    </row>
    <row r="105" spans="3:25">
      <c r="C105" s="131" t="s">
        <v>45</v>
      </c>
      <c r="D105" s="130" t="s">
        <v>33</v>
      </c>
      <c r="E105" s="130" t="s">
        <v>33</v>
      </c>
      <c r="F105" s="132">
        <v>27.3</v>
      </c>
      <c r="G105" s="130" t="s">
        <v>33</v>
      </c>
      <c r="H105" s="130" t="s">
        <v>33</v>
      </c>
      <c r="I105" s="130" t="s">
        <v>33</v>
      </c>
      <c r="J105" s="132">
        <v>23.7</v>
      </c>
    </row>
    <row r="107" spans="3:25">
      <c r="D107" s="134" t="s">
        <v>39</v>
      </c>
      <c r="E107" s="308"/>
      <c r="F107" s="308"/>
      <c r="G107" s="308"/>
      <c r="H107" s="308"/>
      <c r="I107" s="308"/>
    </row>
    <row r="108" spans="3:25">
      <c r="D108" s="309">
        <v>2010</v>
      </c>
      <c r="E108" s="308"/>
      <c r="F108" s="133" t="s">
        <v>33</v>
      </c>
      <c r="G108" s="133" t="s">
        <v>33</v>
      </c>
      <c r="H108" s="309">
        <v>2009</v>
      </c>
      <c r="I108" s="308"/>
    </row>
    <row r="109" spans="3:25">
      <c r="C109" s="136" t="s">
        <v>32</v>
      </c>
      <c r="D109" s="135" t="s">
        <v>33</v>
      </c>
      <c r="E109" s="135" t="s">
        <v>33</v>
      </c>
      <c r="F109" s="137">
        <v>24.4</v>
      </c>
      <c r="G109" s="135" t="s">
        <v>33</v>
      </c>
      <c r="H109" s="135" t="s">
        <v>33</v>
      </c>
      <c r="I109" s="135" t="s">
        <v>33</v>
      </c>
      <c r="J109" s="137">
        <v>27.9</v>
      </c>
    </row>
    <row r="110" spans="3:25">
      <c r="C110" s="139" t="s">
        <v>45</v>
      </c>
      <c r="D110" s="138" t="s">
        <v>33</v>
      </c>
      <c r="E110" s="138" t="s">
        <v>33</v>
      </c>
      <c r="F110" s="140">
        <v>26.9</v>
      </c>
      <c r="G110" s="138" t="s">
        <v>33</v>
      </c>
      <c r="H110" s="138" t="s">
        <v>33</v>
      </c>
      <c r="I110" s="138" t="s">
        <v>33</v>
      </c>
      <c r="J110" s="140">
        <v>21</v>
      </c>
    </row>
    <row r="112" spans="3:25">
      <c r="D112" s="310" t="s">
        <v>36</v>
      </c>
      <c r="E112" s="311"/>
      <c r="F112" s="311"/>
      <c r="G112" s="311"/>
      <c r="H112" s="311"/>
      <c r="I112" s="311"/>
      <c r="J112" s="311"/>
      <c r="K112" s="311"/>
      <c r="L112" s="311"/>
      <c r="M112" s="311"/>
      <c r="N112" s="311"/>
      <c r="O112" s="311"/>
      <c r="P112" s="311"/>
      <c r="Q112" s="311"/>
      <c r="R112" s="311"/>
      <c r="S112" s="311"/>
      <c r="T112" s="311"/>
      <c r="U112" s="311"/>
      <c r="V112" s="311"/>
      <c r="W112" s="311"/>
      <c r="X112" s="311"/>
      <c r="Y112" s="311"/>
    </row>
    <row r="113" spans="3:23">
      <c r="D113" s="312">
        <v>2008</v>
      </c>
      <c r="E113" s="313"/>
      <c r="F113" s="142" t="s">
        <v>33</v>
      </c>
      <c r="G113" s="142" t="s">
        <v>33</v>
      </c>
      <c r="H113" s="312">
        <v>2007</v>
      </c>
      <c r="I113" s="313"/>
      <c r="J113" s="142" t="s">
        <v>33</v>
      </c>
      <c r="K113" s="142" t="s">
        <v>33</v>
      </c>
      <c r="L113" s="312">
        <v>2006</v>
      </c>
      <c r="M113" s="313"/>
      <c r="N113" s="142" t="s">
        <v>33</v>
      </c>
      <c r="O113" s="142" t="s">
        <v>33</v>
      </c>
      <c r="P113" s="312">
        <v>2005</v>
      </c>
      <c r="Q113" s="313"/>
      <c r="R113" s="142" t="s">
        <v>33</v>
      </c>
      <c r="S113" s="142" t="s">
        <v>33</v>
      </c>
      <c r="T113" s="312">
        <v>2004</v>
      </c>
      <c r="U113" s="313"/>
    </row>
    <row r="114" spans="3:23">
      <c r="C114" s="145" t="s">
        <v>46</v>
      </c>
      <c r="D114" s="144" t="s">
        <v>33</v>
      </c>
      <c r="E114" s="144" t="s">
        <v>33</v>
      </c>
      <c r="F114" s="146">
        <v>31</v>
      </c>
      <c r="G114" s="145" t="s">
        <v>47</v>
      </c>
      <c r="H114" s="144" t="s">
        <v>33</v>
      </c>
      <c r="I114" s="144" t="s">
        <v>33</v>
      </c>
      <c r="J114" s="146">
        <v>23.7</v>
      </c>
      <c r="K114" s="145" t="s">
        <v>47</v>
      </c>
      <c r="L114" s="144" t="s">
        <v>33</v>
      </c>
      <c r="M114" s="144" t="s">
        <v>33</v>
      </c>
      <c r="N114" s="146">
        <v>22.2</v>
      </c>
      <c r="O114" s="145" t="s">
        <v>47</v>
      </c>
      <c r="P114" s="144" t="s">
        <v>33</v>
      </c>
      <c r="Q114" s="144" t="s">
        <v>33</v>
      </c>
      <c r="R114" s="146">
        <v>22.3</v>
      </c>
      <c r="S114" s="145" t="s">
        <v>47</v>
      </c>
      <c r="T114" s="144" t="s">
        <v>33</v>
      </c>
      <c r="U114" s="144" t="s">
        <v>33</v>
      </c>
      <c r="V114" s="146">
        <v>21.8</v>
      </c>
      <c r="W114" s="145" t="s">
        <v>47</v>
      </c>
    </row>
    <row r="115" spans="3:23">
      <c r="C115" s="147" t="s">
        <v>48</v>
      </c>
      <c r="D115" s="143"/>
      <c r="E115" s="141"/>
      <c r="F115" s="148">
        <v>32.200000000000003</v>
      </c>
      <c r="G115" s="142"/>
      <c r="H115" s="143"/>
      <c r="I115" s="141"/>
      <c r="J115" s="149">
        <v>32.200000000000003</v>
      </c>
      <c r="K115" s="142"/>
      <c r="L115" s="143"/>
      <c r="M115" s="141"/>
      <c r="N115" s="150">
        <v>22.4</v>
      </c>
      <c r="O115" s="142"/>
      <c r="P115" s="143"/>
      <c r="Q115" s="141"/>
      <c r="R115" s="142"/>
      <c r="S115" s="142"/>
      <c r="T115" s="143"/>
      <c r="U115" s="141"/>
    </row>
    <row r="117" spans="3:23">
      <c r="D117" s="152" t="s">
        <v>35</v>
      </c>
      <c r="E117" s="314"/>
      <c r="F117" s="314"/>
      <c r="G117" s="314"/>
      <c r="H117" s="314"/>
      <c r="I117" s="314"/>
      <c r="J117" s="314"/>
      <c r="K117" s="314"/>
      <c r="L117" s="314"/>
      <c r="M117" s="314"/>
      <c r="N117" s="314"/>
      <c r="O117" s="314"/>
      <c r="P117" s="314"/>
      <c r="Q117" s="314"/>
    </row>
    <row r="118" spans="3:23">
      <c r="D118" s="315">
        <v>2008</v>
      </c>
      <c r="E118" s="314"/>
      <c r="F118" s="314"/>
      <c r="G118" s="314"/>
      <c r="H118" s="314"/>
      <c r="I118" s="314"/>
      <c r="J118" s="151" t="s">
        <v>33</v>
      </c>
      <c r="K118" s="151" t="s">
        <v>33</v>
      </c>
      <c r="L118" s="315">
        <v>2007</v>
      </c>
      <c r="M118" s="314"/>
      <c r="N118" s="314"/>
      <c r="O118" s="314"/>
      <c r="P118" s="314"/>
      <c r="Q118" s="314"/>
    </row>
    <row r="119" spans="3:23">
      <c r="C119" s="159" t="s">
        <v>48</v>
      </c>
      <c r="D119" s="158" t="s">
        <v>33</v>
      </c>
      <c r="E119" s="316">
        <v>1475</v>
      </c>
      <c r="F119" s="317"/>
      <c r="G119" s="158" t="s">
        <v>33</v>
      </c>
      <c r="H119" s="158" t="s">
        <v>33</v>
      </c>
      <c r="I119" s="158" t="s">
        <v>33</v>
      </c>
      <c r="J119" s="160">
        <v>23.6</v>
      </c>
      <c r="K119" s="159" t="s">
        <v>47</v>
      </c>
      <c r="L119" s="158" t="s">
        <v>33</v>
      </c>
      <c r="M119" s="316">
        <v>1232</v>
      </c>
      <c r="N119" s="317"/>
      <c r="O119" s="158" t="s">
        <v>33</v>
      </c>
      <c r="P119" s="158" t="s">
        <v>33</v>
      </c>
      <c r="Q119" s="158" t="s">
        <v>33</v>
      </c>
      <c r="R119" s="160">
        <v>22.8</v>
      </c>
      <c r="S119" s="159" t="s">
        <v>47</v>
      </c>
    </row>
    <row r="120" spans="3:23">
      <c r="C120" s="155" t="s">
        <v>48</v>
      </c>
      <c r="D120" s="154" t="s">
        <v>33</v>
      </c>
      <c r="E120" s="318">
        <v>1546</v>
      </c>
      <c r="F120" s="319"/>
      <c r="G120" s="154" t="s">
        <v>33</v>
      </c>
      <c r="H120" s="154" t="s">
        <v>33</v>
      </c>
      <c r="I120" s="154" t="s">
        <v>33</v>
      </c>
      <c r="J120" s="156">
        <v>24.7</v>
      </c>
      <c r="K120" s="155" t="s">
        <v>47</v>
      </c>
      <c r="L120" s="154" t="s">
        <v>33</v>
      </c>
      <c r="M120" s="318">
        <v>1235</v>
      </c>
      <c r="N120" s="319"/>
      <c r="O120" s="154" t="s">
        <v>33</v>
      </c>
      <c r="P120" s="154" t="s">
        <v>33</v>
      </c>
      <c r="Q120" s="154" t="s">
        <v>33</v>
      </c>
      <c r="R120" s="156">
        <v>22.8</v>
      </c>
      <c r="S120" s="155" t="s">
        <v>47</v>
      </c>
    </row>
    <row r="121" spans="3:23">
      <c r="C121" s="155"/>
      <c r="D121" s="154"/>
      <c r="E121" s="157"/>
      <c r="F121" s="153"/>
      <c r="G121" s="154"/>
      <c r="H121" s="154"/>
      <c r="I121" s="154"/>
      <c r="J121" s="156"/>
      <c r="K121" s="155"/>
      <c r="L121" s="154"/>
      <c r="M121" s="157"/>
      <c r="N121" s="153"/>
      <c r="O121" s="154"/>
      <c r="P121" s="154"/>
      <c r="Q121" s="154"/>
      <c r="R121" s="156"/>
      <c r="S121" s="155"/>
    </row>
    <row r="122" spans="3:23">
      <c r="D122" s="174" t="s">
        <v>52</v>
      </c>
      <c r="E122" s="320"/>
      <c r="F122" s="320"/>
      <c r="G122" s="320"/>
      <c r="H122" s="320"/>
      <c r="I122" s="320"/>
      <c r="J122" s="320"/>
      <c r="K122" s="320"/>
      <c r="L122" s="320"/>
      <c r="M122" s="320"/>
      <c r="N122" s="320"/>
      <c r="O122" s="320"/>
      <c r="P122" s="320"/>
      <c r="Q122" s="320"/>
      <c r="R122" s="172" t="s">
        <v>33</v>
      </c>
      <c r="S122" s="172" t="s">
        <v>33</v>
      </c>
      <c r="T122" s="173" t="s">
        <v>33</v>
      </c>
      <c r="U122" s="171"/>
    </row>
    <row r="123" spans="3:23">
      <c r="D123" s="321">
        <v>2008</v>
      </c>
      <c r="E123" s="320"/>
      <c r="F123" s="320"/>
      <c r="G123" s="320"/>
      <c r="H123" s="320"/>
      <c r="I123" s="320"/>
      <c r="J123" s="172" t="s">
        <v>33</v>
      </c>
      <c r="K123" s="172" t="s">
        <v>33</v>
      </c>
      <c r="L123" s="321">
        <v>2007</v>
      </c>
      <c r="M123" s="320"/>
      <c r="N123" s="320"/>
      <c r="O123" s="320"/>
      <c r="P123" s="320"/>
      <c r="Q123" s="320"/>
      <c r="R123" s="172" t="s">
        <v>33</v>
      </c>
      <c r="S123" s="172" t="s">
        <v>33</v>
      </c>
      <c r="T123" s="174" t="s">
        <v>50</v>
      </c>
      <c r="U123" s="320"/>
    </row>
    <row r="124" spans="3:23">
      <c r="D124" s="170" t="s">
        <v>50</v>
      </c>
      <c r="E124" s="322"/>
      <c r="F124" s="169" t="s">
        <v>33</v>
      </c>
      <c r="G124" s="169" t="s">
        <v>33</v>
      </c>
      <c r="H124" s="170" t="s">
        <v>51</v>
      </c>
      <c r="I124" s="322"/>
      <c r="J124" s="169" t="s">
        <v>33</v>
      </c>
      <c r="K124" s="169" t="s">
        <v>33</v>
      </c>
      <c r="L124" s="170" t="s">
        <v>50</v>
      </c>
      <c r="M124" s="322"/>
      <c r="N124" s="169" t="s">
        <v>33</v>
      </c>
      <c r="O124" s="169" t="s">
        <v>33</v>
      </c>
      <c r="P124" s="170" t="s">
        <v>51</v>
      </c>
      <c r="Q124" s="322"/>
      <c r="R124" s="169" t="s">
        <v>33</v>
      </c>
      <c r="S124" s="169" t="s">
        <v>33</v>
      </c>
      <c r="T124" s="170" t="s">
        <v>40</v>
      </c>
      <c r="U124" s="322"/>
    </row>
    <row r="125" spans="3:23">
      <c r="C125" s="166" t="s">
        <v>48</v>
      </c>
      <c r="D125" s="165" t="s">
        <v>33</v>
      </c>
      <c r="E125" s="323">
        <v>3360</v>
      </c>
      <c r="F125" s="324"/>
      <c r="G125" s="165" t="s">
        <v>33</v>
      </c>
      <c r="H125" s="165" t="s">
        <v>33</v>
      </c>
      <c r="I125" s="165" t="s">
        <v>33</v>
      </c>
      <c r="J125" s="168">
        <v>27.9</v>
      </c>
      <c r="K125" s="166" t="s">
        <v>47</v>
      </c>
      <c r="L125" s="165" t="s">
        <v>33</v>
      </c>
      <c r="M125" s="323">
        <v>2218</v>
      </c>
      <c r="N125" s="324"/>
      <c r="O125" s="165" t="s">
        <v>33</v>
      </c>
      <c r="P125" s="165" t="s">
        <v>33</v>
      </c>
      <c r="Q125" s="165" t="s">
        <v>33</v>
      </c>
      <c r="R125" s="168">
        <v>21.6</v>
      </c>
      <c r="S125" s="166" t="s">
        <v>47</v>
      </c>
      <c r="T125" s="165" t="s">
        <v>33</v>
      </c>
      <c r="U125" s="165" t="s">
        <v>33</v>
      </c>
      <c r="V125" s="167">
        <v>51</v>
      </c>
      <c r="W125" s="166" t="s">
        <v>49</v>
      </c>
    </row>
    <row r="126" spans="3:23">
      <c r="C126" s="162" t="s">
        <v>48</v>
      </c>
      <c r="D126" s="161" t="s">
        <v>33</v>
      </c>
      <c r="E126" s="325">
        <v>3177</v>
      </c>
      <c r="F126" s="326"/>
      <c r="G126" s="161" t="s">
        <v>33</v>
      </c>
      <c r="H126" s="161" t="s">
        <v>33</v>
      </c>
      <c r="I126" s="161" t="s">
        <v>33</v>
      </c>
      <c r="J126" s="164">
        <v>26.4</v>
      </c>
      <c r="K126" s="162" t="s">
        <v>47</v>
      </c>
      <c r="L126" s="161" t="s">
        <v>33</v>
      </c>
      <c r="M126" s="325">
        <v>2204</v>
      </c>
      <c r="N126" s="326"/>
      <c r="O126" s="161" t="s">
        <v>33</v>
      </c>
      <c r="P126" s="161" t="s">
        <v>33</v>
      </c>
      <c r="Q126" s="161" t="s">
        <v>33</v>
      </c>
      <c r="R126" s="164">
        <v>21.5</v>
      </c>
      <c r="S126" s="162" t="s">
        <v>47</v>
      </c>
      <c r="T126" s="161" t="s">
        <v>33</v>
      </c>
      <c r="U126" s="161" t="s">
        <v>33</v>
      </c>
      <c r="V126" s="163">
        <v>44</v>
      </c>
      <c r="W126" s="162" t="s">
        <v>49</v>
      </c>
    </row>
    <row r="128" spans="3:23">
      <c r="D128" s="176" t="s">
        <v>39</v>
      </c>
      <c r="E128" s="327"/>
      <c r="F128" s="327"/>
      <c r="G128" s="327"/>
      <c r="H128" s="327"/>
      <c r="I128" s="327"/>
      <c r="J128" s="327"/>
      <c r="K128" s="327"/>
      <c r="L128" s="327"/>
      <c r="M128" s="327"/>
      <c r="N128" s="327"/>
      <c r="O128" s="327"/>
      <c r="P128" s="327"/>
      <c r="Q128" s="327"/>
    </row>
    <row r="129" spans="3:27">
      <c r="D129" s="328">
        <v>2008</v>
      </c>
      <c r="E129" s="327"/>
      <c r="F129" s="327"/>
      <c r="G129" s="327"/>
      <c r="H129" s="327"/>
      <c r="I129" s="327"/>
      <c r="J129" s="175" t="s">
        <v>33</v>
      </c>
      <c r="K129" s="175" t="s">
        <v>33</v>
      </c>
      <c r="L129" s="328">
        <v>2007</v>
      </c>
      <c r="M129" s="327"/>
      <c r="N129" s="327"/>
      <c r="O129" s="327"/>
      <c r="P129" s="327"/>
      <c r="Q129" s="327"/>
    </row>
    <row r="130" spans="3:27">
      <c r="D130" s="176" t="s">
        <v>50</v>
      </c>
      <c r="E130" s="327"/>
      <c r="F130" s="175" t="s">
        <v>33</v>
      </c>
      <c r="G130" s="175" t="s">
        <v>33</v>
      </c>
      <c r="H130" s="176" t="s">
        <v>51</v>
      </c>
      <c r="I130" s="327"/>
      <c r="J130" s="175" t="s">
        <v>33</v>
      </c>
      <c r="K130" s="175" t="s">
        <v>33</v>
      </c>
      <c r="L130" s="176" t="s">
        <v>50</v>
      </c>
      <c r="M130" s="327"/>
      <c r="N130" s="175" t="s">
        <v>33</v>
      </c>
      <c r="O130" s="175" t="s">
        <v>33</v>
      </c>
      <c r="P130" s="176" t="s">
        <v>51</v>
      </c>
      <c r="Q130" s="327"/>
    </row>
    <row r="131" spans="3:27">
      <c r="C131" s="178" t="s">
        <v>48</v>
      </c>
      <c r="D131" s="177" t="s">
        <v>33</v>
      </c>
      <c r="E131" s="329">
        <v>1752</v>
      </c>
      <c r="F131" s="330"/>
      <c r="G131" s="177" t="s">
        <v>33</v>
      </c>
      <c r="H131" s="177" t="s">
        <v>33</v>
      </c>
      <c r="I131" s="177" t="s">
        <v>33</v>
      </c>
      <c r="J131" s="179">
        <v>29.5</v>
      </c>
      <c r="K131" s="178" t="s">
        <v>47</v>
      </c>
      <c r="L131" s="177" t="s">
        <v>33</v>
      </c>
      <c r="M131" s="329">
        <v>1098</v>
      </c>
      <c r="N131" s="330"/>
      <c r="O131" s="177" t="s">
        <v>33</v>
      </c>
      <c r="P131" s="177" t="s">
        <v>33</v>
      </c>
      <c r="Q131" s="177" t="s">
        <v>33</v>
      </c>
      <c r="R131" s="179">
        <v>21.8</v>
      </c>
      <c r="S131" s="178" t="s">
        <v>47</v>
      </c>
    </row>
    <row r="132" spans="3:27">
      <c r="C132" s="181" t="s">
        <v>48</v>
      </c>
      <c r="D132" s="180" t="s">
        <v>33</v>
      </c>
      <c r="E132" s="331">
        <v>1719</v>
      </c>
      <c r="F132" s="332"/>
      <c r="G132" s="180" t="s">
        <v>33</v>
      </c>
      <c r="H132" s="180" t="s">
        <v>33</v>
      </c>
      <c r="I132" s="180" t="s">
        <v>33</v>
      </c>
      <c r="J132" s="182">
        <v>29</v>
      </c>
      <c r="K132" s="181" t="s">
        <v>47</v>
      </c>
      <c r="L132" s="180" t="s">
        <v>33</v>
      </c>
      <c r="M132" s="331">
        <v>1100</v>
      </c>
      <c r="N132" s="332"/>
      <c r="O132" s="180" t="s">
        <v>33</v>
      </c>
      <c r="P132" s="180" t="s">
        <v>33</v>
      </c>
      <c r="Q132" s="180" t="s">
        <v>33</v>
      </c>
      <c r="R132" s="182">
        <v>21.8</v>
      </c>
      <c r="S132" s="181" t="s">
        <v>47</v>
      </c>
    </row>
    <row r="135" spans="3:27">
      <c r="D135" s="333" t="s">
        <v>36</v>
      </c>
      <c r="E135" s="334"/>
      <c r="F135" s="334"/>
      <c r="G135" s="334"/>
      <c r="H135" s="334"/>
      <c r="I135" s="334"/>
      <c r="J135" s="334"/>
      <c r="K135" s="334"/>
      <c r="L135" s="334"/>
      <c r="M135" s="334"/>
      <c r="N135" s="334"/>
      <c r="O135" s="334"/>
      <c r="P135" s="334"/>
      <c r="Q135" s="334"/>
      <c r="R135" s="334"/>
      <c r="S135" s="334"/>
      <c r="T135" s="334"/>
      <c r="U135" s="334"/>
      <c r="V135" s="334"/>
      <c r="W135" s="334"/>
      <c r="X135" s="334"/>
      <c r="Y135" s="334"/>
    </row>
    <row r="136" spans="3:27">
      <c r="D136" s="335">
        <v>2007</v>
      </c>
      <c r="E136" s="336"/>
      <c r="F136" s="336"/>
      <c r="G136" s="336"/>
      <c r="H136" s="336"/>
      <c r="I136" s="336"/>
      <c r="J136" s="183" t="s">
        <v>33</v>
      </c>
      <c r="K136" s="183" t="s">
        <v>33</v>
      </c>
      <c r="L136" s="335">
        <v>2006</v>
      </c>
      <c r="M136" s="336"/>
      <c r="N136" s="336"/>
      <c r="O136" s="336"/>
      <c r="P136" s="336"/>
      <c r="Q136" s="336"/>
      <c r="R136" s="183" t="s">
        <v>33</v>
      </c>
      <c r="S136" s="183" t="s">
        <v>33</v>
      </c>
      <c r="T136" s="335">
        <v>2005</v>
      </c>
      <c r="U136" s="336"/>
      <c r="V136" s="336"/>
      <c r="W136" s="336"/>
      <c r="X136" s="336"/>
      <c r="Y136" s="336"/>
    </row>
    <row r="137" spans="3:27">
      <c r="D137" s="184" t="s">
        <v>33</v>
      </c>
      <c r="E137" s="185" t="s">
        <v>50</v>
      </c>
      <c r="F137" s="337"/>
      <c r="G137" s="184" t="s">
        <v>33</v>
      </c>
      <c r="H137" s="184" t="s">
        <v>33</v>
      </c>
      <c r="I137" s="185" t="s">
        <v>53</v>
      </c>
      <c r="J137" s="337"/>
      <c r="K137" s="184" t="s">
        <v>33</v>
      </c>
      <c r="L137" s="184" t="s">
        <v>33</v>
      </c>
      <c r="M137" s="185" t="s">
        <v>50</v>
      </c>
      <c r="N137" s="337"/>
      <c r="O137" s="184" t="s">
        <v>33</v>
      </c>
      <c r="P137" s="184" t="s">
        <v>33</v>
      </c>
      <c r="Q137" s="185" t="s">
        <v>53</v>
      </c>
      <c r="R137" s="337"/>
      <c r="S137" s="184" t="s">
        <v>33</v>
      </c>
      <c r="T137" s="184" t="s">
        <v>33</v>
      </c>
      <c r="U137" s="185" t="s">
        <v>50</v>
      </c>
      <c r="V137" s="337"/>
      <c r="W137" s="184" t="s">
        <v>33</v>
      </c>
      <c r="X137" s="184" t="s">
        <v>33</v>
      </c>
      <c r="Y137" s="185" t="s">
        <v>53</v>
      </c>
      <c r="Z137" s="337"/>
    </row>
    <row r="138" spans="3:27">
      <c r="C138" s="190" t="s">
        <v>48</v>
      </c>
      <c r="D138" s="189" t="s">
        <v>33</v>
      </c>
      <c r="E138" s="338">
        <v>5071</v>
      </c>
      <c r="F138" s="339"/>
      <c r="G138" s="189" t="s">
        <v>33</v>
      </c>
      <c r="H138" s="189" t="s">
        <v>33</v>
      </c>
      <c r="I138" s="189" t="s">
        <v>33</v>
      </c>
      <c r="J138" s="191">
        <v>23.7</v>
      </c>
      <c r="K138" s="190" t="s">
        <v>47</v>
      </c>
      <c r="L138" s="189" t="s">
        <v>33</v>
      </c>
      <c r="M138" s="338">
        <v>4250</v>
      </c>
      <c r="N138" s="339"/>
      <c r="O138" s="189" t="s">
        <v>33</v>
      </c>
      <c r="P138" s="189" t="s">
        <v>33</v>
      </c>
      <c r="Q138" s="189" t="s">
        <v>33</v>
      </c>
      <c r="R138" s="191">
        <v>22.2</v>
      </c>
      <c r="S138" s="190" t="s">
        <v>47</v>
      </c>
      <c r="T138" s="189" t="s">
        <v>33</v>
      </c>
      <c r="U138" s="338">
        <v>4006</v>
      </c>
      <c r="V138" s="339"/>
      <c r="W138" s="189" t="s">
        <v>33</v>
      </c>
      <c r="X138" s="189" t="s">
        <v>33</v>
      </c>
      <c r="Y138" s="189" t="s">
        <v>33</v>
      </c>
      <c r="Z138" s="191">
        <v>22.3</v>
      </c>
      <c r="AA138" s="190" t="s">
        <v>47</v>
      </c>
    </row>
    <row r="139" spans="3:27">
      <c r="C139" s="187" t="s">
        <v>48</v>
      </c>
      <c r="D139" s="186" t="s">
        <v>33</v>
      </c>
      <c r="E139" s="340">
        <v>5063</v>
      </c>
      <c r="F139" s="341"/>
      <c r="G139" s="186" t="s">
        <v>33</v>
      </c>
      <c r="H139" s="186" t="s">
        <v>33</v>
      </c>
      <c r="I139" s="186" t="s">
        <v>33</v>
      </c>
      <c r="J139" s="188">
        <v>23.7</v>
      </c>
      <c r="K139" s="187" t="s">
        <v>47</v>
      </c>
      <c r="L139" s="186" t="s">
        <v>33</v>
      </c>
      <c r="M139" s="340">
        <v>4288</v>
      </c>
      <c r="N139" s="341"/>
      <c r="O139" s="186" t="s">
        <v>33</v>
      </c>
      <c r="P139" s="186" t="s">
        <v>33</v>
      </c>
      <c r="Q139" s="186" t="s">
        <v>33</v>
      </c>
      <c r="R139" s="188">
        <v>22.4</v>
      </c>
      <c r="S139" s="187" t="s">
        <v>47</v>
      </c>
      <c r="T139" s="186" t="s">
        <v>33</v>
      </c>
      <c r="U139" s="340">
        <v>4055</v>
      </c>
      <c r="V139" s="341"/>
      <c r="W139" s="186" t="s">
        <v>33</v>
      </c>
      <c r="X139" s="186" t="s">
        <v>33</v>
      </c>
      <c r="Y139" s="186" t="s">
        <v>33</v>
      </c>
      <c r="Z139" s="188">
        <v>22.6</v>
      </c>
      <c r="AA139" s="187" t="s">
        <v>47</v>
      </c>
    </row>
    <row r="141" spans="3:27">
      <c r="D141" s="195" t="s">
        <v>35</v>
      </c>
      <c r="E141" s="342"/>
      <c r="F141" s="342"/>
      <c r="G141" s="342"/>
      <c r="H141" s="342"/>
      <c r="I141" s="342"/>
      <c r="J141" s="342"/>
      <c r="K141" s="342"/>
      <c r="L141" s="342"/>
      <c r="M141" s="342"/>
      <c r="N141" s="342"/>
      <c r="O141" s="342"/>
      <c r="P141" s="342"/>
      <c r="Q141" s="342"/>
      <c r="R141" s="342"/>
      <c r="S141" s="342"/>
      <c r="T141" s="342"/>
      <c r="U141" s="342"/>
    </row>
    <row r="142" spans="3:27">
      <c r="D142" s="343">
        <v>2007</v>
      </c>
      <c r="E142" s="342"/>
      <c r="F142" s="342"/>
      <c r="G142" s="342"/>
      <c r="H142" s="342"/>
      <c r="I142" s="342"/>
      <c r="J142" s="193" t="s">
        <v>33</v>
      </c>
      <c r="K142" s="193" t="s">
        <v>33</v>
      </c>
      <c r="L142" s="343">
        <v>2006</v>
      </c>
      <c r="M142" s="342"/>
      <c r="N142" s="342"/>
      <c r="O142" s="342"/>
      <c r="P142" s="342"/>
      <c r="Q142" s="342"/>
      <c r="R142" s="193" t="s">
        <v>33</v>
      </c>
      <c r="S142" s="193" t="s">
        <v>33</v>
      </c>
      <c r="T142" s="194" t="s">
        <v>33</v>
      </c>
      <c r="U142" s="192"/>
    </row>
    <row r="143" spans="3:27">
      <c r="D143" s="197" t="s">
        <v>50</v>
      </c>
      <c r="E143" s="344"/>
      <c r="F143" s="196" t="s">
        <v>33</v>
      </c>
      <c r="G143" s="196" t="s">
        <v>33</v>
      </c>
      <c r="H143" s="197" t="s">
        <v>51</v>
      </c>
      <c r="I143" s="344"/>
      <c r="J143" s="196" t="s">
        <v>33</v>
      </c>
      <c r="K143" s="196" t="s">
        <v>33</v>
      </c>
      <c r="L143" s="197" t="s">
        <v>50</v>
      </c>
      <c r="M143" s="344"/>
      <c r="N143" s="196" t="s">
        <v>33</v>
      </c>
      <c r="O143" s="196" t="s">
        <v>33</v>
      </c>
      <c r="P143" s="197" t="s">
        <v>51</v>
      </c>
      <c r="Q143" s="344"/>
      <c r="R143" s="196" t="s">
        <v>33</v>
      </c>
      <c r="S143" s="196" t="s">
        <v>33</v>
      </c>
      <c r="T143" s="197" t="s">
        <v>40</v>
      </c>
      <c r="U143" s="344"/>
    </row>
    <row r="144" spans="3:27">
      <c r="C144" s="203" t="s">
        <v>48</v>
      </c>
      <c r="D144" s="202" t="s">
        <v>33</v>
      </c>
      <c r="E144" s="345">
        <v>3450</v>
      </c>
      <c r="F144" s="346"/>
      <c r="G144" s="202" t="s">
        <v>33</v>
      </c>
      <c r="H144" s="202" t="s">
        <v>33</v>
      </c>
      <c r="I144" s="202" t="s">
        <v>33</v>
      </c>
      <c r="J144" s="205">
        <v>22</v>
      </c>
      <c r="K144" s="203" t="s">
        <v>47</v>
      </c>
      <c r="L144" s="202" t="s">
        <v>33</v>
      </c>
      <c r="M144" s="345">
        <v>2968</v>
      </c>
      <c r="N144" s="346"/>
      <c r="O144" s="202" t="s">
        <v>33</v>
      </c>
      <c r="P144" s="202" t="s">
        <v>33</v>
      </c>
      <c r="Q144" s="202" t="s">
        <v>33</v>
      </c>
      <c r="R144" s="205">
        <v>20.9</v>
      </c>
      <c r="S144" s="203" t="s">
        <v>47</v>
      </c>
      <c r="T144" s="202" t="s">
        <v>33</v>
      </c>
      <c r="U144" s="202" t="s">
        <v>33</v>
      </c>
      <c r="V144" s="204">
        <v>16</v>
      </c>
      <c r="W144" s="203" t="s">
        <v>49</v>
      </c>
    </row>
    <row r="145" spans="3:27">
      <c r="C145" s="199" t="s">
        <v>48</v>
      </c>
      <c r="D145" s="198" t="s">
        <v>33</v>
      </c>
      <c r="E145" s="347">
        <v>3439</v>
      </c>
      <c r="F145" s="348"/>
      <c r="G145" s="198" t="s">
        <v>33</v>
      </c>
      <c r="H145" s="198" t="s">
        <v>33</v>
      </c>
      <c r="I145" s="198" t="s">
        <v>33</v>
      </c>
      <c r="J145" s="201">
        <v>21.9</v>
      </c>
      <c r="K145" s="199" t="s">
        <v>47</v>
      </c>
      <c r="L145" s="198" t="s">
        <v>33</v>
      </c>
      <c r="M145" s="347">
        <v>2978</v>
      </c>
      <c r="N145" s="348"/>
      <c r="O145" s="198" t="s">
        <v>33</v>
      </c>
      <c r="P145" s="198" t="s">
        <v>33</v>
      </c>
      <c r="Q145" s="198" t="s">
        <v>33</v>
      </c>
      <c r="R145" s="201">
        <v>21</v>
      </c>
      <c r="S145" s="199" t="s">
        <v>47</v>
      </c>
      <c r="T145" s="198" t="s">
        <v>33</v>
      </c>
      <c r="U145" s="198" t="s">
        <v>33</v>
      </c>
      <c r="V145" s="200">
        <v>15</v>
      </c>
      <c r="W145" s="199" t="s">
        <v>49</v>
      </c>
    </row>
    <row r="147" spans="3:27">
      <c r="D147" s="349" t="s">
        <v>36</v>
      </c>
      <c r="E147" s="350"/>
      <c r="F147" s="350"/>
      <c r="G147" s="350"/>
      <c r="H147" s="350"/>
      <c r="I147" s="350"/>
      <c r="J147" s="350"/>
      <c r="K147" s="350"/>
      <c r="L147" s="350"/>
      <c r="M147" s="350"/>
      <c r="N147" s="350"/>
      <c r="O147" s="350"/>
      <c r="P147" s="350"/>
      <c r="Q147" s="350"/>
      <c r="R147" s="350"/>
      <c r="S147" s="350"/>
      <c r="T147" s="350"/>
      <c r="U147" s="350"/>
      <c r="V147" s="350"/>
      <c r="W147" s="350"/>
      <c r="X147" s="350"/>
      <c r="Y147" s="350"/>
    </row>
    <row r="148" spans="3:27">
      <c r="D148" s="351">
        <v>2005</v>
      </c>
      <c r="E148" s="352"/>
      <c r="F148" s="352"/>
      <c r="G148" s="352"/>
      <c r="H148" s="352"/>
      <c r="I148" s="352"/>
      <c r="J148" s="206" t="s">
        <v>33</v>
      </c>
      <c r="K148" s="206" t="s">
        <v>33</v>
      </c>
      <c r="L148" s="351">
        <v>2004</v>
      </c>
      <c r="M148" s="352"/>
      <c r="N148" s="352"/>
      <c r="O148" s="352"/>
      <c r="P148" s="352"/>
      <c r="Q148" s="352"/>
      <c r="R148" s="206" t="s">
        <v>33</v>
      </c>
      <c r="S148" s="206" t="s">
        <v>33</v>
      </c>
      <c r="T148" s="351">
        <v>2003</v>
      </c>
      <c r="U148" s="352"/>
      <c r="V148" s="352"/>
      <c r="W148" s="352"/>
      <c r="X148" s="352"/>
      <c r="Y148" s="352"/>
    </row>
    <row r="149" spans="3:27">
      <c r="D149" s="208" t="s">
        <v>50</v>
      </c>
      <c r="E149" s="353"/>
      <c r="F149" s="207" t="s">
        <v>33</v>
      </c>
      <c r="G149" s="207" t="s">
        <v>33</v>
      </c>
      <c r="H149" s="208" t="s">
        <v>53</v>
      </c>
      <c r="I149" s="353"/>
      <c r="J149" s="207" t="s">
        <v>33</v>
      </c>
      <c r="K149" s="207" t="s">
        <v>33</v>
      </c>
      <c r="L149" s="208" t="s">
        <v>50</v>
      </c>
      <c r="M149" s="353"/>
      <c r="N149" s="207" t="s">
        <v>33</v>
      </c>
      <c r="O149" s="207" t="s">
        <v>33</v>
      </c>
      <c r="P149" s="208" t="s">
        <v>53</v>
      </c>
      <c r="Q149" s="353"/>
      <c r="R149" s="207" t="s">
        <v>33</v>
      </c>
      <c r="S149" s="207" t="s">
        <v>33</v>
      </c>
      <c r="T149" s="208" t="s">
        <v>50</v>
      </c>
      <c r="U149" s="353"/>
      <c r="V149" s="207" t="s">
        <v>33</v>
      </c>
      <c r="W149" s="207" t="s">
        <v>33</v>
      </c>
      <c r="X149" s="208" t="s">
        <v>53</v>
      </c>
      <c r="Y149" s="353"/>
    </row>
    <row r="150" spans="3:27">
      <c r="C150" s="213" t="s">
        <v>54</v>
      </c>
      <c r="D150" s="212" t="s">
        <v>33</v>
      </c>
      <c r="E150" s="354">
        <v>3779</v>
      </c>
      <c r="F150" s="355"/>
      <c r="G150" s="212" t="s">
        <v>33</v>
      </c>
      <c r="H150" s="212" t="s">
        <v>33</v>
      </c>
      <c r="I150" s="212" t="s">
        <v>33</v>
      </c>
      <c r="J150" s="214">
        <v>21</v>
      </c>
      <c r="K150" s="213" t="s">
        <v>47</v>
      </c>
      <c r="L150" s="212" t="s">
        <v>33</v>
      </c>
      <c r="M150" s="354">
        <v>3604</v>
      </c>
      <c r="N150" s="355"/>
      <c r="O150" s="212" t="s">
        <v>33</v>
      </c>
      <c r="P150" s="212" t="s">
        <v>33</v>
      </c>
      <c r="Q150" s="212" t="s">
        <v>33</v>
      </c>
      <c r="R150" s="214">
        <v>20.8</v>
      </c>
      <c r="S150" s="213" t="s">
        <v>47</v>
      </c>
      <c r="T150" s="212" t="s">
        <v>33</v>
      </c>
      <c r="U150" s="354">
        <v>3281</v>
      </c>
      <c r="V150" s="355"/>
      <c r="W150" s="212" t="s">
        <v>33</v>
      </c>
      <c r="X150" s="212" t="s">
        <v>33</v>
      </c>
      <c r="Y150" s="212" t="s">
        <v>33</v>
      </c>
      <c r="Z150" s="214">
        <v>21</v>
      </c>
      <c r="AA150" s="213" t="s">
        <v>47</v>
      </c>
    </row>
    <row r="151" spans="3:27">
      <c r="C151" s="210" t="s">
        <v>54</v>
      </c>
      <c r="D151" s="209" t="s">
        <v>33</v>
      </c>
      <c r="E151" s="356">
        <v>3828</v>
      </c>
      <c r="F151" s="357"/>
      <c r="G151" s="209" t="s">
        <v>33</v>
      </c>
      <c r="H151" s="209" t="s">
        <v>33</v>
      </c>
      <c r="I151" s="209" t="s">
        <v>33</v>
      </c>
      <c r="J151" s="211">
        <v>21.3</v>
      </c>
      <c r="K151" s="210" t="s">
        <v>47</v>
      </c>
      <c r="L151" s="209" t="s">
        <v>33</v>
      </c>
      <c r="M151" s="356">
        <v>3640</v>
      </c>
      <c r="N151" s="357"/>
      <c r="O151" s="209" t="s">
        <v>33</v>
      </c>
      <c r="P151" s="209" t="s">
        <v>33</v>
      </c>
      <c r="Q151" s="209" t="s">
        <v>33</v>
      </c>
      <c r="R151" s="211">
        <v>21</v>
      </c>
      <c r="S151" s="210" t="s">
        <v>47</v>
      </c>
      <c r="T151" s="209" t="s">
        <v>33</v>
      </c>
      <c r="U151" s="356">
        <v>3474</v>
      </c>
      <c r="V151" s="357"/>
      <c r="W151" s="209" t="s">
        <v>33</v>
      </c>
      <c r="X151" s="209" t="s">
        <v>33</v>
      </c>
      <c r="Y151" s="209" t="s">
        <v>33</v>
      </c>
      <c r="Z151" s="211">
        <v>22.2</v>
      </c>
      <c r="AA151" s="210" t="s">
        <v>47</v>
      </c>
    </row>
    <row r="153" spans="3:27">
      <c r="D153" s="358" t="s">
        <v>36</v>
      </c>
      <c r="E153" s="359"/>
      <c r="F153" s="359"/>
      <c r="G153" s="359"/>
      <c r="H153" s="359"/>
      <c r="I153" s="359"/>
      <c r="J153" s="359"/>
      <c r="K153" s="359"/>
      <c r="L153" s="359"/>
      <c r="M153" s="359"/>
      <c r="N153" s="359"/>
      <c r="O153" s="359"/>
      <c r="P153" s="359"/>
      <c r="Q153" s="359"/>
      <c r="R153" s="359"/>
      <c r="S153" s="359"/>
      <c r="T153" s="359"/>
      <c r="U153" s="359"/>
      <c r="V153" s="359"/>
      <c r="W153" s="359"/>
      <c r="X153" s="359"/>
      <c r="Y153" s="359"/>
    </row>
    <row r="154" spans="3:27">
      <c r="D154" s="360">
        <v>2004</v>
      </c>
      <c r="E154" s="361"/>
      <c r="F154" s="361"/>
      <c r="G154" s="361"/>
      <c r="H154" s="361"/>
      <c r="I154" s="361"/>
      <c r="J154" s="215" t="s">
        <v>33</v>
      </c>
      <c r="K154" s="215" t="s">
        <v>33</v>
      </c>
      <c r="L154" s="360">
        <v>2003</v>
      </c>
      <c r="M154" s="361"/>
      <c r="N154" s="361"/>
      <c r="O154" s="361"/>
      <c r="P154" s="361"/>
      <c r="Q154" s="361"/>
      <c r="R154" s="215" t="s">
        <v>33</v>
      </c>
      <c r="S154" s="215" t="s">
        <v>33</v>
      </c>
      <c r="T154" s="360">
        <v>2002</v>
      </c>
      <c r="U154" s="361"/>
      <c r="V154" s="361"/>
      <c r="W154" s="361"/>
      <c r="X154" s="361"/>
      <c r="Y154" s="361"/>
    </row>
    <row r="155" spans="3:27">
      <c r="C155" s="220" t="s">
        <v>54</v>
      </c>
      <c r="D155" s="219" t="s">
        <v>33</v>
      </c>
      <c r="E155" s="362">
        <v>3604</v>
      </c>
      <c r="F155" s="363"/>
      <c r="G155" s="219" t="s">
        <v>33</v>
      </c>
      <c r="H155" s="219" t="s">
        <v>33</v>
      </c>
      <c r="I155" s="219" t="s">
        <v>33</v>
      </c>
      <c r="J155" s="221">
        <v>20.8</v>
      </c>
      <c r="K155" s="220" t="s">
        <v>47</v>
      </c>
      <c r="L155" s="219" t="s">
        <v>33</v>
      </c>
      <c r="M155" s="362">
        <v>3281</v>
      </c>
      <c r="N155" s="363"/>
      <c r="O155" s="219" t="s">
        <v>33</v>
      </c>
      <c r="P155" s="219" t="s">
        <v>33</v>
      </c>
      <c r="Q155" s="219" t="s">
        <v>33</v>
      </c>
      <c r="R155" s="221">
        <v>21</v>
      </c>
      <c r="S155" s="220" t="s">
        <v>47</v>
      </c>
      <c r="T155" s="219" t="s">
        <v>33</v>
      </c>
      <c r="U155" s="362">
        <v>2516</v>
      </c>
      <c r="V155" s="363"/>
      <c r="W155" s="219" t="s">
        <v>33</v>
      </c>
      <c r="X155" s="219" t="s">
        <v>33</v>
      </c>
      <c r="Y155" s="219" t="s">
        <v>33</v>
      </c>
      <c r="Z155" s="221">
        <v>19.3</v>
      </c>
      <c r="AA155" s="220" t="s">
        <v>47</v>
      </c>
    </row>
    <row r="156" spans="3:27">
      <c r="C156" s="217" t="s">
        <v>55</v>
      </c>
      <c r="D156" s="216" t="s">
        <v>33</v>
      </c>
      <c r="E156" s="364">
        <v>3640</v>
      </c>
      <c r="F156" s="365"/>
      <c r="G156" s="216" t="s">
        <v>33</v>
      </c>
      <c r="H156" s="216" t="s">
        <v>33</v>
      </c>
      <c r="I156" s="216" t="s">
        <v>33</v>
      </c>
      <c r="J156" s="218">
        <v>21</v>
      </c>
      <c r="K156" s="217" t="s">
        <v>47</v>
      </c>
      <c r="L156" s="216" t="s">
        <v>33</v>
      </c>
      <c r="M156" s="364">
        <v>3474</v>
      </c>
      <c r="N156" s="365"/>
      <c r="O156" s="216" t="s">
        <v>33</v>
      </c>
      <c r="P156" s="216" t="s">
        <v>33</v>
      </c>
      <c r="Q156" s="216" t="s">
        <v>33</v>
      </c>
      <c r="R156" s="218">
        <v>22.2</v>
      </c>
      <c r="S156" s="217" t="s">
        <v>47</v>
      </c>
      <c r="T156" s="216" t="s">
        <v>33</v>
      </c>
      <c r="U156" s="364">
        <v>2808</v>
      </c>
      <c r="V156" s="365"/>
      <c r="W156" s="216" t="s">
        <v>33</v>
      </c>
      <c r="X156" s="216" t="s">
        <v>33</v>
      </c>
      <c r="Y156" s="216" t="s">
        <v>33</v>
      </c>
      <c r="Z156" s="218">
        <v>21.5</v>
      </c>
      <c r="AA156" s="217" t="s">
        <v>47</v>
      </c>
    </row>
    <row r="158" spans="3:27">
      <c r="D158" s="366" t="s">
        <v>56</v>
      </c>
      <c r="E158" s="367"/>
      <c r="F158" s="367"/>
      <c r="G158" s="367"/>
      <c r="H158" s="367"/>
      <c r="I158" s="367"/>
      <c r="J158" s="367"/>
      <c r="K158" s="367"/>
      <c r="L158" s="367"/>
      <c r="M158" s="367"/>
      <c r="N158" s="367"/>
    </row>
    <row r="159" spans="3:27">
      <c r="C159" s="223" t="s">
        <v>57</v>
      </c>
      <c r="D159" s="222" t="s">
        <v>33</v>
      </c>
      <c r="E159" s="368">
        <v>2002</v>
      </c>
      <c r="F159" s="369"/>
      <c r="G159" s="369"/>
      <c r="H159" s="222" t="s">
        <v>33</v>
      </c>
      <c r="I159" s="368">
        <v>2001</v>
      </c>
      <c r="J159" s="369"/>
      <c r="K159" s="369"/>
      <c r="L159" s="222" t="s">
        <v>33</v>
      </c>
      <c r="M159" s="368">
        <v>2000</v>
      </c>
      <c r="N159" s="369"/>
      <c r="O159" s="369"/>
      <c r="P159" s="222" t="s">
        <v>33</v>
      </c>
      <c r="Q159" s="368">
        <v>1999</v>
      </c>
      <c r="R159" s="369"/>
      <c r="S159" s="369"/>
      <c r="T159" s="222" t="s">
        <v>33</v>
      </c>
      <c r="U159" s="368">
        <v>1998</v>
      </c>
      <c r="V159" s="369"/>
      <c r="W159" s="369"/>
    </row>
    <row r="160" spans="3:27">
      <c r="C160" s="224" t="s">
        <v>58</v>
      </c>
      <c r="D160" s="222" t="s">
        <v>33</v>
      </c>
      <c r="E160" s="222" t="s">
        <v>33</v>
      </c>
      <c r="F160" s="225">
        <v>0.191</v>
      </c>
      <c r="G160" s="224" t="s">
        <v>49</v>
      </c>
      <c r="H160" s="222" t="s">
        <v>33</v>
      </c>
      <c r="I160" s="222" t="s">
        <v>33</v>
      </c>
      <c r="J160" s="225">
        <v>0.19</v>
      </c>
      <c r="K160" s="224" t="s">
        <v>49</v>
      </c>
      <c r="L160" s="222" t="s">
        <v>33</v>
      </c>
      <c r="M160" s="222" t="s">
        <v>33</v>
      </c>
      <c r="N160" s="225">
        <v>0.19500000000000001</v>
      </c>
      <c r="O160" s="224" t="s">
        <v>49</v>
      </c>
      <c r="P160" s="222" t="s">
        <v>33</v>
      </c>
      <c r="Q160" s="222" t="s">
        <v>33</v>
      </c>
      <c r="R160" s="225">
        <v>0.193</v>
      </c>
      <c r="S160" s="224" t="s">
        <v>49</v>
      </c>
      <c r="T160" s="222" t="s">
        <v>33</v>
      </c>
      <c r="U160" s="222" t="s">
        <v>33</v>
      </c>
      <c r="V160" s="225">
        <v>0.20200000000000001</v>
      </c>
      <c r="W160" s="224" t="s">
        <v>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Report</vt:lpstr>
      <vt:lpstr>Input</vt:lpstr>
      <vt:lpstr>Raw</vt:lpstr>
      <vt:lpstr>CurrentCloseDate</vt:lpstr>
      <vt:lpstr>DatabaseEnv</vt:lpstr>
      <vt:lpstr>LastAvailableDate</vt:lpstr>
      <vt:lpstr>LastSurveyDate</vt:lpstr>
      <vt:lpstr>PDFReportDir</vt:lpstr>
      <vt:lpstr>PDFReportName</vt:lpstr>
      <vt:lpstr>Report!Print_Area</vt:lpstr>
      <vt:lpstr>SaveRatesToDB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Lien Chen</cp:lastModifiedBy>
  <cp:lastPrinted>2015-03-27T12:50:26Z</cp:lastPrinted>
  <dcterms:created xsi:type="dcterms:W3CDTF">2013-04-04T19:42:48Z</dcterms:created>
  <dcterms:modified xsi:type="dcterms:W3CDTF">2015-03-27T12:50:35Z</dcterms:modified>
</cp:coreProperties>
</file>