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720" yWindow="780" windowWidth="17100" windowHeight="1368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47" i="1" l="1"/>
  <c r="F47" i="1"/>
  <c r="E47" i="1"/>
  <c r="D47" i="1"/>
  <c r="C47" i="1"/>
  <c r="I46" i="1"/>
  <c r="H46" i="1"/>
  <c r="G46" i="1"/>
  <c r="F46" i="1"/>
  <c r="E46" i="1"/>
  <c r="D46" i="1"/>
  <c r="C46" i="1"/>
  <c r="I45" i="1"/>
  <c r="H45" i="1"/>
  <c r="G45" i="1"/>
  <c r="F45" i="1"/>
  <c r="E45" i="1"/>
  <c r="D45" i="1"/>
  <c r="C45" i="1"/>
  <c r="I44" i="1"/>
  <c r="H44" i="1"/>
  <c r="G44" i="1"/>
  <c r="F44" i="1"/>
  <c r="E44" i="1"/>
  <c r="D44" i="1"/>
  <c r="C44" i="1"/>
  <c r="I43" i="1"/>
  <c r="H43" i="1"/>
  <c r="G43" i="1"/>
  <c r="F43" i="1"/>
  <c r="E43" i="1"/>
  <c r="D43" i="1"/>
  <c r="C43" i="1"/>
  <c r="I42" i="1"/>
  <c r="H42" i="1"/>
  <c r="G42" i="1"/>
  <c r="F42" i="1"/>
  <c r="E42" i="1"/>
  <c r="D42" i="1"/>
  <c r="C42" i="1"/>
  <c r="I41" i="1"/>
  <c r="H41" i="1"/>
  <c r="G41" i="1"/>
  <c r="F41" i="1"/>
  <c r="E41" i="1"/>
  <c r="D41" i="1"/>
  <c r="C41" i="1"/>
  <c r="I40" i="1"/>
  <c r="H40" i="1"/>
  <c r="G40" i="1"/>
  <c r="F40" i="1"/>
  <c r="E40" i="1"/>
  <c r="D40" i="1"/>
  <c r="C40" i="1"/>
  <c r="I39" i="1"/>
  <c r="H39" i="1"/>
  <c r="G39" i="1"/>
  <c r="F39" i="1"/>
  <c r="E39" i="1"/>
  <c r="D39" i="1"/>
  <c r="C39" i="1"/>
  <c r="C35" i="1"/>
  <c r="D35" i="1"/>
  <c r="E35" i="1"/>
  <c r="F35" i="1"/>
  <c r="G35" i="1"/>
  <c r="J34" i="1"/>
  <c r="J46" i="1" s="1"/>
  <c r="I34" i="1"/>
  <c r="H34" i="1"/>
  <c r="G34" i="1"/>
  <c r="F34" i="1"/>
  <c r="E34" i="1"/>
  <c r="D34" i="1"/>
  <c r="C34" i="1"/>
  <c r="J33" i="1"/>
  <c r="J45" i="1" s="1"/>
  <c r="I33" i="1"/>
  <c r="H33" i="1"/>
  <c r="G33" i="1"/>
  <c r="F33" i="1"/>
  <c r="E33" i="1"/>
  <c r="D33" i="1"/>
  <c r="C33" i="1"/>
  <c r="J32" i="1"/>
  <c r="J44" i="1" s="1"/>
  <c r="I32" i="1"/>
  <c r="H32" i="1"/>
  <c r="G32" i="1"/>
  <c r="F32" i="1"/>
  <c r="E32" i="1"/>
  <c r="D32" i="1"/>
  <c r="C32" i="1"/>
  <c r="J31" i="1"/>
  <c r="J43" i="1" s="1"/>
  <c r="I31" i="1"/>
  <c r="H31" i="1"/>
  <c r="G31" i="1"/>
  <c r="F31" i="1"/>
  <c r="E31" i="1"/>
  <c r="D31" i="1"/>
  <c r="C31" i="1"/>
  <c r="J30" i="1"/>
  <c r="J42" i="1" s="1"/>
  <c r="I30" i="1"/>
  <c r="H30" i="1"/>
  <c r="G30" i="1"/>
  <c r="F30" i="1"/>
  <c r="E30" i="1"/>
  <c r="D30" i="1"/>
  <c r="C30" i="1"/>
  <c r="J29" i="1"/>
  <c r="J41" i="1" s="1"/>
  <c r="I29" i="1"/>
  <c r="H29" i="1"/>
  <c r="G29" i="1"/>
  <c r="F29" i="1"/>
  <c r="E29" i="1"/>
  <c r="D29" i="1"/>
  <c r="C29" i="1"/>
  <c r="J28" i="1"/>
  <c r="J40" i="1" s="1"/>
  <c r="I28" i="1"/>
  <c r="H28" i="1"/>
  <c r="G28" i="1"/>
  <c r="F28" i="1"/>
  <c r="E28" i="1"/>
  <c r="D28" i="1"/>
  <c r="C28" i="1"/>
  <c r="J27" i="1"/>
  <c r="J39" i="1" s="1"/>
  <c r="I27" i="1"/>
  <c r="H27" i="1"/>
  <c r="G27" i="1"/>
  <c r="F27" i="1"/>
  <c r="E27" i="1"/>
  <c r="D27" i="1"/>
  <c r="C27" i="1"/>
</calcChain>
</file>

<file path=xl/sharedStrings.xml><?xml version="1.0" encoding="utf-8"?>
<sst xmlns="http://schemas.openxmlformats.org/spreadsheetml/2006/main" count="72" uniqueCount="21">
  <si>
    <t>Old</t>
  </si>
  <si>
    <t>New</t>
  </si>
  <si>
    <t>&gt;740</t>
  </si>
  <si>
    <t>720-739</t>
  </si>
  <si>
    <t>700-719</t>
  </si>
  <si>
    <t>680-699</t>
  </si>
  <si>
    <t>660-679</t>
  </si>
  <si>
    <t>640-659</t>
  </si>
  <si>
    <t>620-639</t>
  </si>
  <si>
    <t>&lt;620</t>
  </si>
  <si>
    <t>&lt;60</t>
  </si>
  <si>
    <t>60-70</t>
  </si>
  <si>
    <t>70-75</t>
  </si>
  <si>
    <t>75-80</t>
  </si>
  <si>
    <t>80-85</t>
  </si>
  <si>
    <t>85-90</t>
  </si>
  <si>
    <t>90-95</t>
  </si>
  <si>
    <t>95-97</t>
  </si>
  <si>
    <t>Investor</t>
  </si>
  <si>
    <t>Effective elbow</t>
  </si>
  <si>
    <t>Upfront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</si>
</sst>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0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7"/>
  <sheetViews>
    <sheetView tabSelected="1" zoomScale="85" zoomScaleNormal="85" workbookViewId="0">
      <selection activeCell="M21" sqref="M21"/>
    </sheetView>
  </sheetViews>
  <sheetFormatPr defaultRowHeight="15" x14ac:dyDescent="0.25"/>
  <cols>
    <col min="1" max="1" width="4.7109375" customWidth="1"/>
    <col min="2" max="2" width="15.28515625" customWidth="1"/>
    <col min="3" max="10" width="9.140625" style="1"/>
  </cols>
  <sheetData>
    <row r="2" spans="1:11" x14ac:dyDescent="0.25">
      <c r="B2" t="s">
        <v>0</v>
      </c>
      <c r="C2" s="1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1" x14ac:dyDescent="0.25">
      <c r="B3" s="2" t="s">
        <v>2</v>
      </c>
      <c r="C3" s="1">
        <v>-2.5000000000000001E-3</v>
      </c>
      <c r="D3" s="1">
        <v>0</v>
      </c>
      <c r="E3" s="1">
        <v>0</v>
      </c>
      <c r="F3" s="1">
        <v>2.5000000000000001E-3</v>
      </c>
      <c r="G3" s="1">
        <v>2.5000000000000001E-3</v>
      </c>
      <c r="H3" s="1">
        <v>2.5000000000000001E-3</v>
      </c>
      <c r="I3" s="1">
        <v>2.5000000000000001E-3</v>
      </c>
      <c r="J3" s="1">
        <v>2.5000000000000001E-3</v>
      </c>
    </row>
    <row r="4" spans="1:11" x14ac:dyDescent="0.25">
      <c r="B4" s="3" t="s">
        <v>3</v>
      </c>
      <c r="C4" s="1">
        <v>-2.5000000000000001E-3</v>
      </c>
      <c r="D4" s="1">
        <v>0</v>
      </c>
      <c r="E4" s="1">
        <v>2.5000000000000001E-3</v>
      </c>
      <c r="F4" s="1">
        <v>5.0000000000000001E-3</v>
      </c>
      <c r="G4" s="1">
        <v>5.0000000000000001E-3</v>
      </c>
      <c r="H4" s="1">
        <v>5.0000000000000001E-3</v>
      </c>
      <c r="I4" s="1">
        <v>5.0000000000000001E-3</v>
      </c>
      <c r="J4" s="1">
        <v>5.0000000000000001E-3</v>
      </c>
    </row>
    <row r="5" spans="1:11" x14ac:dyDescent="0.25">
      <c r="B5" s="3" t="s">
        <v>4</v>
      </c>
      <c r="C5" s="1">
        <v>-2.5000000000000001E-3</v>
      </c>
      <c r="D5" s="1">
        <v>5.0000000000000001E-3</v>
      </c>
      <c r="E5" s="1">
        <v>7.4999999999999997E-3</v>
      </c>
      <c r="F5" s="1">
        <v>0.01</v>
      </c>
      <c r="G5" s="1">
        <v>0.01</v>
      </c>
      <c r="H5" s="1">
        <v>0.01</v>
      </c>
      <c r="I5" s="1">
        <v>0.01</v>
      </c>
      <c r="J5" s="1">
        <v>0.01</v>
      </c>
    </row>
    <row r="6" spans="1:11" x14ac:dyDescent="0.25">
      <c r="B6" s="3" t="s">
        <v>5</v>
      </c>
      <c r="C6" s="1">
        <v>0</v>
      </c>
      <c r="D6" s="1">
        <v>5.0000000000000001E-3</v>
      </c>
      <c r="E6" s="1">
        <v>1.2500000000000001E-2</v>
      </c>
      <c r="F6" s="1">
        <v>1.7500000000000002E-2</v>
      </c>
      <c r="G6" s="1">
        <v>1.4999999999999999E-2</v>
      </c>
      <c r="H6" s="1">
        <v>1.2500000000000001E-2</v>
      </c>
      <c r="I6" s="1">
        <v>1.2500000000000001E-2</v>
      </c>
      <c r="J6" s="1">
        <v>0.01</v>
      </c>
    </row>
    <row r="7" spans="1:11" x14ac:dyDescent="0.25">
      <c r="B7" s="3" t="s">
        <v>6</v>
      </c>
      <c r="C7" s="1">
        <v>0</v>
      </c>
      <c r="D7" s="1">
        <v>0.01</v>
      </c>
      <c r="E7" s="1">
        <v>0.02</v>
      </c>
      <c r="F7" s="1">
        <v>2.5000000000000001E-2</v>
      </c>
      <c r="G7" s="1">
        <v>2.75E-2</v>
      </c>
      <c r="H7" s="1">
        <v>2.2499999999999999E-2</v>
      </c>
      <c r="I7" s="1">
        <v>2.2499999999999999E-2</v>
      </c>
      <c r="J7" s="1">
        <v>1.7500000000000002E-2</v>
      </c>
    </row>
    <row r="8" spans="1:11" x14ac:dyDescent="0.25">
      <c r="A8" s="1"/>
      <c r="B8" s="3" t="s">
        <v>7</v>
      </c>
      <c r="C8" s="1">
        <v>5.0000000000000001E-3</v>
      </c>
      <c r="D8" s="1">
        <v>1.2500000000000001E-2</v>
      </c>
      <c r="E8" s="1">
        <v>2.5000000000000001E-2</v>
      </c>
      <c r="F8" s="1">
        <v>0.03</v>
      </c>
      <c r="G8" s="1">
        <v>3.2500000000000001E-2</v>
      </c>
      <c r="H8" s="1">
        <v>2.75E-2</v>
      </c>
      <c r="I8" s="1">
        <v>2.75E-2</v>
      </c>
      <c r="J8" s="1">
        <v>2.2499999999999999E-2</v>
      </c>
    </row>
    <row r="9" spans="1:11" x14ac:dyDescent="0.25">
      <c r="B9" s="3" t="s">
        <v>8</v>
      </c>
      <c r="C9" s="1">
        <v>5.0000000000000001E-3</v>
      </c>
      <c r="D9" s="1">
        <v>1.4999999999999999E-2</v>
      </c>
      <c r="E9" s="1">
        <v>0.03</v>
      </c>
      <c r="F9" s="1">
        <v>0.03</v>
      </c>
      <c r="G9" s="1">
        <v>3.2500000000000001E-2</v>
      </c>
      <c r="H9" s="1">
        <v>3.2500000000000001E-2</v>
      </c>
      <c r="I9" s="1">
        <v>3.2500000000000001E-2</v>
      </c>
      <c r="J9" s="1">
        <v>0.03</v>
      </c>
      <c r="K9" s="1"/>
    </row>
    <row r="10" spans="1:11" x14ac:dyDescent="0.25">
      <c r="B10" s="3" t="s">
        <v>9</v>
      </c>
      <c r="C10" s="1">
        <v>5.0000000000000001E-3</v>
      </c>
      <c r="D10" s="1">
        <v>1.4999999999999999E-2</v>
      </c>
      <c r="E10" s="1">
        <v>0.03</v>
      </c>
      <c r="F10" s="1">
        <v>0.03</v>
      </c>
      <c r="G10" s="1">
        <v>3.2500000000000001E-2</v>
      </c>
      <c r="H10" s="1">
        <v>3.2500000000000001E-2</v>
      </c>
      <c r="I10" s="1">
        <v>3.2500000000000001E-2</v>
      </c>
      <c r="J10" s="1">
        <v>3.2500000000000001E-2</v>
      </c>
      <c r="K10" s="1"/>
    </row>
    <row r="11" spans="1:11" x14ac:dyDescent="0.25">
      <c r="B11" s="3" t="s">
        <v>18</v>
      </c>
      <c r="C11" s="1">
        <v>1.7500000000000002E-2</v>
      </c>
      <c r="D11" s="1">
        <v>1.7500000000000002E-2</v>
      </c>
      <c r="E11" s="1">
        <v>1.7500000000000002E-2</v>
      </c>
      <c r="F11" s="1">
        <v>0.03</v>
      </c>
      <c r="G11" s="1">
        <v>3.7499999999999999E-2</v>
      </c>
      <c r="K11" s="1"/>
    </row>
    <row r="12" spans="1:11" x14ac:dyDescent="0.25">
      <c r="K12" s="1"/>
    </row>
    <row r="13" spans="1:11" x14ac:dyDescent="0.25">
      <c r="K13" s="1"/>
    </row>
    <row r="14" spans="1:11" x14ac:dyDescent="0.25">
      <c r="B14" t="s">
        <v>1</v>
      </c>
      <c r="C14" s="1" t="s">
        <v>10</v>
      </c>
      <c r="D14" s="2" t="s">
        <v>11</v>
      </c>
      <c r="E14" s="2" t="s">
        <v>12</v>
      </c>
      <c r="F14" s="2" t="s">
        <v>13</v>
      </c>
      <c r="G14" s="2" t="s">
        <v>14</v>
      </c>
      <c r="H14" s="2" t="s">
        <v>15</v>
      </c>
      <c r="I14" s="2" t="s">
        <v>16</v>
      </c>
      <c r="J14" s="2" t="s">
        <v>17</v>
      </c>
      <c r="K14" s="1"/>
    </row>
    <row r="15" spans="1:11" x14ac:dyDescent="0.25">
      <c r="B15" s="2" t="s">
        <v>2</v>
      </c>
      <c r="C15" s="1">
        <v>0</v>
      </c>
      <c r="D15" s="1">
        <v>2.5000000000000001E-3</v>
      </c>
      <c r="E15" s="1">
        <v>2.5000000000000001E-3</v>
      </c>
      <c r="F15" s="1">
        <v>5.0000000000000001E-3</v>
      </c>
      <c r="G15" s="1">
        <v>2.5000000000000001E-3</v>
      </c>
      <c r="H15" s="1">
        <v>2.5000000000000001E-3</v>
      </c>
      <c r="I15" s="1">
        <v>2.5000000000000001E-3</v>
      </c>
      <c r="J15" s="1">
        <v>2.4999999999999996E-3</v>
      </c>
      <c r="K15" s="1">
        <v>-5.0000000000000001E-3</v>
      </c>
    </row>
    <row r="16" spans="1:11" x14ac:dyDescent="0.25">
      <c r="B16" s="3" t="s">
        <v>3</v>
      </c>
      <c r="C16" s="1">
        <v>0</v>
      </c>
      <c r="D16" s="1">
        <v>2.5000000000000001E-3</v>
      </c>
      <c r="E16" s="1">
        <v>5.0000000000000001E-3</v>
      </c>
      <c r="F16" s="1">
        <v>7.4999999999999997E-3</v>
      </c>
      <c r="G16" s="1">
        <v>5.0000000000000001E-3</v>
      </c>
      <c r="H16" s="1">
        <v>5.0000000000000001E-3</v>
      </c>
      <c r="I16" s="1">
        <v>5.0000000000000001E-3</v>
      </c>
      <c r="J16" s="1">
        <v>5.0000000000000001E-3</v>
      </c>
      <c r="K16" s="1"/>
    </row>
    <row r="17" spans="2:10" x14ac:dyDescent="0.25">
      <c r="B17" s="3" t="s">
        <v>4</v>
      </c>
      <c r="C17" s="1">
        <v>0</v>
      </c>
      <c r="D17" s="1">
        <v>5.0000000000000001E-3</v>
      </c>
      <c r="E17" s="1">
        <v>0.01</v>
      </c>
      <c r="F17" s="1">
        <v>1.2500000000000001E-2</v>
      </c>
      <c r="G17" s="1">
        <v>0.01</v>
      </c>
      <c r="H17" s="1">
        <v>0.01</v>
      </c>
      <c r="I17" s="1">
        <v>0.01</v>
      </c>
      <c r="J17" s="1">
        <v>9.9999999999999985E-3</v>
      </c>
    </row>
    <row r="18" spans="2:10" x14ac:dyDescent="0.25">
      <c r="B18" s="3" t="s">
        <v>5</v>
      </c>
      <c r="C18" s="1">
        <v>0</v>
      </c>
      <c r="D18" s="1">
        <v>5.0000000000000001E-3</v>
      </c>
      <c r="E18" s="1">
        <v>1.2500000000000001E-2</v>
      </c>
      <c r="F18" s="1">
        <v>1.7500000000000002E-2</v>
      </c>
      <c r="G18" s="1">
        <v>1.4999999999999999E-2</v>
      </c>
      <c r="H18" s="1">
        <v>1.2500000000000001E-2</v>
      </c>
      <c r="I18" s="1">
        <v>1.2500000000000001E-2</v>
      </c>
      <c r="J18" s="1">
        <v>9.9999999999999985E-3</v>
      </c>
    </row>
    <row r="19" spans="2:10" x14ac:dyDescent="0.25">
      <c r="B19" s="3" t="s">
        <v>6</v>
      </c>
      <c r="C19" s="1">
        <v>0</v>
      </c>
      <c r="D19" s="1">
        <v>0.01</v>
      </c>
      <c r="E19" s="1">
        <v>2.2499999999999999E-2</v>
      </c>
      <c r="F19" s="1">
        <v>2.75E-2</v>
      </c>
      <c r="G19" s="1">
        <v>2.75E-2</v>
      </c>
      <c r="H19" s="1">
        <v>2.2499999999999999E-2</v>
      </c>
      <c r="I19" s="1">
        <v>2.2499999999999999E-2</v>
      </c>
      <c r="J19" s="1">
        <v>1.7499999999999998E-2</v>
      </c>
    </row>
    <row r="20" spans="2:10" x14ac:dyDescent="0.25">
      <c r="B20" s="3" t="s">
        <v>7</v>
      </c>
      <c r="C20" s="1">
        <v>5.0000000000000001E-3</v>
      </c>
      <c r="D20" s="1">
        <v>1.2500000000000001E-2</v>
      </c>
      <c r="E20" s="1">
        <v>2.75E-2</v>
      </c>
      <c r="F20" s="1">
        <v>0.03</v>
      </c>
      <c r="G20" s="1">
        <v>3.2500000000000001E-2</v>
      </c>
      <c r="H20" s="1">
        <v>2.75E-2</v>
      </c>
      <c r="I20" s="1">
        <v>2.75E-2</v>
      </c>
      <c r="J20" s="1">
        <v>2.2499999999999999E-2</v>
      </c>
    </row>
    <row r="21" spans="2:10" x14ac:dyDescent="0.25">
      <c r="B21" s="3" t="s">
        <v>8</v>
      </c>
      <c r="C21" s="1">
        <v>5.0000000000000001E-3</v>
      </c>
      <c r="D21" s="1">
        <v>1.4999999999999999E-2</v>
      </c>
      <c r="E21" s="1">
        <v>0.03</v>
      </c>
      <c r="F21" s="1">
        <v>0.03</v>
      </c>
      <c r="G21" s="1">
        <v>3.2500000000000001E-2</v>
      </c>
      <c r="H21" s="1">
        <v>3.2500000000000001E-2</v>
      </c>
      <c r="I21" s="1">
        <v>3.2500000000000001E-2</v>
      </c>
      <c r="J21" s="1">
        <v>3.0000000000000002E-2</v>
      </c>
    </row>
    <row r="22" spans="2:10" x14ac:dyDescent="0.25">
      <c r="B22" s="3" t="s">
        <v>9</v>
      </c>
      <c r="C22" s="1">
        <v>5.0000000000000001E-3</v>
      </c>
      <c r="D22" s="1">
        <v>1.4999999999999999E-2</v>
      </c>
      <c r="E22" s="1">
        <v>0.03</v>
      </c>
      <c r="F22" s="1">
        <v>0.03</v>
      </c>
      <c r="G22" s="1">
        <v>3.2500000000000001E-2</v>
      </c>
      <c r="H22" s="1">
        <v>3.2500000000000001E-2</v>
      </c>
      <c r="I22" s="1">
        <v>3.2500000000000001E-2</v>
      </c>
      <c r="J22" s="1">
        <v>3.2500000000000001E-2</v>
      </c>
    </row>
    <row r="23" spans="2:10" x14ac:dyDescent="0.25">
      <c r="B23" s="3" t="s">
        <v>18</v>
      </c>
      <c r="C23" s="1">
        <v>2.1250000000000002E-2</v>
      </c>
      <c r="D23" s="1">
        <v>2.1250000000000002E-2</v>
      </c>
      <c r="E23" s="1">
        <v>2.1250000000000002E-2</v>
      </c>
      <c r="F23" s="1">
        <v>3.3750000000000002E-2</v>
      </c>
      <c r="G23" s="1">
        <v>4.1250000000000002E-2</v>
      </c>
    </row>
    <row r="26" spans="2:10" x14ac:dyDescent="0.25">
      <c r="B26" t="s">
        <v>20</v>
      </c>
      <c r="C26" s="1" t="s">
        <v>10</v>
      </c>
      <c r="D26" s="2" t="s">
        <v>11</v>
      </c>
      <c r="E26" s="2" t="s">
        <v>12</v>
      </c>
      <c r="F26" s="2" t="s">
        <v>13</v>
      </c>
      <c r="G26" s="2" t="s">
        <v>14</v>
      </c>
      <c r="H26" s="2" t="s">
        <v>15</v>
      </c>
      <c r="I26" s="2" t="s">
        <v>16</v>
      </c>
      <c r="J26" s="2" t="s">
        <v>17</v>
      </c>
    </row>
    <row r="27" spans="2:10" x14ac:dyDescent="0.25">
      <c r="B27" s="2" t="s">
        <v>2</v>
      </c>
      <c r="C27" s="1">
        <f>C15-C3-0.25%</f>
        <v>0</v>
      </c>
      <c r="D27" s="1">
        <f t="shared" ref="D27:J27" si="0">D15-D3-0.25%</f>
        <v>0</v>
      </c>
      <c r="E27" s="1">
        <f t="shared" si="0"/>
        <v>0</v>
      </c>
      <c r="F27" s="1">
        <f t="shared" si="0"/>
        <v>0</v>
      </c>
      <c r="G27" s="1">
        <f t="shared" si="0"/>
        <v>-2.5000000000000001E-3</v>
      </c>
      <c r="H27" s="1">
        <f t="shared" si="0"/>
        <v>-2.5000000000000001E-3</v>
      </c>
      <c r="I27" s="1">
        <f t="shared" si="0"/>
        <v>-2.5000000000000001E-3</v>
      </c>
      <c r="J27" s="1">
        <f t="shared" si="0"/>
        <v>-2.5000000000000005E-3</v>
      </c>
    </row>
    <row r="28" spans="2:10" x14ac:dyDescent="0.25">
      <c r="B28" s="3" t="s">
        <v>3</v>
      </c>
      <c r="C28" s="1">
        <f t="shared" ref="C28:J28" si="1">C16-C4-0.25%</f>
        <v>0</v>
      </c>
      <c r="D28" s="1">
        <f t="shared" si="1"/>
        <v>0</v>
      </c>
      <c r="E28" s="1">
        <f t="shared" si="1"/>
        <v>0</v>
      </c>
      <c r="F28" s="1">
        <f t="shared" si="1"/>
        <v>0</v>
      </c>
      <c r="G28" s="1">
        <f t="shared" si="1"/>
        <v>-2.5000000000000001E-3</v>
      </c>
      <c r="H28" s="1">
        <f t="shared" si="1"/>
        <v>-2.5000000000000001E-3</v>
      </c>
      <c r="I28" s="1">
        <f t="shared" si="1"/>
        <v>-2.5000000000000001E-3</v>
      </c>
      <c r="J28" s="1">
        <f t="shared" si="1"/>
        <v>-2.5000000000000001E-3</v>
      </c>
    </row>
    <row r="29" spans="2:10" x14ac:dyDescent="0.25">
      <c r="B29" s="3" t="s">
        <v>4</v>
      </c>
      <c r="C29" s="1">
        <f t="shared" ref="C29:J29" si="2">C17-C5-0.25%</f>
        <v>0</v>
      </c>
      <c r="D29" s="1">
        <f t="shared" si="2"/>
        <v>-2.5000000000000001E-3</v>
      </c>
      <c r="E29" s="1">
        <f t="shared" si="2"/>
        <v>0</v>
      </c>
      <c r="F29" s="1">
        <f t="shared" si="2"/>
        <v>0</v>
      </c>
      <c r="G29" s="1">
        <f t="shared" si="2"/>
        <v>-2.5000000000000001E-3</v>
      </c>
      <c r="H29" s="1">
        <f t="shared" si="2"/>
        <v>-2.5000000000000001E-3</v>
      </c>
      <c r="I29" s="1">
        <f t="shared" si="2"/>
        <v>-2.5000000000000001E-3</v>
      </c>
      <c r="J29" s="1">
        <f t="shared" si="2"/>
        <v>-2.5000000000000018E-3</v>
      </c>
    </row>
    <row r="30" spans="2:10" x14ac:dyDescent="0.25">
      <c r="B30" s="3" t="s">
        <v>5</v>
      </c>
      <c r="C30" s="1">
        <f t="shared" ref="C30:J30" si="3">C18-C6-0.25%</f>
        <v>-2.5000000000000001E-3</v>
      </c>
      <c r="D30" s="1">
        <f t="shared" si="3"/>
        <v>-2.5000000000000001E-3</v>
      </c>
      <c r="E30" s="1">
        <f t="shared" si="3"/>
        <v>-2.5000000000000001E-3</v>
      </c>
      <c r="F30" s="1">
        <f t="shared" si="3"/>
        <v>-2.5000000000000001E-3</v>
      </c>
      <c r="G30" s="1">
        <f t="shared" si="3"/>
        <v>-2.5000000000000001E-3</v>
      </c>
      <c r="H30" s="1">
        <f t="shared" si="3"/>
        <v>-2.5000000000000001E-3</v>
      </c>
      <c r="I30" s="1">
        <f t="shared" si="3"/>
        <v>-2.5000000000000001E-3</v>
      </c>
      <c r="J30" s="1">
        <f t="shared" si="3"/>
        <v>-2.5000000000000018E-3</v>
      </c>
    </row>
    <row r="31" spans="2:10" x14ac:dyDescent="0.25">
      <c r="B31" s="3" t="s">
        <v>6</v>
      </c>
      <c r="C31" s="1">
        <f t="shared" ref="C31:J31" si="4">C19-C7-0.25%</f>
        <v>-2.5000000000000001E-3</v>
      </c>
      <c r="D31" s="1">
        <f t="shared" si="4"/>
        <v>-2.5000000000000001E-3</v>
      </c>
      <c r="E31" s="1">
        <f t="shared" si="4"/>
        <v>0</v>
      </c>
      <c r="F31" s="1">
        <f t="shared" si="4"/>
        <v>0</v>
      </c>
      <c r="G31" s="1">
        <f t="shared" si="4"/>
        <v>-2.5000000000000001E-3</v>
      </c>
      <c r="H31" s="1">
        <f t="shared" si="4"/>
        <v>-2.5000000000000001E-3</v>
      </c>
      <c r="I31" s="1">
        <f t="shared" si="4"/>
        <v>-2.5000000000000001E-3</v>
      </c>
      <c r="J31" s="1">
        <f t="shared" si="4"/>
        <v>-2.5000000000000035E-3</v>
      </c>
    </row>
    <row r="32" spans="2:10" x14ac:dyDescent="0.25">
      <c r="B32" s="3" t="s">
        <v>7</v>
      </c>
      <c r="C32" s="1">
        <f t="shared" ref="C32:J32" si="5">C20-C8-0.25%</f>
        <v>-2.5000000000000001E-3</v>
      </c>
      <c r="D32" s="1">
        <f t="shared" si="5"/>
        <v>-2.5000000000000001E-3</v>
      </c>
      <c r="E32" s="1">
        <f t="shared" si="5"/>
        <v>0</v>
      </c>
      <c r="F32" s="1">
        <f t="shared" si="5"/>
        <v>-2.5000000000000001E-3</v>
      </c>
      <c r="G32" s="1">
        <f t="shared" si="5"/>
        <v>-2.5000000000000001E-3</v>
      </c>
      <c r="H32" s="1">
        <f t="shared" si="5"/>
        <v>-2.5000000000000001E-3</v>
      </c>
      <c r="I32" s="1">
        <f t="shared" si="5"/>
        <v>-2.5000000000000001E-3</v>
      </c>
      <c r="J32" s="1">
        <f t="shared" si="5"/>
        <v>-2.5000000000000001E-3</v>
      </c>
    </row>
    <row r="33" spans="2:10" x14ac:dyDescent="0.25">
      <c r="B33" s="3" t="s">
        <v>8</v>
      </c>
      <c r="C33" s="1">
        <f t="shared" ref="C33:J33" si="6">C21-C9-0.25%</f>
        <v>-2.5000000000000001E-3</v>
      </c>
      <c r="D33" s="1">
        <f t="shared" si="6"/>
        <v>-2.5000000000000001E-3</v>
      </c>
      <c r="E33" s="1">
        <f t="shared" si="6"/>
        <v>-2.5000000000000001E-3</v>
      </c>
      <c r="F33" s="1">
        <f t="shared" si="6"/>
        <v>-2.5000000000000001E-3</v>
      </c>
      <c r="G33" s="1">
        <f t="shared" si="6"/>
        <v>-2.5000000000000001E-3</v>
      </c>
      <c r="H33" s="1">
        <f t="shared" si="6"/>
        <v>-2.5000000000000001E-3</v>
      </c>
      <c r="I33" s="1">
        <f t="shared" si="6"/>
        <v>-2.5000000000000001E-3</v>
      </c>
      <c r="J33" s="1">
        <f t="shared" si="6"/>
        <v>-2.4999999999999966E-3</v>
      </c>
    </row>
    <row r="34" spans="2:10" x14ac:dyDescent="0.25">
      <c r="B34" s="3" t="s">
        <v>9</v>
      </c>
      <c r="C34" s="1">
        <f t="shared" ref="C34:J35" si="7">C22-C10-0.25%</f>
        <v>-2.5000000000000001E-3</v>
      </c>
      <c r="D34" s="1">
        <f t="shared" si="7"/>
        <v>-2.5000000000000001E-3</v>
      </c>
      <c r="E34" s="1">
        <f t="shared" si="7"/>
        <v>-2.5000000000000001E-3</v>
      </c>
      <c r="F34" s="1">
        <f t="shared" si="7"/>
        <v>-2.5000000000000001E-3</v>
      </c>
      <c r="G34" s="1">
        <f t="shared" si="7"/>
        <v>-2.5000000000000001E-3</v>
      </c>
      <c r="H34" s="1">
        <f t="shared" si="7"/>
        <v>-2.5000000000000001E-3</v>
      </c>
      <c r="I34" s="1">
        <f t="shared" si="7"/>
        <v>-2.5000000000000001E-3</v>
      </c>
      <c r="J34" s="1">
        <f t="shared" si="7"/>
        <v>-2.5000000000000001E-3</v>
      </c>
    </row>
    <row r="35" spans="2:10" x14ac:dyDescent="0.25">
      <c r="B35" t="s">
        <v>18</v>
      </c>
      <c r="C35" s="1">
        <f t="shared" si="7"/>
        <v>1.2499999999999998E-3</v>
      </c>
      <c r="D35" s="1">
        <f t="shared" si="7"/>
        <v>1.2499999999999998E-3</v>
      </c>
      <c r="E35" s="1">
        <f t="shared" si="7"/>
        <v>1.2499999999999998E-3</v>
      </c>
      <c r="F35" s="1">
        <f t="shared" si="7"/>
        <v>1.2500000000000033E-3</v>
      </c>
      <c r="G35" s="1">
        <f t="shared" si="7"/>
        <v>1.2500000000000033E-3</v>
      </c>
    </row>
    <row r="38" spans="2:10" x14ac:dyDescent="0.25">
      <c r="B38" t="s">
        <v>19</v>
      </c>
      <c r="C38" s="1" t="s">
        <v>10</v>
      </c>
      <c r="D38" s="2" t="s">
        <v>11</v>
      </c>
      <c r="E38" s="2" t="s">
        <v>12</v>
      </c>
      <c r="F38" s="2" t="s">
        <v>13</v>
      </c>
      <c r="G38" s="2" t="s">
        <v>14</v>
      </c>
      <c r="H38" s="2" t="s">
        <v>15</v>
      </c>
      <c r="I38" s="2" t="s">
        <v>16</v>
      </c>
      <c r="J38" s="2" t="s">
        <v>17</v>
      </c>
    </row>
    <row r="39" spans="2:10" x14ac:dyDescent="0.25">
      <c r="B39" s="2" t="s">
        <v>2</v>
      </c>
      <c r="C39" s="1">
        <f>C27/5</f>
        <v>0</v>
      </c>
      <c r="D39" s="1">
        <f t="shared" ref="D39:J39" si="8">D27/5</f>
        <v>0</v>
      </c>
      <c r="E39" s="1">
        <f t="shared" si="8"/>
        <v>0</v>
      </c>
      <c r="F39" s="1">
        <f t="shared" si="8"/>
        <v>0</v>
      </c>
      <c r="G39" s="1">
        <f t="shared" si="8"/>
        <v>-5.0000000000000001E-4</v>
      </c>
      <c r="H39" s="1">
        <f t="shared" si="8"/>
        <v>-5.0000000000000001E-4</v>
      </c>
      <c r="I39" s="1">
        <f t="shared" si="8"/>
        <v>-5.0000000000000001E-4</v>
      </c>
      <c r="J39" s="1">
        <f t="shared" si="8"/>
        <v>-5.0000000000000012E-4</v>
      </c>
    </row>
    <row r="40" spans="2:10" x14ac:dyDescent="0.25">
      <c r="B40" s="3" t="s">
        <v>3</v>
      </c>
      <c r="C40" s="1">
        <f t="shared" ref="C40:J40" si="9">C28/5</f>
        <v>0</v>
      </c>
      <c r="D40" s="1">
        <f t="shared" si="9"/>
        <v>0</v>
      </c>
      <c r="E40" s="1">
        <f t="shared" si="9"/>
        <v>0</v>
      </c>
      <c r="F40" s="1">
        <f t="shared" si="9"/>
        <v>0</v>
      </c>
      <c r="G40" s="1">
        <f t="shared" si="9"/>
        <v>-5.0000000000000001E-4</v>
      </c>
      <c r="H40" s="1">
        <f t="shared" si="9"/>
        <v>-5.0000000000000001E-4</v>
      </c>
      <c r="I40" s="1">
        <f t="shared" si="9"/>
        <v>-5.0000000000000001E-4</v>
      </c>
      <c r="J40" s="1">
        <f t="shared" si="9"/>
        <v>-5.0000000000000001E-4</v>
      </c>
    </row>
    <row r="41" spans="2:10" x14ac:dyDescent="0.25">
      <c r="B41" s="3" t="s">
        <v>4</v>
      </c>
      <c r="C41" s="1">
        <f t="shared" ref="C41:J41" si="10">C29/5</f>
        <v>0</v>
      </c>
      <c r="D41" s="1">
        <f t="shared" si="10"/>
        <v>-5.0000000000000001E-4</v>
      </c>
      <c r="E41" s="1">
        <f t="shared" si="10"/>
        <v>0</v>
      </c>
      <c r="F41" s="1">
        <f t="shared" si="10"/>
        <v>0</v>
      </c>
      <c r="G41" s="1">
        <f t="shared" si="10"/>
        <v>-5.0000000000000001E-4</v>
      </c>
      <c r="H41" s="1">
        <f t="shared" si="10"/>
        <v>-5.0000000000000001E-4</v>
      </c>
      <c r="I41" s="1">
        <f t="shared" si="10"/>
        <v>-5.0000000000000001E-4</v>
      </c>
      <c r="J41" s="1">
        <f t="shared" si="10"/>
        <v>-5.0000000000000034E-4</v>
      </c>
    </row>
    <row r="42" spans="2:10" x14ac:dyDescent="0.25">
      <c r="B42" s="3" t="s">
        <v>5</v>
      </c>
      <c r="C42" s="1">
        <f t="shared" ref="C42:J42" si="11">C30/5</f>
        <v>-5.0000000000000001E-4</v>
      </c>
      <c r="D42" s="1">
        <f t="shared" si="11"/>
        <v>-5.0000000000000001E-4</v>
      </c>
      <c r="E42" s="1">
        <f t="shared" si="11"/>
        <v>-5.0000000000000001E-4</v>
      </c>
      <c r="F42" s="1">
        <f t="shared" si="11"/>
        <v>-5.0000000000000001E-4</v>
      </c>
      <c r="G42" s="1">
        <f t="shared" si="11"/>
        <v>-5.0000000000000001E-4</v>
      </c>
      <c r="H42" s="1">
        <f t="shared" si="11"/>
        <v>-5.0000000000000001E-4</v>
      </c>
      <c r="I42" s="1">
        <f t="shared" si="11"/>
        <v>-5.0000000000000001E-4</v>
      </c>
      <c r="J42" s="1">
        <f t="shared" si="11"/>
        <v>-5.0000000000000034E-4</v>
      </c>
    </row>
    <row r="43" spans="2:10" x14ac:dyDescent="0.25">
      <c r="B43" s="3" t="s">
        <v>6</v>
      </c>
      <c r="C43" s="1">
        <f t="shared" ref="C43:J43" si="12">C31/5</f>
        <v>-5.0000000000000001E-4</v>
      </c>
      <c r="D43" s="1">
        <f t="shared" si="12"/>
        <v>-5.0000000000000001E-4</v>
      </c>
      <c r="E43" s="1">
        <f t="shared" si="12"/>
        <v>0</v>
      </c>
      <c r="F43" s="1">
        <f t="shared" si="12"/>
        <v>0</v>
      </c>
      <c r="G43" s="1">
        <f t="shared" si="12"/>
        <v>-5.0000000000000001E-4</v>
      </c>
      <c r="H43" s="1">
        <f t="shared" si="12"/>
        <v>-5.0000000000000001E-4</v>
      </c>
      <c r="I43" s="1">
        <f t="shared" si="12"/>
        <v>-5.0000000000000001E-4</v>
      </c>
      <c r="J43" s="1">
        <f t="shared" si="12"/>
        <v>-5.0000000000000066E-4</v>
      </c>
    </row>
    <row r="44" spans="2:10" x14ac:dyDescent="0.25">
      <c r="B44" s="3" t="s">
        <v>7</v>
      </c>
      <c r="C44" s="1">
        <f t="shared" ref="C44:J44" si="13">C32/5</f>
        <v>-5.0000000000000001E-4</v>
      </c>
      <c r="D44" s="1">
        <f t="shared" si="13"/>
        <v>-5.0000000000000001E-4</v>
      </c>
      <c r="E44" s="1">
        <f t="shared" si="13"/>
        <v>0</v>
      </c>
      <c r="F44" s="1">
        <f t="shared" si="13"/>
        <v>-5.0000000000000001E-4</v>
      </c>
      <c r="G44" s="1">
        <f t="shared" si="13"/>
        <v>-5.0000000000000001E-4</v>
      </c>
      <c r="H44" s="1">
        <f t="shared" si="13"/>
        <v>-5.0000000000000001E-4</v>
      </c>
      <c r="I44" s="1">
        <f t="shared" si="13"/>
        <v>-5.0000000000000001E-4</v>
      </c>
      <c r="J44" s="1">
        <f t="shared" si="13"/>
        <v>-5.0000000000000001E-4</v>
      </c>
    </row>
    <row r="45" spans="2:10" x14ac:dyDescent="0.25">
      <c r="B45" s="3" t="s">
        <v>8</v>
      </c>
      <c r="C45" s="1">
        <f t="shared" ref="C45:J45" si="14">C33/5</f>
        <v>-5.0000000000000001E-4</v>
      </c>
      <c r="D45" s="1">
        <f t="shared" si="14"/>
        <v>-5.0000000000000001E-4</v>
      </c>
      <c r="E45" s="1">
        <f t="shared" si="14"/>
        <v>-5.0000000000000001E-4</v>
      </c>
      <c r="F45" s="1">
        <f t="shared" si="14"/>
        <v>-5.0000000000000001E-4</v>
      </c>
      <c r="G45" s="1">
        <f t="shared" si="14"/>
        <v>-5.0000000000000001E-4</v>
      </c>
      <c r="H45" s="1">
        <f t="shared" si="14"/>
        <v>-5.0000000000000001E-4</v>
      </c>
      <c r="I45" s="1">
        <f t="shared" si="14"/>
        <v>-5.0000000000000001E-4</v>
      </c>
      <c r="J45" s="1">
        <f t="shared" si="14"/>
        <v>-4.9999999999999936E-4</v>
      </c>
    </row>
    <row r="46" spans="2:10" x14ac:dyDescent="0.25">
      <c r="B46" s="3" t="s">
        <v>9</v>
      </c>
      <c r="C46" s="1">
        <f t="shared" ref="C46:J46" si="15">C34/5</f>
        <v>-5.0000000000000001E-4</v>
      </c>
      <c r="D46" s="1">
        <f t="shared" si="15"/>
        <v>-5.0000000000000001E-4</v>
      </c>
      <c r="E46" s="1">
        <f t="shared" si="15"/>
        <v>-5.0000000000000001E-4</v>
      </c>
      <c r="F46" s="1">
        <f t="shared" si="15"/>
        <v>-5.0000000000000001E-4</v>
      </c>
      <c r="G46" s="1">
        <f t="shared" si="15"/>
        <v>-5.0000000000000001E-4</v>
      </c>
      <c r="H46" s="1">
        <f t="shared" si="15"/>
        <v>-5.0000000000000001E-4</v>
      </c>
      <c r="I46" s="1">
        <f t="shared" si="15"/>
        <v>-5.0000000000000001E-4</v>
      </c>
      <c r="J46" s="1">
        <f t="shared" si="15"/>
        <v>-5.0000000000000001E-4</v>
      </c>
    </row>
    <row r="47" spans="2:10" x14ac:dyDescent="0.25">
      <c r="B47" t="s">
        <v>18</v>
      </c>
      <c r="C47" s="1">
        <f t="shared" ref="C47:G47" si="16">C35/5</f>
        <v>2.4999999999999995E-4</v>
      </c>
      <c r="D47" s="1">
        <f t="shared" si="16"/>
        <v>2.4999999999999995E-4</v>
      </c>
      <c r="E47" s="1">
        <f t="shared" si="16"/>
        <v>2.4999999999999995E-4</v>
      </c>
      <c r="F47" s="1">
        <f t="shared" si="16"/>
        <v>2.5000000000000066E-4</v>
      </c>
      <c r="G47" s="1">
        <f t="shared" si="16"/>
        <v>2.5000000000000066E-4</v>
      </c>
    </row>
  </sheetData>
  <conditionalFormatting sqref="C27:J35">
    <cfRule type="colorScale" priority="2">
      <colorScale>
        <cfvo type="min"/>
        <cfvo type="max"/>
        <color rgb="FF63BE7B"/>
        <color rgb="FFFFEF9C"/>
      </colorScale>
    </cfRule>
  </conditionalFormatting>
  <conditionalFormatting sqref="C39:J47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Citigroup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Sinkevics, Paul [ICG-MKTS]</dc:creator>
  <cp:lastModifiedBy>Chunnip</cp:lastModifiedBy>
  <dcterms:created xsi:type="dcterms:W3CDTF">2015-04-17T20:35:58Z</dcterms:created>
  <dcterms:modified xsi:type="dcterms:W3CDTF">2015-04-17T21:05:22Z</dcterms:modified>
</cp:coreProperties>
</file>