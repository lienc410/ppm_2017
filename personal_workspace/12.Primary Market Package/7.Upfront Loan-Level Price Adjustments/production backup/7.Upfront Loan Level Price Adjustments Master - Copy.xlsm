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Report Page 2" sheetId="16" r:id="rId2"/>
    <sheet name="Report Page 3" sheetId="19" r:id="rId3"/>
    <sheet name="Report Page 4" sheetId="18" r:id="rId4"/>
    <sheet name="Input" sheetId="15" state="hidden" r:id="rId5"/>
    <sheet name="Raw" sheetId="14" state="hidden" r:id="rId6"/>
    <sheet name="PMI Input" sheetId="20" state="hidden" r:id="rId7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 localSheetId="3">'Report Page 4'!#REF!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 localSheetId="3">'Report Page 4'!#REF!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 localSheetId="3">'Report Page 4'!#REF!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 localSheetId="3">'Report Page 4'!#REF!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 localSheetId="3">'Report Page 4'!#REF!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 localSheetId="3">'Report Page 4'!#REF!</definedName>
    <definedName name="PDFReportName">Report!$T$4</definedName>
    <definedName name="_xlnm.Print_Area" localSheetId="0">Report!$B$7:$O$60</definedName>
    <definedName name="_xlnm.Print_Area" localSheetId="1">'Report Page 2'!$B$7:$N$63</definedName>
    <definedName name="_xlnm.Print_Area" localSheetId="2">'Report Page 3'!$B$7:$N$66</definedName>
    <definedName name="_xlnm.Print_Area" localSheetId="3">'Report Page 4'!$C$7:$L$52</definedName>
    <definedName name="SaveRatesToDB" localSheetId="1">'Report Page 2'!#REF!</definedName>
    <definedName name="SaveRatesToDB" localSheetId="2">'Report Page 3'!#REF!</definedName>
    <definedName name="SaveRatesToDB" localSheetId="3">'Report Page 4'!#REF!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D41" i="4" l="1"/>
  <c r="D40" i="4"/>
  <c r="F40" i="4" l="1"/>
  <c r="G40" i="4"/>
  <c r="H40" i="4"/>
  <c r="I40" i="4"/>
  <c r="J40" i="4"/>
  <c r="K40" i="4"/>
  <c r="L40" i="4"/>
  <c r="M40" i="4"/>
  <c r="F41" i="4"/>
  <c r="G41" i="4"/>
  <c r="H41" i="4"/>
  <c r="I41" i="4"/>
  <c r="J41" i="4"/>
  <c r="K41" i="4"/>
  <c r="L41" i="4"/>
  <c r="M41" i="4"/>
  <c r="E41" i="4"/>
  <c r="E40" i="4"/>
  <c r="D16" i="19" l="1"/>
  <c r="E16" i="19"/>
  <c r="F16" i="19"/>
  <c r="G16" i="19"/>
  <c r="H16" i="19"/>
  <c r="I16" i="19"/>
  <c r="J16" i="19"/>
  <c r="K16" i="19"/>
  <c r="D17" i="19"/>
  <c r="E17" i="19"/>
  <c r="F17" i="19"/>
  <c r="G17" i="19"/>
  <c r="H17" i="19"/>
  <c r="I17" i="19"/>
  <c r="J17" i="19"/>
  <c r="K17" i="19"/>
  <c r="D18" i="19"/>
  <c r="E18" i="19"/>
  <c r="F18" i="19"/>
  <c r="G18" i="19"/>
  <c r="H18" i="19"/>
  <c r="I18" i="19"/>
  <c r="J18" i="19"/>
  <c r="K18" i="19"/>
  <c r="D19" i="19"/>
  <c r="E19" i="19"/>
  <c r="F19" i="19"/>
  <c r="G19" i="19"/>
  <c r="H19" i="19"/>
  <c r="I19" i="19"/>
  <c r="J19" i="19"/>
  <c r="K19" i="19"/>
  <c r="D20" i="19"/>
  <c r="E20" i="19"/>
  <c r="F20" i="19"/>
  <c r="G20" i="19"/>
  <c r="H20" i="19"/>
  <c r="I20" i="19"/>
  <c r="J20" i="19"/>
  <c r="K20" i="19"/>
  <c r="D21" i="19"/>
  <c r="E21" i="19"/>
  <c r="F21" i="19"/>
  <c r="G21" i="19"/>
  <c r="H21" i="19"/>
  <c r="I21" i="19"/>
  <c r="J21" i="19"/>
  <c r="K21" i="19"/>
  <c r="D22" i="19"/>
  <c r="E22" i="19"/>
  <c r="F22" i="19"/>
  <c r="G22" i="19"/>
  <c r="H22" i="19"/>
  <c r="I22" i="19"/>
  <c r="J22" i="19"/>
  <c r="K22" i="19"/>
  <c r="E15" i="19"/>
  <c r="F15" i="19"/>
  <c r="G15" i="19"/>
  <c r="H15" i="19"/>
  <c r="I15" i="19"/>
  <c r="J15" i="19"/>
  <c r="K15" i="19"/>
  <c r="D15" i="19"/>
  <c r="N40" i="19" l="1"/>
  <c r="N33" i="19"/>
  <c r="M40" i="19"/>
  <c r="M33" i="19"/>
  <c r="G58" i="19"/>
  <c r="G57" i="19"/>
  <c r="G56" i="19"/>
  <c r="G55" i="19"/>
  <c r="G54" i="19"/>
  <c r="G53" i="19"/>
  <c r="G52" i="19"/>
  <c r="I51" i="19"/>
  <c r="H60" i="19"/>
  <c r="E60" i="19"/>
  <c r="I63" i="19"/>
  <c r="J63" i="19"/>
  <c r="K63" i="19"/>
  <c r="D62" i="19"/>
  <c r="E62" i="19"/>
  <c r="F62" i="19"/>
  <c r="F60" i="19"/>
  <c r="G60" i="19"/>
  <c r="D60" i="19"/>
  <c r="D52" i="19"/>
  <c r="E52" i="19"/>
  <c r="H52" i="19"/>
  <c r="I52" i="19"/>
  <c r="J52" i="19"/>
  <c r="K52" i="19"/>
  <c r="D53" i="19"/>
  <c r="E53" i="19"/>
  <c r="H53" i="19"/>
  <c r="I53" i="19"/>
  <c r="J53" i="19"/>
  <c r="K53" i="19"/>
  <c r="D54" i="19"/>
  <c r="E54" i="19"/>
  <c r="H54" i="19"/>
  <c r="I54" i="19"/>
  <c r="J54" i="19"/>
  <c r="K54" i="19"/>
  <c r="D55" i="19"/>
  <c r="E55" i="19"/>
  <c r="H55" i="19"/>
  <c r="I55" i="19"/>
  <c r="J55" i="19"/>
  <c r="K55" i="19"/>
  <c r="D56" i="19"/>
  <c r="E56" i="19"/>
  <c r="H56" i="19"/>
  <c r="I56" i="19"/>
  <c r="J56" i="19"/>
  <c r="K56" i="19"/>
  <c r="D57" i="19"/>
  <c r="E57" i="19"/>
  <c r="H57" i="19"/>
  <c r="I57" i="19"/>
  <c r="J57" i="19"/>
  <c r="K57" i="19"/>
  <c r="D58" i="19"/>
  <c r="E58" i="19"/>
  <c r="H58" i="19"/>
  <c r="I58" i="19"/>
  <c r="J58" i="19"/>
  <c r="K58" i="19"/>
  <c r="E51" i="19"/>
  <c r="G51" i="19"/>
  <c r="H51" i="19"/>
  <c r="J51" i="19"/>
  <c r="K51" i="19"/>
  <c r="D51" i="19"/>
  <c r="N22" i="19"/>
  <c r="M22" i="19"/>
  <c r="N15" i="19"/>
  <c r="M15" i="19"/>
  <c r="M16" i="19" l="1"/>
  <c r="M17" i="19" s="1"/>
  <c r="M18" i="19" s="1"/>
  <c r="M19" i="19" s="1"/>
  <c r="M20" i="19" s="1"/>
  <c r="M21" i="19" s="1"/>
  <c r="M34" i="19"/>
  <c r="M35" i="19" s="1"/>
  <c r="M36" i="19" s="1"/>
  <c r="M37" i="19" s="1"/>
  <c r="M38" i="19" s="1"/>
  <c r="M39" i="19" s="1"/>
  <c r="F58" i="19"/>
  <c r="F57" i="19"/>
  <c r="F56" i="19"/>
  <c r="F55" i="19"/>
  <c r="F54" i="19"/>
  <c r="F53" i="19"/>
  <c r="F52" i="19"/>
  <c r="M58" i="19" s="1"/>
  <c r="F51" i="19"/>
  <c r="J46" i="18"/>
  <c r="J44" i="18"/>
  <c r="J36" i="18"/>
  <c r="J37" i="18"/>
  <c r="J38" i="18"/>
  <c r="J39" i="18"/>
  <c r="J40" i="18"/>
  <c r="J41" i="18"/>
  <c r="J42" i="18"/>
  <c r="J43" i="18"/>
  <c r="J35" i="18"/>
  <c r="N58" i="19" l="1"/>
  <c r="N51" i="19"/>
  <c r="M51" i="19"/>
  <c r="E46" i="4"/>
  <c r="F47" i="4"/>
  <c r="G47" i="4"/>
  <c r="H48" i="4"/>
  <c r="I48" i="4"/>
  <c r="E49" i="4"/>
  <c r="F49" i="4"/>
  <c r="H49" i="4"/>
  <c r="I49" i="4"/>
  <c r="J49" i="4"/>
  <c r="H50" i="4"/>
  <c r="E51" i="4"/>
  <c r="F51" i="4"/>
  <c r="H51" i="4"/>
  <c r="I51" i="4"/>
  <c r="J51" i="4"/>
  <c r="H52" i="4"/>
  <c r="E53" i="4"/>
  <c r="F53" i="4"/>
  <c r="H53" i="4"/>
  <c r="I53" i="4"/>
  <c r="J53" i="4"/>
  <c r="D49" i="4"/>
  <c r="D51" i="4"/>
  <c r="D53" i="4"/>
  <c r="H55" i="16"/>
  <c r="H47" i="4" s="1"/>
  <c r="I55" i="16"/>
  <c r="I47" i="4" s="1"/>
  <c r="J55" i="16"/>
  <c r="J47" i="4" s="1"/>
  <c r="K55" i="16"/>
  <c r="K47" i="4" s="1"/>
  <c r="H56" i="16"/>
  <c r="I56" i="16"/>
  <c r="J56" i="16"/>
  <c r="J48" i="4" s="1"/>
  <c r="K56" i="16"/>
  <c r="K48" i="4" s="1"/>
  <c r="H57" i="16"/>
  <c r="I57" i="16"/>
  <c r="J57" i="16"/>
  <c r="K57" i="16"/>
  <c r="K49" i="4" s="1"/>
  <c r="H58" i="16"/>
  <c r="I58" i="16"/>
  <c r="I50" i="4" s="1"/>
  <c r="J58" i="16"/>
  <c r="J50" i="4" s="1"/>
  <c r="K58" i="16"/>
  <c r="K50" i="4" s="1"/>
  <c r="H59" i="16"/>
  <c r="I59" i="16"/>
  <c r="J59" i="16"/>
  <c r="K59" i="16"/>
  <c r="K51" i="4" s="1"/>
  <c r="H60" i="16"/>
  <c r="I60" i="16"/>
  <c r="I52" i="4" s="1"/>
  <c r="J60" i="16"/>
  <c r="J52" i="4" s="1"/>
  <c r="K60" i="16"/>
  <c r="K52" i="4" s="1"/>
  <c r="H61" i="16"/>
  <c r="I61" i="16"/>
  <c r="J61" i="16"/>
  <c r="K61" i="16"/>
  <c r="K53" i="4" s="1"/>
  <c r="I54" i="16"/>
  <c r="I46" i="4" s="1"/>
  <c r="J54" i="16"/>
  <c r="J46" i="4" s="1"/>
  <c r="K54" i="16"/>
  <c r="K46" i="4" s="1"/>
  <c r="H54" i="16"/>
  <c r="H46" i="4" s="1"/>
  <c r="D55" i="16"/>
  <c r="D47" i="4" s="1"/>
  <c r="E55" i="16"/>
  <c r="E47" i="4" s="1"/>
  <c r="F55" i="16"/>
  <c r="G55" i="16"/>
  <c r="D56" i="16"/>
  <c r="D48" i="4" s="1"/>
  <c r="E56" i="16"/>
  <c r="E48" i="4" s="1"/>
  <c r="F56" i="16"/>
  <c r="F48" i="4" s="1"/>
  <c r="G56" i="16"/>
  <c r="G48" i="4" s="1"/>
  <c r="D57" i="16"/>
  <c r="E57" i="16"/>
  <c r="F57" i="16"/>
  <c r="G57" i="16"/>
  <c r="G49" i="4" s="1"/>
  <c r="D58" i="16"/>
  <c r="D50" i="4" s="1"/>
  <c r="E58" i="16"/>
  <c r="E50" i="4" s="1"/>
  <c r="F58" i="16"/>
  <c r="F50" i="4" s="1"/>
  <c r="G58" i="16"/>
  <c r="G50" i="4" s="1"/>
  <c r="D59" i="16"/>
  <c r="E59" i="16"/>
  <c r="F59" i="16"/>
  <c r="G59" i="16"/>
  <c r="G51" i="4" s="1"/>
  <c r="D60" i="16"/>
  <c r="D52" i="4" s="1"/>
  <c r="E60" i="16"/>
  <c r="E52" i="4" s="1"/>
  <c r="F60" i="16"/>
  <c r="F52" i="4" s="1"/>
  <c r="G60" i="16"/>
  <c r="G52" i="4" s="1"/>
  <c r="D61" i="16"/>
  <c r="E61" i="16"/>
  <c r="F61" i="16"/>
  <c r="G61" i="16"/>
  <c r="G53" i="4" s="1"/>
  <c r="E54" i="16"/>
  <c r="F54" i="16"/>
  <c r="F46" i="4" s="1"/>
  <c r="G54" i="16"/>
  <c r="G46" i="4" s="1"/>
  <c r="D54" i="16"/>
  <c r="D46" i="4" s="1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53" i="4"/>
  <c r="N47" i="4" l="1"/>
  <c r="N48" i="4" s="1"/>
  <c r="N49" i="4" s="1"/>
  <c r="N50" i="4" s="1"/>
  <c r="N51" i="4" s="1"/>
  <c r="N52" i="4" s="1"/>
  <c r="M52" i="19"/>
  <c r="M53" i="19" s="1"/>
  <c r="M54" i="19" s="1"/>
  <c r="M55" i="19" s="1"/>
  <c r="M56" i="19" s="1"/>
  <c r="M57" i="19" s="1"/>
</calcChain>
</file>

<file path=xl/sharedStrings.xml><?xml version="1.0" encoding="utf-8"?>
<sst xmlns="http://schemas.openxmlformats.org/spreadsheetml/2006/main" count="1035" uniqueCount="137">
  <si>
    <t>Database Env</t>
  </si>
  <si>
    <t>Save Data to DB</t>
  </si>
  <si>
    <t>As of Date</t>
  </si>
  <si>
    <t>Report Name</t>
  </si>
  <si>
    <t>No</t>
  </si>
  <si>
    <t>PROD</t>
  </si>
  <si>
    <t>Report Folder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</si>
  <si>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</si>
  <si>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</si>
  <si>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</si>
  <si>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</si>
  <si>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</si>
  <si>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</si>
  <si>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</si>
  <si>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</si>
  <si>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</si>
  <si>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</si>
  <si>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</si>
  <si>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</si>
  <si>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</si>
  <si>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</si>
  <si>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</si>
  <si>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</si>
  <si>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</si>
  <si>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</si>
  <si>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</si>
  <si>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</si>
  <si>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</si>
  <si>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</si>
  <si>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</si>
  <si>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</si>
  <si>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</si>
  <si>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</si>
  <si>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</si>
  <si>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</si>
  <si>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</si>
  <si>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</si>
  <si>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</si>
  <si>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</si>
  <si>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</si>
  <si>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</si>
  <si>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</si>
  <si>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</si>
  <si>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</si>
  <si>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</si>
  <si>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</si>
  <si>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</si>
  <si>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</si>
  <si>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</si>
  <si>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</si>
  <si>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</si>
  <si>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</si>
  <si>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</si>
  <si>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</si>
  <si>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</si>
  <si>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</si>
  <si>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</si>
  <si>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</si>
  <si>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</si>
  <si>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</si>
  <si>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</si>
  <si>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</si>
  <si>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</si>
  <si>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</si>
  <si>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</si>
  <si>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</si>
  <si>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</si>
  <si>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</si>
  <si>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</si>
  <si>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</si>
  <si>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</si>
  <si>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</si>
  <si>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</si>
  <si>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</si>
  <si>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</si>
  <si>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</si>
  <si>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</si>
  <si>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</si>
  <si>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</si>
  <si>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</si>
  <si>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</si>
  <si>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</si>
  <si>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</si>
  <si>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</si>
  <si>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</si>
  <si>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</si>
  <si>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</si>
  <si>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</si>
  <si>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</si>
  <si>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</si>
  <si>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</si>
  <si>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</si>
  <si>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</si>
  <si>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</si>
  <si>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</si>
  <si>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</si>
  <si>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</si>
  <si>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</si>
  <si>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</si>
  <si>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</si>
  <si>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</si>
  <si>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</si>
  <si>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</si>
  <si>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</si>
  <si>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</si>
  <si>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</si>
  <si>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</si>
  <si>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</si>
  <si>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</si>
  <si>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</si>
  <si>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</si>
  <si>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</si>
  <si>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</si>
  <si>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</si>
  <si>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</si>
  <si>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</si>
  <si>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Pre-2009.06 (Endorsement)</t>
  </si>
  <si>
    <t>Case Assignment Date</t>
  </si>
  <si>
    <t>Single Family Effective g-fee</t>
  </si>
  <si>
    <t>FHA MIP Updates Over Years (bps)</t>
  </si>
  <si>
    <t>Single Family New Issue g-fee</t>
  </si>
  <si>
    <t>S:\IT\Production\Daily Reports\Primary Market\tmp\</t>
  </si>
  <si>
    <t>Cash-out</t>
  </si>
  <si>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There is no cash-out for LTV 80-85 for loans purchased on or before August 31, 2015</t>
    </r>
  </si>
  <si>
    <r>
      <t xml:space="preserve">Note: </t>
    </r>
    <r>
      <rPr>
        <sz val="10"/>
        <color theme="1"/>
        <rFont val="Calibri"/>
        <family val="2"/>
        <scheme val="minor"/>
      </rPr>
      <t>This matrix will be updated on September 1, 2015</t>
    </r>
  </si>
  <si>
    <t>(AMDC of 0.25% &amp; High LTV of 0.5% have been included)</t>
  </si>
  <si>
    <t>(AMDC of 0.25% &amp; High LTV of 0.5% no longer exist)</t>
  </si>
  <si>
    <r>
      <rPr>
        <sz val="11"/>
        <color rgb="FFAD275C"/>
        <rFont val="Calibri"/>
        <family val="2"/>
        <scheme val="minor"/>
      </rPr>
      <t>FNMA Upfront Loan-Level Price Adjustments -</t>
    </r>
    <r>
      <rPr>
        <b/>
        <sz val="11"/>
        <color rgb="FFAD275C"/>
        <rFont val="Calibri"/>
        <family val="2"/>
        <scheme val="minor"/>
      </rPr>
      <t xml:space="preserve"> issue date on or after September 1, 2015</t>
    </r>
  </si>
  <si>
    <t>Loan Size &gt; 417K (purchase &amp; rate-term)</t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</si>
  <si>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issue date on or before August 1, 2015</t>
    </r>
  </si>
  <si>
    <t>Changes: New vs Old</t>
  </si>
  <si>
    <t xml:space="preserve"> (monthly)</t>
  </si>
  <si>
    <t>Single Family Effective g-fee (1)</t>
  </si>
  <si>
    <t>Single Family New Issue g-fee (2)</t>
  </si>
  <si>
    <t>(1) Calculated based on annualized Single-Family segment guaranty fee income divided by the average single-family guaranty book of business, expressed in basis points.</t>
  </si>
  <si>
    <t xml:space="preserve">(2) Calculated based on the average contractual fee rate for our single-family guaranty arrangements entered into during the period plus the recognition of any upfront cash </t>
  </si>
  <si>
    <t xml:space="preserve">      payments ratably over an estimated average life, expressed in basis points.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</si>
</sst>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31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2" fontId="0" fillId="0" borderId="0" xfId="0" applyNumberFormat="1"/>
    <xf numFmtId="177" fontId="6" fillId="0" borderId="38" xfId="0" applyNumberFormat="1" applyFont="1" applyFill="1" applyBorder="1" applyAlignment="1">
      <alignment horizontal="center"/>
    </xf>
    <xf numFmtId="2" fontId="132" fillId="0" borderId="38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4" fillId="0" borderId="0" xfId="0" applyFont="1" applyFill="1" applyBorder="1" applyAlignment="1">
      <alignment horizontal="left" vertical="top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9" fontId="0" fillId="0" borderId="0" xfId="0" applyNumberFormat="1"/>
    <xf numFmtId="10" fontId="0" fillId="0" borderId="0" xfId="0" applyNumberFormat="1"/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/>
    <xf numFmtId="0" fontId="6" fillId="0" borderId="0" xfId="0" applyFont="1" applyAlignment="1"/>
    <xf numFmtId="0" fontId="6" fillId="0" borderId="0" xfId="0" applyFont="1" applyFill="1" applyBorder="1" applyAlignment="1"/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2">
    <dxf>
      <font>
        <color rgb="FFC0000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AD275C"/>
      <color rgb="FF1B7A76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Single Family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Input!$B$12:$C$45</c:f>
              <c:multiLvlStrCache>
                <c:ptCount val="3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</c:lvl>
                <c:lvl>
                  <c:pt idx="0">
                    <c:v>2007</c:v>
                  </c:pt>
                  <c:pt idx="4">
                    <c:v>2008</c:v>
                  </c:pt>
                  <c:pt idx="8">
                    <c:v>2009</c:v>
                  </c:pt>
                  <c:pt idx="12">
                    <c:v>2010</c:v>
                  </c:pt>
                  <c:pt idx="16">
                    <c:v>2011</c:v>
                  </c:pt>
                  <c:pt idx="20">
                    <c:v>2012</c:v>
                  </c:pt>
                  <c:pt idx="24">
                    <c:v>2013</c:v>
                  </c:pt>
                  <c:pt idx="28">
                    <c:v>2014</c:v>
                  </c:pt>
                  <c:pt idx="32">
                    <c:v>2015</c:v>
                  </c:pt>
                </c:lvl>
              </c:multiLvlStrCache>
            </c:multiLvlStrRef>
          </c:cat>
          <c:val>
            <c:numRef>
              <c:f>Input!$D$12:$D$45</c:f>
              <c:numCache>
                <c:formatCode>General</c:formatCode>
                <c:ptCount val="34"/>
                <c:pt idx="0">
                  <c:v>21.8</c:v>
                </c:pt>
                <c:pt idx="1">
                  <c:v>21.6</c:v>
                </c:pt>
                <c:pt idx="2">
                  <c:v>22.8</c:v>
                </c:pt>
                <c:pt idx="3">
                  <c:v>23.7</c:v>
                </c:pt>
                <c:pt idx="4">
                  <c:v>29.5</c:v>
                </c:pt>
                <c:pt idx="5">
                  <c:v>27.9</c:v>
                </c:pt>
                <c:pt idx="6">
                  <c:v>23.6</c:v>
                </c:pt>
                <c:pt idx="7">
                  <c:v>31</c:v>
                </c:pt>
                <c:pt idx="8">
                  <c:v>27.9</c:v>
                </c:pt>
                <c:pt idx="9">
                  <c:v>26.1</c:v>
                </c:pt>
                <c:pt idx="10">
                  <c:v>29.3</c:v>
                </c:pt>
                <c:pt idx="11">
                  <c:v>27.9</c:v>
                </c:pt>
                <c:pt idx="12">
                  <c:v>24.4</c:v>
                </c:pt>
                <c:pt idx="13">
                  <c:v>25</c:v>
                </c:pt>
                <c:pt idx="14">
                  <c:v>25.2</c:v>
                </c:pt>
                <c:pt idx="15">
                  <c:v>25.1</c:v>
                </c:pt>
                <c:pt idx="16">
                  <c:v>26</c:v>
                </c:pt>
                <c:pt idx="17">
                  <c:v>26.1</c:v>
                </c:pt>
                <c:pt idx="18">
                  <c:v>26.1</c:v>
                </c:pt>
                <c:pt idx="19">
                  <c:v>26.2</c:v>
                </c:pt>
                <c:pt idx="20">
                  <c:v>26.8</c:v>
                </c:pt>
                <c:pt idx="21">
                  <c:v>27.7</c:v>
                </c:pt>
                <c:pt idx="22">
                  <c:v>28.3</c:v>
                </c:pt>
                <c:pt idx="23">
                  <c:v>28.7</c:v>
                </c:pt>
                <c:pt idx="24">
                  <c:v>33.5</c:v>
                </c:pt>
                <c:pt idx="25">
                  <c:v>35.799999999999997</c:v>
                </c:pt>
                <c:pt idx="26">
                  <c:v>38</c:v>
                </c:pt>
                <c:pt idx="27">
                  <c:v>36.700000000000003</c:v>
                </c:pt>
                <c:pt idx="28">
                  <c:v>39.799999999999997</c:v>
                </c:pt>
                <c:pt idx="29">
                  <c:v>40.299999999999997</c:v>
                </c:pt>
                <c:pt idx="30">
                  <c:v>41.2</c:v>
                </c:pt>
                <c:pt idx="31">
                  <c:v>40.799999999999997</c:v>
                </c:pt>
                <c:pt idx="32" formatCode="#,##0.00;[Red]\(#,##0.00\)">
                  <c:v>42.7</c:v>
                </c:pt>
                <c:pt idx="33">
                  <c:v>43.7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Single Family New Issue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Input!$B$12:$C$45</c:f>
              <c:multiLvlStrCache>
                <c:ptCount val="3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</c:lvl>
                <c:lvl>
                  <c:pt idx="0">
                    <c:v>2007</c:v>
                  </c:pt>
                  <c:pt idx="4">
                    <c:v>2008</c:v>
                  </c:pt>
                  <c:pt idx="8">
                    <c:v>2009</c:v>
                  </c:pt>
                  <c:pt idx="12">
                    <c:v>2010</c:v>
                  </c:pt>
                  <c:pt idx="16">
                    <c:v>2011</c:v>
                  </c:pt>
                  <c:pt idx="20">
                    <c:v>2012</c:v>
                  </c:pt>
                  <c:pt idx="24">
                    <c:v>2013</c:v>
                  </c:pt>
                  <c:pt idx="28">
                    <c:v>2014</c:v>
                  </c:pt>
                  <c:pt idx="32">
                    <c:v>2015</c:v>
                  </c:pt>
                </c:lvl>
              </c:multiLvlStrCache>
            </c:multiLvlStrRef>
          </c:cat>
          <c:val>
            <c:numRef>
              <c:f>Input!$E$12:$E$45</c:f>
              <c:numCache>
                <c:formatCode>General</c:formatCode>
                <c:ptCount val="34"/>
                <c:pt idx="0">
                  <c:v>21.8</c:v>
                </c:pt>
                <c:pt idx="1">
                  <c:v>21.5</c:v>
                </c:pt>
                <c:pt idx="2">
                  <c:v>22.8</c:v>
                </c:pt>
                <c:pt idx="3">
                  <c:v>32.200000000000003</c:v>
                </c:pt>
                <c:pt idx="4">
                  <c:v>29</c:v>
                </c:pt>
                <c:pt idx="5">
                  <c:v>26.4</c:v>
                </c:pt>
                <c:pt idx="6">
                  <c:v>24.7</c:v>
                </c:pt>
                <c:pt idx="7">
                  <c:v>32.200000000000003</c:v>
                </c:pt>
                <c:pt idx="8">
                  <c:v>21</c:v>
                </c:pt>
                <c:pt idx="9">
                  <c:v>23.7</c:v>
                </c:pt>
                <c:pt idx="10">
                  <c:v>24.7</c:v>
                </c:pt>
                <c:pt idx="11">
                  <c:v>23.8</c:v>
                </c:pt>
                <c:pt idx="12">
                  <c:v>26.9</c:v>
                </c:pt>
                <c:pt idx="13">
                  <c:v>27.3</c:v>
                </c:pt>
                <c:pt idx="14">
                  <c:v>25.3</c:v>
                </c:pt>
                <c:pt idx="15">
                  <c:v>25.7</c:v>
                </c:pt>
                <c:pt idx="16">
                  <c:v>26.1</c:v>
                </c:pt>
                <c:pt idx="17">
                  <c:v>31.6</c:v>
                </c:pt>
                <c:pt idx="18">
                  <c:v>31.1</c:v>
                </c:pt>
                <c:pt idx="19">
                  <c:v>28.8</c:v>
                </c:pt>
                <c:pt idx="20">
                  <c:v>28.9</c:v>
                </c:pt>
                <c:pt idx="21">
                  <c:v>40.299999999999997</c:v>
                </c:pt>
                <c:pt idx="22">
                  <c:v>41.8</c:v>
                </c:pt>
                <c:pt idx="23">
                  <c:v>39.9</c:v>
                </c:pt>
                <c:pt idx="24">
                  <c:v>54.4</c:v>
                </c:pt>
                <c:pt idx="25">
                  <c:v>56.9</c:v>
                </c:pt>
                <c:pt idx="26">
                  <c:v>58.7</c:v>
                </c:pt>
                <c:pt idx="27">
                  <c:v>57.4</c:v>
                </c:pt>
                <c:pt idx="28">
                  <c:v>63</c:v>
                </c:pt>
                <c:pt idx="29">
                  <c:v>62.6</c:v>
                </c:pt>
                <c:pt idx="30">
                  <c:v>63.5</c:v>
                </c:pt>
                <c:pt idx="31">
                  <c:v>62.9</c:v>
                </c:pt>
                <c:pt idx="32" formatCode="#,##0.00;[Red]\(#,##0.00\)">
                  <c:v>61.2</c:v>
                </c:pt>
                <c:pt idx="33">
                  <c:v>59.9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106880"/>
        <c:axId val="282113152"/>
      </c:lineChart>
      <c:catAx>
        <c:axId val="2821068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82113152"/>
        <c:crosses val="autoZero"/>
        <c:auto val="1"/>
        <c:lblAlgn val="ctr"/>
        <c:lblOffset val="100"/>
        <c:noMultiLvlLbl val="0"/>
      </c:catAx>
      <c:valAx>
        <c:axId val="2821131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821068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4'!$G$31:$G$32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4'!$G$34:$G$44,'Report Page 4'!$G$46,'Report Page 4'!$G$48)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4'!$H$34:$H$44,'Report Page 4'!$H$46,'Report Page 4'!$H$48)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4'!$I$34:$I$44,'Report Page 4'!$I$46,'Report Page 4'!$I$48)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084032"/>
        <c:axId val="297085568"/>
      </c:barChart>
      <c:dateAx>
        <c:axId val="29708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7085568"/>
        <c:crosses val="autoZero"/>
        <c:auto val="0"/>
        <c:lblOffset val="100"/>
        <c:baseTimeUnit val="days"/>
      </c:dateAx>
      <c:valAx>
        <c:axId val="29708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708403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714375</xdr:colOff>
      <xdr:row>12</xdr:row>
      <xdr:rowOff>52917</xdr:rowOff>
    </xdr:from>
    <xdr:to>
      <xdr:col>14</xdr:col>
      <xdr:colOff>169333</xdr:colOff>
      <xdr:row>35</xdr:row>
      <xdr:rowOff>179387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418041</xdr:colOff>
      <xdr:row>34</xdr:row>
      <xdr:rowOff>10590</xdr:rowOff>
    </xdr:from>
    <xdr:to>
      <xdr:col>14</xdr:col>
      <xdr:colOff>37042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10720916" y="6487590"/>
          <a:ext cx="1428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52</xdr:row>
      <xdr:rowOff>184159</xdr:rowOff>
    </xdr:from>
    <xdr:to>
      <xdr:col>11</xdr:col>
      <xdr:colOff>63501</xdr:colOff>
      <xdr:row>54</xdr:row>
      <xdr:rowOff>42337</xdr:rowOff>
    </xdr:to>
    <xdr:sp macro="" textlink="">
      <xdr:nvSpPr>
        <xdr:cNvPr id="8" name="TextBox 7"/>
        <xdr:cNvSpPr txBox="1"/>
      </xdr:nvSpPr>
      <xdr:spPr>
        <a:xfrm>
          <a:off x="7846484" y="10090159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  <xdr:twoCellAnchor>
    <xdr:from>
      <xdr:col>3</xdr:col>
      <xdr:colOff>539755</xdr:colOff>
      <xdr:row>17</xdr:row>
      <xdr:rowOff>95252</xdr:rowOff>
    </xdr:from>
    <xdr:to>
      <xdr:col>5</xdr:col>
      <xdr:colOff>116416</xdr:colOff>
      <xdr:row>22</xdr:row>
      <xdr:rowOff>95252</xdr:rowOff>
    </xdr:to>
    <xdr:sp macro="" textlink="">
      <xdr:nvSpPr>
        <xdr:cNvPr id="3" name="TextBox 2"/>
        <xdr:cNvSpPr txBox="1"/>
      </xdr:nvSpPr>
      <xdr:spPr>
        <a:xfrm>
          <a:off x="4127505" y="3333752"/>
          <a:ext cx="1269994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March 2008: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25bps upfront adverse market charge and additional upfront fees based on FICO/LTV grids.</a:t>
          </a:r>
          <a:endParaRPr lang="en-US" sz="900"/>
        </a:p>
      </xdr:txBody>
    </xdr:sp>
    <xdr:clientData/>
  </xdr:twoCellAnchor>
  <xdr:twoCellAnchor>
    <xdr:from>
      <xdr:col>3</xdr:col>
      <xdr:colOff>603249</xdr:colOff>
      <xdr:row>22</xdr:row>
      <xdr:rowOff>169333</xdr:rowOff>
    </xdr:from>
    <xdr:to>
      <xdr:col>3</xdr:col>
      <xdr:colOff>836083</xdr:colOff>
      <xdr:row>23</xdr:row>
      <xdr:rowOff>179917</xdr:rowOff>
    </xdr:to>
    <xdr:sp macro="" textlink="">
      <xdr:nvSpPr>
        <xdr:cNvPr id="4" name="Down Arrow 3"/>
        <xdr:cNvSpPr/>
      </xdr:nvSpPr>
      <xdr:spPr>
        <a:xfrm>
          <a:off x="4190999" y="4360333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412750</xdr:colOff>
      <xdr:row>18</xdr:row>
      <xdr:rowOff>137584</xdr:rowOff>
    </xdr:from>
    <xdr:to>
      <xdr:col>7</xdr:col>
      <xdr:colOff>433916</xdr:colOff>
      <xdr:row>21</xdr:row>
      <xdr:rowOff>31750</xdr:rowOff>
    </xdr:to>
    <xdr:sp macro="" textlink="">
      <xdr:nvSpPr>
        <xdr:cNvPr id="9" name="TextBox 8"/>
        <xdr:cNvSpPr txBox="1"/>
      </xdr:nvSpPr>
      <xdr:spPr>
        <a:xfrm>
          <a:off x="5693833" y="3566584"/>
          <a:ext cx="1714500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 2008-2011: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Fees gradually raised. Upfront grids refined. </a:t>
          </a:r>
          <a:endParaRPr lang="en-US" sz="900"/>
        </a:p>
      </xdr:txBody>
    </xdr:sp>
    <xdr:clientData/>
  </xdr:twoCellAnchor>
  <xdr:twoCellAnchor>
    <xdr:from>
      <xdr:col>4</xdr:col>
      <xdr:colOff>164040</xdr:colOff>
      <xdr:row>22</xdr:row>
      <xdr:rowOff>5290</xdr:rowOff>
    </xdr:from>
    <xdr:to>
      <xdr:col>8</xdr:col>
      <xdr:colOff>222249</xdr:colOff>
      <xdr:row>23</xdr:row>
      <xdr:rowOff>127002</xdr:rowOff>
    </xdr:to>
    <xdr:sp macro="" textlink="">
      <xdr:nvSpPr>
        <xdr:cNvPr id="10" name="Left Brace 9"/>
        <xdr:cNvSpPr/>
      </xdr:nvSpPr>
      <xdr:spPr>
        <a:xfrm rot="5400000">
          <a:off x="6164789" y="2629958"/>
          <a:ext cx="312212" cy="3444875"/>
        </a:xfrm>
        <a:prstGeom prst="leftBrace">
          <a:avLst/>
        </a:prstGeom>
        <a:ln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141815</xdr:colOff>
      <xdr:row>16</xdr:row>
      <xdr:rowOff>35988</xdr:rowOff>
    </xdr:from>
    <xdr:to>
      <xdr:col>9</xdr:col>
      <xdr:colOff>444501</xdr:colOff>
      <xdr:row>20</xdr:row>
      <xdr:rowOff>0</xdr:rowOff>
    </xdr:to>
    <xdr:sp macro="" textlink="">
      <xdr:nvSpPr>
        <xdr:cNvPr id="11" name="TextBox 10"/>
        <xdr:cNvSpPr txBox="1"/>
      </xdr:nvSpPr>
      <xdr:spPr>
        <a:xfrm>
          <a:off x="7962898" y="3083988"/>
          <a:ext cx="1149353" cy="7260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April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increase to fund Payroll Tax Cut. Fees accrue to Treasury.</a:t>
          </a:r>
          <a:endParaRPr lang="en-US" sz="900"/>
        </a:p>
      </xdr:txBody>
    </xdr:sp>
    <xdr:clientData/>
  </xdr:twoCellAnchor>
  <xdr:twoCellAnchor>
    <xdr:from>
      <xdr:col>8</xdr:col>
      <xdr:colOff>395817</xdr:colOff>
      <xdr:row>20</xdr:row>
      <xdr:rowOff>46567</xdr:rowOff>
    </xdr:from>
    <xdr:to>
      <xdr:col>8</xdr:col>
      <xdr:colOff>628651</xdr:colOff>
      <xdr:row>21</xdr:row>
      <xdr:rowOff>57151</xdr:rowOff>
    </xdr:to>
    <xdr:sp macro="" textlink="">
      <xdr:nvSpPr>
        <xdr:cNvPr id="12" name="Down Arrow 11"/>
        <xdr:cNvSpPr/>
      </xdr:nvSpPr>
      <xdr:spPr>
        <a:xfrm>
          <a:off x="8216900" y="3856567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823383</xdr:colOff>
      <xdr:row>18</xdr:row>
      <xdr:rowOff>146053</xdr:rowOff>
    </xdr:from>
    <xdr:to>
      <xdr:col>11</xdr:col>
      <xdr:colOff>476251</xdr:colOff>
      <xdr:row>21</xdr:row>
      <xdr:rowOff>63498</xdr:rowOff>
    </xdr:to>
    <xdr:sp macro="" textlink="">
      <xdr:nvSpPr>
        <xdr:cNvPr id="13" name="TextBox 12"/>
        <xdr:cNvSpPr txBox="1"/>
      </xdr:nvSpPr>
      <xdr:spPr>
        <a:xfrm>
          <a:off x="9491133" y="3575053"/>
          <a:ext cx="1346201" cy="4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December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average increase. </a:t>
          </a:r>
          <a:endParaRPr lang="en-US" sz="900"/>
        </a:p>
      </xdr:txBody>
    </xdr:sp>
    <xdr:clientData/>
  </xdr:twoCellAnchor>
  <xdr:twoCellAnchor>
    <xdr:from>
      <xdr:col>9</xdr:col>
      <xdr:colOff>529166</xdr:colOff>
      <xdr:row>19</xdr:row>
      <xdr:rowOff>21167</xdr:rowOff>
    </xdr:from>
    <xdr:to>
      <xdr:col>9</xdr:col>
      <xdr:colOff>783166</xdr:colOff>
      <xdr:row>20</xdr:row>
      <xdr:rowOff>31835</xdr:rowOff>
    </xdr:to>
    <xdr:sp macro="" textlink="">
      <xdr:nvSpPr>
        <xdr:cNvPr id="15" name="Up Arrow 14"/>
        <xdr:cNvSpPr/>
      </xdr:nvSpPr>
      <xdr:spPr>
        <a:xfrm>
          <a:off x="9196916" y="3640667"/>
          <a:ext cx="254000" cy="201168"/>
        </a:xfrm>
        <a:prstGeom prst="up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603250</xdr:colOff>
      <xdr:row>10</xdr:row>
      <xdr:rowOff>0</xdr:rowOff>
    </xdr:from>
    <xdr:to>
      <xdr:col>23</xdr:col>
      <xdr:colOff>550333</xdr:colOff>
      <xdr:row>42</xdr:row>
      <xdr:rowOff>148167</xdr:rowOff>
    </xdr:to>
    <xdr:sp macro="" textlink="">
      <xdr:nvSpPr>
        <xdr:cNvPr id="7" name="TextBox 6"/>
        <xdr:cNvSpPr txBox="1"/>
      </xdr:nvSpPr>
      <xdr:spPr>
        <a:xfrm>
          <a:off x="15790333" y="1905000"/>
          <a:ext cx="5513917" cy="6244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Effective Guarantee Fees and Rate Adjustments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Fannie Mae single family effective g-fee rate and single-family average charged g-fee on new acquisitions data which is produced on Fannie Mae annual and quarterly SEC filing documents. Also shows Upfront Loan-Level Price Adjustments matrix and PMI Adjustment.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10Q and 10K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http://www.fanniemae.com/portal/about-us/investor-relations/sec-filings.html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Upfront Loan Level Price Adjustment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MGIC Rate Cards and Program Highlights - Monthly Premiums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https://www.mgic.com/rates/rate-cards.html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quarterly.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GNMA MIP Updates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is announced by FHA Mortgagee Letters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http://portal.hud.gov/hudportal/HUD?src=/program_offices/administration/hudclips/letters/mortgagee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Also check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S:\Research\Government\GSE\Ginnie Mae\FHA\Mortgagee Letters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Market\Upfront Loan Level Price Adjustments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Market\RunEffectiveGFees.vbs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Market\yyyy-mm\Effective g fee yyyy-mm-dd.pdf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2" name="TextBox 1"/>
        <xdr:cNvSpPr txBox="1"/>
      </xdr:nvSpPr>
      <xdr:spPr>
        <a:xfrm>
          <a:off x="10469035" y="4762500"/>
          <a:ext cx="1802342" cy="20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7"/>
  <sheetViews>
    <sheetView showGridLines="0" tabSelected="1" topLeftCell="A17" zoomScale="90" zoomScaleNormal="90" workbookViewId="0">
      <selection activeCell="I65" sqref="I65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2.1406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42109</v>
      </c>
    </row>
    <row r="3" spans="19:22">
      <c r="S3" s="1" t="s">
        <v>6</v>
      </c>
      <c r="T3" s="4" t="s">
        <v>121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Market\tmp\Effective g fee 2015-04-15.pdf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63</v>
      </c>
    </row>
    <row r="38" spans="3:14">
      <c r="C38" s="8"/>
      <c r="D38" s="414">
        <v>2015</v>
      </c>
      <c r="E38" s="416"/>
      <c r="F38" s="414">
        <v>2014</v>
      </c>
      <c r="G38" s="415"/>
      <c r="H38" s="415"/>
      <c r="I38" s="416"/>
      <c r="J38" s="414">
        <v>2013</v>
      </c>
      <c r="K38" s="415"/>
      <c r="L38" s="415"/>
      <c r="M38" s="416"/>
    </row>
    <row r="39" spans="3:14">
      <c r="C39" s="8"/>
      <c r="D39" s="412" t="s">
        <v>60</v>
      </c>
      <c r="E39" s="9" t="s">
        <v>61</v>
      </c>
      <c r="F39" s="409" t="s">
        <v>58</v>
      </c>
      <c r="G39" s="409" t="s">
        <v>59</v>
      </c>
      <c r="H39" s="409" t="s">
        <v>60</v>
      </c>
      <c r="I39" s="409" t="s">
        <v>61</v>
      </c>
      <c r="J39" s="409" t="s">
        <v>58</v>
      </c>
      <c r="K39" s="409" t="s">
        <v>59</v>
      </c>
      <c r="L39" s="409" t="s">
        <v>60</v>
      </c>
      <c r="M39" s="409" t="s">
        <v>61</v>
      </c>
    </row>
    <row r="40" spans="3:14">
      <c r="C40" s="370" t="s">
        <v>132</v>
      </c>
      <c r="D40" s="7">
        <f>Input!M49</f>
        <v>43.7</v>
      </c>
      <c r="E40" s="7">
        <f>Input!N49</f>
        <v>42.7</v>
      </c>
      <c r="F40" s="7">
        <f>Input!O49</f>
        <v>40.799999999999997</v>
      </c>
      <c r="G40" s="7">
        <f>Input!P49</f>
        <v>41.2</v>
      </c>
      <c r="H40" s="7">
        <f>Input!Q49</f>
        <v>40.299999999999997</v>
      </c>
      <c r="I40" s="7">
        <f>Input!R49</f>
        <v>39.799999999999997</v>
      </c>
      <c r="J40" s="7">
        <f>Input!S49</f>
        <v>36.700000000000003</v>
      </c>
      <c r="K40" s="7">
        <f>Input!T49</f>
        <v>38</v>
      </c>
      <c r="L40" s="7">
        <f>Input!U49</f>
        <v>35.799999999999997</v>
      </c>
      <c r="M40" s="7">
        <f>Input!V49</f>
        <v>33.5</v>
      </c>
    </row>
    <row r="41" spans="3:14">
      <c r="C41" s="370" t="s">
        <v>133</v>
      </c>
      <c r="D41" s="7">
        <f>Input!M50</f>
        <v>59.9</v>
      </c>
      <c r="E41" s="7">
        <f>Input!N50</f>
        <v>61.2</v>
      </c>
      <c r="F41" s="7">
        <f>Input!O50</f>
        <v>62.9</v>
      </c>
      <c r="G41" s="7">
        <f>Input!P50</f>
        <v>63.5</v>
      </c>
      <c r="H41" s="7">
        <f>Input!Q50</f>
        <v>62.6</v>
      </c>
      <c r="I41" s="7">
        <f>Input!R50</f>
        <v>63</v>
      </c>
      <c r="J41" s="7">
        <f>Input!S50</f>
        <v>57.4</v>
      </c>
      <c r="K41" s="7">
        <f>Input!T50</f>
        <v>58.7</v>
      </c>
      <c r="L41" s="7">
        <f>Input!U50</f>
        <v>56.9</v>
      </c>
      <c r="M41" s="7">
        <f>Input!V50</f>
        <v>54.4</v>
      </c>
    </row>
    <row r="43" spans="3:14">
      <c r="C43" s="6" t="s">
        <v>82</v>
      </c>
      <c r="K43" s="382" t="s">
        <v>78</v>
      </c>
    </row>
    <row r="44" spans="3:14">
      <c r="C44" s="8"/>
      <c r="D44" s="413" t="s">
        <v>24</v>
      </c>
      <c r="E44" s="413"/>
      <c r="F44" s="413"/>
      <c r="G44" s="413"/>
      <c r="H44" s="413"/>
      <c r="I44" s="413"/>
      <c r="J44" s="413"/>
      <c r="K44" s="413"/>
    </row>
    <row r="45" spans="3:14">
      <c r="C45" s="8" t="s">
        <v>7</v>
      </c>
      <c r="D45" s="9" t="s">
        <v>16</v>
      </c>
      <c r="E45" s="9" t="s">
        <v>17</v>
      </c>
      <c r="F45" s="9" t="s">
        <v>18</v>
      </c>
      <c r="G45" s="9" t="s">
        <v>19</v>
      </c>
      <c r="H45" s="9" t="s">
        <v>20</v>
      </c>
      <c r="I45" s="9" t="s">
        <v>21</v>
      </c>
      <c r="J45" s="9" t="s">
        <v>22</v>
      </c>
      <c r="K45" s="9" t="s">
        <v>23</v>
      </c>
    </row>
    <row r="46" spans="3:14">
      <c r="C46" s="12" t="s">
        <v>8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0.38499999999999995</v>
      </c>
      <c r="I46" s="10">
        <f>'Report Page 2'!I54</f>
        <v>0.54500000000000004</v>
      </c>
      <c r="J46" s="10">
        <f>'Report Page 2'!J54</f>
        <v>0.69500000000000006</v>
      </c>
      <c r="K46" s="10">
        <f>'Report Page 2'!K54</f>
        <v>1.33</v>
      </c>
      <c r="M46" s="374" t="str">
        <f>"Max:"&amp;TEXT(MAX($D$46:$K$53,$D$55:$K$58),"0.00")</f>
        <v>Max:2.73</v>
      </c>
      <c r="N46" s="371">
        <f>MAX($D$46:$K$53,$D$55:$K$58)</f>
        <v>2.7299999999999995</v>
      </c>
    </row>
    <row r="47" spans="3:14">
      <c r="C47" s="12" t="s">
        <v>9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0.52749999999999997</v>
      </c>
      <c r="I47" s="10">
        <f>'Report Page 2'!I55</f>
        <v>0.6974999999999999</v>
      </c>
      <c r="J47" s="10">
        <f>'Report Page 2'!J55</f>
        <v>0.87749999999999995</v>
      </c>
      <c r="K47" s="10">
        <f>'Report Page 2'!K55</f>
        <v>1.4825000000000002</v>
      </c>
      <c r="M47" s="375"/>
      <c r="N47" s="372">
        <f>N46-($N$46-$N$53)/7</f>
        <v>2.3399999999999994</v>
      </c>
    </row>
    <row r="48" spans="3:14">
      <c r="C48" s="12" t="s">
        <v>10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0.65249999999999997</v>
      </c>
      <c r="I48" s="10">
        <f>'Report Page 2'!I56</f>
        <v>0.8224999999999999</v>
      </c>
      <c r="J48" s="10">
        <f>'Report Page 2'!J56</f>
        <v>1.0024999999999999</v>
      </c>
      <c r="K48" s="10">
        <f>'Report Page 2'!K56</f>
        <v>1.6075000000000002</v>
      </c>
      <c r="M48" s="375"/>
      <c r="N48" s="372">
        <f t="shared" ref="N48:N52" si="0">N47-($N$46-$N$53)/7</f>
        <v>1.9499999999999995</v>
      </c>
    </row>
    <row r="49" spans="3:14">
      <c r="C49" s="12" t="s">
        <v>11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0.87750000000000006</v>
      </c>
      <c r="I49" s="10">
        <f>'Report Page 2'!I57</f>
        <v>1.0549999999999999</v>
      </c>
      <c r="J49" s="10">
        <f>'Report Page 2'!J57</f>
        <v>1.375</v>
      </c>
      <c r="K49" s="10">
        <f>'Report Page 2'!K57</f>
        <v>1.8574999999999999</v>
      </c>
      <c r="M49" s="375"/>
      <c r="N49" s="372">
        <f t="shared" si="0"/>
        <v>1.5599999999999996</v>
      </c>
    </row>
    <row r="50" spans="3:14">
      <c r="C50" s="12" t="s">
        <v>12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1.19</v>
      </c>
      <c r="I50" s="10">
        <f>'Report Page 2'!I58</f>
        <v>1.3049999999999999</v>
      </c>
      <c r="J50" s="10">
        <f>'Report Page 2'!J58</f>
        <v>1.625</v>
      </c>
      <c r="K50" s="10">
        <f>'Report Page 2'!K58</f>
        <v>2.0449999999999999</v>
      </c>
      <c r="M50" s="375"/>
      <c r="N50" s="372">
        <f t="shared" si="0"/>
        <v>1.1699999999999997</v>
      </c>
    </row>
    <row r="51" spans="3:14">
      <c r="C51" s="12" t="s">
        <v>13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1.5150000000000001</v>
      </c>
      <c r="I51" s="10">
        <f>'Report Page 2'!I59</f>
        <v>1.7100000000000002</v>
      </c>
      <c r="J51" s="10">
        <f>'Report Page 2'!J59</f>
        <v>2.15</v>
      </c>
      <c r="K51" s="10">
        <f>'Report Page 2'!K59</f>
        <v>2.4799999999999995</v>
      </c>
      <c r="M51" s="375"/>
      <c r="N51" s="372">
        <f t="shared" si="0"/>
        <v>0.7799999999999998</v>
      </c>
    </row>
    <row r="52" spans="3:14">
      <c r="C52" s="12" t="s">
        <v>14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1.5150000000000001</v>
      </c>
      <c r="I52" s="10">
        <f>'Report Page 2'!I60</f>
        <v>1.8350000000000002</v>
      </c>
      <c r="J52" s="10">
        <f>'Report Page 2'!J60</f>
        <v>2.2749999999999999</v>
      </c>
      <c r="K52" s="10">
        <f>'Report Page 2'!K60</f>
        <v>2.6674999999999995</v>
      </c>
      <c r="M52" s="375"/>
      <c r="N52" s="372">
        <f t="shared" si="0"/>
        <v>0.38999999999999985</v>
      </c>
    </row>
    <row r="53" spans="3:14">
      <c r="C53" s="12" t="s">
        <v>15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1.5150000000000001</v>
      </c>
      <c r="I53" s="10">
        <f>'Report Page 2'!I61</f>
        <v>1.8350000000000002</v>
      </c>
      <c r="J53" s="10">
        <f>'Report Page 2'!J61</f>
        <v>2.2749999999999999</v>
      </c>
      <c r="K53" s="10">
        <f>'Report Page 2'!K61</f>
        <v>2.7299999999999995</v>
      </c>
      <c r="M53" s="374" t="str">
        <f>"Min:"&amp;TEXT(MIN($D$46:$K$53,$D$55:$K$58),"0.00")</f>
        <v>Min:0.00</v>
      </c>
      <c r="N53" s="373">
        <f>MIN($D$46:$K$53,$D$55:$K$58)</f>
        <v>0</v>
      </c>
    </row>
    <row r="55" spans="3:14">
      <c r="C55" s="428" t="s">
        <v>134</v>
      </c>
    </row>
    <row r="56" spans="3:14">
      <c r="C56" s="429" t="s">
        <v>135</v>
      </c>
    </row>
    <row r="57" spans="3:14">
      <c r="C57" s="430" t="s">
        <v>136</v>
      </c>
    </row>
  </sheetData>
  <mergeCells count="4">
    <mergeCell ref="D44:K44"/>
    <mergeCell ref="F38:I38"/>
    <mergeCell ref="J38:M38"/>
    <mergeCell ref="D38:E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1" orientation="landscape" horizontalDpi="1200" verticalDpi="1200" r:id="rId1"/>
  <headerFooter scaleWithDoc="0">
    <oddHeader>&amp;L&amp;G&amp;C&amp;"-,Bold"&amp;10&amp;K2E398A
&amp;15Effective Guarantee Fees and Rate Adjustments&amp;R&amp;"-,Bold"&amp;10&amp;K2E398A
As of 04/15/2015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P61"/>
  <sheetViews>
    <sheetView showGridLines="0" topLeftCell="A4" zoomScale="90" zoomScaleNormal="90" workbookViewId="0">
      <selection activeCell="O60" sqref="O60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3" customWidth="1"/>
    <col min="15" max="15" width="19.5703125" customWidth="1"/>
    <col min="16" max="17" width="12.7109375" customWidth="1"/>
  </cols>
  <sheetData>
    <row r="12" spans="3:16">
      <c r="C12" s="6" t="s">
        <v>62</v>
      </c>
      <c r="J12" s="382"/>
      <c r="K12" s="382" t="s">
        <v>125</v>
      </c>
    </row>
    <row r="13" spans="3:16">
      <c r="C13" s="377"/>
      <c r="D13" s="413" t="s">
        <v>24</v>
      </c>
      <c r="E13" s="413"/>
      <c r="F13" s="413"/>
      <c r="G13" s="413"/>
      <c r="H13" s="413"/>
      <c r="I13" s="413"/>
      <c r="J13" s="413"/>
      <c r="K13" s="413"/>
    </row>
    <row r="14" spans="3:16">
      <c r="C14" s="377" t="s">
        <v>7</v>
      </c>
      <c r="D14" s="376" t="s">
        <v>16</v>
      </c>
      <c r="E14" s="376" t="s">
        <v>17</v>
      </c>
      <c r="F14" s="376" t="s">
        <v>18</v>
      </c>
      <c r="G14" s="376" t="s">
        <v>19</v>
      </c>
      <c r="H14" s="376" t="s">
        <v>20</v>
      </c>
      <c r="I14" s="376" t="s">
        <v>21</v>
      </c>
      <c r="J14" s="376" t="s">
        <v>22</v>
      </c>
      <c r="K14" s="376" t="s">
        <v>23</v>
      </c>
    </row>
    <row r="15" spans="3:16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1</v>
      </c>
      <c r="M15" s="371">
        <f>MAX($D$15:$K$22,$D$24:$K$27)</f>
        <v>4</v>
      </c>
      <c r="N15" s="384" t="str">
        <f>"Max:"&amp;TEXT(MAX($D$15:$K$22,$D$24:$K$27),"0.00")</f>
        <v>Max:4.00</v>
      </c>
      <c r="P15" s="402"/>
    </row>
    <row r="16" spans="3:16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1.25</v>
      </c>
      <c r="M16" s="372">
        <f t="shared" ref="M16:M21" si="0">M15-($M$15-$M$22)/7</f>
        <v>3.4285714285714288</v>
      </c>
      <c r="N16" s="385"/>
      <c r="P16" s="402"/>
    </row>
    <row r="17" spans="3:16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1.75</v>
      </c>
      <c r="M17" s="372">
        <f t="shared" si="0"/>
        <v>2.8571428571428577</v>
      </c>
      <c r="N17" s="385"/>
      <c r="P17" s="402"/>
    </row>
    <row r="18" spans="3:16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1.75</v>
      </c>
      <c r="M18" s="372">
        <f t="shared" si="0"/>
        <v>2.2857142857142865</v>
      </c>
      <c r="N18" s="385"/>
      <c r="P18" s="402"/>
    </row>
    <row r="19" spans="3:16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2.5</v>
      </c>
      <c r="M19" s="372">
        <f t="shared" si="0"/>
        <v>1.7142857142857151</v>
      </c>
      <c r="N19" s="385"/>
      <c r="P19" s="402"/>
    </row>
    <row r="20" spans="3:16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3</v>
      </c>
      <c r="M20" s="372">
        <f t="shared" si="0"/>
        <v>1.1428571428571437</v>
      </c>
      <c r="N20" s="385"/>
      <c r="P20" s="402"/>
    </row>
    <row r="21" spans="3:16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3.75</v>
      </c>
      <c r="M21" s="372">
        <f t="shared" si="0"/>
        <v>0.57142857142857229</v>
      </c>
      <c r="N21" s="385"/>
      <c r="P21" s="402"/>
    </row>
    <row r="22" spans="3:16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4</v>
      </c>
      <c r="M22" s="373">
        <f>MIN($D$15:$K$22,$D$24:$K$27)</f>
        <v>0</v>
      </c>
      <c r="N22" s="384" t="str">
        <f>"Min:"&amp;TEXT(MIN($D$15:$K$22,$D$24:$K$27),"0.00")</f>
        <v>Min:0.00</v>
      </c>
      <c r="P22" s="402"/>
    </row>
    <row r="23" spans="3:16">
      <c r="C23" s="377" t="s">
        <v>25</v>
      </c>
      <c r="D23" s="377"/>
      <c r="E23" s="377"/>
      <c r="F23" s="377"/>
      <c r="G23" s="377"/>
      <c r="H23" s="377"/>
      <c r="I23" s="377"/>
      <c r="J23" s="377"/>
      <c r="K23" s="377"/>
    </row>
    <row r="24" spans="3:16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6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6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6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6" ht="15.75" customHeight="1">
      <c r="C28" s="407" t="s">
        <v>124</v>
      </c>
    </row>
    <row r="29" spans="3:16">
      <c r="C29" s="6" t="s">
        <v>79</v>
      </c>
      <c r="K29" s="382" t="s">
        <v>80</v>
      </c>
    </row>
    <row r="30" spans="3:16">
      <c r="C30" s="377"/>
      <c r="D30" s="408" t="s">
        <v>16</v>
      </c>
      <c r="E30" s="408" t="s">
        <v>17</v>
      </c>
      <c r="F30" s="408" t="s">
        <v>18</v>
      </c>
      <c r="G30" s="408" t="s">
        <v>19</v>
      </c>
      <c r="H30" s="408" t="s">
        <v>20</v>
      </c>
      <c r="I30" s="408" t="s">
        <v>21</v>
      </c>
      <c r="J30" s="408" t="s">
        <v>22</v>
      </c>
      <c r="K30" s="408" t="s">
        <v>23</v>
      </c>
    </row>
    <row r="31" spans="3:16">
      <c r="C31" s="12" t="s">
        <v>64</v>
      </c>
      <c r="D31" s="10">
        <v>0</v>
      </c>
      <c r="E31" s="10">
        <v>0</v>
      </c>
      <c r="F31" s="10">
        <v>0</v>
      </c>
      <c r="G31" s="10">
        <v>0</v>
      </c>
      <c r="H31" s="10">
        <v>0.21</v>
      </c>
      <c r="I31" s="10">
        <v>0.37</v>
      </c>
      <c r="J31" s="10">
        <v>0.52</v>
      </c>
      <c r="K31" s="10">
        <v>1.03</v>
      </c>
      <c r="M31" s="371">
        <f>MAX($D$15:$K$22,$D$24:$K$27)</f>
        <v>4</v>
      </c>
      <c r="N31" s="384" t="str">
        <f>"Max:"&amp;TEXT(MAX($D$31:$K$38),"0.00")</f>
        <v>Max:1.43</v>
      </c>
    </row>
    <row r="32" spans="3:16">
      <c r="C32" s="12" t="s">
        <v>65</v>
      </c>
      <c r="D32" s="10">
        <v>0</v>
      </c>
      <c r="E32" s="10">
        <v>0</v>
      </c>
      <c r="F32" s="10">
        <v>0</v>
      </c>
      <c r="G32" s="10">
        <v>0</v>
      </c>
      <c r="H32" s="10">
        <v>0.24</v>
      </c>
      <c r="I32" s="10">
        <v>0.41</v>
      </c>
      <c r="J32" s="10">
        <v>0.59</v>
      </c>
      <c r="K32" s="10">
        <v>1.07</v>
      </c>
      <c r="M32" s="372">
        <f t="shared" ref="M32:M37" si="1">M31-($M$15-$M$22)/7</f>
        <v>3.4285714285714288</v>
      </c>
      <c r="N32" s="385"/>
    </row>
    <row r="33" spans="3:14">
      <c r="C33" s="12" t="s">
        <v>66</v>
      </c>
      <c r="D33" s="10">
        <v>0</v>
      </c>
      <c r="E33" s="10">
        <v>0</v>
      </c>
      <c r="F33" s="10">
        <v>0</v>
      </c>
      <c r="G33" s="10">
        <v>0</v>
      </c>
      <c r="H33" s="10">
        <v>0.24</v>
      </c>
      <c r="I33" s="10">
        <v>0.41</v>
      </c>
      <c r="J33" s="10">
        <v>0.59</v>
      </c>
      <c r="K33" s="10">
        <v>1.07</v>
      </c>
      <c r="M33" s="372">
        <f t="shared" si="1"/>
        <v>2.8571428571428577</v>
      </c>
      <c r="N33" s="385"/>
    </row>
    <row r="34" spans="3:14">
      <c r="C34" s="12" t="s">
        <v>67</v>
      </c>
      <c r="D34" s="10">
        <v>0</v>
      </c>
      <c r="E34" s="10">
        <v>0</v>
      </c>
      <c r="F34" s="10">
        <v>0</v>
      </c>
      <c r="G34" s="10">
        <v>0</v>
      </c>
      <c r="H34" s="10">
        <v>0.28999999999999998</v>
      </c>
      <c r="I34" s="10">
        <v>0.53</v>
      </c>
      <c r="J34" s="10">
        <v>0.85</v>
      </c>
      <c r="K34" s="10">
        <v>1.27</v>
      </c>
      <c r="M34" s="372">
        <f t="shared" si="1"/>
        <v>2.2857142857142865</v>
      </c>
      <c r="N34" s="385"/>
    </row>
    <row r="35" spans="3:14">
      <c r="C35" s="12" t="s">
        <v>68</v>
      </c>
      <c r="D35" s="10">
        <v>0</v>
      </c>
      <c r="E35" s="10">
        <v>0</v>
      </c>
      <c r="F35" s="10">
        <v>0</v>
      </c>
      <c r="G35" s="10">
        <v>0</v>
      </c>
      <c r="H35" s="10">
        <v>0.28999999999999998</v>
      </c>
      <c r="I35" s="10">
        <v>0.53</v>
      </c>
      <c r="J35" s="10">
        <v>0.85</v>
      </c>
      <c r="K35" s="10">
        <v>1.27</v>
      </c>
      <c r="M35" s="372">
        <f t="shared" si="1"/>
        <v>1.7142857142857151</v>
      </c>
      <c r="N35" s="385"/>
    </row>
    <row r="36" spans="3:14">
      <c r="C36" s="12" t="s">
        <v>69</v>
      </c>
      <c r="D36" s="10">
        <v>0</v>
      </c>
      <c r="E36" s="10">
        <v>0</v>
      </c>
      <c r="F36" s="10">
        <v>0</v>
      </c>
      <c r="G36" s="10">
        <v>0</v>
      </c>
      <c r="H36" s="10">
        <v>0.34</v>
      </c>
      <c r="I36" s="10">
        <v>0.66</v>
      </c>
      <c r="J36" s="10">
        <v>1.1000000000000001</v>
      </c>
      <c r="K36" s="10">
        <v>1.43</v>
      </c>
      <c r="M36" s="372">
        <f t="shared" si="1"/>
        <v>1.1428571428571437</v>
      </c>
      <c r="N36" s="385"/>
    </row>
    <row r="37" spans="3:14">
      <c r="C37" s="12" t="s">
        <v>70</v>
      </c>
      <c r="D37" s="10">
        <v>0</v>
      </c>
      <c r="E37" s="10">
        <v>0</v>
      </c>
      <c r="F37" s="10">
        <v>0</v>
      </c>
      <c r="G37" s="10">
        <v>0</v>
      </c>
      <c r="H37" s="10">
        <v>0.34</v>
      </c>
      <c r="I37" s="10">
        <v>0.66</v>
      </c>
      <c r="J37" s="10">
        <v>1.1000000000000001</v>
      </c>
      <c r="K37" s="10">
        <v>1.43</v>
      </c>
      <c r="M37" s="372">
        <f t="shared" si="1"/>
        <v>0.57142857142857229</v>
      </c>
      <c r="N37" s="385"/>
    </row>
    <row r="38" spans="3:14">
      <c r="C38" s="12" t="s">
        <v>71</v>
      </c>
      <c r="D38" s="10">
        <v>0</v>
      </c>
      <c r="E38" s="10">
        <v>0</v>
      </c>
      <c r="F38" s="10">
        <v>0</v>
      </c>
      <c r="G38" s="10">
        <v>0</v>
      </c>
      <c r="H38" s="10">
        <v>0.34</v>
      </c>
      <c r="I38" s="10">
        <v>0.66</v>
      </c>
      <c r="J38" s="10">
        <v>1.1000000000000001</v>
      </c>
      <c r="K38" s="10">
        <v>1.43</v>
      </c>
      <c r="M38" s="373">
        <f>MIN($D$15:$K$22,$D$24:$K$27)</f>
        <v>0</v>
      </c>
      <c r="N38" s="384" t="str">
        <f>"Min:"&amp;TEXT(MIN($D$31:$K$38),"0.00")</f>
        <v>Min:0.00</v>
      </c>
    </row>
    <row r="39" spans="3:14">
      <c r="C39" s="379" t="s">
        <v>72</v>
      </c>
      <c r="D39" s="380"/>
      <c r="E39" s="380"/>
      <c r="F39" s="380"/>
      <c r="G39" s="380"/>
      <c r="H39" s="381">
        <v>0.12</v>
      </c>
      <c r="I39" s="381">
        <v>0.25</v>
      </c>
      <c r="J39" s="381">
        <v>0.3</v>
      </c>
      <c r="K39" s="381">
        <v>0.35</v>
      </c>
    </row>
    <row r="40" spans="3:14" ht="8.25" customHeight="1"/>
    <row r="41" spans="3:14">
      <c r="C41" s="6" t="s">
        <v>81</v>
      </c>
      <c r="K41" s="382" t="s">
        <v>76</v>
      </c>
    </row>
    <row r="42" spans="3:14">
      <c r="C42" s="377"/>
      <c r="D42" s="419" t="s">
        <v>73</v>
      </c>
      <c r="E42" s="420"/>
      <c r="F42" s="419" t="s">
        <v>74</v>
      </c>
      <c r="G42" s="420"/>
      <c r="H42" s="419" t="s">
        <v>75</v>
      </c>
      <c r="I42" s="420"/>
      <c r="J42" s="419" t="s">
        <v>26</v>
      </c>
      <c r="K42" s="420"/>
    </row>
    <row r="43" spans="3:14">
      <c r="C43" s="12" t="s">
        <v>64</v>
      </c>
      <c r="D43" s="417">
        <v>0.05</v>
      </c>
      <c r="E43" s="418"/>
      <c r="F43" s="417">
        <v>0.18</v>
      </c>
      <c r="G43" s="418"/>
      <c r="H43" s="417">
        <v>0.2</v>
      </c>
      <c r="I43" s="418"/>
      <c r="J43" s="417">
        <v>0.34</v>
      </c>
      <c r="K43" s="418"/>
      <c r="M43" s="371">
        <f>MAX($D$43:$K$50,$D$24:$K$27)</f>
        <v>3.75</v>
      </c>
      <c r="N43" s="384" t="str">
        <f>"Max:"&amp;TEXT(MAX($D$43:$K$50),"0.00")</f>
        <v>Max:0.75</v>
      </c>
    </row>
    <row r="44" spans="3:14">
      <c r="C44" s="12" t="s">
        <v>65</v>
      </c>
      <c r="D44" s="417">
        <v>0.1</v>
      </c>
      <c r="E44" s="418"/>
      <c r="F44" s="417">
        <v>0.2</v>
      </c>
      <c r="G44" s="418"/>
      <c r="H44" s="417">
        <v>0.25</v>
      </c>
      <c r="I44" s="418"/>
      <c r="J44" s="417">
        <v>0.38</v>
      </c>
      <c r="K44" s="418"/>
      <c r="M44" s="372">
        <f t="shared" ref="M44:M49" si="2">M43-($M$15-$M$22)/7</f>
        <v>3.1785714285714288</v>
      </c>
      <c r="N44" s="385"/>
    </row>
    <row r="45" spans="3:14">
      <c r="C45" s="12" t="s">
        <v>66</v>
      </c>
      <c r="D45" s="417">
        <v>0.1</v>
      </c>
      <c r="E45" s="418"/>
      <c r="F45" s="417">
        <v>0.2</v>
      </c>
      <c r="G45" s="418"/>
      <c r="H45" s="417">
        <v>0.25</v>
      </c>
      <c r="I45" s="418"/>
      <c r="J45" s="417">
        <v>0.38</v>
      </c>
      <c r="K45" s="418"/>
      <c r="M45" s="372">
        <f t="shared" si="2"/>
        <v>2.6071428571428577</v>
      </c>
      <c r="N45" s="385"/>
    </row>
    <row r="46" spans="3:14">
      <c r="C46" s="12" t="s">
        <v>67</v>
      </c>
      <c r="D46" s="417">
        <v>0.15</v>
      </c>
      <c r="E46" s="418"/>
      <c r="F46" s="417">
        <v>0.25</v>
      </c>
      <c r="G46" s="418"/>
      <c r="H46" s="417">
        <v>0.4</v>
      </c>
      <c r="I46" s="418"/>
      <c r="J46" s="417">
        <v>0.5</v>
      </c>
      <c r="K46" s="418"/>
      <c r="M46" s="372">
        <f t="shared" si="2"/>
        <v>2.0357142857142865</v>
      </c>
      <c r="N46" s="385"/>
    </row>
    <row r="47" spans="3:14">
      <c r="C47" s="12" t="s">
        <v>68</v>
      </c>
      <c r="D47" s="417">
        <v>0.15</v>
      </c>
      <c r="E47" s="418"/>
      <c r="F47" s="417">
        <v>0.25</v>
      </c>
      <c r="G47" s="418"/>
      <c r="H47" s="417">
        <v>0.4</v>
      </c>
      <c r="I47" s="418"/>
      <c r="J47" s="417">
        <v>0.5</v>
      </c>
      <c r="K47" s="418"/>
      <c r="M47" s="372">
        <f t="shared" si="2"/>
        <v>1.4642857142857151</v>
      </c>
      <c r="N47" s="385"/>
    </row>
    <row r="48" spans="3:14">
      <c r="C48" s="12" t="s">
        <v>69</v>
      </c>
      <c r="D48" s="417">
        <v>0.3</v>
      </c>
      <c r="E48" s="418"/>
      <c r="F48" s="417">
        <v>0.5</v>
      </c>
      <c r="G48" s="418"/>
      <c r="H48" s="417">
        <v>0.6</v>
      </c>
      <c r="I48" s="418"/>
      <c r="J48" s="417">
        <v>0.75</v>
      </c>
      <c r="K48" s="418"/>
      <c r="M48" s="372">
        <f t="shared" si="2"/>
        <v>0.89285714285714368</v>
      </c>
      <c r="N48" s="385"/>
    </row>
    <row r="49" spans="3:14">
      <c r="C49" s="12" t="s">
        <v>70</v>
      </c>
      <c r="D49" s="417">
        <v>0.3</v>
      </c>
      <c r="E49" s="418"/>
      <c r="F49" s="417">
        <v>0.5</v>
      </c>
      <c r="G49" s="418"/>
      <c r="H49" s="417">
        <v>0.6</v>
      </c>
      <c r="I49" s="418"/>
      <c r="J49" s="417">
        <v>0.75</v>
      </c>
      <c r="K49" s="418"/>
      <c r="M49" s="372">
        <f t="shared" si="2"/>
        <v>0.32142857142857229</v>
      </c>
    </row>
    <row r="50" spans="3:14">
      <c r="C50" s="12" t="s">
        <v>71</v>
      </c>
      <c r="D50" s="417">
        <v>0.3</v>
      </c>
      <c r="E50" s="418"/>
      <c r="F50" s="417">
        <v>0.5</v>
      </c>
      <c r="G50" s="418"/>
      <c r="H50" s="417">
        <v>0.6</v>
      </c>
      <c r="I50" s="418"/>
      <c r="J50" s="417">
        <v>0.75</v>
      </c>
      <c r="K50" s="418"/>
      <c r="M50" s="373">
        <f>MIN($D$15:$K$22,$D$24:$K$27)</f>
        <v>0</v>
      </c>
      <c r="N50" s="384" t="str">
        <f>"Min:"&amp;TEXT(MIN($D$43:$K$50),"0.00")</f>
        <v>Min:0.05</v>
      </c>
    </row>
    <row r="51" spans="3:14" ht="6" customHeight="1"/>
    <row r="52" spans="3:14">
      <c r="C52" s="6" t="s">
        <v>77</v>
      </c>
      <c r="K52" s="382" t="s">
        <v>78</v>
      </c>
    </row>
    <row r="53" spans="3:14">
      <c r="C53" s="377"/>
      <c r="D53" s="376" t="s">
        <v>16</v>
      </c>
      <c r="E53" s="376" t="s">
        <v>17</v>
      </c>
      <c r="F53" s="376" t="s">
        <v>18</v>
      </c>
      <c r="G53" s="376" t="s">
        <v>19</v>
      </c>
      <c r="H53" s="376" t="s">
        <v>20</v>
      </c>
      <c r="I53" s="376" t="s">
        <v>21</v>
      </c>
      <c r="J53" s="376" t="s">
        <v>22</v>
      </c>
      <c r="K53" s="376" t="s">
        <v>23</v>
      </c>
    </row>
    <row r="54" spans="3:14">
      <c r="C54" s="12" t="s">
        <v>64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0.38499999999999995</v>
      </c>
      <c r="I54" s="10">
        <f t="shared" ref="I54:K54" si="4">I15/4+I31+$D43</f>
        <v>0.54500000000000004</v>
      </c>
      <c r="J54" s="10">
        <f t="shared" si="4"/>
        <v>0.69500000000000006</v>
      </c>
      <c r="K54" s="10">
        <f t="shared" si="4"/>
        <v>1.33</v>
      </c>
      <c r="M54" s="371">
        <f>MAX($D$43:$K$50,$D$24:$K$27)</f>
        <v>3.75</v>
      </c>
      <c r="N54" s="386" t="str">
        <f>"Max:"&amp;TEXT(MAX($D$54:$K$61),"0.00")</f>
        <v>Max:2.73</v>
      </c>
    </row>
    <row r="55" spans="3:14">
      <c r="C55" s="12" t="s">
        <v>65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0.52749999999999997</v>
      </c>
      <c r="I55" s="10">
        <f t="shared" si="6"/>
        <v>0.6974999999999999</v>
      </c>
      <c r="J55" s="10">
        <f t="shared" si="6"/>
        <v>0.87749999999999995</v>
      </c>
      <c r="K55" s="10">
        <f t="shared" si="6"/>
        <v>1.4825000000000002</v>
      </c>
      <c r="M55" s="372">
        <f t="shared" ref="M55:M60" si="7">M54-($M$15-$M$22)/7</f>
        <v>3.1785714285714288</v>
      </c>
      <c r="N55" s="385"/>
    </row>
    <row r="56" spans="3:14">
      <c r="C56" s="12" t="s">
        <v>66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0.65249999999999997</v>
      </c>
      <c r="I56" s="10">
        <f t="shared" si="9"/>
        <v>0.8224999999999999</v>
      </c>
      <c r="J56" s="10">
        <f t="shared" si="9"/>
        <v>1.0024999999999999</v>
      </c>
      <c r="K56" s="10">
        <f t="shared" si="9"/>
        <v>1.6075000000000002</v>
      </c>
      <c r="M56" s="372">
        <f t="shared" si="7"/>
        <v>2.6071428571428577</v>
      </c>
      <c r="N56" s="385"/>
    </row>
    <row r="57" spans="3:14">
      <c r="C57" s="12" t="s">
        <v>67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0.87750000000000006</v>
      </c>
      <c r="I57" s="10">
        <f t="shared" si="11"/>
        <v>1.0549999999999999</v>
      </c>
      <c r="J57" s="10">
        <f t="shared" si="11"/>
        <v>1.375</v>
      </c>
      <c r="K57" s="10">
        <f t="shared" si="11"/>
        <v>1.8574999999999999</v>
      </c>
      <c r="M57" s="372">
        <f t="shared" si="7"/>
        <v>2.0357142857142865</v>
      </c>
      <c r="N57" s="385"/>
    </row>
    <row r="58" spans="3:14">
      <c r="C58" s="12" t="s">
        <v>68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1.19</v>
      </c>
      <c r="I58" s="10">
        <f t="shared" si="13"/>
        <v>1.3049999999999999</v>
      </c>
      <c r="J58" s="10">
        <f t="shared" si="13"/>
        <v>1.625</v>
      </c>
      <c r="K58" s="10">
        <f t="shared" si="13"/>
        <v>2.0449999999999999</v>
      </c>
      <c r="M58" s="372">
        <f t="shared" si="7"/>
        <v>1.4642857142857151</v>
      </c>
      <c r="N58" s="385"/>
    </row>
    <row r="59" spans="3:14">
      <c r="C59" s="12" t="s">
        <v>69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1.5150000000000001</v>
      </c>
      <c r="I59" s="10">
        <f t="shared" si="15"/>
        <v>1.7100000000000002</v>
      </c>
      <c r="J59" s="10">
        <f t="shared" si="15"/>
        <v>2.15</v>
      </c>
      <c r="K59" s="10">
        <f t="shared" si="15"/>
        <v>2.4799999999999995</v>
      </c>
      <c r="M59" s="372">
        <f t="shared" si="7"/>
        <v>0.89285714285714368</v>
      </c>
      <c r="N59" s="385"/>
    </row>
    <row r="60" spans="3:14">
      <c r="C60" s="12" t="s">
        <v>70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1.5150000000000001</v>
      </c>
      <c r="I60" s="10">
        <f t="shared" si="17"/>
        <v>1.8350000000000002</v>
      </c>
      <c r="J60" s="10">
        <f t="shared" si="17"/>
        <v>2.2749999999999999</v>
      </c>
      <c r="K60" s="10">
        <f t="shared" si="17"/>
        <v>2.6674999999999995</v>
      </c>
      <c r="M60" s="372">
        <f t="shared" si="7"/>
        <v>0.32142857142857229</v>
      </c>
    </row>
    <row r="61" spans="3:14">
      <c r="C61" s="12" t="s">
        <v>71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1.5150000000000001</v>
      </c>
      <c r="I61" s="10">
        <f t="shared" si="19"/>
        <v>1.8350000000000002</v>
      </c>
      <c r="J61" s="10">
        <f t="shared" si="19"/>
        <v>2.2749999999999999</v>
      </c>
      <c r="K61" s="10">
        <f t="shared" si="19"/>
        <v>2.7299999999999995</v>
      </c>
      <c r="M61" s="373">
        <f>MIN($D$15:$K$22,$D$24:$K$27)</f>
        <v>0</v>
      </c>
      <c r="N61" s="386" t="str">
        <f>"Min:"&amp;TEXT(MIN($D$54:$K$61),"0.00")</f>
        <v>Min:0.00</v>
      </c>
    </row>
  </sheetData>
  <mergeCells count="37">
    <mergeCell ref="D13:K13"/>
    <mergeCell ref="D42:E42"/>
    <mergeCell ref="F42:G42"/>
    <mergeCell ref="H42:I42"/>
    <mergeCell ref="J42:K42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</mergeCells>
  <conditionalFormatting sqref="D15:K22 D24:K27">
    <cfRule type="colorScale" priority="150">
      <colorScale>
        <cfvo type="min"/>
        <cfvo type="max"/>
        <color theme="0"/>
        <color theme="4" tint="0.39997558519241921"/>
      </colorScale>
    </cfRule>
    <cfRule type="colorScale" priority="151">
      <colorScale>
        <cfvo type="min"/>
        <cfvo type="max"/>
        <color theme="0"/>
        <color theme="9" tint="0.39997558519241921"/>
      </colorScale>
    </cfRule>
    <cfRule type="colorScale" priority="152">
      <colorScale>
        <cfvo type="min"/>
        <cfvo type="max"/>
        <color theme="0"/>
        <color theme="6" tint="0.59999389629810485"/>
      </colorScale>
    </cfRule>
    <cfRule type="colorScale" priority="153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9">
      <colorScale>
        <cfvo type="min"/>
        <cfvo type="max"/>
        <color theme="0"/>
        <color theme="4" tint="0.39997558519241921"/>
      </colorScale>
    </cfRule>
  </conditionalFormatting>
  <conditionalFormatting sqref="D43">
    <cfRule type="colorScale" priority="137">
      <colorScale>
        <cfvo type="min"/>
        <cfvo type="max"/>
        <color theme="0"/>
        <color theme="4" tint="0.39997558519241921"/>
      </colorScale>
    </cfRule>
    <cfRule type="colorScale" priority="138">
      <colorScale>
        <cfvo type="min"/>
        <cfvo type="max"/>
        <color theme="0"/>
        <color theme="9" tint="0.39997558519241921"/>
      </colorScale>
    </cfRule>
    <cfRule type="colorScale" priority="139">
      <colorScale>
        <cfvo type="min"/>
        <cfvo type="max"/>
        <color theme="0"/>
        <color theme="6" tint="0.59999389629810485"/>
      </colorScale>
    </cfRule>
    <cfRule type="colorScale" priority="140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12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11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10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">
      <colorScale>
        <cfvo type="min"/>
        <cfvo type="max"/>
        <color theme="0"/>
        <color theme="4" tint="0.39997558519241921"/>
      </colorScale>
    </cfRule>
    <cfRule type="colorScale" priority="2">
      <colorScale>
        <cfvo type="min"/>
        <cfvo type="max"/>
        <color theme="0"/>
        <color theme="9" tint="0.39997558519241921"/>
      </colorScale>
    </cfRule>
    <cfRule type="colorScale" priority="3">
      <colorScale>
        <cfvo type="min"/>
        <cfvo type="max"/>
        <color theme="0"/>
        <color theme="6" tint="0.59999389629810485"/>
      </colorScale>
    </cfRule>
    <cfRule type="colorScale" priority="4">
      <colorScale>
        <cfvo type="min"/>
        <cfvo type="max"/>
        <color theme="0"/>
        <color theme="6" tint="0.79998168889431442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 xml:space="preserve">&amp;L&amp;G&amp;C&amp;"-,Bold"&amp;10&amp;K2E398A
&amp;15Effective Guarantee Fees and Rate Adjustments&amp;R&amp;"-,Bold"&amp;10&amp;K2E398A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C12:N75"/>
  <sheetViews>
    <sheetView showGridLines="0" topLeftCell="A7" zoomScale="90" zoomScaleNormal="90" workbookViewId="0">
      <selection activeCell="O43" sqref="O43"/>
    </sheetView>
  </sheetViews>
  <sheetFormatPr defaultRowHeight="15"/>
  <cols>
    <col min="2" max="2" width="16.85546875" customWidth="1"/>
    <col min="3" max="3" width="34.85546875" customWidth="1"/>
    <col min="4" max="11" width="12.7109375" customWidth="1"/>
    <col min="12" max="12" width="16.140625" customWidth="1"/>
    <col min="13" max="13" width="2" customWidth="1"/>
    <col min="14" max="14" width="12.7109375" style="383" customWidth="1"/>
    <col min="15" max="15" width="19.5703125" customWidth="1"/>
    <col min="16" max="17" width="12.7109375" customWidth="1"/>
  </cols>
  <sheetData>
    <row r="12" spans="3:14">
      <c r="C12" s="6" t="s">
        <v>129</v>
      </c>
      <c r="J12" s="382"/>
      <c r="K12" s="382" t="s">
        <v>125</v>
      </c>
    </row>
    <row r="13" spans="3:14">
      <c r="C13" s="377"/>
      <c r="D13" s="413" t="s">
        <v>24</v>
      </c>
      <c r="E13" s="413"/>
      <c r="F13" s="413"/>
      <c r="G13" s="413"/>
      <c r="H13" s="413"/>
      <c r="I13" s="413"/>
      <c r="J13" s="413"/>
      <c r="K13" s="413"/>
    </row>
    <row r="14" spans="3:14">
      <c r="C14" s="377" t="s">
        <v>7</v>
      </c>
      <c r="D14" s="401" t="s">
        <v>16</v>
      </c>
      <c r="E14" s="401" t="s">
        <v>17</v>
      </c>
      <c r="F14" s="401" t="s">
        <v>18</v>
      </c>
      <c r="G14" s="401" t="s">
        <v>19</v>
      </c>
      <c r="H14" s="401" t="s">
        <v>20</v>
      </c>
      <c r="I14" s="401" t="s">
        <v>21</v>
      </c>
      <c r="J14" s="401" t="s">
        <v>22</v>
      </c>
      <c r="K14" s="401" t="s">
        <v>23</v>
      </c>
    </row>
    <row r="15" spans="3:14">
      <c r="C15" s="12" t="s">
        <v>8</v>
      </c>
      <c r="D15" s="10">
        <f>'Report Page 2'!D15</f>
        <v>0</v>
      </c>
      <c r="E15" s="10">
        <f>'Report Page 2'!E15</f>
        <v>0.25</v>
      </c>
      <c r="F15" s="10">
        <f>'Report Page 2'!F15</f>
        <v>0.25</v>
      </c>
      <c r="G15" s="10">
        <f>'Report Page 2'!G15</f>
        <v>0.5</v>
      </c>
      <c r="H15" s="10">
        <f>'Report Page 2'!H15</f>
        <v>0.5</v>
      </c>
      <c r="I15" s="10">
        <f>'Report Page 2'!I15</f>
        <v>0.5</v>
      </c>
      <c r="J15" s="10">
        <f>'Report Page 2'!J15</f>
        <v>0.5</v>
      </c>
      <c r="K15" s="10">
        <f>'Report Page 2'!K15</f>
        <v>1</v>
      </c>
      <c r="M15" s="371">
        <f>MAX($D$15:$K$22,$D$24:$K$27)</f>
        <v>4</v>
      </c>
      <c r="N15" s="384" t="str">
        <f>"Max:"&amp;TEXT(MAX($D$15:$K$22,$D$24:$K$27),"0.00")</f>
        <v>Max:4.00</v>
      </c>
    </row>
    <row r="16" spans="3:14">
      <c r="C16" s="12" t="s">
        <v>9</v>
      </c>
      <c r="D16" s="10">
        <f>'Report Page 2'!D16</f>
        <v>0</v>
      </c>
      <c r="E16" s="10">
        <f>'Report Page 2'!E16</f>
        <v>0.25</v>
      </c>
      <c r="F16" s="10">
        <f>'Report Page 2'!F16</f>
        <v>0.5</v>
      </c>
      <c r="G16" s="10">
        <f>'Report Page 2'!G16</f>
        <v>0.75</v>
      </c>
      <c r="H16" s="10">
        <f>'Report Page 2'!H16</f>
        <v>0.75</v>
      </c>
      <c r="I16" s="10">
        <f>'Report Page 2'!I16</f>
        <v>0.75</v>
      </c>
      <c r="J16" s="10">
        <f>'Report Page 2'!J16</f>
        <v>0.75</v>
      </c>
      <c r="K16" s="10">
        <f>'Report Page 2'!K16</f>
        <v>1.25</v>
      </c>
      <c r="M16" s="372">
        <f t="shared" ref="M16:M21" si="0">M15-($M$15-$M$22)/7</f>
        <v>3.4285714285714288</v>
      </c>
      <c r="N16" s="385"/>
    </row>
    <row r="17" spans="3:14">
      <c r="C17" s="12" t="s">
        <v>10</v>
      </c>
      <c r="D17" s="10">
        <f>'Report Page 2'!D17</f>
        <v>0</v>
      </c>
      <c r="E17" s="10">
        <f>'Report Page 2'!E17</f>
        <v>0.75</v>
      </c>
      <c r="F17" s="10">
        <f>'Report Page 2'!F17</f>
        <v>1</v>
      </c>
      <c r="G17" s="10">
        <f>'Report Page 2'!G17</f>
        <v>1.25</v>
      </c>
      <c r="H17" s="10">
        <f>'Report Page 2'!H17</f>
        <v>1.25</v>
      </c>
      <c r="I17" s="10">
        <f>'Report Page 2'!I17</f>
        <v>1.25</v>
      </c>
      <c r="J17" s="10">
        <f>'Report Page 2'!J17</f>
        <v>1.25</v>
      </c>
      <c r="K17" s="10">
        <f>'Report Page 2'!K17</f>
        <v>1.75</v>
      </c>
      <c r="M17" s="372">
        <f t="shared" si="0"/>
        <v>2.8571428571428577</v>
      </c>
      <c r="N17" s="385"/>
    </row>
    <row r="18" spans="3:14">
      <c r="C18" s="12" t="s">
        <v>11</v>
      </c>
      <c r="D18" s="10">
        <f>'Report Page 2'!D18</f>
        <v>0.25</v>
      </c>
      <c r="E18" s="10">
        <f>'Report Page 2'!E18</f>
        <v>0.75</v>
      </c>
      <c r="F18" s="10">
        <f>'Report Page 2'!F18</f>
        <v>1.5</v>
      </c>
      <c r="G18" s="10">
        <f>'Report Page 2'!G18</f>
        <v>2</v>
      </c>
      <c r="H18" s="10">
        <f>'Report Page 2'!H18</f>
        <v>1.75</v>
      </c>
      <c r="I18" s="10">
        <f>'Report Page 2'!I18</f>
        <v>1.5</v>
      </c>
      <c r="J18" s="10">
        <f>'Report Page 2'!J18</f>
        <v>1.5</v>
      </c>
      <c r="K18" s="10">
        <f>'Report Page 2'!K18</f>
        <v>1.75</v>
      </c>
      <c r="M18" s="372">
        <f t="shared" si="0"/>
        <v>2.2857142857142865</v>
      </c>
      <c r="N18" s="385"/>
    </row>
    <row r="19" spans="3:14">
      <c r="C19" s="12" t="s">
        <v>12</v>
      </c>
      <c r="D19" s="10">
        <f>'Report Page 2'!D19</f>
        <v>0.25</v>
      </c>
      <c r="E19" s="10">
        <f>'Report Page 2'!E19</f>
        <v>1.25</v>
      </c>
      <c r="F19" s="10">
        <f>'Report Page 2'!F19</f>
        <v>2.25</v>
      </c>
      <c r="G19" s="10">
        <f>'Report Page 2'!G19</f>
        <v>2.75</v>
      </c>
      <c r="H19" s="10">
        <f>'Report Page 2'!H19</f>
        <v>3</v>
      </c>
      <c r="I19" s="10">
        <f>'Report Page 2'!I19</f>
        <v>2.5</v>
      </c>
      <c r="J19" s="10">
        <f>'Report Page 2'!J19</f>
        <v>2.5</v>
      </c>
      <c r="K19" s="10">
        <f>'Report Page 2'!K19</f>
        <v>2.5</v>
      </c>
      <c r="M19" s="372">
        <f t="shared" si="0"/>
        <v>1.7142857142857151</v>
      </c>
      <c r="N19" s="385"/>
    </row>
    <row r="20" spans="3:14">
      <c r="C20" s="12" t="s">
        <v>13</v>
      </c>
      <c r="D20" s="10">
        <f>'Report Page 2'!D20</f>
        <v>0.75</v>
      </c>
      <c r="E20" s="10">
        <f>'Report Page 2'!E20</f>
        <v>1.5</v>
      </c>
      <c r="F20" s="10">
        <f>'Report Page 2'!F20</f>
        <v>2.75</v>
      </c>
      <c r="G20" s="10">
        <f>'Report Page 2'!G20</f>
        <v>3.25</v>
      </c>
      <c r="H20" s="10">
        <f>'Report Page 2'!H20</f>
        <v>3.5</v>
      </c>
      <c r="I20" s="10">
        <f>'Report Page 2'!I20</f>
        <v>3</v>
      </c>
      <c r="J20" s="10">
        <f>'Report Page 2'!J20</f>
        <v>3</v>
      </c>
      <c r="K20" s="10">
        <f>'Report Page 2'!K20</f>
        <v>3</v>
      </c>
      <c r="M20" s="372">
        <f t="shared" si="0"/>
        <v>1.1428571428571437</v>
      </c>
      <c r="N20" s="385"/>
    </row>
    <row r="21" spans="3:14">
      <c r="C21" s="12" t="s">
        <v>14</v>
      </c>
      <c r="D21" s="10">
        <f>'Report Page 2'!D21</f>
        <v>0.75</v>
      </c>
      <c r="E21" s="10">
        <f>'Report Page 2'!E21</f>
        <v>1.75</v>
      </c>
      <c r="F21" s="10">
        <f>'Report Page 2'!F21</f>
        <v>3.25</v>
      </c>
      <c r="G21" s="10">
        <f>'Report Page 2'!G21</f>
        <v>3.25</v>
      </c>
      <c r="H21" s="10">
        <f>'Report Page 2'!H21</f>
        <v>3.5</v>
      </c>
      <c r="I21" s="10">
        <f>'Report Page 2'!I21</f>
        <v>3.5</v>
      </c>
      <c r="J21" s="10">
        <f>'Report Page 2'!J21</f>
        <v>3.5</v>
      </c>
      <c r="K21" s="10">
        <f>'Report Page 2'!K21</f>
        <v>3.75</v>
      </c>
      <c r="M21" s="372">
        <f t="shared" si="0"/>
        <v>0.57142857142857229</v>
      </c>
      <c r="N21" s="385"/>
    </row>
    <row r="22" spans="3:14">
      <c r="C22" s="12" t="s">
        <v>15</v>
      </c>
      <c r="D22" s="10">
        <f>'Report Page 2'!D22</f>
        <v>0.75</v>
      </c>
      <c r="E22" s="10">
        <f>'Report Page 2'!E22</f>
        <v>1.75</v>
      </c>
      <c r="F22" s="10">
        <f>'Report Page 2'!F22</f>
        <v>3.25</v>
      </c>
      <c r="G22" s="10">
        <f>'Report Page 2'!G22</f>
        <v>3.25</v>
      </c>
      <c r="H22" s="10">
        <f>'Report Page 2'!H22</f>
        <v>3.5</v>
      </c>
      <c r="I22" s="10">
        <f>'Report Page 2'!I22</f>
        <v>3.5</v>
      </c>
      <c r="J22" s="10">
        <f>'Report Page 2'!J22</f>
        <v>3.5</v>
      </c>
      <c r="K22" s="10">
        <f>'Report Page 2'!K22</f>
        <v>4</v>
      </c>
      <c r="M22" s="373">
        <f>MIN($D$15:$K$22,$D$24:$K$27)</f>
        <v>0</v>
      </c>
      <c r="N22" s="384" t="str">
        <f>"Min:"&amp;TEXT(MIN($D$15:$K$22,$D$24:$K$27),"0.00")</f>
        <v>Min:0.00</v>
      </c>
    </row>
    <row r="23" spans="3:14">
      <c r="C23" s="377" t="s">
        <v>25</v>
      </c>
      <c r="D23" s="377"/>
      <c r="E23" s="377"/>
      <c r="F23" s="377"/>
      <c r="G23" s="377"/>
      <c r="H23" s="377"/>
      <c r="I23" s="377"/>
      <c r="J23" s="377"/>
      <c r="K23" s="377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N29"/>
    </row>
    <row r="30" spans="3:14">
      <c r="C30" s="6" t="s">
        <v>127</v>
      </c>
      <c r="J30" s="382"/>
      <c r="K30" s="382" t="s">
        <v>126</v>
      </c>
      <c r="N30"/>
    </row>
    <row r="31" spans="3:14">
      <c r="C31" s="377"/>
      <c r="D31" s="413" t="s">
        <v>24</v>
      </c>
      <c r="E31" s="413"/>
      <c r="F31" s="413"/>
      <c r="G31" s="413"/>
      <c r="H31" s="413"/>
      <c r="I31" s="413"/>
      <c r="J31" s="413"/>
      <c r="K31" s="413"/>
    </row>
    <row r="32" spans="3:14">
      <c r="C32" s="377" t="s">
        <v>7</v>
      </c>
      <c r="D32" s="401" t="s">
        <v>16</v>
      </c>
      <c r="E32" s="401" t="s">
        <v>17</v>
      </c>
      <c r="F32" s="401" t="s">
        <v>18</v>
      </c>
      <c r="G32" s="401" t="s">
        <v>19</v>
      </c>
      <c r="H32" s="401" t="s">
        <v>20</v>
      </c>
      <c r="I32" s="401" t="s">
        <v>21</v>
      </c>
      <c r="J32" s="401" t="s">
        <v>22</v>
      </c>
      <c r="K32" s="401" t="s">
        <v>23</v>
      </c>
    </row>
    <row r="33" spans="3:14">
      <c r="C33" s="12" t="s">
        <v>8</v>
      </c>
      <c r="D33" s="10">
        <v>0</v>
      </c>
      <c r="E33" s="10">
        <v>0.25</v>
      </c>
      <c r="F33" s="10">
        <v>0.25</v>
      </c>
      <c r="G33" s="10">
        <v>0.5</v>
      </c>
      <c r="H33" s="10">
        <v>0.25</v>
      </c>
      <c r="I33" s="10">
        <v>0.25</v>
      </c>
      <c r="J33" s="10">
        <v>0.25</v>
      </c>
      <c r="K33" s="10">
        <v>0.75</v>
      </c>
      <c r="M33" s="371">
        <f>MAX($D$15:$K$22,$D$24:$K$27)</f>
        <v>4</v>
      </c>
      <c r="N33" s="384" t="str">
        <f>"Max:"&amp;TEXT(MAX($D$33:$K$40,$D$42:$K$46),"0.00")</f>
        <v>Max:4.13</v>
      </c>
    </row>
    <row r="34" spans="3:14">
      <c r="C34" s="12" t="s">
        <v>9</v>
      </c>
      <c r="D34" s="10">
        <v>0</v>
      </c>
      <c r="E34" s="10">
        <v>0.25</v>
      </c>
      <c r="F34" s="10">
        <v>0.5</v>
      </c>
      <c r="G34" s="10">
        <v>0.75</v>
      </c>
      <c r="H34" s="10">
        <v>0.5</v>
      </c>
      <c r="I34" s="10">
        <v>0.5</v>
      </c>
      <c r="J34" s="10">
        <v>0.5</v>
      </c>
      <c r="K34" s="10">
        <v>1</v>
      </c>
      <c r="M34" s="372">
        <f t="shared" ref="M34:M39" si="1">M33-($M$15-$M$22)/7</f>
        <v>3.4285714285714288</v>
      </c>
      <c r="N34" s="385"/>
    </row>
    <row r="35" spans="3:14">
      <c r="C35" s="12" t="s">
        <v>10</v>
      </c>
      <c r="D35" s="10">
        <v>0</v>
      </c>
      <c r="E35" s="10">
        <v>0.5</v>
      </c>
      <c r="F35" s="10">
        <v>1</v>
      </c>
      <c r="G35" s="10">
        <v>1.25</v>
      </c>
      <c r="H35" s="10">
        <v>1</v>
      </c>
      <c r="I35" s="10">
        <v>1</v>
      </c>
      <c r="J35" s="10">
        <v>1</v>
      </c>
      <c r="K35" s="10">
        <v>1.5</v>
      </c>
      <c r="M35" s="372">
        <f t="shared" si="1"/>
        <v>2.8571428571428577</v>
      </c>
      <c r="N35" s="385"/>
    </row>
    <row r="36" spans="3:14">
      <c r="C36" s="12" t="s">
        <v>11</v>
      </c>
      <c r="D36" s="10">
        <v>0</v>
      </c>
      <c r="E36" s="10">
        <v>0.5</v>
      </c>
      <c r="F36" s="10">
        <v>1.25</v>
      </c>
      <c r="G36" s="10">
        <v>1.75</v>
      </c>
      <c r="H36" s="10">
        <v>1.5</v>
      </c>
      <c r="I36" s="10">
        <v>1.25</v>
      </c>
      <c r="J36" s="10">
        <v>1.25</v>
      </c>
      <c r="K36" s="10">
        <v>1.5</v>
      </c>
      <c r="M36" s="372">
        <f t="shared" si="1"/>
        <v>2.2857142857142865</v>
      </c>
      <c r="N36" s="385"/>
    </row>
    <row r="37" spans="3:14">
      <c r="C37" s="12" t="s">
        <v>12</v>
      </c>
      <c r="D37" s="10">
        <v>0</v>
      </c>
      <c r="E37" s="10">
        <v>1</v>
      </c>
      <c r="F37" s="10">
        <v>2.25</v>
      </c>
      <c r="G37" s="10">
        <v>2.75</v>
      </c>
      <c r="H37" s="10">
        <v>2.75</v>
      </c>
      <c r="I37" s="10">
        <v>2.25</v>
      </c>
      <c r="J37" s="10">
        <v>2.25</v>
      </c>
      <c r="K37" s="10">
        <v>2.25</v>
      </c>
      <c r="M37" s="372">
        <f t="shared" si="1"/>
        <v>1.7142857142857151</v>
      </c>
      <c r="N37" s="385"/>
    </row>
    <row r="38" spans="3:14">
      <c r="C38" s="12" t="s">
        <v>13</v>
      </c>
      <c r="D38" s="10">
        <v>0.5</v>
      </c>
      <c r="E38" s="10">
        <v>1.25</v>
      </c>
      <c r="F38" s="10">
        <v>2.75</v>
      </c>
      <c r="G38" s="10">
        <v>3</v>
      </c>
      <c r="H38" s="10">
        <v>3.25</v>
      </c>
      <c r="I38" s="10">
        <v>2.75</v>
      </c>
      <c r="J38" s="10">
        <v>2.75</v>
      </c>
      <c r="K38" s="10">
        <v>2.75</v>
      </c>
      <c r="M38" s="372">
        <f t="shared" si="1"/>
        <v>1.1428571428571437</v>
      </c>
      <c r="N38" s="385"/>
    </row>
    <row r="39" spans="3:14">
      <c r="C39" s="12" t="s">
        <v>14</v>
      </c>
      <c r="D39" s="10">
        <v>0.5</v>
      </c>
      <c r="E39" s="10">
        <v>1.5</v>
      </c>
      <c r="F39" s="10">
        <v>3</v>
      </c>
      <c r="G39" s="10">
        <v>3</v>
      </c>
      <c r="H39" s="10">
        <v>3.25</v>
      </c>
      <c r="I39" s="10">
        <v>3.25</v>
      </c>
      <c r="J39" s="10">
        <v>3.25</v>
      </c>
      <c r="K39" s="10">
        <v>3.5000000000000004</v>
      </c>
      <c r="M39" s="372">
        <f t="shared" si="1"/>
        <v>0.57142857142857229</v>
      </c>
      <c r="N39" s="385"/>
    </row>
    <row r="40" spans="3:14">
      <c r="C40" s="12" t="s">
        <v>15</v>
      </c>
      <c r="D40" s="10">
        <v>0.5</v>
      </c>
      <c r="E40" s="10">
        <v>1.5</v>
      </c>
      <c r="F40" s="10">
        <v>3</v>
      </c>
      <c r="G40" s="10">
        <v>3</v>
      </c>
      <c r="H40" s="10">
        <v>3.25</v>
      </c>
      <c r="I40" s="10">
        <v>3.25</v>
      </c>
      <c r="J40" s="10">
        <v>3.25</v>
      </c>
      <c r="K40" s="10">
        <v>3.75</v>
      </c>
      <c r="M40" s="373">
        <f>MIN($D$15:$K$22,$D$24:$K$27)</f>
        <v>0</v>
      </c>
      <c r="N40" s="384" t="str">
        <f>"Min:"&amp;TEXT(MIN($D$33:$K$40,$D$42:$K$46),"0.00")</f>
        <v>Min:0.00</v>
      </c>
    </row>
    <row r="41" spans="3:14">
      <c r="C41" s="377" t="s">
        <v>25</v>
      </c>
      <c r="D41" s="377"/>
      <c r="E41" s="377"/>
      <c r="F41" s="377"/>
      <c r="G41" s="377"/>
      <c r="H41" s="377"/>
      <c r="I41" s="377"/>
      <c r="J41" s="377"/>
      <c r="K41" s="377"/>
      <c r="N41"/>
    </row>
    <row r="42" spans="3:14">
      <c r="C42" s="13" t="s">
        <v>26</v>
      </c>
      <c r="D42" s="403">
        <v>2.125</v>
      </c>
      <c r="E42" s="403">
        <v>2.125</v>
      </c>
      <c r="F42" s="403">
        <v>2.125</v>
      </c>
      <c r="G42" s="403">
        <v>3.375</v>
      </c>
      <c r="H42" s="403">
        <v>4.125</v>
      </c>
      <c r="I42" s="11" t="s">
        <v>30</v>
      </c>
      <c r="J42" s="11" t="s">
        <v>30</v>
      </c>
      <c r="K42" s="11" t="s">
        <v>30</v>
      </c>
      <c r="N42"/>
    </row>
    <row r="43" spans="3:14">
      <c r="C43" s="13" t="s">
        <v>28</v>
      </c>
      <c r="D43" s="11">
        <v>1</v>
      </c>
      <c r="E43" s="11">
        <v>1</v>
      </c>
      <c r="F43" s="11">
        <v>1</v>
      </c>
      <c r="G43" s="11">
        <v>1</v>
      </c>
      <c r="H43" s="11">
        <v>1</v>
      </c>
      <c r="I43" s="11" t="s">
        <v>30</v>
      </c>
      <c r="J43" s="11" t="s">
        <v>30</v>
      </c>
      <c r="K43" s="11" t="s">
        <v>30</v>
      </c>
      <c r="N43"/>
    </row>
    <row r="44" spans="3:14" hidden="1">
      <c r="C44" s="13" t="s">
        <v>27</v>
      </c>
      <c r="D44" s="11">
        <v>1</v>
      </c>
      <c r="E44" s="11">
        <v>1</v>
      </c>
      <c r="F44" s="11">
        <v>1</v>
      </c>
      <c r="G44" s="11" t="s">
        <v>30</v>
      </c>
      <c r="H44" s="11" t="s">
        <v>30</v>
      </c>
      <c r="I44" s="11" t="s">
        <v>30</v>
      </c>
      <c r="J44" s="11" t="s">
        <v>30</v>
      </c>
      <c r="K44" s="11" t="s">
        <v>30</v>
      </c>
      <c r="N44"/>
    </row>
    <row r="45" spans="3:14">
      <c r="C45" s="13" t="s">
        <v>29</v>
      </c>
      <c r="D45" s="11">
        <v>0</v>
      </c>
      <c r="E45" s="11">
        <v>0</v>
      </c>
      <c r="F45" s="11">
        <v>0</v>
      </c>
      <c r="G45" s="11">
        <v>0.75</v>
      </c>
      <c r="H45" s="11">
        <v>0.75</v>
      </c>
      <c r="I45" s="11">
        <v>0.75</v>
      </c>
      <c r="J45" s="11">
        <v>0.75</v>
      </c>
      <c r="K45" s="11">
        <v>0.75</v>
      </c>
      <c r="N45"/>
    </row>
    <row r="46" spans="3:14">
      <c r="C46" s="13" t="s">
        <v>128</v>
      </c>
      <c r="D46" s="10">
        <v>0.25</v>
      </c>
      <c r="E46" s="10">
        <v>0.25</v>
      </c>
      <c r="F46" s="10">
        <v>0.25</v>
      </c>
      <c r="G46" s="10">
        <v>0.25</v>
      </c>
      <c r="H46" s="10">
        <v>0.25</v>
      </c>
      <c r="I46" s="10">
        <v>0.25</v>
      </c>
      <c r="J46" s="10" t="s">
        <v>30</v>
      </c>
      <c r="K46" s="10" t="s">
        <v>30</v>
      </c>
      <c r="N46"/>
    </row>
    <row r="47" spans="3:14">
      <c r="N47"/>
    </row>
    <row r="48" spans="3:14">
      <c r="C48" s="6" t="s">
        <v>130</v>
      </c>
      <c r="J48" s="382"/>
      <c r="K48" s="382"/>
      <c r="N48"/>
    </row>
    <row r="49" spans="3:14">
      <c r="C49" s="377"/>
      <c r="D49" s="413" t="s">
        <v>24</v>
      </c>
      <c r="E49" s="413"/>
      <c r="F49" s="413"/>
      <c r="G49" s="413"/>
      <c r="H49" s="413"/>
      <c r="I49" s="413"/>
      <c r="J49" s="413"/>
      <c r="K49" s="413"/>
      <c r="N49"/>
    </row>
    <row r="50" spans="3:14">
      <c r="C50" s="377" t="s">
        <v>7</v>
      </c>
      <c r="D50" s="401" t="s">
        <v>16</v>
      </c>
      <c r="E50" s="401" t="s">
        <v>17</v>
      </c>
      <c r="F50" s="401" t="s">
        <v>18</v>
      </c>
      <c r="G50" s="401" t="s">
        <v>19</v>
      </c>
      <c r="H50" s="401" t="s">
        <v>20</v>
      </c>
      <c r="I50" s="401" t="s">
        <v>21</v>
      </c>
      <c r="J50" s="401" t="s">
        <v>22</v>
      </c>
      <c r="K50" s="401" t="s">
        <v>23</v>
      </c>
      <c r="N50"/>
    </row>
    <row r="51" spans="3:14">
      <c r="C51" s="12" t="s">
        <v>8</v>
      </c>
      <c r="D51" s="10">
        <f>D33-D15</f>
        <v>0</v>
      </c>
      <c r="E51" s="10">
        <f t="shared" ref="E51:K51" si="2">E33-E15</f>
        <v>0</v>
      </c>
      <c r="F51" s="10">
        <f t="shared" si="2"/>
        <v>0</v>
      </c>
      <c r="G51" s="10">
        <f t="shared" si="2"/>
        <v>0</v>
      </c>
      <c r="H51" s="10">
        <f t="shared" si="2"/>
        <v>-0.25</v>
      </c>
      <c r="I51" s="10">
        <f t="shared" si="2"/>
        <v>-0.25</v>
      </c>
      <c r="J51" s="10">
        <f t="shared" si="2"/>
        <v>-0.25</v>
      </c>
      <c r="K51" s="10">
        <f t="shared" si="2"/>
        <v>-0.25</v>
      </c>
      <c r="M51" s="371">
        <f>MAX($D$51:$K$58,$D$60:$K$63)</f>
        <v>0.375</v>
      </c>
      <c r="N51" s="384" t="str">
        <f>"Max:"&amp;TEXT(MAX($D$51:$K$58,$D$60:$K$63),"0.000")</f>
        <v>Max:0.375</v>
      </c>
    </row>
    <row r="52" spans="3:14" ht="12" customHeight="1">
      <c r="C52" s="12" t="s">
        <v>9</v>
      </c>
      <c r="D52" s="10">
        <f t="shared" ref="D52:K52" si="3">D34-D16</f>
        <v>0</v>
      </c>
      <c r="E52" s="10">
        <f t="shared" si="3"/>
        <v>0</v>
      </c>
      <c r="F52" s="10">
        <f t="shared" si="3"/>
        <v>0</v>
      </c>
      <c r="G52" s="10">
        <f t="shared" si="3"/>
        <v>0</v>
      </c>
      <c r="H52" s="10">
        <f t="shared" si="3"/>
        <v>-0.25</v>
      </c>
      <c r="I52" s="10">
        <f t="shared" si="3"/>
        <v>-0.25</v>
      </c>
      <c r="J52" s="10">
        <f t="shared" si="3"/>
        <v>-0.25</v>
      </c>
      <c r="K52" s="10">
        <f t="shared" si="3"/>
        <v>-0.25</v>
      </c>
      <c r="M52" s="372">
        <f>M51-($M$51-$M$58)/7</f>
        <v>0.2857142857142857</v>
      </c>
      <c r="N52" s="385"/>
    </row>
    <row r="53" spans="3:14">
      <c r="C53" s="12" t="s">
        <v>10</v>
      </c>
      <c r="D53" s="10">
        <f t="shared" ref="D53:K53" si="4">D35-D17</f>
        <v>0</v>
      </c>
      <c r="E53" s="10">
        <f t="shared" si="4"/>
        <v>-0.25</v>
      </c>
      <c r="F53" s="10">
        <f t="shared" si="4"/>
        <v>0</v>
      </c>
      <c r="G53" s="10">
        <f t="shared" si="4"/>
        <v>0</v>
      </c>
      <c r="H53" s="10">
        <f t="shared" si="4"/>
        <v>-0.25</v>
      </c>
      <c r="I53" s="10">
        <f t="shared" si="4"/>
        <v>-0.25</v>
      </c>
      <c r="J53" s="10">
        <f t="shared" si="4"/>
        <v>-0.25</v>
      </c>
      <c r="K53" s="10">
        <f t="shared" si="4"/>
        <v>-0.25</v>
      </c>
      <c r="M53" s="372">
        <f>M52-($M$51-$M$58)/7</f>
        <v>0.1964285714285714</v>
      </c>
      <c r="N53" s="385"/>
    </row>
    <row r="54" spans="3:14">
      <c r="C54" s="12" t="s">
        <v>11</v>
      </c>
      <c r="D54" s="10">
        <f t="shared" ref="D54:K54" si="5">D36-D18</f>
        <v>-0.25</v>
      </c>
      <c r="E54" s="10">
        <f t="shared" si="5"/>
        <v>-0.25</v>
      </c>
      <c r="F54" s="10">
        <f t="shared" si="5"/>
        <v>-0.25</v>
      </c>
      <c r="G54" s="10">
        <f t="shared" si="5"/>
        <v>-0.25</v>
      </c>
      <c r="H54" s="10">
        <f t="shared" si="5"/>
        <v>-0.25</v>
      </c>
      <c r="I54" s="10">
        <f t="shared" si="5"/>
        <v>-0.25</v>
      </c>
      <c r="J54" s="10">
        <f t="shared" si="5"/>
        <v>-0.25</v>
      </c>
      <c r="K54" s="10">
        <f t="shared" si="5"/>
        <v>-0.25</v>
      </c>
      <c r="M54" s="372">
        <f t="shared" ref="M54:M57" si="6">M53-($M$51-$M$58)/7</f>
        <v>0.10714285714285711</v>
      </c>
      <c r="N54" s="385"/>
    </row>
    <row r="55" spans="3:14">
      <c r="C55" s="12" t="s">
        <v>12</v>
      </c>
      <c r="D55" s="10">
        <f t="shared" ref="D55:K55" si="7">D37-D19</f>
        <v>-0.25</v>
      </c>
      <c r="E55" s="10">
        <f t="shared" si="7"/>
        <v>-0.25</v>
      </c>
      <c r="F55" s="10">
        <f t="shared" si="7"/>
        <v>0</v>
      </c>
      <c r="G55" s="10">
        <f t="shared" si="7"/>
        <v>0</v>
      </c>
      <c r="H55" s="10">
        <f t="shared" si="7"/>
        <v>-0.25</v>
      </c>
      <c r="I55" s="10">
        <f t="shared" si="7"/>
        <v>-0.25</v>
      </c>
      <c r="J55" s="10">
        <f t="shared" si="7"/>
        <v>-0.25</v>
      </c>
      <c r="K55" s="10">
        <f t="shared" si="7"/>
        <v>-0.25</v>
      </c>
      <c r="M55" s="372">
        <f t="shared" si="6"/>
        <v>1.7857142857142821E-2</v>
      </c>
      <c r="N55" s="406">
        <v>0</v>
      </c>
    </row>
    <row r="56" spans="3:14">
      <c r="C56" s="12" t="s">
        <v>13</v>
      </c>
      <c r="D56" s="10">
        <f t="shared" ref="D56:K56" si="8">D38-D20</f>
        <v>-0.25</v>
      </c>
      <c r="E56" s="10">
        <f t="shared" si="8"/>
        <v>-0.25</v>
      </c>
      <c r="F56" s="10">
        <f t="shared" si="8"/>
        <v>0</v>
      </c>
      <c r="G56" s="10">
        <f t="shared" si="8"/>
        <v>-0.25</v>
      </c>
      <c r="H56" s="10">
        <f t="shared" si="8"/>
        <v>-0.25</v>
      </c>
      <c r="I56" s="10">
        <f t="shared" si="8"/>
        <v>-0.25</v>
      </c>
      <c r="J56" s="10">
        <f t="shared" si="8"/>
        <v>-0.25</v>
      </c>
      <c r="K56" s="10">
        <f t="shared" si="8"/>
        <v>-0.25</v>
      </c>
      <c r="M56" s="372">
        <f t="shared" si="6"/>
        <v>-7.1428571428571466E-2</v>
      </c>
      <c r="N56" s="385"/>
    </row>
    <row r="57" spans="3:14">
      <c r="C57" s="12" t="s">
        <v>14</v>
      </c>
      <c r="D57" s="10">
        <f t="shared" ref="D57:K57" si="9">D39-D21</f>
        <v>-0.25</v>
      </c>
      <c r="E57" s="10">
        <f t="shared" si="9"/>
        <v>-0.25</v>
      </c>
      <c r="F57" s="10">
        <f t="shared" si="9"/>
        <v>-0.25</v>
      </c>
      <c r="G57" s="10">
        <f t="shared" si="9"/>
        <v>-0.25</v>
      </c>
      <c r="H57" s="10">
        <f t="shared" si="9"/>
        <v>-0.25</v>
      </c>
      <c r="I57" s="10">
        <f t="shared" si="9"/>
        <v>-0.25</v>
      </c>
      <c r="J57" s="10">
        <f t="shared" si="9"/>
        <v>-0.25</v>
      </c>
      <c r="K57" s="10">
        <f t="shared" si="9"/>
        <v>-0.24999999999999956</v>
      </c>
      <c r="M57" s="372">
        <f t="shared" si="6"/>
        <v>-0.16071428571428575</v>
      </c>
      <c r="N57" s="385"/>
    </row>
    <row r="58" spans="3:14">
      <c r="C58" s="12" t="s">
        <v>15</v>
      </c>
      <c r="D58" s="10">
        <f t="shared" ref="D58:K58" si="10">D40-D22</f>
        <v>-0.25</v>
      </c>
      <c r="E58" s="10">
        <f t="shared" si="10"/>
        <v>-0.25</v>
      </c>
      <c r="F58" s="10">
        <f t="shared" si="10"/>
        <v>-0.25</v>
      </c>
      <c r="G58" s="10">
        <f t="shared" si="10"/>
        <v>-0.25</v>
      </c>
      <c r="H58" s="10">
        <f t="shared" si="10"/>
        <v>-0.25</v>
      </c>
      <c r="I58" s="10">
        <f t="shared" si="10"/>
        <v>-0.25</v>
      </c>
      <c r="J58" s="10">
        <f t="shared" si="10"/>
        <v>-0.25</v>
      </c>
      <c r="K58" s="10">
        <f t="shared" si="10"/>
        <v>-0.25</v>
      </c>
      <c r="M58" s="373">
        <f>MIN($D$51:$K$58,$D$60:$K$63)</f>
        <v>-0.25</v>
      </c>
      <c r="N58" s="384" t="str">
        <f>"Min:"&amp;TEXT(MIN($D$51:$K$58,$D$60:$K$63),"0.00")</f>
        <v>Min:-0.25</v>
      </c>
    </row>
    <row r="59" spans="3:14">
      <c r="C59" s="377" t="s">
        <v>25</v>
      </c>
      <c r="D59" s="377"/>
      <c r="E59" s="377"/>
      <c r="F59" s="377"/>
      <c r="G59" s="377"/>
      <c r="H59" s="377"/>
      <c r="I59" s="377"/>
      <c r="J59" s="377"/>
      <c r="K59" s="377"/>
      <c r="N59"/>
    </row>
    <row r="60" spans="3:14">
      <c r="C60" s="13" t="s">
        <v>26</v>
      </c>
      <c r="D60" s="403">
        <f>D42-D24</f>
        <v>0.375</v>
      </c>
      <c r="E60" s="403">
        <f t="shared" ref="E60:H60" si="11">E42-E24</f>
        <v>0.375</v>
      </c>
      <c r="F60" s="403">
        <f t="shared" si="11"/>
        <v>0.375</v>
      </c>
      <c r="G60" s="403">
        <f t="shared" si="11"/>
        <v>0.375</v>
      </c>
      <c r="H60" s="403">
        <f t="shared" si="11"/>
        <v>0.375</v>
      </c>
      <c r="I60" s="11"/>
      <c r="J60" s="11"/>
      <c r="K60" s="11"/>
      <c r="N60"/>
    </row>
    <row r="61" spans="3:14">
      <c r="C61" s="13" t="s">
        <v>128</v>
      </c>
      <c r="D61" s="10">
        <v>0.25</v>
      </c>
      <c r="E61" s="10">
        <v>0.25</v>
      </c>
      <c r="F61" s="10">
        <v>0.25</v>
      </c>
      <c r="G61" s="10">
        <v>0.25</v>
      </c>
      <c r="H61" s="10">
        <v>0.25</v>
      </c>
      <c r="I61" s="10">
        <v>0.25</v>
      </c>
      <c r="J61" s="10"/>
      <c r="K61" s="10"/>
      <c r="N61"/>
    </row>
    <row r="62" spans="3:14" hidden="1">
      <c r="C62" s="13" t="s">
        <v>27</v>
      </c>
      <c r="D62" s="11">
        <f t="shared" ref="D62:F62" si="12">D44-D26</f>
        <v>0</v>
      </c>
      <c r="E62" s="11">
        <f t="shared" si="12"/>
        <v>0</v>
      </c>
      <c r="F62" s="11">
        <f t="shared" si="12"/>
        <v>0</v>
      </c>
      <c r="G62" s="11"/>
      <c r="H62" s="11"/>
      <c r="I62" s="11"/>
      <c r="J62" s="11"/>
      <c r="K62" s="11"/>
      <c r="N62"/>
    </row>
    <row r="63" spans="3:14">
      <c r="C63" s="13" t="s">
        <v>122</v>
      </c>
      <c r="D63" s="403">
        <v>0.375</v>
      </c>
      <c r="E63" s="403">
        <v>0.375</v>
      </c>
      <c r="F63" s="403">
        <v>0.375</v>
      </c>
      <c r="G63" s="403">
        <v>0.375</v>
      </c>
      <c r="H63" s="404" t="s">
        <v>30</v>
      </c>
      <c r="I63" s="11">
        <f t="shared" ref="I63:K63" si="13">I45-I27</f>
        <v>0</v>
      </c>
      <c r="J63" s="11">
        <f t="shared" si="13"/>
        <v>0</v>
      </c>
      <c r="K63" s="11">
        <f t="shared" si="13"/>
        <v>0</v>
      </c>
    </row>
    <row r="64" spans="3:14">
      <c r="C64" s="405" t="s">
        <v>123</v>
      </c>
    </row>
    <row r="66" spans="4:11">
      <c r="D66" s="402"/>
      <c r="F66" s="402"/>
      <c r="G66" s="402"/>
      <c r="H66" s="402"/>
      <c r="I66" s="402"/>
      <c r="J66" s="402"/>
    </row>
    <row r="68" spans="4:11">
      <c r="D68" s="402"/>
      <c r="E68" s="402"/>
      <c r="F68" s="402"/>
      <c r="G68" s="402"/>
      <c r="H68" s="402"/>
      <c r="I68" s="402"/>
      <c r="J68" s="402"/>
      <c r="K68" s="402"/>
    </row>
    <row r="69" spans="4:11">
      <c r="D69" s="402"/>
      <c r="E69" s="402"/>
      <c r="F69" s="402"/>
      <c r="G69" s="402"/>
      <c r="H69" s="402"/>
      <c r="I69" s="402"/>
      <c r="J69" s="402"/>
      <c r="K69" s="402"/>
    </row>
    <row r="70" spans="4:11">
      <c r="D70" s="402"/>
      <c r="E70" s="402"/>
      <c r="F70" s="402"/>
      <c r="G70" s="402"/>
      <c r="H70" s="402"/>
      <c r="I70" s="402"/>
      <c r="J70" s="402"/>
      <c r="K70" s="402"/>
    </row>
    <row r="71" spans="4:11">
      <c r="D71" s="402"/>
      <c r="E71" s="402"/>
      <c r="F71" s="402"/>
      <c r="G71" s="402"/>
      <c r="H71" s="402"/>
      <c r="I71" s="402"/>
      <c r="J71" s="402"/>
      <c r="K71" s="402"/>
    </row>
    <row r="72" spans="4:11">
      <c r="D72" s="402"/>
      <c r="E72" s="402"/>
      <c r="F72" s="402"/>
      <c r="G72" s="402"/>
      <c r="H72" s="402"/>
      <c r="I72" s="402"/>
      <c r="J72" s="402"/>
      <c r="K72" s="402"/>
    </row>
    <row r="73" spans="4:11">
      <c r="D73" s="402"/>
      <c r="E73" s="402"/>
      <c r="F73" s="402"/>
      <c r="G73" s="402"/>
      <c r="H73" s="402"/>
      <c r="I73" s="402"/>
      <c r="J73" s="402"/>
      <c r="K73" s="402"/>
    </row>
    <row r="74" spans="4:11">
      <c r="D74" s="402"/>
      <c r="E74" s="402"/>
      <c r="F74" s="402"/>
      <c r="G74" s="402"/>
      <c r="H74" s="402"/>
      <c r="I74" s="402"/>
      <c r="J74" s="402"/>
      <c r="K74" s="402"/>
    </row>
    <row r="75" spans="4:11">
      <c r="D75" s="402"/>
      <c r="E75" s="402"/>
      <c r="F75" s="402"/>
      <c r="G75" s="402"/>
      <c r="H75" s="402"/>
      <c r="I75" s="402"/>
      <c r="J75" s="402"/>
      <c r="K75" s="402"/>
    </row>
  </sheetData>
  <mergeCells count="3">
    <mergeCell ref="D31:K31"/>
    <mergeCell ref="D49:K49"/>
    <mergeCell ref="D13:K13"/>
  </mergeCells>
  <conditionalFormatting sqref="D24:K27 D15:K22">
    <cfRule type="colorScale" priority="175">
      <colorScale>
        <cfvo type="min"/>
        <cfvo type="max"/>
        <color theme="0"/>
        <color theme="4" tint="0.39997558519241921"/>
      </colorScale>
    </cfRule>
    <cfRule type="colorScale" priority="176">
      <colorScale>
        <cfvo type="min"/>
        <cfvo type="max"/>
        <color theme="0"/>
        <color theme="9" tint="0.39997558519241921"/>
      </colorScale>
    </cfRule>
    <cfRule type="colorScale" priority="177">
      <colorScale>
        <cfvo type="min"/>
        <cfvo type="max"/>
        <color theme="0"/>
        <color theme="6" tint="0.59999389629810485"/>
      </colorScale>
    </cfRule>
    <cfRule type="colorScale" priority="178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74">
      <colorScale>
        <cfvo type="min"/>
        <cfvo type="max"/>
        <color theme="0"/>
        <color theme="4" tint="0.39997558519241921"/>
      </colorScale>
    </cfRule>
  </conditionalFormatting>
  <conditionalFormatting sqref="D33:K40 D42:K46">
    <cfRule type="colorScale" priority="30">
      <colorScale>
        <cfvo type="min"/>
        <cfvo type="max"/>
        <color theme="0"/>
        <color theme="4" tint="0.39997558519241921"/>
      </colorScale>
    </cfRule>
    <cfRule type="colorScale" priority="31">
      <colorScale>
        <cfvo type="min"/>
        <cfvo type="max"/>
        <color theme="0"/>
        <color theme="9" tint="0.39997558519241921"/>
      </colorScale>
    </cfRule>
    <cfRule type="colorScale" priority="32">
      <colorScale>
        <cfvo type="min"/>
        <cfvo type="max"/>
        <color theme="0"/>
        <color theme="6" tint="0.59999389629810485"/>
      </colorScale>
    </cfRule>
    <cfRule type="colorScale" priority="33">
      <colorScale>
        <cfvo type="min"/>
        <cfvo type="max"/>
        <color theme="0"/>
        <color theme="6" tint="0.79998168889431442"/>
      </colorScale>
    </cfRule>
  </conditionalFormatting>
  <conditionalFormatting sqref="D51:K58 D60:K60 D62:K62 I63:K63">
    <cfRule type="colorScale" priority="26">
      <colorScale>
        <cfvo type="min"/>
        <cfvo type="max"/>
        <color theme="0"/>
        <color theme="4" tint="0.39997558519241921"/>
      </colorScale>
    </cfRule>
    <cfRule type="colorScale" priority="27">
      <colorScale>
        <cfvo type="min"/>
        <cfvo type="max"/>
        <color theme="0"/>
        <color theme="9" tint="0.39997558519241921"/>
      </colorScale>
    </cfRule>
    <cfRule type="colorScale" priority="28">
      <colorScale>
        <cfvo type="min"/>
        <cfvo type="max"/>
        <color theme="0"/>
        <color theme="6" tint="0.59999389629810485"/>
      </colorScale>
    </cfRule>
    <cfRule type="colorScale" priority="29">
      <colorScale>
        <cfvo type="min"/>
        <cfvo type="max"/>
        <color theme="0"/>
        <color theme="6" tint="0.79998168889431442"/>
      </colorScale>
    </cfRule>
  </conditionalFormatting>
  <conditionalFormatting sqref="D46:K46">
    <cfRule type="colorScale" priority="22">
      <colorScale>
        <cfvo type="min"/>
        <cfvo type="max"/>
        <color theme="0"/>
        <color theme="4" tint="0.39997558519241921"/>
      </colorScale>
    </cfRule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theme="0"/>
        <color theme="6" tint="0.59999389629810485"/>
      </colorScale>
    </cfRule>
    <cfRule type="colorScale" priority="25">
      <colorScale>
        <cfvo type="min"/>
        <cfvo type="max"/>
        <color theme="0"/>
        <color theme="6" tint="0.79998168889431442"/>
      </colorScale>
    </cfRule>
  </conditionalFormatting>
  <conditionalFormatting sqref="D63:H63">
    <cfRule type="colorScale" priority="18">
      <colorScale>
        <cfvo type="min"/>
        <cfvo type="max"/>
        <color theme="0"/>
        <color theme="4" tint="0.39997558519241921"/>
      </colorScale>
    </cfRule>
    <cfRule type="colorScale" priority="19">
      <colorScale>
        <cfvo type="min"/>
        <cfvo type="max"/>
        <color theme="0"/>
        <color theme="9" tint="0.39997558519241921"/>
      </colorScale>
    </cfRule>
    <cfRule type="colorScale" priority="20">
      <colorScale>
        <cfvo type="min"/>
        <cfvo type="max"/>
        <color theme="0"/>
        <color theme="6" tint="0.59999389629810485"/>
      </colorScale>
    </cfRule>
    <cfRule type="colorScale" priority="21">
      <colorScale>
        <cfvo type="min"/>
        <cfvo type="max"/>
        <color theme="0"/>
        <color theme="6" tint="0.79998168889431442"/>
      </colorScale>
    </cfRule>
  </conditionalFormatting>
  <conditionalFormatting sqref="C64 C51:K60 C62:K63">
    <cfRule type="cellIs" dxfId="1" priority="17" operator="equal">
      <formula>0</formula>
    </cfRule>
  </conditionalFormatting>
  <conditionalFormatting sqref="D33:K40 D42:H43 D44:F46 G45:I46 J45:K45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D51:K60 D62:K63">
    <cfRule type="colorScale" priority="14">
      <colorScale>
        <cfvo type="min"/>
        <cfvo type="num" val="0"/>
        <cfvo type="max"/>
        <color theme="9" tint="0.59999389629810485"/>
        <color theme="0"/>
        <color theme="4" tint="0.39997558519241921"/>
      </colorScale>
    </cfRule>
    <cfRule type="colorScale" priority="15">
      <colorScale>
        <cfvo type="min"/>
        <cfvo type="max"/>
        <color theme="6" tint="0.59999389629810485"/>
        <color theme="4" tint="0.59999389629810485"/>
      </colorScale>
    </cfRule>
  </conditionalFormatting>
  <conditionalFormatting sqref="D61:K61">
    <cfRule type="colorScale" priority="10">
      <colorScale>
        <cfvo type="min"/>
        <cfvo type="max"/>
        <color theme="0"/>
        <color theme="4" tint="0.39997558519241921"/>
      </colorScale>
    </cfRule>
    <cfRule type="colorScale" priority="11">
      <colorScale>
        <cfvo type="min"/>
        <cfvo type="max"/>
        <color theme="0"/>
        <color theme="9" tint="0.39997558519241921"/>
      </colorScale>
    </cfRule>
    <cfRule type="colorScale" priority="12">
      <colorScale>
        <cfvo type="min"/>
        <cfvo type="max"/>
        <color theme="0"/>
        <color theme="6" tint="0.59999389629810485"/>
      </colorScale>
    </cfRule>
    <cfRule type="colorScale" priority="13">
      <colorScale>
        <cfvo type="min"/>
        <cfvo type="max"/>
        <color theme="0"/>
        <color theme="6" tint="0.79998168889431442"/>
      </colorScale>
    </cfRule>
  </conditionalFormatting>
  <conditionalFormatting sqref="D61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D61:I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51:K58 D60:K63">
    <cfRule type="colorScale" priority="4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conditionalFormatting sqref="M33:M40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M51:M58">
    <cfRule type="colorScale" priority="1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  <cfRule type="colorScale" priority="2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0" orientation="landscape" horizontalDpi="300" verticalDpi="300" r:id="rId1"/>
  <headerFooter scaleWithDoc="0">
    <oddHeader xml:space="preserve">&amp;L&amp;G&amp;C&amp;"-,Bold"&amp;10&amp;K2E398A
&amp;15Effective Guarantee Fees and Rate Adjustments: Changes&amp;R&amp;"-,Bold"&amp;10&amp;K2E398A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zoomScale="90" zoomScaleNormal="90" workbookViewId="0">
      <selection activeCell="H64" sqref="H64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3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2"/>
      <c r="O28" s="382"/>
    </row>
    <row r="29" spans="6:18" ht="15" customHeight="1">
      <c r="R29"/>
    </row>
    <row r="30" spans="6:18" ht="15" customHeight="1">
      <c r="F30" s="6" t="s">
        <v>119</v>
      </c>
      <c r="R30"/>
    </row>
    <row r="31" spans="6:18" ht="15" customHeight="1">
      <c r="F31" s="425" t="s">
        <v>117</v>
      </c>
      <c r="G31" s="423" t="s">
        <v>96</v>
      </c>
      <c r="H31" s="419" t="s">
        <v>97</v>
      </c>
      <c r="I31" s="420"/>
      <c r="J31" s="421" t="s">
        <v>103</v>
      </c>
      <c r="R31"/>
    </row>
    <row r="32" spans="6:18" ht="15" customHeight="1">
      <c r="F32" s="426"/>
      <c r="G32" s="424"/>
      <c r="H32" s="378" t="s">
        <v>98</v>
      </c>
      <c r="I32" s="378" t="s">
        <v>99</v>
      </c>
      <c r="J32" s="422"/>
      <c r="R32"/>
    </row>
    <row r="33" spans="1:18" ht="15" customHeight="1">
      <c r="A33" s="5" t="s">
        <v>102</v>
      </c>
      <c r="B33">
        <v>1983.09</v>
      </c>
      <c r="F33" s="12" t="s">
        <v>95</v>
      </c>
      <c r="G33" s="387" t="s">
        <v>100</v>
      </c>
      <c r="H33" s="387" t="s">
        <v>100</v>
      </c>
      <c r="I33" s="387" t="s">
        <v>100</v>
      </c>
      <c r="J33" s="388"/>
      <c r="R33"/>
    </row>
    <row r="34" spans="1:18" ht="15" customHeight="1">
      <c r="A34" s="5" t="s">
        <v>101</v>
      </c>
      <c r="B34">
        <v>1991.06</v>
      </c>
      <c r="F34" s="388" t="s">
        <v>83</v>
      </c>
      <c r="G34" s="389">
        <v>380</v>
      </c>
      <c r="H34" s="387" t="s">
        <v>100</v>
      </c>
      <c r="I34" s="387" t="s">
        <v>100</v>
      </c>
      <c r="J34" s="390"/>
      <c r="R34"/>
    </row>
    <row r="35" spans="1:18" ht="15" customHeight="1">
      <c r="A35" s="5" t="s">
        <v>105</v>
      </c>
      <c r="B35">
        <v>1992.09</v>
      </c>
      <c r="F35" s="388" t="s">
        <v>84</v>
      </c>
      <c r="G35" s="389">
        <v>380</v>
      </c>
      <c r="H35" s="389">
        <v>50</v>
      </c>
      <c r="I35" s="389">
        <v>50</v>
      </c>
      <c r="J35" s="391">
        <f t="shared" ref="J35:J44" si="0">H35-$H$48</f>
        <v>-30</v>
      </c>
      <c r="R35"/>
    </row>
    <row r="36" spans="1:18" ht="15" customHeight="1">
      <c r="A36" s="5" t="s">
        <v>106</v>
      </c>
      <c r="B36">
        <v>1994.04</v>
      </c>
      <c r="F36" s="388" t="s">
        <v>85</v>
      </c>
      <c r="G36" s="389">
        <v>300</v>
      </c>
      <c r="H36" s="389">
        <v>50</v>
      </c>
      <c r="I36" s="389">
        <v>50</v>
      </c>
      <c r="J36" s="391">
        <f t="shared" si="0"/>
        <v>-30</v>
      </c>
      <c r="R36"/>
    </row>
    <row r="37" spans="1:18" ht="15" customHeight="1">
      <c r="A37" s="5" t="s">
        <v>107</v>
      </c>
      <c r="B37">
        <v>2000.12</v>
      </c>
      <c r="F37" s="388" t="s">
        <v>86</v>
      </c>
      <c r="G37" s="389">
        <v>225</v>
      </c>
      <c r="H37" s="389">
        <v>50</v>
      </c>
      <c r="I37" s="389">
        <v>50</v>
      </c>
      <c r="J37" s="391">
        <f t="shared" si="0"/>
        <v>-30</v>
      </c>
      <c r="R37"/>
    </row>
    <row r="38" spans="1:18" ht="15" customHeight="1">
      <c r="A38" s="5" t="s">
        <v>108</v>
      </c>
      <c r="B38">
        <v>2008.09</v>
      </c>
      <c r="F38" s="388" t="s">
        <v>87</v>
      </c>
      <c r="G38" s="389">
        <v>150</v>
      </c>
      <c r="H38" s="389">
        <v>50</v>
      </c>
      <c r="I38" s="389">
        <v>50</v>
      </c>
      <c r="J38" s="391">
        <f t="shared" si="0"/>
        <v>-30</v>
      </c>
      <c r="R38"/>
    </row>
    <row r="39" spans="1:18" ht="15" customHeight="1">
      <c r="A39" s="5" t="s">
        <v>109</v>
      </c>
      <c r="B39">
        <v>2010.03</v>
      </c>
      <c r="F39" s="388" t="s">
        <v>88</v>
      </c>
      <c r="G39" s="389">
        <v>150</v>
      </c>
      <c r="H39" s="389">
        <v>50</v>
      </c>
      <c r="I39" s="389">
        <v>55</v>
      </c>
      <c r="J39" s="391">
        <f t="shared" si="0"/>
        <v>-30</v>
      </c>
      <c r="R39"/>
    </row>
    <row r="40" spans="1:18" ht="15" customHeight="1">
      <c r="A40" s="5" t="s">
        <v>110</v>
      </c>
      <c r="B40">
        <v>2010.1</v>
      </c>
      <c r="F40" s="388" t="s">
        <v>89</v>
      </c>
      <c r="G40" s="389">
        <v>225</v>
      </c>
      <c r="H40" s="389">
        <v>50</v>
      </c>
      <c r="I40" s="389">
        <v>55</v>
      </c>
      <c r="J40" s="391">
        <f t="shared" si="0"/>
        <v>-30</v>
      </c>
      <c r="R40"/>
    </row>
    <row r="41" spans="1:18" ht="15" customHeight="1">
      <c r="A41" s="5" t="s">
        <v>111</v>
      </c>
      <c r="B41">
        <v>2011.04</v>
      </c>
      <c r="F41" s="388" t="s">
        <v>90</v>
      </c>
      <c r="G41" s="389">
        <v>100</v>
      </c>
      <c r="H41" s="389">
        <v>85</v>
      </c>
      <c r="I41" s="389">
        <v>90</v>
      </c>
      <c r="J41" s="391">
        <f t="shared" si="0"/>
        <v>5</v>
      </c>
      <c r="R41"/>
    </row>
    <row r="42" spans="1:18" ht="15" customHeight="1">
      <c r="A42" s="5" t="s">
        <v>112</v>
      </c>
      <c r="B42">
        <v>2012.04</v>
      </c>
      <c r="F42" s="388" t="s">
        <v>91</v>
      </c>
      <c r="G42" s="389">
        <v>100</v>
      </c>
      <c r="H42" s="389">
        <v>110</v>
      </c>
      <c r="I42" s="389">
        <v>115</v>
      </c>
      <c r="J42" s="391">
        <f t="shared" si="0"/>
        <v>30</v>
      </c>
      <c r="R42"/>
    </row>
    <row r="43" spans="1:18" ht="15" customHeight="1">
      <c r="A43" s="5" t="s">
        <v>113</v>
      </c>
      <c r="B43">
        <v>2012.05</v>
      </c>
      <c r="F43" s="400" t="s">
        <v>92</v>
      </c>
      <c r="G43" s="393">
        <v>175.00000000000003</v>
      </c>
      <c r="H43" s="393">
        <v>120</v>
      </c>
      <c r="I43" s="393">
        <v>125</v>
      </c>
      <c r="J43" s="391">
        <f t="shared" si="0"/>
        <v>40</v>
      </c>
      <c r="R43"/>
    </row>
    <row r="44" spans="1:18" ht="15" customHeight="1">
      <c r="A44" s="5" t="s">
        <v>114</v>
      </c>
      <c r="B44">
        <v>2013.03</v>
      </c>
      <c r="F44" s="400" t="s">
        <v>93</v>
      </c>
      <c r="G44" s="393">
        <v>175.00000000000003</v>
      </c>
      <c r="H44" s="392">
        <v>120</v>
      </c>
      <c r="I44" s="392">
        <v>125</v>
      </c>
      <c r="J44" s="394">
        <f t="shared" si="0"/>
        <v>40</v>
      </c>
      <c r="R44"/>
    </row>
    <row r="45" spans="1:18" ht="15" customHeight="1">
      <c r="A45" s="5" t="s">
        <v>115</v>
      </c>
      <c r="B45">
        <v>2015.01</v>
      </c>
      <c r="F45" s="395" t="s">
        <v>116</v>
      </c>
      <c r="G45" s="396">
        <v>1</v>
      </c>
      <c r="H45" s="396">
        <v>55</v>
      </c>
      <c r="I45" s="396">
        <v>55</v>
      </c>
      <c r="J45" s="397"/>
      <c r="R45"/>
    </row>
    <row r="46" spans="1:18" ht="15" customHeight="1">
      <c r="F46" s="400" t="s">
        <v>94</v>
      </c>
      <c r="G46" s="393">
        <v>175.00000000000003</v>
      </c>
      <c r="H46" s="393">
        <v>130</v>
      </c>
      <c r="I46" s="393">
        <v>135</v>
      </c>
      <c r="J46" s="394">
        <f>H46-$H$48</f>
        <v>50</v>
      </c>
      <c r="R46"/>
    </row>
    <row r="47" spans="1:18" ht="15" customHeight="1">
      <c r="F47" s="395" t="s">
        <v>116</v>
      </c>
      <c r="G47" s="396">
        <v>1</v>
      </c>
      <c r="H47" s="396">
        <v>55</v>
      </c>
      <c r="I47" s="396">
        <v>55</v>
      </c>
      <c r="J47" s="398"/>
      <c r="R47"/>
    </row>
    <row r="48" spans="1:18" ht="15" customHeight="1">
      <c r="F48" s="400" t="s">
        <v>104</v>
      </c>
      <c r="G48" s="393">
        <v>175.00000000000003</v>
      </c>
      <c r="H48" s="393">
        <v>80</v>
      </c>
      <c r="I48" s="393">
        <v>85</v>
      </c>
      <c r="J48" s="399"/>
      <c r="R48"/>
    </row>
    <row r="49" spans="6:18" ht="15" customHeight="1">
      <c r="F49" s="395" t="s">
        <v>116</v>
      </c>
      <c r="G49" s="396">
        <v>1</v>
      </c>
      <c r="H49" s="396">
        <v>55</v>
      </c>
      <c r="I49" s="396">
        <v>55</v>
      </c>
      <c r="J49" s="398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 xml:space="preserve">&amp;L&amp;G&amp;C&amp;"-,Bold"&amp;15&amp;K2E398A
FHA Insurance Premiums&amp;R&amp;"-,Bold"&amp;10&amp;K2E398A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Y59"/>
  <sheetViews>
    <sheetView topLeftCell="B10" workbookViewId="0">
      <selection activeCell="Q29" sqref="Q29"/>
    </sheetView>
  </sheetViews>
  <sheetFormatPr defaultRowHeight="15"/>
  <cols>
    <col min="4" max="4" width="38" bestFit="1" customWidth="1"/>
    <col min="5" max="5" width="40" bestFit="1" customWidth="1"/>
  </cols>
  <sheetData>
    <row r="2" spans="1:51">
      <c r="D2" s="14" t="s">
        <v>118</v>
      </c>
      <c r="E2" s="14" t="s">
        <v>120</v>
      </c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</row>
    <row r="3" spans="1:51">
      <c r="A3">
        <v>1</v>
      </c>
      <c r="B3">
        <v>1998</v>
      </c>
      <c r="D3">
        <v>20.2</v>
      </c>
    </row>
    <row r="4" spans="1:51">
      <c r="A4">
        <v>2</v>
      </c>
      <c r="B4">
        <v>1999</v>
      </c>
      <c r="D4">
        <v>19.3</v>
      </c>
      <c r="AY4" s="230"/>
    </row>
    <row r="5" spans="1:51">
      <c r="A5">
        <v>3</v>
      </c>
      <c r="B5">
        <v>2000</v>
      </c>
      <c r="D5">
        <v>19.5</v>
      </c>
      <c r="AY5" s="230"/>
    </row>
    <row r="6" spans="1:51">
      <c r="A6">
        <v>4</v>
      </c>
      <c r="B6">
        <v>2001</v>
      </c>
      <c r="D6">
        <v>19</v>
      </c>
    </row>
    <row r="7" spans="1:51">
      <c r="A7">
        <v>5</v>
      </c>
      <c r="B7">
        <v>2002</v>
      </c>
      <c r="D7">
        <v>19.3</v>
      </c>
      <c r="E7">
        <v>21.5</v>
      </c>
    </row>
    <row r="8" spans="1:51">
      <c r="A8">
        <v>6</v>
      </c>
      <c r="B8">
        <v>2003</v>
      </c>
      <c r="D8">
        <v>21</v>
      </c>
      <c r="E8">
        <v>22.2</v>
      </c>
    </row>
    <row r="9" spans="1:51">
      <c r="A9">
        <v>7</v>
      </c>
      <c r="B9">
        <v>2004</v>
      </c>
      <c r="D9">
        <v>20.8</v>
      </c>
      <c r="E9">
        <v>21</v>
      </c>
    </row>
    <row r="10" spans="1:51">
      <c r="A10">
        <v>8</v>
      </c>
      <c r="B10">
        <v>2005</v>
      </c>
      <c r="D10">
        <v>21</v>
      </c>
      <c r="E10">
        <v>21.3</v>
      </c>
    </row>
    <row r="11" spans="1:51">
      <c r="A11">
        <v>9</v>
      </c>
      <c r="B11">
        <v>2006</v>
      </c>
      <c r="D11">
        <v>22.2</v>
      </c>
      <c r="E11">
        <v>22.4</v>
      </c>
    </row>
    <row r="12" spans="1:51">
      <c r="A12">
        <v>10</v>
      </c>
      <c r="B12" s="427">
        <v>2007</v>
      </c>
      <c r="C12" t="s">
        <v>61</v>
      </c>
      <c r="D12">
        <v>21.8</v>
      </c>
      <c r="E12">
        <v>21.8</v>
      </c>
    </row>
    <row r="13" spans="1:51">
      <c r="A13">
        <v>11</v>
      </c>
      <c r="B13" s="427"/>
      <c r="C13" t="s">
        <v>60</v>
      </c>
      <c r="D13">
        <v>21.6</v>
      </c>
      <c r="E13">
        <v>21.5</v>
      </c>
    </row>
    <row r="14" spans="1:51">
      <c r="A14">
        <v>12</v>
      </c>
      <c r="B14" s="427"/>
      <c r="C14" t="s">
        <v>59</v>
      </c>
      <c r="D14">
        <v>22.8</v>
      </c>
      <c r="E14">
        <v>22.8</v>
      </c>
    </row>
    <row r="15" spans="1:51">
      <c r="A15">
        <v>13</v>
      </c>
      <c r="B15" s="427"/>
      <c r="C15" t="s">
        <v>58</v>
      </c>
      <c r="D15">
        <v>23.7</v>
      </c>
      <c r="E15">
        <v>32.200000000000003</v>
      </c>
    </row>
    <row r="16" spans="1:51">
      <c r="A16">
        <v>14</v>
      </c>
      <c r="B16" s="427">
        <v>2008</v>
      </c>
      <c r="C16" t="s">
        <v>61</v>
      </c>
      <c r="D16">
        <v>29.5</v>
      </c>
      <c r="E16">
        <v>29</v>
      </c>
    </row>
    <row r="17" spans="1:5">
      <c r="A17">
        <v>15</v>
      </c>
      <c r="B17" s="427"/>
      <c r="C17" t="s">
        <v>60</v>
      </c>
      <c r="D17">
        <v>27.9</v>
      </c>
      <c r="E17">
        <v>26.4</v>
      </c>
    </row>
    <row r="18" spans="1:5">
      <c r="A18">
        <v>16</v>
      </c>
      <c r="B18" s="427"/>
      <c r="C18" t="s">
        <v>59</v>
      </c>
      <c r="D18">
        <v>23.6</v>
      </c>
      <c r="E18">
        <v>24.7</v>
      </c>
    </row>
    <row r="19" spans="1:5">
      <c r="A19">
        <v>17</v>
      </c>
      <c r="B19" s="427"/>
      <c r="C19" t="s">
        <v>58</v>
      </c>
      <c r="D19">
        <v>31</v>
      </c>
      <c r="E19">
        <v>32.200000000000003</v>
      </c>
    </row>
    <row r="20" spans="1:5">
      <c r="A20">
        <v>18</v>
      </c>
      <c r="B20" s="427">
        <v>2009</v>
      </c>
      <c r="C20" t="s">
        <v>61</v>
      </c>
      <c r="D20">
        <v>27.9</v>
      </c>
      <c r="E20">
        <v>21</v>
      </c>
    </row>
    <row r="21" spans="1:5">
      <c r="A21">
        <v>19</v>
      </c>
      <c r="B21" s="427"/>
      <c r="C21" t="s">
        <v>60</v>
      </c>
      <c r="D21">
        <v>26.1</v>
      </c>
      <c r="E21">
        <v>23.7</v>
      </c>
    </row>
    <row r="22" spans="1:5">
      <c r="A22">
        <v>20</v>
      </c>
      <c r="B22" s="427"/>
      <c r="C22" t="s">
        <v>59</v>
      </c>
      <c r="D22">
        <v>29.3</v>
      </c>
      <c r="E22">
        <v>24.7</v>
      </c>
    </row>
    <row r="23" spans="1:5">
      <c r="A23">
        <v>21</v>
      </c>
      <c r="B23" s="427"/>
      <c r="C23" t="s">
        <v>58</v>
      </c>
      <c r="D23">
        <v>27.9</v>
      </c>
      <c r="E23">
        <v>23.8</v>
      </c>
    </row>
    <row r="24" spans="1:5">
      <c r="A24">
        <v>22</v>
      </c>
      <c r="B24" s="427">
        <v>2010</v>
      </c>
      <c r="C24" t="s">
        <v>61</v>
      </c>
      <c r="D24">
        <v>24.4</v>
      </c>
      <c r="E24">
        <v>26.9</v>
      </c>
    </row>
    <row r="25" spans="1:5">
      <c r="A25">
        <v>23</v>
      </c>
      <c r="B25" s="427"/>
      <c r="C25" t="s">
        <v>60</v>
      </c>
      <c r="D25">
        <v>25</v>
      </c>
      <c r="E25">
        <v>27.3</v>
      </c>
    </row>
    <row r="26" spans="1:5">
      <c r="A26">
        <v>24</v>
      </c>
      <c r="B26" s="427"/>
      <c r="C26" t="s">
        <v>59</v>
      </c>
      <c r="D26">
        <v>25.2</v>
      </c>
      <c r="E26">
        <v>25.3</v>
      </c>
    </row>
    <row r="27" spans="1:5">
      <c r="A27">
        <v>25</v>
      </c>
      <c r="B27" s="427"/>
      <c r="C27" t="s">
        <v>58</v>
      </c>
      <c r="D27">
        <v>25.1</v>
      </c>
      <c r="E27">
        <v>25.7</v>
      </c>
    </row>
    <row r="28" spans="1:5">
      <c r="A28">
        <v>26</v>
      </c>
      <c r="B28" s="427">
        <v>2011</v>
      </c>
      <c r="C28" t="s">
        <v>61</v>
      </c>
      <c r="D28">
        <v>26</v>
      </c>
      <c r="E28">
        <v>26.1</v>
      </c>
    </row>
    <row r="29" spans="1:5">
      <c r="A29">
        <v>27</v>
      </c>
      <c r="B29" s="427"/>
      <c r="C29" t="s">
        <v>60</v>
      </c>
      <c r="D29">
        <v>26.1</v>
      </c>
      <c r="E29">
        <v>31.6</v>
      </c>
    </row>
    <row r="30" spans="1:5">
      <c r="A30">
        <v>28</v>
      </c>
      <c r="B30" s="427"/>
      <c r="C30" t="s">
        <v>59</v>
      </c>
      <c r="D30">
        <v>26.1</v>
      </c>
      <c r="E30">
        <v>31.1</v>
      </c>
    </row>
    <row r="31" spans="1:5">
      <c r="A31">
        <v>29</v>
      </c>
      <c r="B31" s="427"/>
      <c r="C31" t="s">
        <v>58</v>
      </c>
      <c r="D31">
        <v>26.2</v>
      </c>
      <c r="E31">
        <v>28.8</v>
      </c>
    </row>
    <row r="32" spans="1:5">
      <c r="A32">
        <v>30</v>
      </c>
      <c r="B32" s="427">
        <v>2012</v>
      </c>
      <c r="C32" t="s">
        <v>61</v>
      </c>
      <c r="D32">
        <v>26.8</v>
      </c>
      <c r="E32">
        <v>28.9</v>
      </c>
    </row>
    <row r="33" spans="1:26">
      <c r="A33">
        <v>31</v>
      </c>
      <c r="B33" s="427"/>
      <c r="C33" t="s">
        <v>60</v>
      </c>
      <c r="D33">
        <v>27.7</v>
      </c>
      <c r="E33">
        <v>40.299999999999997</v>
      </c>
    </row>
    <row r="34" spans="1:26">
      <c r="A34">
        <v>32</v>
      </c>
      <c r="B34" s="427"/>
      <c r="C34" t="s">
        <v>59</v>
      </c>
      <c r="D34">
        <v>28.3</v>
      </c>
      <c r="E34">
        <v>41.8</v>
      </c>
    </row>
    <row r="35" spans="1:26">
      <c r="A35">
        <v>33</v>
      </c>
      <c r="B35" s="427"/>
      <c r="C35" t="s">
        <v>58</v>
      </c>
      <c r="D35">
        <v>28.7</v>
      </c>
      <c r="E35">
        <v>39.9</v>
      </c>
    </row>
    <row r="36" spans="1:26">
      <c r="A36">
        <v>34</v>
      </c>
      <c r="B36" s="427">
        <v>2013</v>
      </c>
      <c r="C36" t="s">
        <v>61</v>
      </c>
      <c r="D36">
        <v>33.5</v>
      </c>
      <c r="E36">
        <v>54.4</v>
      </c>
      <c r="T36" s="230"/>
    </row>
    <row r="37" spans="1:26">
      <c r="A37">
        <v>35</v>
      </c>
      <c r="B37" s="427"/>
      <c r="C37" t="s">
        <v>60</v>
      </c>
      <c r="D37">
        <v>35.799999999999997</v>
      </c>
      <c r="E37">
        <v>56.9</v>
      </c>
      <c r="T37" s="230"/>
    </row>
    <row r="38" spans="1:26">
      <c r="A38">
        <v>36</v>
      </c>
      <c r="B38" s="427"/>
      <c r="C38" t="s">
        <v>59</v>
      </c>
      <c r="D38">
        <v>38</v>
      </c>
      <c r="E38">
        <v>58.7</v>
      </c>
    </row>
    <row r="39" spans="1:26">
      <c r="A39">
        <v>37</v>
      </c>
      <c r="B39" s="427"/>
      <c r="C39" t="s">
        <v>58</v>
      </c>
      <c r="D39">
        <v>36.700000000000003</v>
      </c>
      <c r="E39">
        <v>57.4</v>
      </c>
    </row>
    <row r="40" spans="1:26">
      <c r="A40">
        <v>38</v>
      </c>
      <c r="B40" s="427">
        <v>2014</v>
      </c>
      <c r="C40" t="s">
        <v>61</v>
      </c>
      <c r="D40">
        <v>39.799999999999997</v>
      </c>
      <c r="E40">
        <v>63</v>
      </c>
    </row>
    <row r="41" spans="1:26">
      <c r="A41">
        <v>39</v>
      </c>
      <c r="B41" s="427"/>
      <c r="C41" t="s">
        <v>60</v>
      </c>
      <c r="D41">
        <v>40.299999999999997</v>
      </c>
      <c r="E41">
        <v>62.6</v>
      </c>
    </row>
    <row r="42" spans="1:26">
      <c r="A42">
        <v>40</v>
      </c>
      <c r="B42" s="427"/>
      <c r="C42" t="s">
        <v>59</v>
      </c>
      <c r="D42">
        <v>41.2</v>
      </c>
      <c r="E42">
        <v>63.5</v>
      </c>
    </row>
    <row r="43" spans="1:26">
      <c r="A43">
        <v>41</v>
      </c>
      <c r="B43" s="427"/>
      <c r="C43" t="s">
        <v>58</v>
      </c>
      <c r="D43">
        <v>40.799999999999997</v>
      </c>
      <c r="E43">
        <v>62.9</v>
      </c>
    </row>
    <row r="44" spans="1:26">
      <c r="A44">
        <v>42</v>
      </c>
      <c r="B44">
        <v>2015</v>
      </c>
      <c r="C44" t="s">
        <v>61</v>
      </c>
      <c r="D44" s="230">
        <v>42.7</v>
      </c>
      <c r="E44" s="230">
        <v>61.2</v>
      </c>
    </row>
    <row r="45" spans="1:26">
      <c r="C45" t="s">
        <v>60</v>
      </c>
      <c r="D45">
        <v>43.7</v>
      </c>
      <c r="E45">
        <v>59.9</v>
      </c>
    </row>
    <row r="47" spans="1:26">
      <c r="H47">
        <v>42</v>
      </c>
      <c r="I47" t="s">
        <v>61</v>
      </c>
      <c r="J47" s="230">
        <v>42.7</v>
      </c>
      <c r="K47" s="230">
        <v>61.2</v>
      </c>
      <c r="M47">
        <v>43</v>
      </c>
      <c r="N47">
        <v>42</v>
      </c>
      <c r="O47">
        <v>41</v>
      </c>
      <c r="P47">
        <v>40</v>
      </c>
      <c r="Q47">
        <v>39</v>
      </c>
      <c r="R47">
        <v>38</v>
      </c>
      <c r="S47">
        <v>37</v>
      </c>
      <c r="T47">
        <v>36</v>
      </c>
      <c r="U47">
        <v>35</v>
      </c>
      <c r="V47">
        <v>34</v>
      </c>
      <c r="W47">
        <v>33</v>
      </c>
      <c r="X47">
        <v>32</v>
      </c>
      <c r="Y47">
        <v>31</v>
      </c>
      <c r="Z47">
        <v>30</v>
      </c>
    </row>
    <row r="48" spans="1:26">
      <c r="H48">
        <v>41</v>
      </c>
      <c r="I48" t="s">
        <v>58</v>
      </c>
      <c r="J48">
        <v>40.799999999999997</v>
      </c>
      <c r="K48">
        <v>62.9</v>
      </c>
      <c r="M48" t="s">
        <v>60</v>
      </c>
      <c r="N48" t="s">
        <v>61</v>
      </c>
      <c r="O48" t="s">
        <v>58</v>
      </c>
      <c r="P48" t="s">
        <v>59</v>
      </c>
      <c r="Q48" t="s">
        <v>60</v>
      </c>
      <c r="R48" t="s">
        <v>61</v>
      </c>
      <c r="S48" t="s">
        <v>58</v>
      </c>
      <c r="T48" t="s">
        <v>59</v>
      </c>
      <c r="U48" t="s">
        <v>60</v>
      </c>
      <c r="V48" t="s">
        <v>61</v>
      </c>
      <c r="W48" t="s">
        <v>58</v>
      </c>
      <c r="X48" t="s">
        <v>59</v>
      </c>
      <c r="Y48" t="s">
        <v>60</v>
      </c>
      <c r="Z48" t="s">
        <v>61</v>
      </c>
    </row>
    <row r="49" spans="8:26">
      <c r="H49">
        <v>40</v>
      </c>
      <c r="I49" t="s">
        <v>59</v>
      </c>
      <c r="J49">
        <v>41.2</v>
      </c>
      <c r="K49">
        <v>63.5</v>
      </c>
      <c r="M49">
        <v>43.7</v>
      </c>
      <c r="N49" s="230">
        <v>42.7</v>
      </c>
      <c r="O49">
        <v>40.799999999999997</v>
      </c>
      <c r="P49">
        <v>41.2</v>
      </c>
      <c r="Q49">
        <v>40.299999999999997</v>
      </c>
      <c r="R49">
        <v>39.799999999999997</v>
      </c>
      <c r="S49">
        <v>36.700000000000003</v>
      </c>
      <c r="T49">
        <v>38</v>
      </c>
      <c r="U49">
        <v>35.799999999999997</v>
      </c>
      <c r="V49">
        <v>33.5</v>
      </c>
      <c r="W49">
        <v>28.7</v>
      </c>
      <c r="X49">
        <v>28.3</v>
      </c>
      <c r="Y49">
        <v>27.7</v>
      </c>
      <c r="Z49">
        <v>26.8</v>
      </c>
    </row>
    <row r="50" spans="8:26">
      <c r="H50">
        <v>39</v>
      </c>
      <c r="I50" t="s">
        <v>60</v>
      </c>
      <c r="J50">
        <v>40.299999999999997</v>
      </c>
      <c r="K50">
        <v>62.6</v>
      </c>
      <c r="M50">
        <v>59.9</v>
      </c>
      <c r="N50" s="230">
        <v>61.2</v>
      </c>
      <c r="O50">
        <v>62.9</v>
      </c>
      <c r="P50">
        <v>63.5</v>
      </c>
      <c r="Q50">
        <v>62.6</v>
      </c>
      <c r="R50">
        <v>63</v>
      </c>
      <c r="S50">
        <v>57.4</v>
      </c>
      <c r="T50">
        <v>58.7</v>
      </c>
      <c r="U50">
        <v>56.9</v>
      </c>
      <c r="V50">
        <v>54.4</v>
      </c>
      <c r="W50">
        <v>39.9</v>
      </c>
      <c r="X50">
        <v>41.8</v>
      </c>
      <c r="Y50">
        <v>40.299999999999997</v>
      </c>
      <c r="Z50">
        <v>28.9</v>
      </c>
    </row>
    <row r="51" spans="8:26">
      <c r="H51">
        <v>38</v>
      </c>
      <c r="I51" t="s">
        <v>61</v>
      </c>
      <c r="J51">
        <v>39.799999999999997</v>
      </c>
      <c r="K51">
        <v>63</v>
      </c>
    </row>
    <row r="52" spans="8:26">
      <c r="H52">
        <v>37</v>
      </c>
      <c r="I52" t="s">
        <v>58</v>
      </c>
      <c r="J52">
        <v>36.700000000000003</v>
      </c>
      <c r="K52">
        <v>57.4</v>
      </c>
    </row>
    <row r="53" spans="8:26">
      <c r="H53">
        <v>36</v>
      </c>
      <c r="I53" t="s">
        <v>59</v>
      </c>
      <c r="J53">
        <v>38</v>
      </c>
      <c r="K53">
        <v>58.7</v>
      </c>
    </row>
    <row r="54" spans="8:26">
      <c r="H54">
        <v>35</v>
      </c>
      <c r="I54" t="s">
        <v>60</v>
      </c>
      <c r="J54">
        <v>35.799999999999997</v>
      </c>
      <c r="K54">
        <v>56.9</v>
      </c>
    </row>
    <row r="55" spans="8:26">
      <c r="H55">
        <v>34</v>
      </c>
      <c r="I55" t="s">
        <v>61</v>
      </c>
      <c r="J55">
        <v>33.5</v>
      </c>
      <c r="K55">
        <v>54.4</v>
      </c>
    </row>
    <row r="56" spans="8:26">
      <c r="H56">
        <v>33</v>
      </c>
      <c r="I56" t="s">
        <v>58</v>
      </c>
      <c r="J56">
        <v>28.7</v>
      </c>
      <c r="K56">
        <v>39.9</v>
      </c>
    </row>
    <row r="57" spans="8:26">
      <c r="H57">
        <v>32</v>
      </c>
      <c r="I57" t="s">
        <v>59</v>
      </c>
      <c r="J57">
        <v>28.3</v>
      </c>
      <c r="K57">
        <v>41.8</v>
      </c>
    </row>
    <row r="58" spans="8:26">
      <c r="H58">
        <v>31</v>
      </c>
      <c r="I58" t="s">
        <v>60</v>
      </c>
      <c r="J58">
        <v>27.7</v>
      </c>
      <c r="K58">
        <v>40.299999999999997</v>
      </c>
    </row>
    <row r="59" spans="8:26">
      <c r="H59">
        <v>30</v>
      </c>
      <c r="I59" t="s">
        <v>61</v>
      </c>
      <c r="J59">
        <v>26.8</v>
      </c>
      <c r="K59">
        <v>28.9</v>
      </c>
    </row>
  </sheetData>
  <sortState ref="H47:K59">
    <sortCondition descending="1" ref="H47"/>
  </sortState>
  <mergeCells count="16">
    <mergeCell ref="AU2:AX2"/>
    <mergeCell ref="AA2:AD2"/>
    <mergeCell ref="AE2:AH2"/>
    <mergeCell ref="AI2:AL2"/>
    <mergeCell ref="AM2:AP2"/>
    <mergeCell ref="AQ2:AT2"/>
    <mergeCell ref="S2:V2"/>
    <mergeCell ref="W2:Z2"/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83"/>
  <sheetViews>
    <sheetView topLeftCell="A64" workbookViewId="0">
      <selection activeCell="Q29" sqref="Q29"/>
    </sheetView>
  </sheetViews>
  <sheetFormatPr defaultRowHeight="15"/>
  <cols>
    <col min="3" max="3" width="38" bestFit="1" customWidth="1"/>
  </cols>
  <sheetData>
    <row r="2" spans="3:30">
      <c r="D2" s="227" t="s">
        <v>35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/>
      <c r="E3" s="226"/>
      <c r="F3" s="226"/>
      <c r="G3" s="15"/>
      <c r="H3" s="229"/>
      <c r="I3" s="226"/>
      <c r="J3" s="226"/>
      <c r="K3" s="15"/>
      <c r="L3" s="229"/>
      <c r="M3" s="226"/>
      <c r="N3" s="226"/>
    </row>
    <row r="4" spans="3:30">
      <c r="C4" s="14" t="s">
        <v>31</v>
      </c>
      <c r="D4" s="230"/>
      <c r="E4" s="226"/>
      <c r="F4" s="15"/>
      <c r="G4" s="15"/>
      <c r="H4" s="230"/>
      <c r="I4" s="226"/>
      <c r="J4" s="15"/>
      <c r="K4" s="15"/>
      <c r="L4" s="230"/>
      <c r="M4" s="226"/>
    </row>
    <row r="5" spans="3:30">
      <c r="C5" s="14" t="s">
        <v>36</v>
      </c>
      <c r="D5" s="230"/>
      <c r="E5" s="226"/>
      <c r="F5" s="15"/>
      <c r="G5" s="15"/>
      <c r="H5" s="230"/>
      <c r="I5" s="226"/>
      <c r="J5" s="15"/>
      <c r="K5" s="15"/>
      <c r="L5" s="230"/>
      <c r="M5" s="226"/>
    </row>
    <row r="8" spans="3:30">
      <c r="C8" s="15" t="s">
        <v>32</v>
      </c>
      <c r="D8" s="14" t="s">
        <v>33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32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/>
      <c r="D9" s="226"/>
      <c r="E9" s="226"/>
      <c r="F9" s="15"/>
      <c r="G9" s="15"/>
      <c r="H9" s="229"/>
      <c r="I9" s="226"/>
      <c r="J9" s="226"/>
      <c r="V9" s="226"/>
    </row>
    <row r="10" spans="3:30">
      <c r="C10" s="14" t="s">
        <v>31</v>
      </c>
      <c r="D10" s="230"/>
      <c r="E10" s="226"/>
      <c r="F10" s="15"/>
      <c r="G10" s="15"/>
      <c r="H10" s="15"/>
      <c r="I10" s="230"/>
      <c r="J10" s="226"/>
    </row>
    <row r="11" spans="3:30">
      <c r="C11" s="14" t="s">
        <v>36</v>
      </c>
      <c r="D11" s="230"/>
      <c r="E11" s="226"/>
      <c r="F11" s="15"/>
      <c r="G11" s="15"/>
      <c r="H11" s="15"/>
      <c r="I11" s="230"/>
      <c r="J11" s="226"/>
    </row>
    <row r="14" spans="3:30">
      <c r="D14" s="16" t="s">
        <v>37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/>
      <c r="E15" s="233"/>
      <c r="F15" s="233"/>
      <c r="G15" s="17" t="s">
        <v>32</v>
      </c>
      <c r="H15" s="17"/>
      <c r="I15" s="232"/>
      <c r="J15" s="233"/>
      <c r="K15" s="233"/>
    </row>
    <row r="16" spans="3:30">
      <c r="C16" s="19" t="s">
        <v>31</v>
      </c>
      <c r="D16" s="234"/>
      <c r="E16" s="235"/>
      <c r="F16" s="18" t="s">
        <v>32</v>
      </c>
      <c r="G16" s="18" t="s">
        <v>32</v>
      </c>
      <c r="H16" s="18"/>
      <c r="I16" s="234"/>
      <c r="J16" s="235"/>
    </row>
    <row r="17" spans="3:30">
      <c r="C17" s="21" t="s">
        <v>36</v>
      </c>
      <c r="D17" s="236"/>
      <c r="E17" s="237"/>
      <c r="F17" s="20" t="s">
        <v>32</v>
      </c>
      <c r="G17" s="20" t="s">
        <v>32</v>
      </c>
      <c r="H17" s="20"/>
      <c r="I17" s="236"/>
      <c r="J17" s="237"/>
    </row>
    <row r="20" spans="3:30">
      <c r="D20" s="23" t="s">
        <v>38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30">
      <c r="D21" s="239">
        <v>2015</v>
      </c>
      <c r="E21" s="238"/>
      <c r="F21" s="238"/>
      <c r="G21" s="22" t="s">
        <v>32</v>
      </c>
      <c r="H21" s="239"/>
      <c r="I21" s="238"/>
      <c r="J21" s="238"/>
      <c r="K21" s="238"/>
      <c r="L21" s="22" t="s">
        <v>32</v>
      </c>
      <c r="M21" s="23"/>
      <c r="N21" s="238"/>
      <c r="O21" s="238"/>
    </row>
    <row r="22" spans="3:30">
      <c r="C22" s="25" t="s">
        <v>31</v>
      </c>
      <c r="D22" s="230">
        <v>42.7</v>
      </c>
      <c r="E22" s="241"/>
      <c r="F22" s="24" t="s">
        <v>32</v>
      </c>
      <c r="G22" s="24" t="s">
        <v>32</v>
      </c>
      <c r="H22" s="24"/>
      <c r="I22" s="240"/>
      <c r="J22" s="241"/>
    </row>
    <row r="23" spans="3:30">
      <c r="C23" s="27" t="s">
        <v>36</v>
      </c>
      <c r="D23" s="230">
        <v>61.2</v>
      </c>
      <c r="E23" s="243"/>
      <c r="F23" s="26" t="s">
        <v>32</v>
      </c>
      <c r="G23" s="26" t="s">
        <v>32</v>
      </c>
      <c r="H23" s="26"/>
      <c r="I23" s="242"/>
      <c r="J23" s="243"/>
    </row>
    <row r="25" spans="3:30">
      <c r="D25" s="227" t="s">
        <v>35</v>
      </c>
      <c r="E25" s="228"/>
      <c r="F25" s="228"/>
      <c r="G25" s="228"/>
      <c r="H25" s="228"/>
      <c r="I25" s="228"/>
      <c r="J25" s="228"/>
      <c r="K25" s="228"/>
      <c r="L25" s="228"/>
      <c r="M25" s="228"/>
      <c r="N25" s="228"/>
    </row>
    <row r="26" spans="3:30">
      <c r="D26" s="229">
        <v>2014</v>
      </c>
      <c r="E26" s="226"/>
      <c r="F26" s="226"/>
      <c r="G26" s="15" t="s">
        <v>32</v>
      </c>
      <c r="H26" s="229">
        <v>2013</v>
      </c>
      <c r="I26" s="226"/>
      <c r="J26" s="226"/>
      <c r="K26" s="15" t="s">
        <v>32</v>
      </c>
      <c r="L26" s="229">
        <v>2012</v>
      </c>
      <c r="M26" s="226"/>
      <c r="N26" s="226"/>
    </row>
    <row r="27" spans="3:30">
      <c r="C27" s="14" t="s">
        <v>31</v>
      </c>
      <c r="D27" s="230">
        <v>40.799999999999997</v>
      </c>
      <c r="E27" s="226"/>
      <c r="F27" s="15" t="s">
        <v>32</v>
      </c>
      <c r="G27" s="15" t="s">
        <v>32</v>
      </c>
      <c r="H27" s="230">
        <v>36.700000000000003</v>
      </c>
      <c r="I27" s="226"/>
      <c r="J27" s="15" t="s">
        <v>32</v>
      </c>
      <c r="K27" s="15" t="s">
        <v>32</v>
      </c>
      <c r="L27" s="230">
        <v>28.7</v>
      </c>
      <c r="M27" s="226"/>
    </row>
    <row r="28" spans="3:30">
      <c r="C28" s="14" t="s">
        <v>36</v>
      </c>
      <c r="D28" s="230">
        <v>62.9</v>
      </c>
      <c r="E28" s="226"/>
      <c r="F28" s="15" t="s">
        <v>32</v>
      </c>
      <c r="G28" s="15" t="s">
        <v>32</v>
      </c>
      <c r="H28" s="230">
        <v>57.4</v>
      </c>
      <c r="I28" s="226"/>
      <c r="J28" s="15" t="s">
        <v>32</v>
      </c>
      <c r="K28" s="15" t="s">
        <v>32</v>
      </c>
      <c r="L28" s="230">
        <v>39.9</v>
      </c>
      <c r="M28" s="226"/>
    </row>
    <row r="31" spans="3:30">
      <c r="C31" s="15" t="s">
        <v>32</v>
      </c>
      <c r="D31" s="14" t="s">
        <v>33</v>
      </c>
      <c r="E31" s="226"/>
      <c r="F31" s="226"/>
      <c r="G31" s="226"/>
      <c r="H31" s="226"/>
      <c r="I31" s="226"/>
      <c r="J31" s="226"/>
      <c r="K31" s="226"/>
      <c r="L31" s="226"/>
      <c r="M31" s="226"/>
      <c r="N31" s="226"/>
      <c r="O31" s="226"/>
      <c r="P31" s="226"/>
      <c r="Q31" s="15" t="s">
        <v>32</v>
      </c>
      <c r="W31" s="226"/>
      <c r="X31" s="226"/>
      <c r="Y31" s="226"/>
      <c r="Z31" s="226"/>
      <c r="AA31" s="226"/>
      <c r="AB31" s="226"/>
      <c r="AC31" s="226"/>
      <c r="AD31" s="226"/>
    </row>
    <row r="32" spans="3:30">
      <c r="C32" s="229">
        <v>2014</v>
      </c>
      <c r="D32" s="226"/>
      <c r="E32" s="226"/>
      <c r="F32" s="15" t="s">
        <v>32</v>
      </c>
      <c r="G32" s="15" t="s">
        <v>32</v>
      </c>
      <c r="H32" s="229">
        <v>2013</v>
      </c>
      <c r="I32" s="226"/>
      <c r="J32" s="226"/>
      <c r="V32" s="226"/>
    </row>
    <row r="33" spans="3:16">
      <c r="C33" s="14" t="s">
        <v>31</v>
      </c>
      <c r="D33" s="230">
        <v>41.2</v>
      </c>
      <c r="E33" s="226"/>
      <c r="F33" s="15" t="s">
        <v>32</v>
      </c>
      <c r="G33" s="15" t="s">
        <v>32</v>
      </c>
      <c r="H33" s="15" t="s">
        <v>32</v>
      </c>
      <c r="I33" s="230">
        <v>38</v>
      </c>
      <c r="J33" s="226"/>
    </row>
    <row r="34" spans="3:16">
      <c r="C34" s="14" t="s">
        <v>36</v>
      </c>
      <c r="D34" s="230">
        <v>63.5</v>
      </c>
      <c r="E34" s="226"/>
      <c r="F34" s="15" t="s">
        <v>32</v>
      </c>
      <c r="G34" s="15" t="s">
        <v>32</v>
      </c>
      <c r="H34" s="15" t="s">
        <v>32</v>
      </c>
      <c r="I34" s="230">
        <v>58.7</v>
      </c>
      <c r="J34" s="226"/>
    </row>
    <row r="37" spans="3:16">
      <c r="D37" s="16" t="s">
        <v>37</v>
      </c>
      <c r="E37" s="231"/>
      <c r="F37" s="231"/>
      <c r="G37" s="231"/>
      <c r="H37" s="231"/>
      <c r="I37" s="231"/>
      <c r="J37" s="231"/>
      <c r="K37" s="231"/>
      <c r="L37" s="231"/>
      <c r="M37" s="231"/>
      <c r="N37" s="231"/>
      <c r="O37" s="231"/>
      <c r="P37" s="231"/>
    </row>
    <row r="38" spans="3:16">
      <c r="D38" s="232">
        <v>2014</v>
      </c>
      <c r="E38" s="233"/>
      <c r="F38" s="233"/>
      <c r="G38" s="17" t="s">
        <v>32</v>
      </c>
      <c r="H38" s="17" t="s">
        <v>32</v>
      </c>
      <c r="I38" s="232">
        <v>2013</v>
      </c>
      <c r="J38" s="233"/>
      <c r="K38" s="233"/>
    </row>
    <row r="39" spans="3:16">
      <c r="C39" s="19" t="s">
        <v>31</v>
      </c>
      <c r="D39" s="234">
        <v>40.299999999999997</v>
      </c>
      <c r="E39" s="235"/>
      <c r="F39" s="18" t="s">
        <v>32</v>
      </c>
      <c r="G39" s="18" t="s">
        <v>32</v>
      </c>
      <c r="H39" s="18" t="s">
        <v>32</v>
      </c>
      <c r="I39" s="234">
        <v>35.799999999999997</v>
      </c>
      <c r="J39" s="235"/>
    </row>
    <row r="40" spans="3:16">
      <c r="C40" s="21" t="s">
        <v>36</v>
      </c>
      <c r="D40" s="236">
        <v>62.6</v>
      </c>
      <c r="E40" s="237"/>
      <c r="F40" s="20" t="s">
        <v>32</v>
      </c>
      <c r="G40" s="20" t="s">
        <v>32</v>
      </c>
      <c r="H40" s="20" t="s">
        <v>32</v>
      </c>
      <c r="I40" s="236">
        <v>56.9</v>
      </c>
      <c r="J40" s="237"/>
    </row>
    <row r="43" spans="3:16">
      <c r="D43" s="23" t="s">
        <v>38</v>
      </c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</row>
    <row r="44" spans="3:16">
      <c r="D44" s="239">
        <v>2014</v>
      </c>
      <c r="E44" s="238"/>
      <c r="F44" s="238"/>
      <c r="G44" s="22" t="s">
        <v>32</v>
      </c>
      <c r="H44" s="239">
        <v>2013</v>
      </c>
      <c r="I44" s="238"/>
      <c r="J44" s="238"/>
      <c r="K44" s="238"/>
      <c r="L44" s="22" t="s">
        <v>32</v>
      </c>
      <c r="M44" s="23"/>
      <c r="N44" s="238"/>
      <c r="O44" s="238"/>
    </row>
    <row r="45" spans="3:16">
      <c r="C45" s="25" t="s">
        <v>31</v>
      </c>
      <c r="D45" s="240">
        <v>39.799999999999997</v>
      </c>
      <c r="E45" s="241"/>
      <c r="F45" s="24" t="s">
        <v>32</v>
      </c>
      <c r="G45" s="24" t="s">
        <v>32</v>
      </c>
      <c r="H45" s="24" t="s">
        <v>32</v>
      </c>
      <c r="I45" s="240">
        <v>33.5</v>
      </c>
      <c r="J45" s="241"/>
    </row>
    <row r="46" spans="3:16">
      <c r="C46" s="27" t="s">
        <v>36</v>
      </c>
      <c r="D46" s="242">
        <v>63</v>
      </c>
      <c r="E46" s="243"/>
      <c r="F46" s="26" t="s">
        <v>32</v>
      </c>
      <c r="G46" s="26" t="s">
        <v>32</v>
      </c>
      <c r="H46" s="26" t="s">
        <v>32</v>
      </c>
      <c r="I46" s="242">
        <v>54.4</v>
      </c>
      <c r="J46" s="243"/>
    </row>
    <row r="51" spans="3:14">
      <c r="D51" s="244" t="s">
        <v>35</v>
      </c>
      <c r="E51" s="245"/>
      <c r="F51" s="245"/>
      <c r="G51" s="245"/>
      <c r="H51" s="245"/>
      <c r="I51" s="245"/>
      <c r="J51" s="245"/>
      <c r="K51" s="245"/>
      <c r="L51" s="245"/>
      <c r="M51" s="245"/>
      <c r="N51" s="245"/>
    </row>
    <row r="52" spans="3:14">
      <c r="D52" s="246">
        <v>2013</v>
      </c>
      <c r="E52" s="247"/>
      <c r="F52" s="247"/>
      <c r="G52" s="28" t="s">
        <v>32</v>
      </c>
      <c r="H52" s="246">
        <v>2012</v>
      </c>
      <c r="I52" s="247"/>
      <c r="J52" s="247"/>
      <c r="K52" s="28" t="s">
        <v>32</v>
      </c>
      <c r="L52" s="246">
        <v>2011</v>
      </c>
      <c r="M52" s="247"/>
      <c r="N52" s="247"/>
    </row>
    <row r="53" spans="3:14">
      <c r="C53" s="30" t="s">
        <v>31</v>
      </c>
      <c r="D53" s="248">
        <v>36.700000000000003</v>
      </c>
      <c r="E53" s="249"/>
      <c r="F53" s="29" t="s">
        <v>32</v>
      </c>
      <c r="G53" s="29" t="s">
        <v>32</v>
      </c>
      <c r="H53" s="248">
        <v>28.7</v>
      </c>
      <c r="I53" s="249"/>
      <c r="J53" s="29" t="s">
        <v>32</v>
      </c>
      <c r="K53" s="29" t="s">
        <v>32</v>
      </c>
      <c r="L53" s="248">
        <v>26.2</v>
      </c>
      <c r="M53" s="249"/>
    </row>
    <row r="54" spans="3:14">
      <c r="C54" s="32" t="s">
        <v>36</v>
      </c>
      <c r="D54" s="250">
        <v>57.4</v>
      </c>
      <c r="E54" s="251"/>
      <c r="F54" s="31" t="s">
        <v>32</v>
      </c>
      <c r="G54" s="31" t="s">
        <v>32</v>
      </c>
      <c r="H54" s="250">
        <v>39.9</v>
      </c>
      <c r="I54" s="251"/>
      <c r="J54" s="31" t="s">
        <v>32</v>
      </c>
      <c r="K54" s="31" t="s">
        <v>32</v>
      </c>
      <c r="L54" s="250">
        <v>28.8</v>
      </c>
      <c r="M54" s="251"/>
    </row>
    <row r="56" spans="3:14">
      <c r="D56" s="33" t="s">
        <v>40</v>
      </c>
      <c r="E56" s="252"/>
      <c r="F56" s="252"/>
      <c r="G56" s="252"/>
      <c r="H56" s="252"/>
      <c r="I56" s="252"/>
      <c r="J56" s="252"/>
      <c r="K56" s="252"/>
      <c r="L56" s="252"/>
      <c r="M56" s="252"/>
      <c r="N56" s="252"/>
    </row>
    <row r="57" spans="3:14">
      <c r="D57" s="33" t="s">
        <v>41</v>
      </c>
      <c r="E57" s="252"/>
      <c r="F57" s="252"/>
      <c r="G57" s="252"/>
      <c r="H57" s="252"/>
      <c r="I57" s="252"/>
      <c r="J57" s="252"/>
      <c r="K57" s="252"/>
      <c r="L57" s="252"/>
      <c r="M57" s="252"/>
      <c r="N57" s="252"/>
    </row>
    <row r="58" spans="3:14">
      <c r="C58" s="35" t="s">
        <v>31</v>
      </c>
      <c r="D58" s="253">
        <v>38</v>
      </c>
      <c r="E58" s="254"/>
      <c r="F58" s="34" t="s">
        <v>32</v>
      </c>
      <c r="G58" s="34" t="s">
        <v>32</v>
      </c>
      <c r="H58" s="253">
        <v>28.3</v>
      </c>
      <c r="I58" s="254"/>
    </row>
    <row r="59" spans="3:14">
      <c r="C59" s="37" t="s">
        <v>36</v>
      </c>
      <c r="D59" s="255">
        <v>58.7</v>
      </c>
      <c r="E59" s="256"/>
      <c r="F59" s="36" t="s">
        <v>32</v>
      </c>
      <c r="G59" s="36" t="s">
        <v>32</v>
      </c>
      <c r="H59" s="255">
        <v>41.8</v>
      </c>
      <c r="I59" s="256"/>
    </row>
    <row r="61" spans="3:14">
      <c r="D61" s="39" t="s">
        <v>37</v>
      </c>
      <c r="E61" s="257"/>
      <c r="F61" s="257"/>
      <c r="G61" s="257"/>
      <c r="H61" s="257"/>
      <c r="I61" s="257"/>
      <c r="J61" s="257"/>
      <c r="K61" s="257"/>
      <c r="L61" s="257"/>
      <c r="M61" s="257"/>
      <c r="N61" s="257"/>
    </row>
    <row r="62" spans="3:14">
      <c r="D62" s="258">
        <v>2013</v>
      </c>
      <c r="E62" s="257"/>
      <c r="F62" s="257"/>
      <c r="G62" s="38" t="s">
        <v>32</v>
      </c>
      <c r="H62" s="258">
        <v>2012</v>
      </c>
      <c r="I62" s="257"/>
      <c r="J62" s="257"/>
      <c r="K62" s="38" t="s">
        <v>32</v>
      </c>
      <c r="L62" s="39" t="s">
        <v>39</v>
      </c>
      <c r="M62" s="257"/>
      <c r="N62" s="257"/>
    </row>
    <row r="63" spans="3:14">
      <c r="C63" s="41" t="s">
        <v>31</v>
      </c>
      <c r="D63" s="259">
        <v>35.799999999999997</v>
      </c>
      <c r="E63" s="260"/>
      <c r="F63" s="40" t="s">
        <v>32</v>
      </c>
      <c r="G63" s="40" t="s">
        <v>32</v>
      </c>
      <c r="H63" s="259">
        <v>27.7</v>
      </c>
      <c r="I63" s="260"/>
    </row>
    <row r="64" spans="3:14">
      <c r="C64" s="43" t="s">
        <v>36</v>
      </c>
      <c r="D64" s="261">
        <v>56.9</v>
      </c>
      <c r="E64" s="262"/>
      <c r="F64" s="42" t="s">
        <v>32</v>
      </c>
      <c r="G64" s="42" t="s">
        <v>32</v>
      </c>
      <c r="H64" s="261">
        <v>40.299999999999997</v>
      </c>
      <c r="I64" s="262"/>
    </row>
    <row r="66" spans="3:16">
      <c r="D66" s="45" t="s">
        <v>38</v>
      </c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</row>
    <row r="67" spans="3:16">
      <c r="D67" s="264">
        <v>2013</v>
      </c>
      <c r="E67" s="263"/>
      <c r="F67" s="263"/>
      <c r="G67" s="44" t="s">
        <v>32</v>
      </c>
      <c r="H67" s="264">
        <v>2012</v>
      </c>
      <c r="I67" s="263"/>
      <c r="J67" s="263"/>
      <c r="K67" s="263"/>
      <c r="L67" s="263"/>
      <c r="M67" s="44" t="s">
        <v>32</v>
      </c>
      <c r="N67" s="45" t="s">
        <v>39</v>
      </c>
      <c r="O67" s="263"/>
      <c r="P67" s="263"/>
    </row>
    <row r="68" spans="3:16">
      <c r="C68" s="47" t="s">
        <v>31</v>
      </c>
      <c r="D68" s="265">
        <v>33.5</v>
      </c>
      <c r="E68" s="266"/>
      <c r="F68" s="46" t="s">
        <v>32</v>
      </c>
      <c r="G68" s="46" t="s">
        <v>32</v>
      </c>
      <c r="H68" s="46" t="s">
        <v>32</v>
      </c>
      <c r="I68" s="265">
        <v>26.8</v>
      </c>
      <c r="J68" s="266"/>
    </row>
    <row r="69" spans="3:16">
      <c r="C69" s="49" t="s">
        <v>36</v>
      </c>
      <c r="D69" s="267">
        <v>54.4</v>
      </c>
      <c r="E69" s="268"/>
      <c r="F69" s="48" t="s">
        <v>32</v>
      </c>
      <c r="G69" s="48" t="s">
        <v>32</v>
      </c>
      <c r="H69" s="48" t="s">
        <v>32</v>
      </c>
      <c r="I69" s="267">
        <v>28.9</v>
      </c>
      <c r="J69" s="268"/>
    </row>
    <row r="72" spans="3:16">
      <c r="D72" s="269" t="s">
        <v>35</v>
      </c>
      <c r="E72" s="270"/>
      <c r="F72" s="270"/>
      <c r="G72" s="270"/>
      <c r="H72" s="270"/>
      <c r="I72" s="270"/>
      <c r="J72" s="270"/>
      <c r="K72" s="270"/>
      <c r="L72" s="270"/>
      <c r="M72" s="270"/>
      <c r="N72" s="270"/>
    </row>
    <row r="73" spans="3:16">
      <c r="D73" s="271">
        <v>2012</v>
      </c>
      <c r="E73" s="272"/>
      <c r="F73" s="272"/>
      <c r="G73" s="50" t="s">
        <v>32</v>
      </c>
      <c r="H73" s="271">
        <v>2011</v>
      </c>
      <c r="I73" s="272"/>
      <c r="J73" s="272"/>
      <c r="K73" s="50" t="s">
        <v>32</v>
      </c>
      <c r="L73" s="271">
        <v>2010</v>
      </c>
      <c r="M73" s="272"/>
      <c r="N73" s="272"/>
    </row>
    <row r="74" spans="3:16">
      <c r="C74" s="52" t="s">
        <v>31</v>
      </c>
      <c r="D74" s="273">
        <v>28.7</v>
      </c>
      <c r="E74" s="274"/>
      <c r="F74" s="51" t="s">
        <v>32</v>
      </c>
      <c r="G74" s="51" t="s">
        <v>32</v>
      </c>
      <c r="H74" s="273">
        <v>26.2</v>
      </c>
      <c r="I74" s="274"/>
      <c r="J74" s="51" t="s">
        <v>32</v>
      </c>
      <c r="K74" s="51" t="s">
        <v>32</v>
      </c>
      <c r="L74" s="273">
        <v>25.1</v>
      </c>
      <c r="M74" s="274"/>
    </row>
    <row r="75" spans="3:16">
      <c r="C75" s="55" t="s">
        <v>36</v>
      </c>
      <c r="D75" s="275">
        <v>39.9</v>
      </c>
      <c r="E75" s="276"/>
      <c r="F75" s="54" t="s">
        <v>32</v>
      </c>
      <c r="G75" s="54" t="s">
        <v>32</v>
      </c>
      <c r="H75" s="275">
        <v>28.8</v>
      </c>
      <c r="I75" s="276"/>
      <c r="J75" s="54" t="s">
        <v>32</v>
      </c>
      <c r="K75" s="54" t="s">
        <v>32</v>
      </c>
      <c r="L75" s="275">
        <v>25.7</v>
      </c>
      <c r="M75" s="276"/>
    </row>
    <row r="76" spans="3:16">
      <c r="C76" s="55"/>
      <c r="D76" s="53"/>
      <c r="E76" s="53"/>
      <c r="F76" s="53"/>
      <c r="G76" s="53"/>
      <c r="H76" s="53"/>
      <c r="I76" s="53"/>
      <c r="J76" s="53"/>
      <c r="K76" s="53"/>
      <c r="L76" s="53"/>
      <c r="M76" s="53"/>
    </row>
    <row r="77" spans="3:16">
      <c r="D77" s="57" t="s">
        <v>33</v>
      </c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</row>
    <row r="78" spans="3:16">
      <c r="D78" s="278">
        <v>2012</v>
      </c>
      <c r="E78" s="277"/>
      <c r="F78" s="277"/>
      <c r="G78" s="56" t="s">
        <v>32</v>
      </c>
      <c r="H78" s="278">
        <v>2011</v>
      </c>
      <c r="I78" s="277"/>
      <c r="J78" s="277"/>
      <c r="K78" s="277"/>
      <c r="L78" s="277"/>
      <c r="M78" s="56" t="s">
        <v>32</v>
      </c>
      <c r="N78" s="57" t="s">
        <v>39</v>
      </c>
      <c r="O78" s="277"/>
      <c r="P78" s="277"/>
    </row>
    <row r="79" spans="3:16">
      <c r="C79" s="59" t="s">
        <v>31</v>
      </c>
      <c r="D79" s="279">
        <v>28.3</v>
      </c>
      <c r="E79" s="280"/>
      <c r="F79" s="58" t="s">
        <v>32</v>
      </c>
      <c r="G79" s="58" t="s">
        <v>32</v>
      </c>
      <c r="H79" s="58" t="s">
        <v>32</v>
      </c>
      <c r="I79" s="279">
        <v>26.1</v>
      </c>
      <c r="J79" s="280"/>
    </row>
    <row r="80" spans="3:16">
      <c r="C80" s="61" t="s">
        <v>36</v>
      </c>
      <c r="D80" s="281">
        <v>41.8</v>
      </c>
      <c r="E80" s="282"/>
      <c r="F80" s="60" t="s">
        <v>32</v>
      </c>
      <c r="G80" s="60" t="s">
        <v>32</v>
      </c>
      <c r="H80" s="60" t="s">
        <v>32</v>
      </c>
      <c r="I80" s="281">
        <v>31.1</v>
      </c>
      <c r="J80" s="282"/>
    </row>
    <row r="82" spans="3:16">
      <c r="D82" s="72" t="s">
        <v>37</v>
      </c>
      <c r="E82" s="283"/>
      <c r="F82" s="283"/>
      <c r="G82" s="283"/>
      <c r="H82" s="283"/>
      <c r="I82" s="283"/>
      <c r="J82" s="283"/>
      <c r="K82" s="283"/>
      <c r="L82" s="283"/>
      <c r="M82" s="283"/>
      <c r="N82" s="283"/>
      <c r="O82" s="283"/>
      <c r="P82" s="283"/>
    </row>
    <row r="83" spans="3:16">
      <c r="D83" s="284">
        <v>2012</v>
      </c>
      <c r="E83" s="283"/>
      <c r="F83" s="283"/>
      <c r="G83" s="71" t="s">
        <v>32</v>
      </c>
      <c r="H83" s="284">
        <v>2011</v>
      </c>
      <c r="I83" s="283"/>
      <c r="J83" s="283"/>
      <c r="K83" s="71" t="s">
        <v>32</v>
      </c>
      <c r="L83" s="72" t="s">
        <v>39</v>
      </c>
      <c r="M83" s="283"/>
      <c r="N83" s="283"/>
      <c r="O83" s="283"/>
      <c r="P83" s="283"/>
    </row>
    <row r="84" spans="3:16">
      <c r="C84" s="74" t="s">
        <v>31</v>
      </c>
      <c r="D84" s="285">
        <v>27.7</v>
      </c>
      <c r="E84" s="286"/>
      <c r="F84" s="73" t="s">
        <v>32</v>
      </c>
      <c r="G84" s="73" t="s">
        <v>32</v>
      </c>
      <c r="H84" s="285">
        <v>26.1</v>
      </c>
      <c r="I84" s="286"/>
      <c r="J84" s="70"/>
      <c r="K84" s="71"/>
      <c r="L84" s="72"/>
      <c r="M84" s="70"/>
      <c r="N84" s="70"/>
      <c r="O84" s="70"/>
      <c r="P84" s="70"/>
    </row>
    <row r="85" spans="3:16">
      <c r="C85" s="76" t="s">
        <v>36</v>
      </c>
      <c r="D85" s="287">
        <v>40.299999999999997</v>
      </c>
      <c r="E85" s="288"/>
      <c r="F85" s="75" t="s">
        <v>32</v>
      </c>
      <c r="G85" s="75" t="s">
        <v>32</v>
      </c>
      <c r="H85" s="287">
        <v>31.6</v>
      </c>
      <c r="I85" s="288"/>
    </row>
    <row r="87" spans="3:16">
      <c r="D87" s="63" t="s">
        <v>38</v>
      </c>
      <c r="E87" s="289"/>
      <c r="F87" s="289"/>
      <c r="G87" s="289"/>
      <c r="H87" s="289"/>
      <c r="I87" s="289"/>
      <c r="J87" s="289"/>
      <c r="K87" s="289"/>
      <c r="L87" s="289"/>
      <c r="M87" s="289"/>
    </row>
    <row r="88" spans="3:16">
      <c r="D88" s="290">
        <v>2012</v>
      </c>
      <c r="E88" s="289"/>
      <c r="F88" s="62" t="s">
        <v>32</v>
      </c>
      <c r="G88" s="62" t="s">
        <v>32</v>
      </c>
      <c r="H88" s="290">
        <v>2011</v>
      </c>
      <c r="I88" s="289"/>
      <c r="J88" s="62" t="s">
        <v>32</v>
      </c>
      <c r="K88" s="62" t="s">
        <v>32</v>
      </c>
      <c r="L88" s="63" t="s">
        <v>39</v>
      </c>
      <c r="M88" s="289"/>
    </row>
    <row r="89" spans="3:16">
      <c r="C89" s="65" t="s">
        <v>31</v>
      </c>
      <c r="D89" s="64" t="s">
        <v>32</v>
      </c>
      <c r="E89" s="64" t="s">
        <v>32</v>
      </c>
      <c r="F89" s="66">
        <v>26.8</v>
      </c>
      <c r="G89" s="64" t="s">
        <v>32</v>
      </c>
      <c r="H89" s="64" t="s">
        <v>32</v>
      </c>
      <c r="I89" s="64" t="s">
        <v>32</v>
      </c>
      <c r="J89" s="66">
        <v>26</v>
      </c>
    </row>
    <row r="90" spans="3:16">
      <c r="C90" s="68" t="s">
        <v>36</v>
      </c>
      <c r="D90" s="67" t="s">
        <v>32</v>
      </c>
      <c r="E90" s="67" t="s">
        <v>32</v>
      </c>
      <c r="F90" s="69">
        <v>28.9</v>
      </c>
      <c r="G90" s="67" t="s">
        <v>32</v>
      </c>
      <c r="H90" s="67" t="s">
        <v>32</v>
      </c>
      <c r="I90" s="67" t="s">
        <v>32</v>
      </c>
      <c r="J90" s="69">
        <v>26.1</v>
      </c>
    </row>
    <row r="93" spans="3:16">
      <c r="D93" s="291" t="s">
        <v>35</v>
      </c>
      <c r="E93" s="292"/>
      <c r="F93" s="292"/>
      <c r="G93" s="292"/>
      <c r="H93" s="292"/>
      <c r="I93" s="292"/>
      <c r="J93" s="292"/>
      <c r="K93" s="292"/>
      <c r="L93" s="292"/>
      <c r="M93" s="292"/>
    </row>
    <row r="94" spans="3:16">
      <c r="D94" s="293">
        <v>2011</v>
      </c>
      <c r="E94" s="294"/>
      <c r="F94" s="77" t="s">
        <v>32</v>
      </c>
      <c r="G94" s="77" t="s">
        <v>32</v>
      </c>
      <c r="H94" s="293">
        <v>2010</v>
      </c>
      <c r="I94" s="294"/>
      <c r="J94" s="77" t="s">
        <v>32</v>
      </c>
      <c r="K94" s="77" t="s">
        <v>32</v>
      </c>
      <c r="L94" s="293">
        <v>2009</v>
      </c>
      <c r="M94" s="294"/>
    </row>
    <row r="95" spans="3:16">
      <c r="C95" s="79" t="s">
        <v>31</v>
      </c>
      <c r="D95" s="78" t="s">
        <v>32</v>
      </c>
      <c r="E95" s="78" t="s">
        <v>32</v>
      </c>
      <c r="F95" s="80">
        <v>26.2</v>
      </c>
      <c r="G95" s="78" t="s">
        <v>32</v>
      </c>
      <c r="H95" s="78" t="s">
        <v>32</v>
      </c>
      <c r="I95" s="78" t="s">
        <v>32</v>
      </c>
      <c r="J95" s="80">
        <v>25.1</v>
      </c>
      <c r="N95" s="84">
        <v>27.9</v>
      </c>
    </row>
    <row r="96" spans="3:16">
      <c r="C96" s="82" t="s">
        <v>36</v>
      </c>
      <c r="D96" s="81" t="s">
        <v>32</v>
      </c>
      <c r="E96" s="81" t="s">
        <v>32</v>
      </c>
      <c r="F96" s="83">
        <v>28.8</v>
      </c>
      <c r="G96" s="81" t="s">
        <v>32</v>
      </c>
      <c r="H96" s="81" t="s">
        <v>32</v>
      </c>
      <c r="I96" s="81" t="s">
        <v>32</v>
      </c>
      <c r="J96" s="83">
        <v>25.7</v>
      </c>
      <c r="K96" s="81" t="s">
        <v>32</v>
      </c>
      <c r="N96" s="84">
        <v>23.8</v>
      </c>
    </row>
    <row r="98" spans="3:13">
      <c r="D98" s="86" t="s">
        <v>33</v>
      </c>
      <c r="E98" s="295"/>
      <c r="F98" s="295"/>
      <c r="G98" s="295"/>
      <c r="H98" s="295"/>
      <c r="I98" s="295"/>
      <c r="J98" s="295"/>
      <c r="K98" s="295"/>
      <c r="L98" s="295"/>
      <c r="M98" s="295"/>
    </row>
    <row r="99" spans="3:13">
      <c r="D99" s="296">
        <v>2011</v>
      </c>
      <c r="E99" s="295"/>
      <c r="F99" s="85" t="s">
        <v>32</v>
      </c>
      <c r="G99" s="85" t="s">
        <v>32</v>
      </c>
      <c r="H99" s="296">
        <v>2010</v>
      </c>
      <c r="I99" s="295"/>
      <c r="J99" s="85" t="s">
        <v>32</v>
      </c>
      <c r="K99" s="85" t="s">
        <v>32</v>
      </c>
      <c r="L99" s="86" t="s">
        <v>39</v>
      </c>
      <c r="M99" s="295"/>
    </row>
    <row r="100" spans="3:13">
      <c r="C100" s="88" t="s">
        <v>31</v>
      </c>
      <c r="D100" s="87" t="s">
        <v>32</v>
      </c>
      <c r="E100" s="87" t="s">
        <v>32</v>
      </c>
      <c r="F100" s="89">
        <v>26.1</v>
      </c>
      <c r="G100" s="87" t="s">
        <v>32</v>
      </c>
      <c r="H100" s="87" t="s">
        <v>32</v>
      </c>
      <c r="I100" s="87" t="s">
        <v>32</v>
      </c>
      <c r="J100" s="89">
        <v>25.2</v>
      </c>
    </row>
    <row r="101" spans="3:13">
      <c r="C101" s="91" t="s">
        <v>36</v>
      </c>
      <c r="D101" s="90" t="s">
        <v>32</v>
      </c>
      <c r="E101" s="90" t="s">
        <v>32</v>
      </c>
      <c r="F101" s="92">
        <v>31.1</v>
      </c>
      <c r="G101" s="90" t="s">
        <v>32</v>
      </c>
      <c r="H101" s="90" t="s">
        <v>32</v>
      </c>
      <c r="I101" s="90" t="s">
        <v>32</v>
      </c>
      <c r="J101" s="92">
        <v>25.3</v>
      </c>
    </row>
    <row r="104" spans="3:13">
      <c r="D104" s="94" t="s">
        <v>37</v>
      </c>
      <c r="E104" s="297"/>
      <c r="F104" s="297"/>
      <c r="G104" s="297"/>
      <c r="H104" s="297"/>
      <c r="I104" s="297"/>
      <c r="J104" s="297"/>
      <c r="K104" s="297"/>
      <c r="L104" s="297"/>
      <c r="M104" s="297"/>
    </row>
    <row r="105" spans="3:13">
      <c r="D105" s="298">
        <v>2011</v>
      </c>
      <c r="E105" s="297"/>
      <c r="F105" s="93" t="s">
        <v>32</v>
      </c>
      <c r="G105" s="93" t="s">
        <v>32</v>
      </c>
      <c r="H105" s="298">
        <v>2010</v>
      </c>
      <c r="I105" s="297"/>
      <c r="J105" s="93" t="s">
        <v>32</v>
      </c>
      <c r="K105" s="93" t="s">
        <v>32</v>
      </c>
      <c r="L105" s="94" t="s">
        <v>39</v>
      </c>
      <c r="M105" s="297"/>
    </row>
    <row r="106" spans="3:13">
      <c r="C106" s="96" t="s">
        <v>31</v>
      </c>
      <c r="D106" s="95" t="s">
        <v>32</v>
      </c>
      <c r="E106" s="95" t="s">
        <v>32</v>
      </c>
      <c r="F106" s="97">
        <v>26.1</v>
      </c>
      <c r="G106" s="95" t="s">
        <v>32</v>
      </c>
      <c r="H106" s="95" t="s">
        <v>32</v>
      </c>
      <c r="I106" s="95" t="s">
        <v>32</v>
      </c>
      <c r="J106" s="97">
        <v>25</v>
      </c>
    </row>
    <row r="107" spans="3:13">
      <c r="C107" s="99" t="s">
        <v>36</v>
      </c>
      <c r="D107" s="98" t="s">
        <v>32</v>
      </c>
      <c r="E107" s="98" t="s">
        <v>32</v>
      </c>
      <c r="F107" s="100">
        <v>31.6</v>
      </c>
      <c r="G107" s="98" t="s">
        <v>32</v>
      </c>
      <c r="H107" s="98" t="s">
        <v>32</v>
      </c>
      <c r="I107" s="98" t="s">
        <v>32</v>
      </c>
      <c r="J107" s="100">
        <v>27.3</v>
      </c>
    </row>
    <row r="109" spans="3:13">
      <c r="D109" s="102" t="s">
        <v>38</v>
      </c>
      <c r="E109" s="299"/>
      <c r="F109" s="299"/>
      <c r="G109" s="299"/>
      <c r="H109" s="299"/>
      <c r="I109" s="299"/>
      <c r="J109" s="299"/>
      <c r="K109" s="299"/>
      <c r="L109" s="299"/>
      <c r="M109" s="299"/>
    </row>
    <row r="110" spans="3:13">
      <c r="D110" s="300">
        <v>2011</v>
      </c>
      <c r="E110" s="299"/>
      <c r="F110" s="101" t="s">
        <v>32</v>
      </c>
      <c r="G110" s="101" t="s">
        <v>32</v>
      </c>
      <c r="H110" s="300">
        <v>2010</v>
      </c>
      <c r="I110" s="299"/>
      <c r="J110" s="101" t="s">
        <v>32</v>
      </c>
      <c r="K110" s="101" t="s">
        <v>32</v>
      </c>
      <c r="L110" s="102" t="s">
        <v>39</v>
      </c>
      <c r="M110" s="299"/>
    </row>
    <row r="111" spans="3:13">
      <c r="C111" s="104" t="s">
        <v>31</v>
      </c>
      <c r="D111" s="103" t="s">
        <v>32</v>
      </c>
      <c r="E111" s="103" t="s">
        <v>32</v>
      </c>
      <c r="F111" s="105">
        <v>26</v>
      </c>
      <c r="G111" s="103" t="s">
        <v>32</v>
      </c>
      <c r="H111" s="103" t="s">
        <v>32</v>
      </c>
      <c r="I111" s="103" t="s">
        <v>32</v>
      </c>
      <c r="J111" s="105">
        <v>24.4</v>
      </c>
    </row>
    <row r="112" spans="3:13">
      <c r="C112" s="107" t="s">
        <v>36</v>
      </c>
      <c r="D112" s="106" t="s">
        <v>32</v>
      </c>
      <c r="E112" s="106" t="s">
        <v>32</v>
      </c>
      <c r="F112" s="108">
        <v>26.1</v>
      </c>
      <c r="G112" s="106" t="s">
        <v>32</v>
      </c>
      <c r="H112" s="106" t="s">
        <v>32</v>
      </c>
      <c r="I112" s="106" t="s">
        <v>32</v>
      </c>
      <c r="J112" s="108">
        <v>26.9</v>
      </c>
    </row>
    <row r="114" spans="3:14">
      <c r="D114" s="301" t="s">
        <v>35</v>
      </c>
      <c r="E114" s="302"/>
      <c r="F114" s="302"/>
      <c r="G114" s="302"/>
      <c r="H114" s="302"/>
      <c r="I114" s="302"/>
      <c r="J114" s="302"/>
      <c r="K114" s="302"/>
      <c r="L114" s="302"/>
      <c r="M114" s="302"/>
    </row>
    <row r="115" spans="3:14">
      <c r="D115" s="303">
        <v>2010</v>
      </c>
      <c r="E115" s="304"/>
      <c r="F115" s="109" t="s">
        <v>32</v>
      </c>
      <c r="G115" s="109" t="s">
        <v>32</v>
      </c>
      <c r="H115" s="303">
        <v>2009</v>
      </c>
      <c r="I115" s="304"/>
      <c r="J115" s="109" t="s">
        <v>32</v>
      </c>
      <c r="K115" s="109" t="s">
        <v>32</v>
      </c>
      <c r="L115" s="303">
        <v>2008</v>
      </c>
      <c r="M115" s="304"/>
    </row>
    <row r="116" spans="3:14">
      <c r="C116" s="111" t="s">
        <v>31</v>
      </c>
      <c r="D116" s="110" t="s">
        <v>32</v>
      </c>
      <c r="E116" s="110" t="s">
        <v>32</v>
      </c>
      <c r="F116" s="112">
        <v>25.1</v>
      </c>
      <c r="G116" s="110" t="s">
        <v>32</v>
      </c>
      <c r="H116" s="110" t="s">
        <v>32</v>
      </c>
      <c r="I116" s="110" t="s">
        <v>32</v>
      </c>
      <c r="J116" s="112">
        <v>27.9</v>
      </c>
      <c r="K116" s="110" t="s">
        <v>32</v>
      </c>
      <c r="L116" s="110" t="s">
        <v>32</v>
      </c>
      <c r="M116" s="110" t="s">
        <v>32</v>
      </c>
      <c r="N116" s="112">
        <v>30.9</v>
      </c>
    </row>
    <row r="117" spans="3:14">
      <c r="C117" s="114" t="s">
        <v>36</v>
      </c>
      <c r="D117" s="113" t="s">
        <v>32</v>
      </c>
      <c r="E117" s="113" t="s">
        <v>32</v>
      </c>
      <c r="F117" s="115">
        <v>25.7</v>
      </c>
      <c r="G117" s="113" t="s">
        <v>32</v>
      </c>
      <c r="H117" s="113" t="s">
        <v>32</v>
      </c>
      <c r="I117" s="113" t="s">
        <v>32</v>
      </c>
      <c r="J117" s="115">
        <v>23.8</v>
      </c>
      <c r="K117" s="113" t="s">
        <v>32</v>
      </c>
      <c r="L117" s="113" t="s">
        <v>32</v>
      </c>
      <c r="M117" s="113" t="s">
        <v>32</v>
      </c>
      <c r="N117" s="115">
        <v>28</v>
      </c>
    </row>
    <row r="119" spans="3:14">
      <c r="D119" s="118" t="s">
        <v>42</v>
      </c>
      <c r="E119" s="305"/>
      <c r="F119" s="305"/>
      <c r="G119" s="305"/>
      <c r="H119" s="305"/>
      <c r="I119" s="305"/>
    </row>
    <row r="120" spans="3:14">
      <c r="D120" s="117" t="s">
        <v>32</v>
      </c>
      <c r="E120" s="116"/>
      <c r="F120" s="116"/>
      <c r="G120" s="116"/>
      <c r="H120" s="116"/>
      <c r="I120" s="116"/>
    </row>
    <row r="121" spans="3:14">
      <c r="D121" s="118" t="s">
        <v>43</v>
      </c>
      <c r="E121" s="305"/>
      <c r="F121" s="305"/>
      <c r="G121" s="305"/>
      <c r="H121" s="305"/>
      <c r="I121" s="305"/>
    </row>
    <row r="122" spans="3:14">
      <c r="C122" s="120" t="s">
        <v>31</v>
      </c>
      <c r="D122" s="119" t="s">
        <v>32</v>
      </c>
      <c r="E122" s="119" t="s">
        <v>32</v>
      </c>
      <c r="F122" s="121">
        <v>25.2</v>
      </c>
      <c r="G122" s="119" t="s">
        <v>32</v>
      </c>
      <c r="H122" s="119" t="s">
        <v>32</v>
      </c>
      <c r="I122" s="119" t="s">
        <v>32</v>
      </c>
      <c r="J122" s="121">
        <v>29.3</v>
      </c>
    </row>
    <row r="123" spans="3:14">
      <c r="C123" s="123" t="s">
        <v>36</v>
      </c>
      <c r="D123" s="122" t="s">
        <v>32</v>
      </c>
      <c r="E123" s="122" t="s">
        <v>32</v>
      </c>
      <c r="F123" s="124">
        <v>25.3</v>
      </c>
      <c r="G123" s="122" t="s">
        <v>32</v>
      </c>
      <c r="H123" s="122" t="s">
        <v>32</v>
      </c>
      <c r="I123" s="122" t="s">
        <v>32</v>
      </c>
      <c r="J123" s="124">
        <v>24.7</v>
      </c>
    </row>
    <row r="125" spans="3:14">
      <c r="D125" s="126" t="s">
        <v>37</v>
      </c>
      <c r="E125" s="306"/>
      <c r="F125" s="306"/>
      <c r="G125" s="306"/>
      <c r="H125" s="306"/>
      <c r="I125" s="306"/>
    </row>
    <row r="126" spans="3:14">
      <c r="D126" s="307">
        <v>2010</v>
      </c>
      <c r="E126" s="306"/>
      <c r="F126" s="125" t="s">
        <v>32</v>
      </c>
      <c r="G126" s="125" t="s">
        <v>32</v>
      </c>
      <c r="H126" s="307">
        <v>2009</v>
      </c>
      <c r="I126" s="306"/>
    </row>
    <row r="127" spans="3:14">
      <c r="C127" s="128" t="s">
        <v>31</v>
      </c>
      <c r="D127" s="127" t="s">
        <v>32</v>
      </c>
      <c r="E127" s="127" t="s">
        <v>32</v>
      </c>
      <c r="F127" s="129">
        <v>25</v>
      </c>
      <c r="G127" s="127" t="s">
        <v>32</v>
      </c>
      <c r="H127" s="127" t="s">
        <v>32</v>
      </c>
      <c r="I127" s="127" t="s">
        <v>32</v>
      </c>
      <c r="J127" s="129">
        <v>26.1</v>
      </c>
    </row>
    <row r="128" spans="3:14">
      <c r="C128" s="131" t="s">
        <v>44</v>
      </c>
      <c r="D128" s="130" t="s">
        <v>32</v>
      </c>
      <c r="E128" s="130" t="s">
        <v>32</v>
      </c>
      <c r="F128" s="132">
        <v>27.3</v>
      </c>
      <c r="G128" s="130" t="s">
        <v>32</v>
      </c>
      <c r="H128" s="130" t="s">
        <v>32</v>
      </c>
      <c r="I128" s="130" t="s">
        <v>32</v>
      </c>
      <c r="J128" s="132">
        <v>23.7</v>
      </c>
    </row>
    <row r="130" spans="3:25">
      <c r="D130" s="134" t="s">
        <v>38</v>
      </c>
      <c r="E130" s="308"/>
      <c r="F130" s="308"/>
      <c r="G130" s="308"/>
      <c r="H130" s="308"/>
      <c r="I130" s="308"/>
    </row>
    <row r="131" spans="3:25">
      <c r="D131" s="309">
        <v>2010</v>
      </c>
      <c r="E131" s="308"/>
      <c r="F131" s="133" t="s">
        <v>32</v>
      </c>
      <c r="G131" s="133" t="s">
        <v>32</v>
      </c>
      <c r="H131" s="309">
        <v>2009</v>
      </c>
      <c r="I131" s="308"/>
    </row>
    <row r="132" spans="3:25">
      <c r="C132" s="136" t="s">
        <v>31</v>
      </c>
      <c r="D132" s="135" t="s">
        <v>32</v>
      </c>
      <c r="E132" s="135" t="s">
        <v>32</v>
      </c>
      <c r="F132" s="137">
        <v>24.4</v>
      </c>
      <c r="G132" s="135" t="s">
        <v>32</v>
      </c>
      <c r="H132" s="135" t="s">
        <v>32</v>
      </c>
      <c r="I132" s="135" t="s">
        <v>32</v>
      </c>
      <c r="J132" s="137">
        <v>27.9</v>
      </c>
    </row>
    <row r="133" spans="3:25">
      <c r="C133" s="139" t="s">
        <v>44</v>
      </c>
      <c r="D133" s="138" t="s">
        <v>32</v>
      </c>
      <c r="E133" s="138" t="s">
        <v>32</v>
      </c>
      <c r="F133" s="140">
        <v>26.9</v>
      </c>
      <c r="G133" s="138" t="s">
        <v>32</v>
      </c>
      <c r="H133" s="138" t="s">
        <v>32</v>
      </c>
      <c r="I133" s="138" t="s">
        <v>32</v>
      </c>
      <c r="J133" s="140">
        <v>21</v>
      </c>
    </row>
    <row r="135" spans="3:25">
      <c r="D135" s="310" t="s">
        <v>35</v>
      </c>
      <c r="E135" s="311"/>
      <c r="F135" s="311"/>
      <c r="G135" s="311"/>
      <c r="H135" s="311"/>
      <c r="I135" s="311"/>
      <c r="J135" s="311"/>
      <c r="K135" s="311"/>
      <c r="L135" s="311"/>
      <c r="M135" s="311"/>
      <c r="N135" s="311"/>
      <c r="O135" s="311"/>
      <c r="P135" s="311"/>
      <c r="Q135" s="311"/>
      <c r="R135" s="311"/>
      <c r="S135" s="311"/>
      <c r="T135" s="311"/>
      <c r="U135" s="311"/>
      <c r="V135" s="311"/>
      <c r="W135" s="311"/>
      <c r="X135" s="311"/>
      <c r="Y135" s="311"/>
    </row>
    <row r="136" spans="3:25">
      <c r="D136" s="312">
        <v>2008</v>
      </c>
      <c r="E136" s="313"/>
      <c r="F136" s="142" t="s">
        <v>32</v>
      </c>
      <c r="G136" s="142" t="s">
        <v>32</v>
      </c>
      <c r="H136" s="312">
        <v>2007</v>
      </c>
      <c r="I136" s="313"/>
      <c r="J136" s="142" t="s">
        <v>32</v>
      </c>
      <c r="K136" s="142" t="s">
        <v>32</v>
      </c>
      <c r="L136" s="312">
        <v>2006</v>
      </c>
      <c r="M136" s="313"/>
      <c r="N136" s="142" t="s">
        <v>32</v>
      </c>
      <c r="O136" s="142" t="s">
        <v>32</v>
      </c>
      <c r="P136" s="312">
        <v>2005</v>
      </c>
      <c r="Q136" s="313"/>
      <c r="R136" s="142" t="s">
        <v>32</v>
      </c>
      <c r="S136" s="142" t="s">
        <v>32</v>
      </c>
      <c r="T136" s="312">
        <v>2004</v>
      </c>
      <c r="U136" s="313"/>
    </row>
    <row r="137" spans="3:25">
      <c r="C137" s="145" t="s">
        <v>45</v>
      </c>
      <c r="D137" s="144" t="s">
        <v>32</v>
      </c>
      <c r="E137" s="144" t="s">
        <v>32</v>
      </c>
      <c r="F137" s="146">
        <v>31</v>
      </c>
      <c r="G137" s="145" t="s">
        <v>46</v>
      </c>
      <c r="H137" s="144" t="s">
        <v>32</v>
      </c>
      <c r="I137" s="144" t="s">
        <v>32</v>
      </c>
      <c r="J137" s="146">
        <v>23.7</v>
      </c>
      <c r="K137" s="145" t="s">
        <v>46</v>
      </c>
      <c r="L137" s="144" t="s">
        <v>32</v>
      </c>
      <c r="M137" s="144" t="s">
        <v>32</v>
      </c>
      <c r="N137" s="146">
        <v>22.2</v>
      </c>
      <c r="O137" s="145" t="s">
        <v>46</v>
      </c>
      <c r="P137" s="144" t="s">
        <v>32</v>
      </c>
      <c r="Q137" s="144" t="s">
        <v>32</v>
      </c>
      <c r="R137" s="146">
        <v>22.3</v>
      </c>
      <c r="S137" s="145" t="s">
        <v>46</v>
      </c>
      <c r="T137" s="144" t="s">
        <v>32</v>
      </c>
      <c r="U137" s="144" t="s">
        <v>32</v>
      </c>
      <c r="V137" s="146">
        <v>21.8</v>
      </c>
      <c r="W137" s="145" t="s">
        <v>46</v>
      </c>
    </row>
    <row r="138" spans="3:25">
      <c r="C138" s="147" t="s">
        <v>47</v>
      </c>
      <c r="D138" s="143"/>
      <c r="E138" s="141"/>
      <c r="F138" s="148">
        <v>32.200000000000003</v>
      </c>
      <c r="G138" s="142"/>
      <c r="H138" s="143"/>
      <c r="I138" s="141"/>
      <c r="J138" s="149">
        <v>32.200000000000003</v>
      </c>
      <c r="K138" s="142"/>
      <c r="L138" s="143"/>
      <c r="M138" s="141"/>
      <c r="N138" s="150">
        <v>22.4</v>
      </c>
      <c r="O138" s="142"/>
      <c r="P138" s="143"/>
      <c r="Q138" s="141"/>
      <c r="R138" s="142"/>
      <c r="S138" s="142"/>
      <c r="T138" s="143"/>
      <c r="U138" s="141"/>
    </row>
    <row r="140" spans="3:25">
      <c r="D140" s="152" t="s">
        <v>34</v>
      </c>
      <c r="E140" s="314"/>
      <c r="F140" s="314"/>
      <c r="G140" s="314"/>
      <c r="H140" s="314"/>
      <c r="I140" s="314"/>
      <c r="J140" s="314"/>
      <c r="K140" s="314"/>
      <c r="L140" s="314"/>
      <c r="M140" s="314"/>
      <c r="N140" s="314"/>
      <c r="O140" s="314"/>
      <c r="P140" s="314"/>
      <c r="Q140" s="314"/>
    </row>
    <row r="141" spans="3:25">
      <c r="D141" s="315">
        <v>2008</v>
      </c>
      <c r="E141" s="314"/>
      <c r="F141" s="314"/>
      <c r="G141" s="314"/>
      <c r="H141" s="314"/>
      <c r="I141" s="314"/>
      <c r="J141" s="151" t="s">
        <v>32</v>
      </c>
      <c r="K141" s="151" t="s">
        <v>32</v>
      </c>
      <c r="L141" s="315">
        <v>2007</v>
      </c>
      <c r="M141" s="314"/>
      <c r="N141" s="314"/>
      <c r="O141" s="314"/>
      <c r="P141" s="314"/>
      <c r="Q141" s="314"/>
    </row>
    <row r="142" spans="3:25">
      <c r="C142" s="159" t="s">
        <v>47</v>
      </c>
      <c r="D142" s="158" t="s">
        <v>32</v>
      </c>
      <c r="E142" s="316">
        <v>1475</v>
      </c>
      <c r="F142" s="317"/>
      <c r="G142" s="158" t="s">
        <v>32</v>
      </c>
      <c r="H142" s="158" t="s">
        <v>32</v>
      </c>
      <c r="I142" s="158" t="s">
        <v>32</v>
      </c>
      <c r="J142" s="160">
        <v>23.6</v>
      </c>
      <c r="K142" s="159" t="s">
        <v>46</v>
      </c>
      <c r="L142" s="158" t="s">
        <v>32</v>
      </c>
      <c r="M142" s="316">
        <v>1232</v>
      </c>
      <c r="N142" s="317"/>
      <c r="O142" s="158" t="s">
        <v>32</v>
      </c>
      <c r="P142" s="158" t="s">
        <v>32</v>
      </c>
      <c r="Q142" s="158" t="s">
        <v>32</v>
      </c>
      <c r="R142" s="160">
        <v>22.8</v>
      </c>
      <c r="S142" s="159" t="s">
        <v>46</v>
      </c>
    </row>
    <row r="143" spans="3:25">
      <c r="C143" s="155" t="s">
        <v>47</v>
      </c>
      <c r="D143" s="154" t="s">
        <v>32</v>
      </c>
      <c r="E143" s="318">
        <v>1546</v>
      </c>
      <c r="F143" s="319"/>
      <c r="G143" s="154" t="s">
        <v>32</v>
      </c>
      <c r="H143" s="154" t="s">
        <v>32</v>
      </c>
      <c r="I143" s="154" t="s">
        <v>32</v>
      </c>
      <c r="J143" s="156">
        <v>24.7</v>
      </c>
      <c r="K143" s="155" t="s">
        <v>46</v>
      </c>
      <c r="L143" s="154" t="s">
        <v>32</v>
      </c>
      <c r="M143" s="318">
        <v>1235</v>
      </c>
      <c r="N143" s="319"/>
      <c r="O143" s="154" t="s">
        <v>32</v>
      </c>
      <c r="P143" s="154" t="s">
        <v>32</v>
      </c>
      <c r="Q143" s="154" t="s">
        <v>32</v>
      </c>
      <c r="R143" s="156">
        <v>22.8</v>
      </c>
      <c r="S143" s="155" t="s">
        <v>46</v>
      </c>
    </row>
    <row r="144" spans="3:25">
      <c r="C144" s="155"/>
      <c r="D144" s="154"/>
      <c r="E144" s="157"/>
      <c r="F144" s="153"/>
      <c r="G144" s="154"/>
      <c r="H144" s="154"/>
      <c r="I144" s="154"/>
      <c r="J144" s="156"/>
      <c r="K144" s="155"/>
      <c r="L144" s="154"/>
      <c r="M144" s="157"/>
      <c r="N144" s="153"/>
      <c r="O144" s="154"/>
      <c r="P144" s="154"/>
      <c r="Q144" s="154"/>
      <c r="R144" s="156"/>
      <c r="S144" s="155"/>
    </row>
    <row r="145" spans="3:26">
      <c r="D145" s="174" t="s">
        <v>51</v>
      </c>
      <c r="E145" s="320"/>
      <c r="F145" s="320"/>
      <c r="G145" s="320"/>
      <c r="H145" s="320"/>
      <c r="I145" s="320"/>
      <c r="J145" s="320"/>
      <c r="K145" s="320"/>
      <c r="L145" s="320"/>
      <c r="M145" s="320"/>
      <c r="N145" s="320"/>
      <c r="O145" s="320"/>
      <c r="P145" s="320"/>
      <c r="Q145" s="320"/>
      <c r="R145" s="172" t="s">
        <v>32</v>
      </c>
      <c r="S145" s="172" t="s">
        <v>32</v>
      </c>
      <c r="T145" s="173" t="s">
        <v>32</v>
      </c>
      <c r="U145" s="171"/>
    </row>
    <row r="146" spans="3:26">
      <c r="D146" s="321">
        <v>2008</v>
      </c>
      <c r="E146" s="320"/>
      <c r="F146" s="320"/>
      <c r="G146" s="320"/>
      <c r="H146" s="320"/>
      <c r="I146" s="320"/>
      <c r="J146" s="172" t="s">
        <v>32</v>
      </c>
      <c r="K146" s="172" t="s">
        <v>32</v>
      </c>
      <c r="L146" s="321">
        <v>2007</v>
      </c>
      <c r="M146" s="320"/>
      <c r="N146" s="320"/>
      <c r="O146" s="320"/>
      <c r="P146" s="320"/>
      <c r="Q146" s="320"/>
      <c r="R146" s="172" t="s">
        <v>32</v>
      </c>
      <c r="S146" s="172" t="s">
        <v>32</v>
      </c>
      <c r="T146" s="174" t="s">
        <v>49</v>
      </c>
      <c r="U146" s="320"/>
    </row>
    <row r="147" spans="3:26">
      <c r="D147" s="170" t="s">
        <v>49</v>
      </c>
      <c r="E147" s="322"/>
      <c r="F147" s="169" t="s">
        <v>32</v>
      </c>
      <c r="G147" s="169" t="s">
        <v>32</v>
      </c>
      <c r="H147" s="170" t="s">
        <v>50</v>
      </c>
      <c r="I147" s="322"/>
      <c r="J147" s="169" t="s">
        <v>32</v>
      </c>
      <c r="K147" s="169" t="s">
        <v>32</v>
      </c>
      <c r="L147" s="170" t="s">
        <v>49</v>
      </c>
      <c r="M147" s="322"/>
      <c r="N147" s="169" t="s">
        <v>32</v>
      </c>
      <c r="O147" s="169" t="s">
        <v>32</v>
      </c>
      <c r="P147" s="170" t="s">
        <v>50</v>
      </c>
      <c r="Q147" s="322"/>
      <c r="R147" s="169" t="s">
        <v>32</v>
      </c>
      <c r="S147" s="169" t="s">
        <v>32</v>
      </c>
      <c r="T147" s="170" t="s">
        <v>39</v>
      </c>
      <c r="U147" s="322"/>
    </row>
    <row r="148" spans="3:26">
      <c r="C148" s="166" t="s">
        <v>47</v>
      </c>
      <c r="D148" s="165" t="s">
        <v>32</v>
      </c>
      <c r="E148" s="323">
        <v>3360</v>
      </c>
      <c r="F148" s="324"/>
      <c r="G148" s="165" t="s">
        <v>32</v>
      </c>
      <c r="H148" s="165" t="s">
        <v>32</v>
      </c>
      <c r="I148" s="165" t="s">
        <v>32</v>
      </c>
      <c r="J148" s="168">
        <v>27.9</v>
      </c>
      <c r="K148" s="166" t="s">
        <v>46</v>
      </c>
      <c r="L148" s="165" t="s">
        <v>32</v>
      </c>
      <c r="M148" s="323">
        <v>2218</v>
      </c>
      <c r="N148" s="324"/>
      <c r="O148" s="165" t="s">
        <v>32</v>
      </c>
      <c r="P148" s="165" t="s">
        <v>32</v>
      </c>
      <c r="Q148" s="165" t="s">
        <v>32</v>
      </c>
      <c r="R148" s="168">
        <v>21.6</v>
      </c>
      <c r="S148" s="166" t="s">
        <v>46</v>
      </c>
      <c r="T148" s="165" t="s">
        <v>32</v>
      </c>
      <c r="U148" s="165" t="s">
        <v>32</v>
      </c>
      <c r="V148" s="167">
        <v>51</v>
      </c>
      <c r="W148" s="166" t="s">
        <v>48</v>
      </c>
    </row>
    <row r="149" spans="3:26">
      <c r="C149" s="162" t="s">
        <v>47</v>
      </c>
      <c r="D149" s="161" t="s">
        <v>32</v>
      </c>
      <c r="E149" s="325">
        <v>3177</v>
      </c>
      <c r="F149" s="326"/>
      <c r="G149" s="161" t="s">
        <v>32</v>
      </c>
      <c r="H149" s="161" t="s">
        <v>32</v>
      </c>
      <c r="I149" s="161" t="s">
        <v>32</v>
      </c>
      <c r="J149" s="164">
        <v>26.4</v>
      </c>
      <c r="K149" s="162" t="s">
        <v>46</v>
      </c>
      <c r="L149" s="161" t="s">
        <v>32</v>
      </c>
      <c r="M149" s="325">
        <v>2204</v>
      </c>
      <c r="N149" s="326"/>
      <c r="O149" s="161" t="s">
        <v>32</v>
      </c>
      <c r="P149" s="161" t="s">
        <v>32</v>
      </c>
      <c r="Q149" s="161" t="s">
        <v>32</v>
      </c>
      <c r="R149" s="164">
        <v>21.5</v>
      </c>
      <c r="S149" s="162" t="s">
        <v>46</v>
      </c>
      <c r="T149" s="161" t="s">
        <v>32</v>
      </c>
      <c r="U149" s="161" t="s">
        <v>32</v>
      </c>
      <c r="V149" s="163">
        <v>44</v>
      </c>
      <c r="W149" s="162" t="s">
        <v>48</v>
      </c>
    </row>
    <row r="151" spans="3:26">
      <c r="D151" s="176" t="s">
        <v>38</v>
      </c>
      <c r="E151" s="327"/>
      <c r="F151" s="327"/>
      <c r="G151" s="327"/>
      <c r="H151" s="327"/>
      <c r="I151" s="327"/>
      <c r="J151" s="327"/>
      <c r="K151" s="327"/>
      <c r="L151" s="327"/>
      <c r="M151" s="327"/>
      <c r="N151" s="327"/>
      <c r="O151" s="327"/>
      <c r="P151" s="327"/>
      <c r="Q151" s="327"/>
    </row>
    <row r="152" spans="3:26">
      <c r="D152" s="328">
        <v>2008</v>
      </c>
      <c r="E152" s="327"/>
      <c r="F152" s="327"/>
      <c r="G152" s="327"/>
      <c r="H152" s="327"/>
      <c r="I152" s="327"/>
      <c r="J152" s="175" t="s">
        <v>32</v>
      </c>
      <c r="K152" s="175" t="s">
        <v>32</v>
      </c>
      <c r="L152" s="328">
        <v>2007</v>
      </c>
      <c r="M152" s="327"/>
      <c r="N152" s="327"/>
      <c r="O152" s="327"/>
      <c r="P152" s="327"/>
      <c r="Q152" s="327"/>
    </row>
    <row r="153" spans="3:26">
      <c r="D153" s="176" t="s">
        <v>49</v>
      </c>
      <c r="E153" s="327"/>
      <c r="F153" s="175" t="s">
        <v>32</v>
      </c>
      <c r="G153" s="175" t="s">
        <v>32</v>
      </c>
      <c r="H153" s="176" t="s">
        <v>50</v>
      </c>
      <c r="I153" s="327"/>
      <c r="J153" s="175" t="s">
        <v>32</v>
      </c>
      <c r="K153" s="175" t="s">
        <v>32</v>
      </c>
      <c r="L153" s="176" t="s">
        <v>49</v>
      </c>
      <c r="M153" s="327"/>
      <c r="N153" s="175" t="s">
        <v>32</v>
      </c>
      <c r="O153" s="175" t="s">
        <v>32</v>
      </c>
      <c r="P153" s="176" t="s">
        <v>50</v>
      </c>
      <c r="Q153" s="327"/>
    </row>
    <row r="154" spans="3:26">
      <c r="C154" s="178" t="s">
        <v>47</v>
      </c>
      <c r="D154" s="177" t="s">
        <v>32</v>
      </c>
      <c r="E154" s="329">
        <v>1752</v>
      </c>
      <c r="F154" s="330"/>
      <c r="G154" s="177" t="s">
        <v>32</v>
      </c>
      <c r="H154" s="177" t="s">
        <v>32</v>
      </c>
      <c r="I154" s="177" t="s">
        <v>32</v>
      </c>
      <c r="J154" s="179">
        <v>29.5</v>
      </c>
      <c r="K154" s="178" t="s">
        <v>46</v>
      </c>
      <c r="L154" s="177" t="s">
        <v>32</v>
      </c>
      <c r="M154" s="329">
        <v>1098</v>
      </c>
      <c r="N154" s="330"/>
      <c r="O154" s="177" t="s">
        <v>32</v>
      </c>
      <c r="P154" s="177" t="s">
        <v>32</v>
      </c>
      <c r="Q154" s="177" t="s">
        <v>32</v>
      </c>
      <c r="R154" s="179">
        <v>21.8</v>
      </c>
      <c r="S154" s="178" t="s">
        <v>46</v>
      </c>
    </row>
    <row r="155" spans="3:26">
      <c r="C155" s="181" t="s">
        <v>47</v>
      </c>
      <c r="D155" s="180" t="s">
        <v>32</v>
      </c>
      <c r="E155" s="331">
        <v>1719</v>
      </c>
      <c r="F155" s="332"/>
      <c r="G155" s="180" t="s">
        <v>32</v>
      </c>
      <c r="H155" s="180" t="s">
        <v>32</v>
      </c>
      <c r="I155" s="180" t="s">
        <v>32</v>
      </c>
      <c r="J155" s="182">
        <v>29</v>
      </c>
      <c r="K155" s="181" t="s">
        <v>46</v>
      </c>
      <c r="L155" s="180" t="s">
        <v>32</v>
      </c>
      <c r="M155" s="331">
        <v>1100</v>
      </c>
      <c r="N155" s="332"/>
      <c r="O155" s="180" t="s">
        <v>32</v>
      </c>
      <c r="P155" s="180" t="s">
        <v>32</v>
      </c>
      <c r="Q155" s="180" t="s">
        <v>32</v>
      </c>
      <c r="R155" s="182">
        <v>21.8</v>
      </c>
      <c r="S155" s="181" t="s">
        <v>46</v>
      </c>
    </row>
    <row r="158" spans="3:26">
      <c r="D158" s="333" t="s">
        <v>35</v>
      </c>
      <c r="E158" s="334"/>
      <c r="F158" s="334"/>
      <c r="G158" s="334"/>
      <c r="H158" s="334"/>
      <c r="I158" s="334"/>
      <c r="J158" s="334"/>
      <c r="K158" s="334"/>
      <c r="L158" s="334"/>
      <c r="M158" s="334"/>
      <c r="N158" s="334"/>
      <c r="O158" s="334"/>
      <c r="P158" s="334"/>
      <c r="Q158" s="334"/>
      <c r="R158" s="334"/>
      <c r="S158" s="334"/>
      <c r="T158" s="334"/>
      <c r="U158" s="334"/>
      <c r="V158" s="334"/>
      <c r="W158" s="334"/>
      <c r="X158" s="334"/>
      <c r="Y158" s="334"/>
    </row>
    <row r="159" spans="3:26">
      <c r="D159" s="335">
        <v>2007</v>
      </c>
      <c r="E159" s="336"/>
      <c r="F159" s="336"/>
      <c r="G159" s="336"/>
      <c r="H159" s="336"/>
      <c r="I159" s="336"/>
      <c r="J159" s="183" t="s">
        <v>32</v>
      </c>
      <c r="K159" s="183" t="s">
        <v>32</v>
      </c>
      <c r="L159" s="335">
        <v>2006</v>
      </c>
      <c r="M159" s="336"/>
      <c r="N159" s="336"/>
      <c r="O159" s="336"/>
      <c r="P159" s="336"/>
      <c r="Q159" s="336"/>
      <c r="R159" s="183" t="s">
        <v>32</v>
      </c>
      <c r="S159" s="183" t="s">
        <v>32</v>
      </c>
      <c r="T159" s="335">
        <v>2005</v>
      </c>
      <c r="U159" s="336"/>
      <c r="V159" s="336"/>
      <c r="W159" s="336"/>
      <c r="X159" s="336"/>
      <c r="Y159" s="336"/>
    </row>
    <row r="160" spans="3:26">
      <c r="D160" s="184" t="s">
        <v>32</v>
      </c>
      <c r="E160" s="185" t="s">
        <v>49</v>
      </c>
      <c r="F160" s="337"/>
      <c r="G160" s="184" t="s">
        <v>32</v>
      </c>
      <c r="H160" s="184" t="s">
        <v>32</v>
      </c>
      <c r="I160" s="185" t="s">
        <v>52</v>
      </c>
      <c r="J160" s="337"/>
      <c r="K160" s="184" t="s">
        <v>32</v>
      </c>
      <c r="L160" s="184" t="s">
        <v>32</v>
      </c>
      <c r="M160" s="185" t="s">
        <v>49</v>
      </c>
      <c r="N160" s="337"/>
      <c r="O160" s="184" t="s">
        <v>32</v>
      </c>
      <c r="P160" s="184" t="s">
        <v>32</v>
      </c>
      <c r="Q160" s="185" t="s">
        <v>52</v>
      </c>
      <c r="R160" s="337"/>
      <c r="S160" s="184" t="s">
        <v>32</v>
      </c>
      <c r="T160" s="184" t="s">
        <v>32</v>
      </c>
      <c r="U160" s="185" t="s">
        <v>49</v>
      </c>
      <c r="V160" s="337"/>
      <c r="W160" s="184" t="s">
        <v>32</v>
      </c>
      <c r="X160" s="184" t="s">
        <v>32</v>
      </c>
      <c r="Y160" s="185" t="s">
        <v>52</v>
      </c>
      <c r="Z160" s="337"/>
    </row>
    <row r="161" spans="3:27">
      <c r="C161" s="190" t="s">
        <v>47</v>
      </c>
      <c r="D161" s="189" t="s">
        <v>32</v>
      </c>
      <c r="E161" s="338">
        <v>5071</v>
      </c>
      <c r="F161" s="339"/>
      <c r="G161" s="189" t="s">
        <v>32</v>
      </c>
      <c r="H161" s="189" t="s">
        <v>32</v>
      </c>
      <c r="I161" s="189" t="s">
        <v>32</v>
      </c>
      <c r="J161" s="191">
        <v>23.7</v>
      </c>
      <c r="K161" s="190" t="s">
        <v>46</v>
      </c>
      <c r="L161" s="189" t="s">
        <v>32</v>
      </c>
      <c r="M161" s="338">
        <v>4250</v>
      </c>
      <c r="N161" s="339"/>
      <c r="O161" s="189" t="s">
        <v>32</v>
      </c>
      <c r="P161" s="189" t="s">
        <v>32</v>
      </c>
      <c r="Q161" s="189" t="s">
        <v>32</v>
      </c>
      <c r="R161" s="191">
        <v>22.2</v>
      </c>
      <c r="S161" s="190" t="s">
        <v>46</v>
      </c>
      <c r="T161" s="189" t="s">
        <v>32</v>
      </c>
      <c r="U161" s="338">
        <v>4006</v>
      </c>
      <c r="V161" s="339"/>
      <c r="W161" s="189" t="s">
        <v>32</v>
      </c>
      <c r="X161" s="189" t="s">
        <v>32</v>
      </c>
      <c r="Y161" s="189" t="s">
        <v>32</v>
      </c>
      <c r="Z161" s="191">
        <v>22.3</v>
      </c>
      <c r="AA161" s="190" t="s">
        <v>46</v>
      </c>
    </row>
    <row r="162" spans="3:27">
      <c r="C162" s="187" t="s">
        <v>47</v>
      </c>
      <c r="D162" s="186" t="s">
        <v>32</v>
      </c>
      <c r="E162" s="340">
        <v>5063</v>
      </c>
      <c r="F162" s="341"/>
      <c r="G162" s="186" t="s">
        <v>32</v>
      </c>
      <c r="H162" s="186" t="s">
        <v>32</v>
      </c>
      <c r="I162" s="186" t="s">
        <v>32</v>
      </c>
      <c r="J162" s="188">
        <v>23.7</v>
      </c>
      <c r="K162" s="187" t="s">
        <v>46</v>
      </c>
      <c r="L162" s="186" t="s">
        <v>32</v>
      </c>
      <c r="M162" s="340">
        <v>4288</v>
      </c>
      <c r="N162" s="341"/>
      <c r="O162" s="186" t="s">
        <v>32</v>
      </c>
      <c r="P162" s="186" t="s">
        <v>32</v>
      </c>
      <c r="Q162" s="186" t="s">
        <v>32</v>
      </c>
      <c r="R162" s="188">
        <v>22.4</v>
      </c>
      <c r="S162" s="187" t="s">
        <v>46</v>
      </c>
      <c r="T162" s="186" t="s">
        <v>32</v>
      </c>
      <c r="U162" s="340">
        <v>4055</v>
      </c>
      <c r="V162" s="341"/>
      <c r="W162" s="186" t="s">
        <v>32</v>
      </c>
      <c r="X162" s="186" t="s">
        <v>32</v>
      </c>
      <c r="Y162" s="186" t="s">
        <v>32</v>
      </c>
      <c r="Z162" s="188">
        <v>22.6</v>
      </c>
      <c r="AA162" s="187" t="s">
        <v>46</v>
      </c>
    </row>
    <row r="164" spans="3:27">
      <c r="D164" s="195" t="s">
        <v>34</v>
      </c>
      <c r="E164" s="342"/>
      <c r="F164" s="342"/>
      <c r="G164" s="342"/>
      <c r="H164" s="342"/>
      <c r="I164" s="342"/>
      <c r="J164" s="342"/>
      <c r="K164" s="342"/>
      <c r="L164" s="342"/>
      <c r="M164" s="342"/>
      <c r="N164" s="342"/>
      <c r="O164" s="342"/>
      <c r="P164" s="342"/>
      <c r="Q164" s="342"/>
      <c r="R164" s="342"/>
      <c r="S164" s="342"/>
      <c r="T164" s="342"/>
      <c r="U164" s="342"/>
    </row>
    <row r="165" spans="3:27">
      <c r="D165" s="343">
        <v>2007</v>
      </c>
      <c r="E165" s="342"/>
      <c r="F165" s="342"/>
      <c r="G165" s="342"/>
      <c r="H165" s="342"/>
      <c r="I165" s="342"/>
      <c r="J165" s="193" t="s">
        <v>32</v>
      </c>
      <c r="K165" s="193" t="s">
        <v>32</v>
      </c>
      <c r="L165" s="343">
        <v>2006</v>
      </c>
      <c r="M165" s="342"/>
      <c r="N165" s="342"/>
      <c r="O165" s="342"/>
      <c r="P165" s="342"/>
      <c r="Q165" s="342"/>
      <c r="R165" s="193" t="s">
        <v>32</v>
      </c>
      <c r="S165" s="193" t="s">
        <v>32</v>
      </c>
      <c r="T165" s="194" t="s">
        <v>32</v>
      </c>
      <c r="U165" s="192"/>
    </row>
    <row r="166" spans="3:27">
      <c r="D166" s="197" t="s">
        <v>49</v>
      </c>
      <c r="E166" s="344"/>
      <c r="F166" s="196" t="s">
        <v>32</v>
      </c>
      <c r="G166" s="196" t="s">
        <v>32</v>
      </c>
      <c r="H166" s="197" t="s">
        <v>50</v>
      </c>
      <c r="I166" s="344"/>
      <c r="J166" s="196" t="s">
        <v>32</v>
      </c>
      <c r="K166" s="196" t="s">
        <v>32</v>
      </c>
      <c r="L166" s="197" t="s">
        <v>49</v>
      </c>
      <c r="M166" s="344"/>
      <c r="N166" s="196" t="s">
        <v>32</v>
      </c>
      <c r="O166" s="196" t="s">
        <v>32</v>
      </c>
      <c r="P166" s="197" t="s">
        <v>50</v>
      </c>
      <c r="Q166" s="344"/>
      <c r="R166" s="196" t="s">
        <v>32</v>
      </c>
      <c r="S166" s="196" t="s">
        <v>32</v>
      </c>
      <c r="T166" s="197" t="s">
        <v>39</v>
      </c>
      <c r="U166" s="344"/>
    </row>
    <row r="167" spans="3:27">
      <c r="C167" s="203" t="s">
        <v>47</v>
      </c>
      <c r="D167" s="202" t="s">
        <v>32</v>
      </c>
      <c r="E167" s="345">
        <v>3450</v>
      </c>
      <c r="F167" s="346"/>
      <c r="G167" s="202" t="s">
        <v>32</v>
      </c>
      <c r="H167" s="202" t="s">
        <v>32</v>
      </c>
      <c r="I167" s="202" t="s">
        <v>32</v>
      </c>
      <c r="J167" s="205">
        <v>22</v>
      </c>
      <c r="K167" s="203" t="s">
        <v>46</v>
      </c>
      <c r="L167" s="202" t="s">
        <v>32</v>
      </c>
      <c r="M167" s="345">
        <v>2968</v>
      </c>
      <c r="N167" s="346"/>
      <c r="O167" s="202" t="s">
        <v>32</v>
      </c>
      <c r="P167" s="202" t="s">
        <v>32</v>
      </c>
      <c r="Q167" s="202" t="s">
        <v>32</v>
      </c>
      <c r="R167" s="205">
        <v>20.9</v>
      </c>
      <c r="S167" s="203" t="s">
        <v>46</v>
      </c>
      <c r="T167" s="202" t="s">
        <v>32</v>
      </c>
      <c r="U167" s="202" t="s">
        <v>32</v>
      </c>
      <c r="V167" s="204">
        <v>16</v>
      </c>
      <c r="W167" s="203" t="s">
        <v>48</v>
      </c>
    </row>
    <row r="168" spans="3:27">
      <c r="C168" s="199" t="s">
        <v>47</v>
      </c>
      <c r="D168" s="198" t="s">
        <v>32</v>
      </c>
      <c r="E168" s="347">
        <v>3439</v>
      </c>
      <c r="F168" s="348"/>
      <c r="G168" s="198" t="s">
        <v>32</v>
      </c>
      <c r="H168" s="198" t="s">
        <v>32</v>
      </c>
      <c r="I168" s="198" t="s">
        <v>32</v>
      </c>
      <c r="J168" s="201">
        <v>21.9</v>
      </c>
      <c r="K168" s="199" t="s">
        <v>46</v>
      </c>
      <c r="L168" s="198" t="s">
        <v>32</v>
      </c>
      <c r="M168" s="347">
        <v>2978</v>
      </c>
      <c r="N168" s="348"/>
      <c r="O168" s="198" t="s">
        <v>32</v>
      </c>
      <c r="P168" s="198" t="s">
        <v>32</v>
      </c>
      <c r="Q168" s="198" t="s">
        <v>32</v>
      </c>
      <c r="R168" s="201">
        <v>21</v>
      </c>
      <c r="S168" s="199" t="s">
        <v>46</v>
      </c>
      <c r="T168" s="198" t="s">
        <v>32</v>
      </c>
      <c r="U168" s="198" t="s">
        <v>32</v>
      </c>
      <c r="V168" s="200">
        <v>15</v>
      </c>
      <c r="W168" s="199" t="s">
        <v>48</v>
      </c>
    </row>
    <row r="170" spans="3:27">
      <c r="D170" s="349" t="s">
        <v>35</v>
      </c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</row>
    <row r="171" spans="3:27">
      <c r="D171" s="351">
        <v>2005</v>
      </c>
      <c r="E171" s="352"/>
      <c r="F171" s="352"/>
      <c r="G171" s="352"/>
      <c r="H171" s="352"/>
      <c r="I171" s="352"/>
      <c r="J171" s="206" t="s">
        <v>32</v>
      </c>
      <c r="K171" s="206" t="s">
        <v>32</v>
      </c>
      <c r="L171" s="351">
        <v>2004</v>
      </c>
      <c r="M171" s="352"/>
      <c r="N171" s="352"/>
      <c r="O171" s="352"/>
      <c r="P171" s="352"/>
      <c r="Q171" s="352"/>
      <c r="R171" s="206" t="s">
        <v>32</v>
      </c>
      <c r="S171" s="206" t="s">
        <v>32</v>
      </c>
      <c r="T171" s="351">
        <v>2003</v>
      </c>
      <c r="U171" s="352"/>
      <c r="V171" s="352"/>
      <c r="W171" s="352"/>
      <c r="X171" s="352"/>
      <c r="Y171" s="352"/>
    </row>
    <row r="172" spans="3:27">
      <c r="D172" s="208" t="s">
        <v>49</v>
      </c>
      <c r="E172" s="353"/>
      <c r="F172" s="207" t="s">
        <v>32</v>
      </c>
      <c r="G172" s="207" t="s">
        <v>32</v>
      </c>
      <c r="H172" s="208" t="s">
        <v>52</v>
      </c>
      <c r="I172" s="353"/>
      <c r="J172" s="207" t="s">
        <v>32</v>
      </c>
      <c r="K172" s="207" t="s">
        <v>32</v>
      </c>
      <c r="L172" s="208" t="s">
        <v>49</v>
      </c>
      <c r="M172" s="353"/>
      <c r="N172" s="207" t="s">
        <v>32</v>
      </c>
      <c r="O172" s="207" t="s">
        <v>32</v>
      </c>
      <c r="P172" s="208" t="s">
        <v>52</v>
      </c>
      <c r="Q172" s="353"/>
      <c r="R172" s="207" t="s">
        <v>32</v>
      </c>
      <c r="S172" s="207" t="s">
        <v>32</v>
      </c>
      <c r="T172" s="208" t="s">
        <v>49</v>
      </c>
      <c r="U172" s="353"/>
      <c r="V172" s="207" t="s">
        <v>32</v>
      </c>
      <c r="W172" s="207" t="s">
        <v>32</v>
      </c>
      <c r="X172" s="208" t="s">
        <v>52</v>
      </c>
      <c r="Y172" s="353"/>
    </row>
    <row r="173" spans="3:27">
      <c r="C173" s="213" t="s">
        <v>53</v>
      </c>
      <c r="D173" s="212" t="s">
        <v>32</v>
      </c>
      <c r="E173" s="354">
        <v>3779</v>
      </c>
      <c r="F173" s="355"/>
      <c r="G173" s="212" t="s">
        <v>32</v>
      </c>
      <c r="H173" s="212" t="s">
        <v>32</v>
      </c>
      <c r="I173" s="212" t="s">
        <v>32</v>
      </c>
      <c r="J173" s="214">
        <v>21</v>
      </c>
      <c r="K173" s="213" t="s">
        <v>46</v>
      </c>
      <c r="L173" s="212" t="s">
        <v>32</v>
      </c>
      <c r="M173" s="354">
        <v>3604</v>
      </c>
      <c r="N173" s="355"/>
      <c r="O173" s="212" t="s">
        <v>32</v>
      </c>
      <c r="P173" s="212" t="s">
        <v>32</v>
      </c>
      <c r="Q173" s="212" t="s">
        <v>32</v>
      </c>
      <c r="R173" s="214">
        <v>20.8</v>
      </c>
      <c r="S173" s="213" t="s">
        <v>46</v>
      </c>
      <c r="T173" s="212" t="s">
        <v>32</v>
      </c>
      <c r="U173" s="354">
        <v>3281</v>
      </c>
      <c r="V173" s="355"/>
      <c r="W173" s="212" t="s">
        <v>32</v>
      </c>
      <c r="X173" s="212" t="s">
        <v>32</v>
      </c>
      <c r="Y173" s="212" t="s">
        <v>32</v>
      </c>
      <c r="Z173" s="214">
        <v>21</v>
      </c>
      <c r="AA173" s="213" t="s">
        <v>46</v>
      </c>
    </row>
    <row r="174" spans="3:27">
      <c r="C174" s="210" t="s">
        <v>53</v>
      </c>
      <c r="D174" s="209" t="s">
        <v>32</v>
      </c>
      <c r="E174" s="356">
        <v>3828</v>
      </c>
      <c r="F174" s="357"/>
      <c r="G174" s="209" t="s">
        <v>32</v>
      </c>
      <c r="H174" s="209" t="s">
        <v>32</v>
      </c>
      <c r="I174" s="209" t="s">
        <v>32</v>
      </c>
      <c r="J174" s="211">
        <v>21.3</v>
      </c>
      <c r="K174" s="210" t="s">
        <v>46</v>
      </c>
      <c r="L174" s="209" t="s">
        <v>32</v>
      </c>
      <c r="M174" s="356">
        <v>3640</v>
      </c>
      <c r="N174" s="357"/>
      <c r="O174" s="209" t="s">
        <v>32</v>
      </c>
      <c r="P174" s="209" t="s">
        <v>32</v>
      </c>
      <c r="Q174" s="209" t="s">
        <v>32</v>
      </c>
      <c r="R174" s="211">
        <v>21</v>
      </c>
      <c r="S174" s="210" t="s">
        <v>46</v>
      </c>
      <c r="T174" s="209" t="s">
        <v>32</v>
      </c>
      <c r="U174" s="356">
        <v>3474</v>
      </c>
      <c r="V174" s="357"/>
      <c r="W174" s="209" t="s">
        <v>32</v>
      </c>
      <c r="X174" s="209" t="s">
        <v>32</v>
      </c>
      <c r="Y174" s="209" t="s">
        <v>32</v>
      </c>
      <c r="Z174" s="211">
        <v>22.2</v>
      </c>
      <c r="AA174" s="210" t="s">
        <v>46</v>
      </c>
    </row>
    <row r="176" spans="3:27">
      <c r="D176" s="358" t="s">
        <v>35</v>
      </c>
      <c r="E176" s="359"/>
      <c r="F176" s="359"/>
      <c r="G176" s="359"/>
      <c r="H176" s="359"/>
      <c r="I176" s="359"/>
      <c r="J176" s="359"/>
      <c r="K176" s="359"/>
      <c r="L176" s="359"/>
      <c r="M176" s="359"/>
      <c r="N176" s="359"/>
      <c r="O176" s="359"/>
      <c r="P176" s="359"/>
      <c r="Q176" s="359"/>
      <c r="R176" s="359"/>
      <c r="S176" s="359"/>
      <c r="T176" s="359"/>
      <c r="U176" s="359"/>
      <c r="V176" s="359"/>
      <c r="W176" s="359"/>
      <c r="X176" s="359"/>
      <c r="Y176" s="359"/>
    </row>
    <row r="177" spans="3:27">
      <c r="D177" s="360">
        <v>2004</v>
      </c>
      <c r="E177" s="361"/>
      <c r="F177" s="361"/>
      <c r="G177" s="361"/>
      <c r="H177" s="361"/>
      <c r="I177" s="361"/>
      <c r="J177" s="215" t="s">
        <v>32</v>
      </c>
      <c r="K177" s="215" t="s">
        <v>32</v>
      </c>
      <c r="L177" s="360">
        <v>2003</v>
      </c>
      <c r="M177" s="361"/>
      <c r="N177" s="361"/>
      <c r="O177" s="361"/>
      <c r="P177" s="361"/>
      <c r="Q177" s="361"/>
      <c r="R177" s="215" t="s">
        <v>32</v>
      </c>
      <c r="S177" s="215" t="s">
        <v>32</v>
      </c>
      <c r="T177" s="360">
        <v>2002</v>
      </c>
      <c r="U177" s="361"/>
      <c r="V177" s="361"/>
      <c r="W177" s="361"/>
      <c r="X177" s="361"/>
      <c r="Y177" s="361"/>
    </row>
    <row r="178" spans="3:27">
      <c r="C178" s="220" t="s">
        <v>53</v>
      </c>
      <c r="D178" s="219" t="s">
        <v>32</v>
      </c>
      <c r="E178" s="362">
        <v>3604</v>
      </c>
      <c r="F178" s="363"/>
      <c r="G178" s="219" t="s">
        <v>32</v>
      </c>
      <c r="H178" s="219" t="s">
        <v>32</v>
      </c>
      <c r="I178" s="219" t="s">
        <v>32</v>
      </c>
      <c r="J178" s="221">
        <v>20.8</v>
      </c>
      <c r="K178" s="220" t="s">
        <v>46</v>
      </c>
      <c r="L178" s="219" t="s">
        <v>32</v>
      </c>
      <c r="M178" s="362">
        <v>3281</v>
      </c>
      <c r="N178" s="363"/>
      <c r="O178" s="219" t="s">
        <v>32</v>
      </c>
      <c r="P178" s="219" t="s">
        <v>32</v>
      </c>
      <c r="Q178" s="219" t="s">
        <v>32</v>
      </c>
      <c r="R178" s="221">
        <v>21</v>
      </c>
      <c r="S178" s="220" t="s">
        <v>46</v>
      </c>
      <c r="T178" s="219" t="s">
        <v>32</v>
      </c>
      <c r="U178" s="362">
        <v>2516</v>
      </c>
      <c r="V178" s="363"/>
      <c r="W178" s="219" t="s">
        <v>32</v>
      </c>
      <c r="X178" s="219" t="s">
        <v>32</v>
      </c>
      <c r="Y178" s="219" t="s">
        <v>32</v>
      </c>
      <c r="Z178" s="221">
        <v>19.3</v>
      </c>
      <c r="AA178" s="220" t="s">
        <v>46</v>
      </c>
    </row>
    <row r="179" spans="3:27">
      <c r="C179" s="217" t="s">
        <v>54</v>
      </c>
      <c r="D179" s="216" t="s">
        <v>32</v>
      </c>
      <c r="E179" s="364">
        <v>3640</v>
      </c>
      <c r="F179" s="365"/>
      <c r="G179" s="216" t="s">
        <v>32</v>
      </c>
      <c r="H179" s="216" t="s">
        <v>32</v>
      </c>
      <c r="I179" s="216" t="s">
        <v>32</v>
      </c>
      <c r="J179" s="218">
        <v>21</v>
      </c>
      <c r="K179" s="217" t="s">
        <v>46</v>
      </c>
      <c r="L179" s="216" t="s">
        <v>32</v>
      </c>
      <c r="M179" s="364">
        <v>3474</v>
      </c>
      <c r="N179" s="365"/>
      <c r="O179" s="216" t="s">
        <v>32</v>
      </c>
      <c r="P179" s="216" t="s">
        <v>32</v>
      </c>
      <c r="Q179" s="216" t="s">
        <v>32</v>
      </c>
      <c r="R179" s="218">
        <v>22.2</v>
      </c>
      <c r="S179" s="217" t="s">
        <v>46</v>
      </c>
      <c r="T179" s="216" t="s">
        <v>32</v>
      </c>
      <c r="U179" s="364">
        <v>2808</v>
      </c>
      <c r="V179" s="365"/>
      <c r="W179" s="216" t="s">
        <v>32</v>
      </c>
      <c r="X179" s="216" t="s">
        <v>32</v>
      </c>
      <c r="Y179" s="216" t="s">
        <v>32</v>
      </c>
      <c r="Z179" s="218">
        <v>21.5</v>
      </c>
      <c r="AA179" s="217" t="s">
        <v>46</v>
      </c>
    </row>
    <row r="181" spans="3:27">
      <c r="D181" s="366" t="s">
        <v>55</v>
      </c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</row>
    <row r="182" spans="3:27">
      <c r="C182" s="223" t="s">
        <v>56</v>
      </c>
      <c r="D182" s="222" t="s">
        <v>32</v>
      </c>
      <c r="E182" s="368">
        <v>2002</v>
      </c>
      <c r="F182" s="369"/>
      <c r="G182" s="369"/>
      <c r="H182" s="222" t="s">
        <v>32</v>
      </c>
      <c r="I182" s="368">
        <v>2001</v>
      </c>
      <c r="J182" s="369"/>
      <c r="K182" s="369"/>
      <c r="L182" s="222" t="s">
        <v>32</v>
      </c>
      <c r="M182" s="368">
        <v>2000</v>
      </c>
      <c r="N182" s="369"/>
      <c r="O182" s="369"/>
      <c r="P182" s="222" t="s">
        <v>32</v>
      </c>
      <c r="Q182" s="368">
        <v>1999</v>
      </c>
      <c r="R182" s="369"/>
      <c r="S182" s="369"/>
      <c r="T182" s="222" t="s">
        <v>32</v>
      </c>
      <c r="U182" s="368">
        <v>1998</v>
      </c>
      <c r="V182" s="369"/>
      <c r="W182" s="369"/>
    </row>
    <row r="183" spans="3:27">
      <c r="C183" s="224" t="s">
        <v>57</v>
      </c>
      <c r="D183" s="222" t="s">
        <v>32</v>
      </c>
      <c r="E183" s="222" t="s">
        <v>32</v>
      </c>
      <c r="F183" s="225">
        <v>0.191</v>
      </c>
      <c r="G183" s="224" t="s">
        <v>48</v>
      </c>
      <c r="H183" s="222" t="s">
        <v>32</v>
      </c>
      <c r="I183" s="222" t="s">
        <v>32</v>
      </c>
      <c r="J183" s="225">
        <v>0.19</v>
      </c>
      <c r="K183" s="224" t="s">
        <v>48</v>
      </c>
      <c r="L183" s="222" t="s">
        <v>32</v>
      </c>
      <c r="M183" s="222" t="s">
        <v>32</v>
      </c>
      <c r="N183" s="225">
        <v>0.19500000000000001</v>
      </c>
      <c r="O183" s="224" t="s">
        <v>48</v>
      </c>
      <c r="P183" s="222" t="s">
        <v>32</v>
      </c>
      <c r="Q183" s="222" t="s">
        <v>32</v>
      </c>
      <c r="R183" s="225">
        <v>0.193</v>
      </c>
      <c r="S183" s="224" t="s">
        <v>48</v>
      </c>
      <c r="T183" s="222" t="s">
        <v>32</v>
      </c>
      <c r="U183" s="222" t="s">
        <v>32</v>
      </c>
      <c r="V183" s="225">
        <v>0.20200000000000001</v>
      </c>
      <c r="W183" s="224" t="s">
        <v>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V27"/>
  <sheetViews>
    <sheetView workbookViewId="0">
      <selection activeCell="Q29" sqref="Q29"/>
    </sheetView>
  </sheetViews>
  <sheetFormatPr defaultRowHeight="15"/>
  <sheetData>
    <row r="4" spans="3:22">
      <c r="C4" s="6" t="s">
        <v>79</v>
      </c>
      <c r="K4" s="382" t="s">
        <v>131</v>
      </c>
    </row>
    <row r="5" spans="3:22">
      <c r="C5" s="377"/>
      <c r="D5" s="408" t="s">
        <v>16</v>
      </c>
      <c r="E5" s="408" t="s">
        <v>17</v>
      </c>
      <c r="F5" s="408" t="s">
        <v>18</v>
      </c>
      <c r="G5" s="408" t="s">
        <v>19</v>
      </c>
      <c r="H5" s="408" t="s">
        <v>20</v>
      </c>
      <c r="I5" s="408" t="s">
        <v>21</v>
      </c>
      <c r="J5" s="408" t="s">
        <v>22</v>
      </c>
      <c r="K5" s="408" t="s">
        <v>23</v>
      </c>
    </row>
    <row r="6" spans="3:22">
      <c r="C6" s="12" t="s">
        <v>64</v>
      </c>
      <c r="D6" s="10">
        <v>0</v>
      </c>
      <c r="E6" s="10">
        <v>0</v>
      </c>
      <c r="F6" s="10">
        <v>0</v>
      </c>
      <c r="G6" s="10">
        <v>0</v>
      </c>
      <c r="H6" s="10">
        <v>0.23</v>
      </c>
      <c r="I6" s="10">
        <v>0.39</v>
      </c>
      <c r="J6" s="10">
        <v>0.54</v>
      </c>
      <c r="K6" s="10">
        <v>1.05</v>
      </c>
    </row>
    <row r="7" spans="3:22">
      <c r="C7" s="12" t="s">
        <v>65</v>
      </c>
      <c r="D7" s="10">
        <v>0</v>
      </c>
      <c r="E7" s="10">
        <v>0</v>
      </c>
      <c r="F7" s="10">
        <v>0</v>
      </c>
      <c r="G7" s="10">
        <v>0</v>
      </c>
      <c r="H7" s="10">
        <v>0.27</v>
      </c>
      <c r="I7" s="10">
        <v>0.44</v>
      </c>
      <c r="J7" s="10">
        <v>0.62</v>
      </c>
      <c r="K7" s="10">
        <v>1.1000000000000001</v>
      </c>
      <c r="R7" s="410"/>
      <c r="S7" s="411"/>
      <c r="T7" s="411"/>
      <c r="U7" s="411"/>
      <c r="V7" s="411"/>
    </row>
    <row r="8" spans="3:22">
      <c r="C8" s="12" t="s">
        <v>66</v>
      </c>
      <c r="D8" s="10">
        <v>0</v>
      </c>
      <c r="E8" s="10">
        <v>0</v>
      </c>
      <c r="F8" s="10">
        <v>0</v>
      </c>
      <c r="G8" s="10">
        <v>0</v>
      </c>
      <c r="H8" s="10">
        <v>0.27</v>
      </c>
      <c r="I8" s="10">
        <v>0.44</v>
      </c>
      <c r="J8" s="10">
        <v>0.62</v>
      </c>
      <c r="K8" s="10">
        <v>1.1000000000000001</v>
      </c>
    </row>
    <row r="9" spans="3:22">
      <c r="C9" s="12" t="s">
        <v>67</v>
      </c>
      <c r="D9" s="10">
        <v>0</v>
      </c>
      <c r="E9" s="10">
        <v>0</v>
      </c>
      <c r="F9" s="10">
        <v>0</v>
      </c>
      <c r="G9" s="10">
        <v>0</v>
      </c>
      <c r="H9" s="10">
        <v>0.33</v>
      </c>
      <c r="I9" s="10">
        <v>0.56999999999999995</v>
      </c>
      <c r="J9" s="10">
        <v>0.89</v>
      </c>
      <c r="K9" s="10">
        <v>1.31</v>
      </c>
    </row>
    <row r="10" spans="3:22">
      <c r="C10" s="12" t="s">
        <v>68</v>
      </c>
      <c r="D10" s="10">
        <v>0</v>
      </c>
      <c r="E10" s="10">
        <v>0</v>
      </c>
      <c r="F10" s="10">
        <v>0</v>
      </c>
      <c r="G10" s="10">
        <v>0</v>
      </c>
      <c r="H10" s="10">
        <v>0.33</v>
      </c>
      <c r="I10" s="10">
        <v>0.56999999999999995</v>
      </c>
      <c r="J10" s="10">
        <v>0.89</v>
      </c>
      <c r="K10" s="10">
        <v>1.31</v>
      </c>
    </row>
    <row r="11" spans="3:22">
      <c r="C11" s="12" t="s">
        <v>69</v>
      </c>
      <c r="D11" s="10">
        <v>0</v>
      </c>
      <c r="E11" s="10">
        <v>0</v>
      </c>
      <c r="F11" s="10">
        <v>0</v>
      </c>
      <c r="G11" s="10">
        <v>0</v>
      </c>
      <c r="H11" s="10">
        <v>0.39</v>
      </c>
      <c r="I11" s="10">
        <v>0.71</v>
      </c>
      <c r="J11" s="10">
        <v>1.1499999999999999</v>
      </c>
      <c r="K11" s="10">
        <v>1.48</v>
      </c>
      <c r="R11" s="410"/>
    </row>
    <row r="12" spans="3:22">
      <c r="C12" s="12" t="s">
        <v>70</v>
      </c>
      <c r="D12" s="10">
        <v>0</v>
      </c>
      <c r="E12" s="10">
        <v>0</v>
      </c>
      <c r="F12" s="10">
        <v>0</v>
      </c>
      <c r="G12" s="10">
        <v>0</v>
      </c>
      <c r="H12" s="10">
        <v>0.39</v>
      </c>
      <c r="I12" s="10">
        <v>0.71</v>
      </c>
      <c r="J12" s="10">
        <v>1.1499999999999999</v>
      </c>
      <c r="K12" s="10">
        <v>1.48</v>
      </c>
      <c r="S12" s="411"/>
    </row>
    <row r="13" spans="3:22">
      <c r="C13" s="12" t="s">
        <v>71</v>
      </c>
      <c r="D13" s="10">
        <v>0</v>
      </c>
      <c r="E13" s="10">
        <v>0</v>
      </c>
      <c r="F13" s="10">
        <v>0</v>
      </c>
      <c r="G13" s="10">
        <v>0</v>
      </c>
      <c r="H13" s="10">
        <v>0.39</v>
      </c>
      <c r="I13" s="10">
        <v>0.71</v>
      </c>
      <c r="J13" s="10">
        <v>1.1499999999999999</v>
      </c>
      <c r="K13" s="10">
        <v>1.48</v>
      </c>
    </row>
    <row r="14" spans="3:22">
      <c r="C14" s="379" t="s">
        <v>72</v>
      </c>
      <c r="D14" s="380"/>
      <c r="E14" s="380"/>
      <c r="F14" s="380"/>
      <c r="G14" s="380"/>
      <c r="H14" s="381">
        <v>0.12</v>
      </c>
      <c r="I14" s="381">
        <v>0.25</v>
      </c>
      <c r="J14" s="381">
        <v>0.3</v>
      </c>
      <c r="K14" s="381">
        <v>0.35</v>
      </c>
    </row>
    <row r="17" spans="3:19">
      <c r="C17" s="6" t="s">
        <v>79</v>
      </c>
      <c r="K17" s="382" t="s">
        <v>80</v>
      </c>
    </row>
    <row r="18" spans="3:19">
      <c r="C18" s="377"/>
      <c r="D18" s="408" t="s">
        <v>16</v>
      </c>
      <c r="E18" s="408" t="s">
        <v>17</v>
      </c>
      <c r="F18" s="408" t="s">
        <v>18</v>
      </c>
      <c r="G18" s="408" t="s">
        <v>19</v>
      </c>
      <c r="H18" s="408" t="s">
        <v>20</v>
      </c>
      <c r="I18" s="408" t="s">
        <v>21</v>
      </c>
      <c r="J18" s="408" t="s">
        <v>22</v>
      </c>
      <c r="K18" s="408" t="s">
        <v>23</v>
      </c>
      <c r="R18" s="410"/>
    </row>
    <row r="19" spans="3:19">
      <c r="C19" s="12" t="s">
        <v>64</v>
      </c>
      <c r="D19" s="10">
        <v>0</v>
      </c>
      <c r="E19" s="10">
        <v>0</v>
      </c>
      <c r="F19" s="10">
        <v>0</v>
      </c>
      <c r="G19" s="10">
        <v>0</v>
      </c>
      <c r="H19" s="10">
        <v>0.21</v>
      </c>
      <c r="I19" s="10">
        <v>0.37</v>
      </c>
      <c r="J19" s="10">
        <v>0.52</v>
      </c>
      <c r="K19" s="10">
        <v>1.03</v>
      </c>
      <c r="S19" s="411"/>
    </row>
    <row r="20" spans="3:19">
      <c r="C20" s="12" t="s">
        <v>65</v>
      </c>
      <c r="D20" s="10">
        <v>0</v>
      </c>
      <c r="E20" s="10">
        <v>0</v>
      </c>
      <c r="F20" s="10">
        <v>0</v>
      </c>
      <c r="G20" s="10">
        <v>0</v>
      </c>
      <c r="H20" s="10">
        <v>0.24</v>
      </c>
      <c r="I20" s="10">
        <v>0.41</v>
      </c>
      <c r="J20" s="10">
        <v>0.59</v>
      </c>
      <c r="K20" s="10">
        <v>1.07</v>
      </c>
    </row>
    <row r="21" spans="3:19">
      <c r="C21" s="12" t="s">
        <v>66</v>
      </c>
      <c r="D21" s="10">
        <v>0</v>
      </c>
      <c r="E21" s="10">
        <v>0</v>
      </c>
      <c r="F21" s="10">
        <v>0</v>
      </c>
      <c r="G21" s="10">
        <v>0</v>
      </c>
      <c r="H21" s="10">
        <v>0.24</v>
      </c>
      <c r="I21" s="10">
        <v>0.41</v>
      </c>
      <c r="J21" s="10">
        <v>0.59</v>
      </c>
      <c r="K21" s="10">
        <v>1.07</v>
      </c>
    </row>
    <row r="22" spans="3:19">
      <c r="C22" s="12" t="s">
        <v>67</v>
      </c>
      <c r="D22" s="10">
        <v>0</v>
      </c>
      <c r="E22" s="10">
        <v>0</v>
      </c>
      <c r="F22" s="10">
        <v>0</v>
      </c>
      <c r="G22" s="10">
        <v>0</v>
      </c>
      <c r="H22" s="10">
        <v>0.28999999999999998</v>
      </c>
      <c r="I22" s="10">
        <v>0.53</v>
      </c>
      <c r="J22" s="10">
        <v>0.85</v>
      </c>
      <c r="K22" s="10">
        <v>1.27</v>
      </c>
    </row>
    <row r="23" spans="3:19">
      <c r="C23" s="12" t="s">
        <v>68</v>
      </c>
      <c r="D23" s="10">
        <v>0</v>
      </c>
      <c r="E23" s="10">
        <v>0</v>
      </c>
      <c r="F23" s="10">
        <v>0</v>
      </c>
      <c r="G23" s="10">
        <v>0</v>
      </c>
      <c r="H23" s="10">
        <v>0.28999999999999998</v>
      </c>
      <c r="I23" s="10">
        <v>0.53</v>
      </c>
      <c r="J23" s="10">
        <v>0.85</v>
      </c>
      <c r="K23" s="10">
        <v>1.27</v>
      </c>
    </row>
    <row r="24" spans="3:19">
      <c r="C24" s="12" t="s">
        <v>69</v>
      </c>
      <c r="D24" s="10">
        <v>0</v>
      </c>
      <c r="E24" s="10">
        <v>0</v>
      </c>
      <c r="F24" s="10">
        <v>0</v>
      </c>
      <c r="G24" s="10">
        <v>0</v>
      </c>
      <c r="H24" s="10">
        <v>0.34</v>
      </c>
      <c r="I24" s="10">
        <v>0.66</v>
      </c>
      <c r="J24" s="10">
        <v>1.1000000000000001</v>
      </c>
      <c r="K24" s="10">
        <v>1.43</v>
      </c>
      <c r="R24" s="410"/>
    </row>
    <row r="25" spans="3:19">
      <c r="C25" s="12" t="s">
        <v>70</v>
      </c>
      <c r="D25" s="10">
        <v>0</v>
      </c>
      <c r="E25" s="10">
        <v>0</v>
      </c>
      <c r="F25" s="10">
        <v>0</v>
      </c>
      <c r="G25" s="10">
        <v>0</v>
      </c>
      <c r="H25" s="10">
        <v>0.34</v>
      </c>
      <c r="I25" s="10">
        <v>0.66</v>
      </c>
      <c r="J25" s="10">
        <v>1.1000000000000001</v>
      </c>
      <c r="K25" s="10">
        <v>1.43</v>
      </c>
    </row>
    <row r="26" spans="3:19">
      <c r="C26" s="12" t="s">
        <v>71</v>
      </c>
      <c r="D26" s="10">
        <v>0</v>
      </c>
      <c r="E26" s="10">
        <v>0</v>
      </c>
      <c r="F26" s="10">
        <v>0</v>
      </c>
      <c r="G26" s="10">
        <v>0</v>
      </c>
      <c r="H26" s="10">
        <v>0.34</v>
      </c>
      <c r="I26" s="10">
        <v>0.66</v>
      </c>
      <c r="J26" s="10">
        <v>1.1000000000000001</v>
      </c>
      <c r="K26" s="10">
        <v>1.43</v>
      </c>
    </row>
    <row r="27" spans="3:19">
      <c r="C27" s="379" t="s">
        <v>72</v>
      </c>
      <c r="D27" s="380"/>
      <c r="E27" s="380"/>
      <c r="F27" s="380"/>
      <c r="G27" s="380"/>
      <c r="H27" s="381">
        <v>0.12</v>
      </c>
      <c r="I27" s="381">
        <v>0.25</v>
      </c>
      <c r="J27" s="381">
        <v>0.3</v>
      </c>
      <c r="K27" s="381">
        <v>0.35</v>
      </c>
    </row>
  </sheetData>
  <conditionalFormatting sqref="D6:K13">
    <cfRule type="colorScale" priority="5">
      <colorScale>
        <cfvo type="min"/>
        <cfvo type="max"/>
        <color theme="0"/>
        <color theme="4" tint="0.39997558519241921"/>
      </colorScale>
    </cfRule>
    <cfRule type="colorScale" priority="6">
      <colorScale>
        <cfvo type="min"/>
        <cfvo type="max"/>
        <color theme="0"/>
        <color theme="9" tint="0.39997558519241921"/>
      </colorScale>
    </cfRule>
    <cfRule type="colorScale" priority="7">
      <colorScale>
        <cfvo type="min"/>
        <cfvo type="max"/>
        <color theme="0"/>
        <color theme="6" tint="0.59999389629810485"/>
      </colorScale>
    </cfRule>
    <cfRule type="colorScale" priority="8">
      <colorScale>
        <cfvo type="min"/>
        <cfvo type="max"/>
        <color theme="0"/>
        <color theme="6" tint="0.79998168889431442"/>
      </colorScale>
    </cfRule>
  </conditionalFormatting>
  <conditionalFormatting sqref="D19:K26">
    <cfRule type="colorScale" priority="1">
      <colorScale>
        <cfvo type="min"/>
        <cfvo type="max"/>
        <color theme="0"/>
        <color theme="4" tint="0.39997558519241921"/>
      </colorScale>
    </cfRule>
    <cfRule type="colorScale" priority="2">
      <colorScale>
        <cfvo type="min"/>
        <cfvo type="max"/>
        <color theme="0"/>
        <color theme="9" tint="0.39997558519241921"/>
      </colorScale>
    </cfRule>
    <cfRule type="colorScale" priority="3">
      <colorScale>
        <cfvo type="min"/>
        <cfvo type="max"/>
        <color theme="0"/>
        <color theme="6" tint="0.59999389629810485"/>
      </colorScale>
    </cfRule>
    <cfRule type="colorScale" priority="4">
      <colorScale>
        <cfvo type="min"/>
        <cfvo type="max"/>
        <color theme="0"/>
        <color theme="6" tint="0.79998168889431442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Report</vt:lpstr>
      <vt:lpstr>Report Page 2</vt:lpstr>
      <vt:lpstr>Report Page 3</vt:lpstr>
      <vt:lpstr>Report Page 4</vt:lpstr>
      <vt:lpstr>Input</vt:lpstr>
      <vt:lpstr>Raw</vt:lpstr>
      <vt:lpstr>PMI Input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'Report Page 4'!Print_Area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2015-04-24T15:31:03Z</cp:lastPrinted>
  <dcterms:created xsi:type="dcterms:W3CDTF">2013-04-04T19:42:48Z</dcterms:created>
  <dcterms:modified xsi:type="dcterms:W3CDTF">2015-08-07T18:41:21Z</dcterms:modified>
</cp:coreProperties>
</file>