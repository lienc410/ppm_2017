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Report Page 2" sheetId="16" r:id="rId2"/>
    <sheet name="Input" sheetId="15" state="hidden" r:id="rId3"/>
    <sheet name="Raw" sheetId="14" state="hidden" r:id="rId4"/>
  </sheets>
  <functionGroups builtInGroupCount="17"/>
  <definedNames>
    <definedName name="CurrentCloseDate" localSheetId="1">'Report Page 2'!#REF!</definedName>
    <definedName name="CurrentCloseDate">Report!$T$2</definedName>
    <definedName name="DatabaseEnv" localSheetId="1">'Report Page 2'!#REF!</definedName>
    <definedName name="DatabaseEnv">Report!$T$1</definedName>
    <definedName name="LastAvailableDate" localSheetId="1">'Report Page 2'!#REF!</definedName>
    <definedName name="LastAvailableDate">Report!$T$9</definedName>
    <definedName name="LastSurveyDate" localSheetId="1">'Report Page 2'!#REF!</definedName>
    <definedName name="LastSurveyDate">Report!$T$8</definedName>
    <definedName name="PDFReportDir" localSheetId="1">'Report Page 2'!#REF!</definedName>
    <definedName name="PDFReportDir">Report!$T$3</definedName>
    <definedName name="PDFReportName" localSheetId="1">'Report Page 2'!#REF!</definedName>
    <definedName name="PDFReportName">Report!$T$4</definedName>
    <definedName name="_xlnm.Print_Area" localSheetId="0">Report!$B$7:$N$60</definedName>
    <definedName name="_xlnm.Print_Area" localSheetId="1">'Report Page 2'!$B$7:$N$63</definedName>
    <definedName name="SaveRatesToDB" localSheetId="1">'Report Page 2'!#REF!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E46" i="4" l="1"/>
  <c r="F46" i="4"/>
  <c r="G46" i="4"/>
  <c r="H46" i="4"/>
  <c r="I46" i="4"/>
  <c r="J46" i="4"/>
  <c r="K46" i="4"/>
  <c r="E47" i="4"/>
  <c r="F47" i="4"/>
  <c r="G47" i="4"/>
  <c r="H47" i="4"/>
  <c r="I47" i="4"/>
  <c r="J47" i="4"/>
  <c r="K47" i="4"/>
  <c r="E48" i="4"/>
  <c r="F48" i="4"/>
  <c r="G48" i="4"/>
  <c r="H48" i="4"/>
  <c r="I48" i="4"/>
  <c r="J48" i="4"/>
  <c r="K48" i="4"/>
  <c r="E49" i="4"/>
  <c r="F49" i="4"/>
  <c r="G49" i="4"/>
  <c r="H49" i="4"/>
  <c r="I49" i="4"/>
  <c r="J49" i="4"/>
  <c r="K49" i="4"/>
  <c r="E50" i="4"/>
  <c r="F50" i="4"/>
  <c r="G50" i="4"/>
  <c r="H50" i="4"/>
  <c r="I50" i="4"/>
  <c r="J50" i="4"/>
  <c r="K50" i="4"/>
  <c r="E51" i="4"/>
  <c r="F51" i="4"/>
  <c r="G51" i="4"/>
  <c r="H51" i="4"/>
  <c r="I51" i="4"/>
  <c r="J51" i="4"/>
  <c r="K51" i="4"/>
  <c r="E52" i="4"/>
  <c r="F52" i="4"/>
  <c r="G52" i="4"/>
  <c r="H52" i="4"/>
  <c r="I52" i="4"/>
  <c r="J52" i="4"/>
  <c r="K52" i="4"/>
  <c r="E53" i="4"/>
  <c r="F53" i="4"/>
  <c r="G53" i="4"/>
  <c r="H53" i="4"/>
  <c r="I53" i="4"/>
  <c r="J53" i="4"/>
  <c r="K53" i="4"/>
  <c r="D47" i="4"/>
  <c r="D48" i="4"/>
  <c r="D49" i="4"/>
  <c r="D50" i="4"/>
  <c r="D51" i="4"/>
  <c r="D52" i="4"/>
  <c r="D53" i="4"/>
  <c r="D46" i="4"/>
  <c r="H55" i="16"/>
  <c r="I55" i="16"/>
  <c r="J55" i="16"/>
  <c r="K55" i="16"/>
  <c r="H56" i="16"/>
  <c r="I56" i="16"/>
  <c r="J56" i="16"/>
  <c r="K56" i="16"/>
  <c r="H57" i="16"/>
  <c r="I57" i="16"/>
  <c r="J57" i="16"/>
  <c r="K57" i="16"/>
  <c r="H58" i="16"/>
  <c r="I58" i="16"/>
  <c r="J58" i="16"/>
  <c r="K58" i="16"/>
  <c r="H59" i="16"/>
  <c r="I59" i="16"/>
  <c r="J59" i="16"/>
  <c r="K59" i="16"/>
  <c r="H60" i="16"/>
  <c r="I60" i="16"/>
  <c r="J60" i="16"/>
  <c r="K60" i="16"/>
  <c r="H61" i="16"/>
  <c r="I61" i="16"/>
  <c r="J61" i="16"/>
  <c r="K61" i="16"/>
  <c r="I54" i="16"/>
  <c r="J54" i="16"/>
  <c r="K54" i="16"/>
  <c r="H54" i="16"/>
  <c r="D55" i="16"/>
  <c r="E55" i="16"/>
  <c r="F55" i="16"/>
  <c r="G55" i="16"/>
  <c r="D56" i="16"/>
  <c r="E56" i="16"/>
  <c r="F56" i="16"/>
  <c r="G56" i="16"/>
  <c r="D57" i="16"/>
  <c r="E57" i="16"/>
  <c r="F57" i="16"/>
  <c r="G57" i="16"/>
  <c r="D58" i="16"/>
  <c r="E58" i="16"/>
  <c r="F58" i="16"/>
  <c r="G58" i="16"/>
  <c r="D59" i="16"/>
  <c r="E59" i="16"/>
  <c r="F59" i="16"/>
  <c r="G59" i="16"/>
  <c r="D60" i="16"/>
  <c r="E60" i="16"/>
  <c r="F60" i="16"/>
  <c r="G60" i="16"/>
  <c r="D61" i="16"/>
  <c r="E61" i="16"/>
  <c r="F61" i="16"/>
  <c r="G61" i="16"/>
  <c r="E54" i="16"/>
  <c r="F54" i="16"/>
  <c r="G54" i="16"/>
  <c r="D54" i="16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47" i="4" s="1"/>
  <c r="N48" i="4" s="1"/>
  <c r="N49" i="4" s="1"/>
  <c r="N50" i="4" s="1"/>
  <c r="N51" i="4" s="1"/>
  <c r="N52" i="4" s="1"/>
  <c r="N53" i="4"/>
  <c r="L41" i="4" l="1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</calcChain>
</file>

<file path=xl/sharedStrings.xml><?xml version="1.0" encoding="utf-8"?>
<sst xmlns="http://schemas.openxmlformats.org/spreadsheetml/2006/main" count="793" uniqueCount="87">
  <si>
    <t>Database Env</t>
  </si>
  <si>
    <t>Save Data to DB</t>
  </si>
  <si>
    <t>As of Date</t>
  </si>
  <si>
    <t>Report Name</t>
  </si>
  <si>
    <t>No</t>
  </si>
  <si>
    <t>PROD</t>
  </si>
  <si>
    <t>Report Folder</t>
  </si>
  <si>
    <t>S:\IT\Production\Daily Reports\Primary Market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</si>
  <si>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</si>
  <si>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</si>
  <si>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</si>
  <si>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</si>
  <si>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</si>
  <si>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</si>
  <si>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</si>
  <si>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</si>
  <si>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</si>
  <si>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</si>
  <si>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</si>
  <si>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</si>
  <si>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</si>
  <si>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</si>
  <si>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</si>
  <si>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</si>
  <si>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</si>
  <si>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</si>
  <si>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</si>
  <si>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</si>
  <si>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</si>
  <si>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</si>
  <si>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</si>
  <si>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</si>
  <si>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</si>
  <si>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</si>
  <si>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</si>
  <si>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</si>
  <si>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</si>
  <si>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</si>
  <si>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</si>
  <si>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</si>
  <si>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</si>
  <si>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</si>
  <si>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</si>
  <si>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</si>
  <si>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</si>
  <si>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</si>
  <si>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</si>
  <si>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</si>
  <si>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</si>
  <si>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</si>
  <si>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</si>
  <si>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</si>
  <si>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</si>
  <si>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</si>
  <si>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</si>
  <si>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</si>
  <si>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</si>
  <si>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</si>
  <si>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</si>
  <si>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</si>
  <si>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</si>
  <si>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</si>
  <si>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</si>
  <si>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</si>
  <si>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</si>
  <si>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SF Effective g-fee</t>
  </si>
  <si>
    <t>SF New Issued g-fee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</si>
  <si>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</si>
  <si>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</si>
  <si>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</si>
  <si>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</si>
  <si>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</si>
  <si>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</si>
  <si>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</si>
  <si>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</si>
  <si>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</si>
  <si>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</si>
  <si>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</si>
  <si>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</si>
  <si>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(AMDC of 0.25% has been included)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</si>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</sst>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19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</cellStyleXfs>
  <cellXfs count="396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</cellXfs>
  <cellStyles count="619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0"/>
  <tableStyles count="0" defaultTableStyle="TableStyleMedium2" defaultPivotStyle="PivotStyleLight16"/>
  <colors>
    <mruColors>
      <color rgb="FF2E398A"/>
      <color rgb="FFAD275C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SF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SF New Issued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558400"/>
        <c:axId val="257597824"/>
      </c:lineChart>
      <c:catAx>
        <c:axId val="2575584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257597824"/>
        <c:crosses val="autoZero"/>
        <c:auto val="1"/>
        <c:lblAlgn val="ctr"/>
        <c:lblOffset val="100"/>
        <c:noMultiLvlLbl val="0"/>
      </c:catAx>
      <c:valAx>
        <c:axId val="257597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55840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53</xdr:row>
      <xdr:rowOff>57157</xdr:rowOff>
    </xdr:from>
    <xdr:to>
      <xdr:col>11</xdr:col>
      <xdr:colOff>63501</xdr:colOff>
      <xdr:row>54</xdr:row>
      <xdr:rowOff>105835</xdr:rowOff>
    </xdr:to>
    <xdr:sp macro="" textlink="">
      <xdr:nvSpPr>
        <xdr:cNvPr id="8" name="TextBox 7"/>
        <xdr:cNvSpPr txBox="1"/>
      </xdr:nvSpPr>
      <xdr:spPr>
        <a:xfrm>
          <a:off x="7846484" y="10153657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3"/>
  <sheetViews>
    <sheetView showGridLines="0" tabSelected="1" zoomScale="90" zoomScaleNormal="90" workbookViewId="0">
      <selection activeCell="T29" sqref="T29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42086</v>
      </c>
    </row>
    <row r="3" spans="19:22">
      <c r="S3" s="1" t="s">
        <v>6</v>
      </c>
      <c r="T3" s="4" t="s">
        <v>7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MarketEffective g fee 2015-03-23.pdf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64</v>
      </c>
    </row>
    <row r="38" spans="3:14">
      <c r="C38" s="8"/>
      <c r="D38" s="380">
        <v>2014</v>
      </c>
      <c r="E38" s="381"/>
      <c r="F38" s="381"/>
      <c r="G38" s="382"/>
      <c r="H38" s="381">
        <v>2013</v>
      </c>
      <c r="I38" s="381"/>
      <c r="J38" s="381"/>
      <c r="K38" s="382"/>
      <c r="L38" s="371">
        <v>2012</v>
      </c>
    </row>
    <row r="39" spans="3:14">
      <c r="C39" s="8"/>
      <c r="D39" s="9" t="s">
        <v>59</v>
      </c>
      <c r="E39" s="9" t="s">
        <v>60</v>
      </c>
      <c r="F39" s="9" t="s">
        <v>61</v>
      </c>
      <c r="G39" s="9" t="s">
        <v>62</v>
      </c>
      <c r="H39" s="9" t="s">
        <v>59</v>
      </c>
      <c r="I39" s="9" t="s">
        <v>60</v>
      </c>
      <c r="J39" s="9" t="s">
        <v>61</v>
      </c>
      <c r="K39" s="9" t="s">
        <v>62</v>
      </c>
      <c r="L39" s="9" t="s">
        <v>59</v>
      </c>
    </row>
    <row r="40" spans="3:14">
      <c r="C40" s="370" t="str">
        <f>Input!D2</f>
        <v>SF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SF New Issued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86</v>
      </c>
      <c r="K43" s="391" t="s">
        <v>82</v>
      </c>
    </row>
    <row r="44" spans="3:14">
      <c r="C44" s="8"/>
      <c r="D44" s="379" t="s">
        <v>25</v>
      </c>
      <c r="E44" s="379"/>
      <c r="F44" s="379"/>
      <c r="G44" s="379"/>
      <c r="H44" s="379"/>
      <c r="I44" s="379"/>
      <c r="J44" s="379"/>
      <c r="K44" s="379"/>
    </row>
    <row r="45" spans="3:14">
      <c r="C45" s="8" t="s">
        <v>8</v>
      </c>
      <c r="D45" s="9" t="s">
        <v>17</v>
      </c>
      <c r="E45" s="9" t="s">
        <v>18</v>
      </c>
      <c r="F45" s="9" t="s">
        <v>19</v>
      </c>
      <c r="G45" s="9" t="s">
        <v>20</v>
      </c>
      <c r="H45" s="9" t="s">
        <v>21</v>
      </c>
      <c r="I45" s="9" t="s">
        <v>22</v>
      </c>
      <c r="J45" s="9" t="s">
        <v>23</v>
      </c>
      <c r="K45" s="9" t="s">
        <v>24</v>
      </c>
    </row>
    <row r="46" spans="3:14">
      <c r="C46" s="12" t="s">
        <v>9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0.40499999999999997</v>
      </c>
      <c r="I46" s="10">
        <f>'Report Page 2'!I54</f>
        <v>0.56500000000000006</v>
      </c>
      <c r="J46" s="10">
        <f>'Report Page 2'!J54</f>
        <v>0.71500000000000008</v>
      </c>
      <c r="K46" s="10">
        <f>'Report Page 2'!K54</f>
        <v>1.2250000000000001</v>
      </c>
      <c r="M46" s="375" t="str">
        <f>"Max:"&amp;TEXT(MAX($D$46:$K$53,$D$55:$K$58),"0.00")</f>
        <v>Max:2.66</v>
      </c>
      <c r="N46" s="372">
        <f>MAX($D$46:$K$53,$D$55:$K$58)</f>
        <v>2.6549999999999998</v>
      </c>
    </row>
    <row r="47" spans="3:14">
      <c r="C47" s="12" t="s">
        <v>10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0.5575</v>
      </c>
      <c r="I47" s="10">
        <f>'Report Page 2'!I55</f>
        <v>0.72749999999999992</v>
      </c>
      <c r="J47" s="10">
        <f>'Report Page 2'!J55</f>
        <v>0.90749999999999997</v>
      </c>
      <c r="K47" s="10">
        <f>'Report Page 2'!K55</f>
        <v>1.3875000000000002</v>
      </c>
      <c r="M47" s="376"/>
      <c r="N47" s="373">
        <f>N46-($N$46-$N$53)/7</f>
        <v>2.2757142857142854</v>
      </c>
    </row>
    <row r="48" spans="3:14">
      <c r="C48" s="12" t="s">
        <v>11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0.6825</v>
      </c>
      <c r="I48" s="10">
        <f>'Report Page 2'!I56</f>
        <v>0.85249999999999992</v>
      </c>
      <c r="J48" s="10">
        <f>'Report Page 2'!J56</f>
        <v>1.0325</v>
      </c>
      <c r="K48" s="10">
        <f>'Report Page 2'!K56</f>
        <v>1.5125000000000002</v>
      </c>
      <c r="M48" s="376"/>
      <c r="N48" s="373">
        <f t="shared" ref="N48:N52" si="0">N47-($N$46-$N$53)/7</f>
        <v>1.8964285714285711</v>
      </c>
    </row>
    <row r="49" spans="3:14">
      <c r="C49" s="12" t="s">
        <v>12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0.91750000000000009</v>
      </c>
      <c r="I49" s="10">
        <f>'Report Page 2'!I57</f>
        <v>1.095</v>
      </c>
      <c r="J49" s="10">
        <f>'Report Page 2'!J57</f>
        <v>1.415</v>
      </c>
      <c r="K49" s="10">
        <f>'Report Page 2'!K57</f>
        <v>1.7725</v>
      </c>
      <c r="M49" s="376"/>
      <c r="N49" s="373">
        <f t="shared" si="0"/>
        <v>1.5171428571428569</v>
      </c>
    </row>
    <row r="50" spans="3:14">
      <c r="C50" s="12" t="s">
        <v>13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1.23</v>
      </c>
      <c r="I50" s="10">
        <f>'Report Page 2'!I58</f>
        <v>1.3449999999999998</v>
      </c>
      <c r="J50" s="10">
        <f>'Report Page 2'!J58</f>
        <v>1.665</v>
      </c>
      <c r="K50" s="10">
        <f>'Report Page 2'!K58</f>
        <v>1.96</v>
      </c>
      <c r="M50" s="376"/>
      <c r="N50" s="373">
        <f t="shared" si="0"/>
        <v>1.1378571428571427</v>
      </c>
    </row>
    <row r="51" spans="3:14">
      <c r="C51" s="12" t="s">
        <v>14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1.5650000000000002</v>
      </c>
      <c r="I51" s="10">
        <f>'Report Page 2'!I59</f>
        <v>1.76</v>
      </c>
      <c r="J51" s="10">
        <f>'Report Page 2'!J59</f>
        <v>2.1999999999999997</v>
      </c>
      <c r="K51" s="10">
        <f>'Report Page 2'!K59</f>
        <v>2.4049999999999998</v>
      </c>
      <c r="M51" s="376"/>
      <c r="N51" s="373">
        <f t="shared" si="0"/>
        <v>0.75857142857142845</v>
      </c>
    </row>
    <row r="52" spans="3:14">
      <c r="C52" s="12" t="s">
        <v>15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1.5650000000000002</v>
      </c>
      <c r="I52" s="10">
        <f>'Report Page 2'!I60</f>
        <v>1.885</v>
      </c>
      <c r="J52" s="10">
        <f>'Report Page 2'!J60</f>
        <v>2.3249999999999997</v>
      </c>
      <c r="K52" s="10">
        <f>'Report Page 2'!K60</f>
        <v>2.5924999999999998</v>
      </c>
      <c r="M52" s="376"/>
      <c r="N52" s="373">
        <f t="shared" si="0"/>
        <v>0.37928571428571417</v>
      </c>
    </row>
    <row r="53" spans="3:14">
      <c r="C53" s="12" t="s">
        <v>16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1.5650000000000002</v>
      </c>
      <c r="I53" s="10">
        <f>'Report Page 2'!I61</f>
        <v>1.885</v>
      </c>
      <c r="J53" s="10">
        <f>'Report Page 2'!J61</f>
        <v>2.3249999999999997</v>
      </c>
      <c r="K53" s="10">
        <f>'Report Page 2'!K61</f>
        <v>2.6549999999999998</v>
      </c>
      <c r="M53" s="375" t="str">
        <f>"Min:"&amp;TEXT(MIN($D$46:$K$53,$D$55:$K$58),"0.00")</f>
        <v>Min:0.00</v>
      </c>
      <c r="N53" s="374">
        <f>MIN($D$46:$K$53,$D$55:$K$58)</f>
        <v>0</v>
      </c>
    </row>
  </sheetData>
  <mergeCells count="3">
    <mergeCell ref="D44:K44"/>
    <mergeCell ref="D38:G38"/>
    <mergeCell ref="H38:K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&amp;15&amp;K2E398AEffective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N61"/>
  <sheetViews>
    <sheetView showGridLines="0" topLeftCell="A4" zoomScale="90" zoomScaleNormal="90" workbookViewId="0">
      <selection activeCell="Q46" sqref="Q46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92" customWidth="1"/>
    <col min="15" max="15" width="19.5703125" customWidth="1"/>
    <col min="16" max="17" width="12.7109375" customWidth="1"/>
  </cols>
  <sheetData>
    <row r="12" spans="3:14">
      <c r="C12" s="6" t="s">
        <v>63</v>
      </c>
      <c r="J12" s="391"/>
      <c r="K12" s="391" t="s">
        <v>79</v>
      </c>
    </row>
    <row r="13" spans="3:14">
      <c r="C13" s="378"/>
      <c r="D13" s="379" t="s">
        <v>25</v>
      </c>
      <c r="E13" s="379"/>
      <c r="F13" s="379"/>
      <c r="G13" s="379"/>
      <c r="H13" s="379"/>
      <c r="I13" s="379"/>
      <c r="J13" s="379"/>
      <c r="K13" s="379"/>
    </row>
    <row r="14" spans="3:14">
      <c r="C14" s="378" t="s">
        <v>8</v>
      </c>
      <c r="D14" s="377" t="s">
        <v>17</v>
      </c>
      <c r="E14" s="377" t="s">
        <v>18</v>
      </c>
      <c r="F14" s="377" t="s">
        <v>19</v>
      </c>
      <c r="G14" s="377" t="s">
        <v>20</v>
      </c>
      <c r="H14" s="377" t="s">
        <v>21</v>
      </c>
      <c r="I14" s="377" t="s">
        <v>22</v>
      </c>
      <c r="J14" s="377" t="s">
        <v>23</v>
      </c>
      <c r="K14" s="377" t="s">
        <v>24</v>
      </c>
    </row>
    <row r="15" spans="3:14">
      <c r="C15" s="12" t="s">
        <v>9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93" t="str">
        <f>"Max:"&amp;TEXT(MAX($D$15:$K$22,$D$24:$K$27),"0.00")</f>
        <v>Max:3.75</v>
      </c>
    </row>
    <row r="16" spans="3:14">
      <c r="C16" s="12" t="s">
        <v>10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>M15-($M$15-$M$22)/7</f>
        <v>3.2142857142857144</v>
      </c>
      <c r="N16" s="394"/>
    </row>
    <row r="17" spans="3:14">
      <c r="C17" s="12" t="s">
        <v>11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>M16-($M$15-$M$22)/7</f>
        <v>2.6785714285714288</v>
      </c>
      <c r="N17" s="394"/>
    </row>
    <row r="18" spans="3:14">
      <c r="C18" s="12" t="s">
        <v>12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>M17-($M$15-$M$22)/7</f>
        <v>2.1428571428571432</v>
      </c>
      <c r="N18" s="394"/>
    </row>
    <row r="19" spans="3:14">
      <c r="C19" s="12" t="s">
        <v>13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>M18-($M$15-$M$22)/7</f>
        <v>1.6071428571428577</v>
      </c>
      <c r="N19" s="394"/>
    </row>
    <row r="20" spans="3:14">
      <c r="C20" s="12" t="s">
        <v>14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>M19-($M$15-$M$22)/7</f>
        <v>1.0714285714285721</v>
      </c>
      <c r="N20" s="394"/>
    </row>
    <row r="21" spans="3:14">
      <c r="C21" s="12" t="s">
        <v>15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>M20-($M$15-$M$22)/7</f>
        <v>0.53571428571428636</v>
      </c>
      <c r="N21" s="394"/>
    </row>
    <row r="22" spans="3:14">
      <c r="C22" s="12" t="s">
        <v>16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93" t="str">
        <f>"Min:"&amp;TEXT(MIN($D$15:$K$22,$D$24:$K$27),"0.00")</f>
        <v>Min:0.00</v>
      </c>
    </row>
    <row r="23" spans="3:14">
      <c r="C23" s="378" t="s">
        <v>26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27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31</v>
      </c>
      <c r="J24" s="11" t="s">
        <v>31</v>
      </c>
      <c r="K24" s="11" t="s">
        <v>31</v>
      </c>
    </row>
    <row r="25" spans="3:14">
      <c r="C25" s="13" t="s">
        <v>29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31</v>
      </c>
      <c r="J25" s="11" t="s">
        <v>31</v>
      </c>
      <c r="K25" s="11" t="s">
        <v>31</v>
      </c>
    </row>
    <row r="26" spans="3:14" ht="15" hidden="1" customHeight="1">
      <c r="C26" s="13" t="s">
        <v>28</v>
      </c>
      <c r="D26" s="11">
        <v>1</v>
      </c>
      <c r="E26" s="11">
        <v>1</v>
      </c>
      <c r="F26" s="11">
        <v>1</v>
      </c>
      <c r="G26" s="11" t="s">
        <v>31</v>
      </c>
      <c r="H26" s="11" t="s">
        <v>31</v>
      </c>
      <c r="I26" s="11" t="s">
        <v>31</v>
      </c>
      <c r="J26" s="11" t="s">
        <v>31</v>
      </c>
      <c r="K26" s="11" t="s">
        <v>31</v>
      </c>
    </row>
    <row r="27" spans="3:14">
      <c r="C27" s="13" t="s">
        <v>30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C29" s="6" t="s">
        <v>83</v>
      </c>
      <c r="K29" s="391" t="s">
        <v>84</v>
      </c>
    </row>
    <row r="30" spans="3:14">
      <c r="C30" s="378"/>
      <c r="D30" s="377" t="s">
        <v>17</v>
      </c>
      <c r="E30" s="377" t="s">
        <v>18</v>
      </c>
      <c r="F30" s="377" t="s">
        <v>19</v>
      </c>
      <c r="G30" s="377" t="s">
        <v>20</v>
      </c>
      <c r="H30" s="377" t="s">
        <v>21</v>
      </c>
      <c r="I30" s="377" t="s">
        <v>22</v>
      </c>
      <c r="J30" s="377" t="s">
        <v>23</v>
      </c>
      <c r="K30" s="377" t="s">
        <v>24</v>
      </c>
    </row>
    <row r="31" spans="3:14">
      <c r="C31" s="12" t="s">
        <v>67</v>
      </c>
      <c r="D31" s="10">
        <v>0</v>
      </c>
      <c r="E31" s="10">
        <v>0</v>
      </c>
      <c r="F31" s="10">
        <v>0</v>
      </c>
      <c r="G31" s="10">
        <v>0</v>
      </c>
      <c r="H31" s="10">
        <v>0.23</v>
      </c>
      <c r="I31" s="10">
        <v>0.39</v>
      </c>
      <c r="J31" s="10">
        <v>0.54</v>
      </c>
      <c r="K31" s="10">
        <v>1.05</v>
      </c>
      <c r="M31" s="372">
        <f>MAX($D$15:$K$22,$D$24:$K$27)</f>
        <v>3.75</v>
      </c>
      <c r="N31" s="393" t="str">
        <f>"Max:"&amp;TEXT(MAX($D$31:$K$38),"0.00")</f>
        <v>Max:1.48</v>
      </c>
    </row>
    <row r="32" spans="3:14">
      <c r="C32" s="12" t="s">
        <v>68</v>
      </c>
      <c r="D32" s="10">
        <v>0</v>
      </c>
      <c r="E32" s="10">
        <v>0</v>
      </c>
      <c r="F32" s="10">
        <v>0</v>
      </c>
      <c r="G32" s="10">
        <v>0</v>
      </c>
      <c r="H32" s="10">
        <v>0.27</v>
      </c>
      <c r="I32" s="10">
        <v>0.44</v>
      </c>
      <c r="J32" s="10">
        <v>0.62</v>
      </c>
      <c r="K32" s="10">
        <v>1.1000000000000001</v>
      </c>
      <c r="M32" s="373">
        <f>M31-($M$15-$M$22)/7</f>
        <v>3.2142857142857144</v>
      </c>
      <c r="N32" s="394"/>
    </row>
    <row r="33" spans="3:14">
      <c r="C33" s="12" t="s">
        <v>69</v>
      </c>
      <c r="D33" s="10">
        <v>0</v>
      </c>
      <c r="E33" s="10">
        <v>0</v>
      </c>
      <c r="F33" s="10">
        <v>0</v>
      </c>
      <c r="G33" s="10">
        <v>0</v>
      </c>
      <c r="H33" s="10">
        <v>0.27</v>
      </c>
      <c r="I33" s="10">
        <v>0.44</v>
      </c>
      <c r="J33" s="10">
        <v>0.62</v>
      </c>
      <c r="K33" s="10">
        <v>1.1000000000000001</v>
      </c>
      <c r="M33" s="373">
        <f>M32-($M$15-$M$22)/7</f>
        <v>2.6785714285714288</v>
      </c>
      <c r="N33" s="394"/>
    </row>
    <row r="34" spans="3:14">
      <c r="C34" s="12" t="s">
        <v>70</v>
      </c>
      <c r="D34" s="10">
        <v>0</v>
      </c>
      <c r="E34" s="10">
        <v>0</v>
      </c>
      <c r="F34" s="10">
        <v>0</v>
      </c>
      <c r="G34" s="10">
        <v>0</v>
      </c>
      <c r="H34" s="10">
        <v>0.33</v>
      </c>
      <c r="I34" s="10">
        <v>0.56999999999999995</v>
      </c>
      <c r="J34" s="10">
        <v>0.89</v>
      </c>
      <c r="K34" s="10">
        <v>1.31</v>
      </c>
      <c r="M34" s="373">
        <f>M33-($M$15-$M$22)/7</f>
        <v>2.1428571428571432</v>
      </c>
      <c r="N34" s="394"/>
    </row>
    <row r="35" spans="3:14">
      <c r="C35" s="12" t="s">
        <v>71</v>
      </c>
      <c r="D35" s="10">
        <v>0</v>
      </c>
      <c r="E35" s="10">
        <v>0</v>
      </c>
      <c r="F35" s="10">
        <v>0</v>
      </c>
      <c r="G35" s="10">
        <v>0</v>
      </c>
      <c r="H35" s="10">
        <v>0.33</v>
      </c>
      <c r="I35" s="10">
        <v>0.56999999999999995</v>
      </c>
      <c r="J35" s="10">
        <v>0.89</v>
      </c>
      <c r="K35" s="10">
        <v>1.31</v>
      </c>
      <c r="M35" s="373">
        <f>M34-($M$15-$M$22)/7</f>
        <v>1.6071428571428577</v>
      </c>
      <c r="N35" s="394"/>
    </row>
    <row r="36" spans="3:14">
      <c r="C36" s="12" t="s">
        <v>72</v>
      </c>
      <c r="D36" s="10">
        <v>0</v>
      </c>
      <c r="E36" s="10">
        <v>0</v>
      </c>
      <c r="F36" s="10">
        <v>0</v>
      </c>
      <c r="G36" s="10">
        <v>0</v>
      </c>
      <c r="H36" s="10">
        <v>0.39</v>
      </c>
      <c r="I36" s="10">
        <v>0.71</v>
      </c>
      <c r="J36" s="10">
        <v>1.1499999999999999</v>
      </c>
      <c r="K36" s="10">
        <v>1.48</v>
      </c>
      <c r="M36" s="373">
        <f>M35-($M$15-$M$22)/7</f>
        <v>1.0714285714285721</v>
      </c>
      <c r="N36" s="394"/>
    </row>
    <row r="37" spans="3:14">
      <c r="C37" s="12" t="s">
        <v>73</v>
      </c>
      <c r="D37" s="10">
        <v>0</v>
      </c>
      <c r="E37" s="10">
        <v>0</v>
      </c>
      <c r="F37" s="10">
        <v>0</v>
      </c>
      <c r="G37" s="10">
        <v>0</v>
      </c>
      <c r="H37" s="10">
        <v>0.39</v>
      </c>
      <c r="I37" s="10">
        <v>0.71</v>
      </c>
      <c r="J37" s="10">
        <v>1.1499999999999999</v>
      </c>
      <c r="K37" s="10">
        <v>1.48</v>
      </c>
      <c r="M37" s="373">
        <f>M36-($M$15-$M$22)/7</f>
        <v>0.53571428571428636</v>
      </c>
      <c r="N37" s="394"/>
    </row>
    <row r="38" spans="3:14">
      <c r="C38" s="12" t="s">
        <v>74</v>
      </c>
      <c r="D38" s="10">
        <v>0</v>
      </c>
      <c r="E38" s="10">
        <v>0</v>
      </c>
      <c r="F38" s="10">
        <v>0</v>
      </c>
      <c r="G38" s="10">
        <v>0</v>
      </c>
      <c r="H38" s="10">
        <v>0.39</v>
      </c>
      <c r="I38" s="10">
        <v>0.71</v>
      </c>
      <c r="J38" s="10">
        <v>1.1499999999999999</v>
      </c>
      <c r="K38" s="10">
        <v>1.48</v>
      </c>
      <c r="M38" s="374">
        <f>MIN($D$15:$K$22,$D$24:$K$27)</f>
        <v>0</v>
      </c>
      <c r="N38" s="393" t="str">
        <f>"Min:"&amp;TEXT(MIN($D$31:$K$38),"0.00")</f>
        <v>Min:0.00</v>
      </c>
    </row>
    <row r="39" spans="3:14">
      <c r="C39" s="384" t="s">
        <v>75</v>
      </c>
      <c r="D39" s="385"/>
      <c r="E39" s="385"/>
      <c r="F39" s="385"/>
      <c r="G39" s="385"/>
      <c r="H39" s="386">
        <v>0.12</v>
      </c>
      <c r="I39" s="386">
        <v>0.25</v>
      </c>
      <c r="J39" s="386">
        <v>0.3</v>
      </c>
      <c r="K39" s="386">
        <v>0.35</v>
      </c>
    </row>
    <row r="40" spans="3:14" ht="8.25" customHeight="1"/>
    <row r="41" spans="3:14">
      <c r="C41" s="6" t="s">
        <v>85</v>
      </c>
      <c r="K41" s="391" t="s">
        <v>80</v>
      </c>
    </row>
    <row r="42" spans="3:14">
      <c r="C42" s="378"/>
      <c r="D42" s="387" t="s">
        <v>76</v>
      </c>
      <c r="E42" s="388"/>
      <c r="F42" s="387" t="s">
        <v>77</v>
      </c>
      <c r="G42" s="388"/>
      <c r="H42" s="387" t="s">
        <v>78</v>
      </c>
      <c r="I42" s="388"/>
      <c r="J42" s="387" t="s">
        <v>27</v>
      </c>
      <c r="K42" s="388"/>
    </row>
    <row r="43" spans="3:14">
      <c r="C43" s="12" t="s">
        <v>67</v>
      </c>
      <c r="D43" s="389">
        <v>0.05</v>
      </c>
      <c r="E43" s="390"/>
      <c r="F43" s="389">
        <v>0.18</v>
      </c>
      <c r="G43" s="390"/>
      <c r="H43" s="389">
        <v>0.2</v>
      </c>
      <c r="I43" s="390"/>
      <c r="J43" s="389">
        <v>0.34</v>
      </c>
      <c r="K43" s="390"/>
      <c r="M43" s="372">
        <f>MAX($D$43:$K$50,$D$24:$K$27)</f>
        <v>3.75</v>
      </c>
      <c r="N43" s="393" t="str">
        <f>"Max:"&amp;TEXT(MAX($D$43:$K$50),"0.00")</f>
        <v>Max:0.75</v>
      </c>
    </row>
    <row r="44" spans="3:14">
      <c r="C44" s="12" t="s">
        <v>68</v>
      </c>
      <c r="D44" s="389">
        <v>0.1</v>
      </c>
      <c r="E44" s="390"/>
      <c r="F44" s="389">
        <v>0.2</v>
      </c>
      <c r="G44" s="390"/>
      <c r="H44" s="389">
        <v>0.25</v>
      </c>
      <c r="I44" s="390"/>
      <c r="J44" s="389">
        <v>0.38</v>
      </c>
      <c r="K44" s="390"/>
      <c r="M44" s="373">
        <f>M43-($M$15-$M$22)/7</f>
        <v>3.2142857142857144</v>
      </c>
      <c r="N44" s="394"/>
    </row>
    <row r="45" spans="3:14">
      <c r="C45" s="12" t="s">
        <v>69</v>
      </c>
      <c r="D45" s="389">
        <v>0.1</v>
      </c>
      <c r="E45" s="390"/>
      <c r="F45" s="389">
        <v>0.2</v>
      </c>
      <c r="G45" s="390"/>
      <c r="H45" s="389">
        <v>0.25</v>
      </c>
      <c r="I45" s="390"/>
      <c r="J45" s="389">
        <v>0.38</v>
      </c>
      <c r="K45" s="390"/>
      <c r="M45" s="373">
        <f>M44-($M$15-$M$22)/7</f>
        <v>2.6785714285714288</v>
      </c>
      <c r="N45" s="394"/>
    </row>
    <row r="46" spans="3:14">
      <c r="C46" s="12" t="s">
        <v>70</v>
      </c>
      <c r="D46" s="389">
        <v>0.15</v>
      </c>
      <c r="E46" s="390"/>
      <c r="F46" s="389">
        <v>0.25</v>
      </c>
      <c r="G46" s="390"/>
      <c r="H46" s="389">
        <v>0.4</v>
      </c>
      <c r="I46" s="390"/>
      <c r="J46" s="389">
        <v>0.5</v>
      </c>
      <c r="K46" s="390"/>
      <c r="M46" s="373">
        <f>M45-($M$15-$M$22)/7</f>
        <v>2.1428571428571432</v>
      </c>
      <c r="N46" s="394"/>
    </row>
    <row r="47" spans="3:14">
      <c r="C47" s="12" t="s">
        <v>71</v>
      </c>
      <c r="D47" s="389">
        <v>0.15</v>
      </c>
      <c r="E47" s="390"/>
      <c r="F47" s="389">
        <v>0.25</v>
      </c>
      <c r="G47" s="390"/>
      <c r="H47" s="389">
        <v>0.4</v>
      </c>
      <c r="I47" s="390"/>
      <c r="J47" s="389">
        <v>0.5</v>
      </c>
      <c r="K47" s="390"/>
      <c r="M47" s="373">
        <f>M46-($M$15-$M$22)/7</f>
        <v>1.6071428571428577</v>
      </c>
      <c r="N47" s="394"/>
    </row>
    <row r="48" spans="3:14">
      <c r="C48" s="12" t="s">
        <v>72</v>
      </c>
      <c r="D48" s="389">
        <v>0.3</v>
      </c>
      <c r="E48" s="390"/>
      <c r="F48" s="389">
        <v>0.5</v>
      </c>
      <c r="G48" s="390"/>
      <c r="H48" s="389">
        <v>0.6</v>
      </c>
      <c r="I48" s="390"/>
      <c r="J48" s="389">
        <v>0.75</v>
      </c>
      <c r="K48" s="390"/>
      <c r="M48" s="373">
        <f>M47-($M$15-$M$22)/7</f>
        <v>1.0714285714285721</v>
      </c>
      <c r="N48" s="394"/>
    </row>
    <row r="49" spans="3:14">
      <c r="C49" s="12" t="s">
        <v>73</v>
      </c>
      <c r="D49" s="389">
        <v>0.3</v>
      </c>
      <c r="E49" s="390"/>
      <c r="F49" s="389">
        <v>0.5</v>
      </c>
      <c r="G49" s="390"/>
      <c r="H49" s="389">
        <v>0.6</v>
      </c>
      <c r="I49" s="390"/>
      <c r="J49" s="389">
        <v>0.75</v>
      </c>
      <c r="K49" s="390"/>
      <c r="M49" s="373">
        <f>M48-($M$15-$M$22)/7</f>
        <v>0.53571428571428636</v>
      </c>
    </row>
    <row r="50" spans="3:14">
      <c r="C50" s="12" t="s">
        <v>74</v>
      </c>
      <c r="D50" s="389">
        <v>0.3</v>
      </c>
      <c r="E50" s="390"/>
      <c r="F50" s="389">
        <v>0.5</v>
      </c>
      <c r="G50" s="390"/>
      <c r="H50" s="389">
        <v>0.6</v>
      </c>
      <c r="I50" s="390"/>
      <c r="J50" s="389">
        <v>0.75</v>
      </c>
      <c r="K50" s="390"/>
      <c r="M50" s="374">
        <f>MIN($D$15:$K$22,$D$24:$K$27)</f>
        <v>0</v>
      </c>
      <c r="N50" s="393" t="str">
        <f>"Min:"&amp;TEXT(MIN($D$43:$K$50),"0.00")</f>
        <v>Min:0.05</v>
      </c>
    </row>
    <row r="51" spans="3:14" ht="6" customHeight="1"/>
    <row r="52" spans="3:14">
      <c r="C52" s="6" t="s">
        <v>81</v>
      </c>
      <c r="K52" s="391" t="s">
        <v>82</v>
      </c>
    </row>
    <row r="53" spans="3:14">
      <c r="C53" s="378"/>
      <c r="D53" s="377" t="s">
        <v>17</v>
      </c>
      <c r="E53" s="377" t="s">
        <v>18</v>
      </c>
      <c r="F53" s="377" t="s">
        <v>19</v>
      </c>
      <c r="G53" s="377" t="s">
        <v>20</v>
      </c>
      <c r="H53" s="377" t="s">
        <v>21</v>
      </c>
      <c r="I53" s="377" t="s">
        <v>22</v>
      </c>
      <c r="J53" s="377" t="s">
        <v>23</v>
      </c>
      <c r="K53" s="377" t="s">
        <v>24</v>
      </c>
    </row>
    <row r="54" spans="3:14">
      <c r="C54" s="12" t="s">
        <v>67</v>
      </c>
      <c r="D54" s="10">
        <f>D15/4+D31</f>
        <v>0</v>
      </c>
      <c r="E54" s="10">
        <f t="shared" ref="E54:G54" si="0">E15/4+E31</f>
        <v>6.25E-2</v>
      </c>
      <c r="F54" s="10">
        <f t="shared" si="0"/>
        <v>6.25E-2</v>
      </c>
      <c r="G54" s="10">
        <f t="shared" si="0"/>
        <v>0.125</v>
      </c>
      <c r="H54" s="10">
        <f>H15/4+H31+$D43</f>
        <v>0.40499999999999997</v>
      </c>
      <c r="I54" s="10">
        <f t="shared" ref="I54:K54" si="1">I15/4+I31+$D43</f>
        <v>0.56500000000000006</v>
      </c>
      <c r="J54" s="10">
        <f t="shared" si="1"/>
        <v>0.71500000000000008</v>
      </c>
      <c r="K54" s="10">
        <f t="shared" si="1"/>
        <v>1.2250000000000001</v>
      </c>
      <c r="M54" s="372">
        <f>MAX($D$43:$K$50,$D$24:$K$27)</f>
        <v>3.75</v>
      </c>
      <c r="N54" s="395" t="str">
        <f>"Max:"&amp;TEXT(MAX($D$54:$K$61),"0.00")</f>
        <v>Max:2.66</v>
      </c>
    </row>
    <row r="55" spans="3:14">
      <c r="C55" s="12" t="s">
        <v>68</v>
      </c>
      <c r="D55" s="10">
        <f t="shared" ref="D55:G55" si="2">D16/4+D32</f>
        <v>0</v>
      </c>
      <c r="E55" s="10">
        <f t="shared" si="2"/>
        <v>6.25E-2</v>
      </c>
      <c r="F55" s="10">
        <f t="shared" si="2"/>
        <v>0.125</v>
      </c>
      <c r="G55" s="10">
        <f t="shared" si="2"/>
        <v>0.1875</v>
      </c>
      <c r="H55" s="10">
        <f t="shared" ref="H55:K55" si="3">H16/4+H32+$D44</f>
        <v>0.5575</v>
      </c>
      <c r="I55" s="10">
        <f t="shared" si="3"/>
        <v>0.72749999999999992</v>
      </c>
      <c r="J55" s="10">
        <f t="shared" si="3"/>
        <v>0.90749999999999997</v>
      </c>
      <c r="K55" s="10">
        <f t="shared" si="3"/>
        <v>1.3875000000000002</v>
      </c>
      <c r="M55" s="373">
        <f>M54-($M$15-$M$22)/7</f>
        <v>3.2142857142857144</v>
      </c>
      <c r="N55" s="394"/>
    </row>
    <row r="56" spans="3:14">
      <c r="C56" s="12" t="s">
        <v>69</v>
      </c>
      <c r="D56" s="10">
        <f t="shared" ref="D56:G56" si="4">D17/4+D33</f>
        <v>0</v>
      </c>
      <c r="E56" s="10">
        <f t="shared" si="4"/>
        <v>0.1875</v>
      </c>
      <c r="F56" s="10">
        <f t="shared" si="4"/>
        <v>0.25</v>
      </c>
      <c r="G56" s="10">
        <f t="shared" si="4"/>
        <v>0.3125</v>
      </c>
      <c r="H56" s="10">
        <f t="shared" ref="H56:K56" si="5">H17/4+H33+$D45</f>
        <v>0.6825</v>
      </c>
      <c r="I56" s="10">
        <f t="shared" si="5"/>
        <v>0.85249999999999992</v>
      </c>
      <c r="J56" s="10">
        <f t="shared" si="5"/>
        <v>1.0325</v>
      </c>
      <c r="K56" s="10">
        <f t="shared" si="5"/>
        <v>1.5125000000000002</v>
      </c>
      <c r="M56" s="373">
        <f>M55-($M$15-$M$22)/7</f>
        <v>2.6785714285714288</v>
      </c>
      <c r="N56" s="394"/>
    </row>
    <row r="57" spans="3:14">
      <c r="C57" s="12" t="s">
        <v>70</v>
      </c>
      <c r="D57" s="10">
        <f t="shared" ref="D57:G57" si="6">D18/4+D34</f>
        <v>6.25E-2</v>
      </c>
      <c r="E57" s="10">
        <f t="shared" si="6"/>
        <v>0.1875</v>
      </c>
      <c r="F57" s="10">
        <f t="shared" si="6"/>
        <v>0.375</v>
      </c>
      <c r="G57" s="10">
        <f t="shared" si="6"/>
        <v>0.5</v>
      </c>
      <c r="H57" s="10">
        <f t="shared" ref="H57:K57" si="7">H18/4+H34+$D46</f>
        <v>0.91750000000000009</v>
      </c>
      <c r="I57" s="10">
        <f t="shared" si="7"/>
        <v>1.095</v>
      </c>
      <c r="J57" s="10">
        <f t="shared" si="7"/>
        <v>1.415</v>
      </c>
      <c r="K57" s="10">
        <f t="shared" si="7"/>
        <v>1.7725</v>
      </c>
      <c r="M57" s="373">
        <f>M56-($M$15-$M$22)/7</f>
        <v>2.1428571428571432</v>
      </c>
      <c r="N57" s="394"/>
    </row>
    <row r="58" spans="3:14">
      <c r="C58" s="12" t="s">
        <v>71</v>
      </c>
      <c r="D58" s="10">
        <f t="shared" ref="D58:G58" si="8">D19/4+D35</f>
        <v>6.25E-2</v>
      </c>
      <c r="E58" s="10">
        <f t="shared" si="8"/>
        <v>0.3125</v>
      </c>
      <c r="F58" s="10">
        <f t="shared" si="8"/>
        <v>0.5625</v>
      </c>
      <c r="G58" s="10">
        <f t="shared" si="8"/>
        <v>0.6875</v>
      </c>
      <c r="H58" s="10">
        <f t="shared" ref="H58:K58" si="9">H19/4+H35+$D47</f>
        <v>1.23</v>
      </c>
      <c r="I58" s="10">
        <f t="shared" si="9"/>
        <v>1.3449999999999998</v>
      </c>
      <c r="J58" s="10">
        <f t="shared" si="9"/>
        <v>1.665</v>
      </c>
      <c r="K58" s="10">
        <f t="shared" si="9"/>
        <v>1.96</v>
      </c>
      <c r="M58" s="373">
        <f>M57-($M$15-$M$22)/7</f>
        <v>1.6071428571428577</v>
      </c>
      <c r="N58" s="394"/>
    </row>
    <row r="59" spans="3:14">
      <c r="C59" s="12" t="s">
        <v>72</v>
      </c>
      <c r="D59" s="10">
        <f t="shared" ref="D59:G59" si="10">D20/4+D36</f>
        <v>0.1875</v>
      </c>
      <c r="E59" s="10">
        <f t="shared" si="10"/>
        <v>0.375</v>
      </c>
      <c r="F59" s="10">
        <f t="shared" si="10"/>
        <v>0.6875</v>
      </c>
      <c r="G59" s="10">
        <f t="shared" si="10"/>
        <v>0.8125</v>
      </c>
      <c r="H59" s="10">
        <f t="shared" ref="H59:K59" si="11">H20/4+H36+$D48</f>
        <v>1.5650000000000002</v>
      </c>
      <c r="I59" s="10">
        <f t="shared" si="11"/>
        <v>1.76</v>
      </c>
      <c r="J59" s="10">
        <f t="shared" si="11"/>
        <v>2.1999999999999997</v>
      </c>
      <c r="K59" s="10">
        <f t="shared" si="11"/>
        <v>2.4049999999999998</v>
      </c>
      <c r="M59" s="373">
        <f>M58-($M$15-$M$22)/7</f>
        <v>1.0714285714285721</v>
      </c>
      <c r="N59" s="394"/>
    </row>
    <row r="60" spans="3:14">
      <c r="C60" s="12" t="s">
        <v>73</v>
      </c>
      <c r="D60" s="10">
        <f t="shared" ref="D60:G60" si="12">D21/4+D37</f>
        <v>0.1875</v>
      </c>
      <c r="E60" s="10">
        <f t="shared" si="12"/>
        <v>0.4375</v>
      </c>
      <c r="F60" s="10">
        <f t="shared" si="12"/>
        <v>0.8125</v>
      </c>
      <c r="G60" s="10">
        <f t="shared" si="12"/>
        <v>0.8125</v>
      </c>
      <c r="H60" s="10">
        <f t="shared" ref="H60:K60" si="13">H21/4+H37+$D49</f>
        <v>1.5650000000000002</v>
      </c>
      <c r="I60" s="10">
        <f t="shared" si="13"/>
        <v>1.885</v>
      </c>
      <c r="J60" s="10">
        <f t="shared" si="13"/>
        <v>2.3249999999999997</v>
      </c>
      <c r="K60" s="10">
        <f t="shared" si="13"/>
        <v>2.5924999999999998</v>
      </c>
      <c r="M60" s="373">
        <f>M59-($M$15-$M$22)/7</f>
        <v>0.53571428571428636</v>
      </c>
    </row>
    <row r="61" spans="3:14">
      <c r="C61" s="12" t="s">
        <v>74</v>
      </c>
      <c r="D61" s="10">
        <f t="shared" ref="D61:G61" si="14">D22/4+D38</f>
        <v>0.1875</v>
      </c>
      <c r="E61" s="10">
        <f t="shared" si="14"/>
        <v>0.4375</v>
      </c>
      <c r="F61" s="10">
        <f t="shared" si="14"/>
        <v>0.8125</v>
      </c>
      <c r="G61" s="10">
        <f t="shared" si="14"/>
        <v>0.8125</v>
      </c>
      <c r="H61" s="10">
        <f t="shared" ref="H61:K61" si="15">H22/4+H38+$D50</f>
        <v>1.5650000000000002</v>
      </c>
      <c r="I61" s="10">
        <f t="shared" si="15"/>
        <v>1.885</v>
      </c>
      <c r="J61" s="10">
        <f t="shared" si="15"/>
        <v>2.3249999999999997</v>
      </c>
      <c r="K61" s="10">
        <f t="shared" si="15"/>
        <v>2.6549999999999998</v>
      </c>
      <c r="M61" s="374">
        <f>MIN($D$15:$K$22,$D$24:$K$27)</f>
        <v>0</v>
      </c>
      <c r="N61" s="395" t="str">
        <f>"Min:"&amp;TEXT(MIN($D$54:$K$61),"0.00")</f>
        <v>Min:0.00</v>
      </c>
    </row>
  </sheetData>
  <mergeCells count="37"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D13:K13"/>
    <mergeCell ref="D42:E42"/>
    <mergeCell ref="F42:G42"/>
    <mergeCell ref="H42:I42"/>
    <mergeCell ref="J42:K42"/>
  </mergeCells>
  <conditionalFormatting sqref="D15:K22 D24:K27">
    <cfRule type="colorScale" priority="146">
      <colorScale>
        <cfvo type="min"/>
        <cfvo type="max"/>
        <color theme="0"/>
        <color theme="4" tint="0.39997558519241921"/>
      </colorScale>
    </cfRule>
    <cfRule type="colorScale" priority="147">
      <colorScale>
        <cfvo type="min"/>
        <cfvo type="max"/>
        <color theme="0"/>
        <color theme="9" tint="0.39997558519241921"/>
      </colorScale>
    </cfRule>
    <cfRule type="colorScale" priority="148">
      <colorScale>
        <cfvo type="min"/>
        <cfvo type="max"/>
        <color theme="0"/>
        <color theme="6" tint="0.59999389629810485"/>
      </colorScale>
    </cfRule>
    <cfRule type="colorScale" priority="149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41">
      <colorScale>
        <cfvo type="min"/>
        <cfvo type="max"/>
        <color theme="0"/>
        <color theme="4" tint="0.39997558519241921"/>
      </colorScale>
    </cfRule>
    <cfRule type="colorScale" priority="142">
      <colorScale>
        <cfvo type="min"/>
        <cfvo type="max"/>
        <color theme="0"/>
        <color theme="9" tint="0.39997558519241921"/>
      </colorScale>
    </cfRule>
    <cfRule type="colorScale" priority="143">
      <colorScale>
        <cfvo type="min"/>
        <cfvo type="max"/>
        <color theme="0"/>
        <color theme="6" tint="0.59999389629810485"/>
      </colorScale>
    </cfRule>
    <cfRule type="colorScale" priority="144">
      <colorScale>
        <cfvo type="min"/>
        <cfvo type="max"/>
        <color theme="0"/>
        <color theme="6" tint="0.79998168889431442"/>
      </colorScale>
    </cfRule>
  </conditionalFormatting>
  <conditionalFormatting sqref="D43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9">
      <colorScale>
        <cfvo type="min"/>
        <cfvo type="max"/>
        <color theme="0"/>
        <color theme="4" tint="0.39997558519241921"/>
      </colorScale>
    </cfRule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theme="0"/>
        <color theme="6" tint="0.59999389629810485"/>
      </colorScale>
    </cfRule>
    <cfRule type="colorScale" priority="12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8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7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1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>&amp;L&amp;G&amp;C&amp;"-,Bold"&amp;10&amp;K2E398A
&amp;15&amp;K2E398AEffective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M15" sqref="M15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65</v>
      </c>
      <c r="E2" s="14" t="s">
        <v>66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383">
        <v>2007</v>
      </c>
      <c r="C12" t="s">
        <v>62</v>
      </c>
      <c r="D12">
        <v>21.8</v>
      </c>
      <c r="E12">
        <v>21.8</v>
      </c>
    </row>
    <row r="13" spans="2:5">
      <c r="B13" s="383"/>
      <c r="C13" t="s">
        <v>61</v>
      </c>
      <c r="D13">
        <v>21.6</v>
      </c>
      <c r="E13">
        <v>21.5</v>
      </c>
    </row>
    <row r="14" spans="2:5">
      <c r="B14" s="383"/>
      <c r="C14" t="s">
        <v>60</v>
      </c>
      <c r="D14">
        <v>22.8</v>
      </c>
      <c r="E14">
        <v>22.8</v>
      </c>
    </row>
    <row r="15" spans="2:5">
      <c r="B15" s="383"/>
      <c r="C15" t="s">
        <v>59</v>
      </c>
      <c r="D15">
        <v>23.7</v>
      </c>
      <c r="E15">
        <v>32.200000000000003</v>
      </c>
    </row>
    <row r="16" spans="2:5">
      <c r="B16" s="383">
        <v>2008</v>
      </c>
      <c r="C16" t="s">
        <v>62</v>
      </c>
      <c r="D16">
        <v>29.5</v>
      </c>
      <c r="E16">
        <v>29</v>
      </c>
    </row>
    <row r="17" spans="2:5">
      <c r="B17" s="383"/>
      <c r="C17" t="s">
        <v>61</v>
      </c>
      <c r="D17">
        <v>27.9</v>
      </c>
      <c r="E17">
        <v>26.4</v>
      </c>
    </row>
    <row r="18" spans="2:5">
      <c r="B18" s="383"/>
      <c r="C18" t="s">
        <v>60</v>
      </c>
      <c r="D18">
        <v>23.6</v>
      </c>
      <c r="E18">
        <v>24.7</v>
      </c>
    </row>
    <row r="19" spans="2:5">
      <c r="B19" s="383"/>
      <c r="C19" t="s">
        <v>59</v>
      </c>
      <c r="D19">
        <v>31</v>
      </c>
      <c r="E19">
        <v>32.200000000000003</v>
      </c>
    </row>
    <row r="20" spans="2:5">
      <c r="B20" s="383">
        <v>2009</v>
      </c>
      <c r="C20" t="s">
        <v>62</v>
      </c>
      <c r="D20">
        <v>27.9</v>
      </c>
      <c r="E20">
        <v>21</v>
      </c>
    </row>
    <row r="21" spans="2:5">
      <c r="B21" s="383"/>
      <c r="C21" t="s">
        <v>61</v>
      </c>
      <c r="D21">
        <v>26.1</v>
      </c>
      <c r="E21">
        <v>23.7</v>
      </c>
    </row>
    <row r="22" spans="2:5">
      <c r="B22" s="383"/>
      <c r="C22" t="s">
        <v>60</v>
      </c>
      <c r="D22">
        <v>29.3</v>
      </c>
      <c r="E22">
        <v>24.7</v>
      </c>
    </row>
    <row r="23" spans="2:5">
      <c r="B23" s="383"/>
      <c r="C23" t="s">
        <v>59</v>
      </c>
      <c r="D23">
        <v>27.9</v>
      </c>
      <c r="E23">
        <v>23.8</v>
      </c>
    </row>
    <row r="24" spans="2:5">
      <c r="B24" s="383">
        <v>2010</v>
      </c>
      <c r="C24" t="s">
        <v>62</v>
      </c>
      <c r="D24">
        <v>24.4</v>
      </c>
      <c r="E24">
        <v>26.9</v>
      </c>
    </row>
    <row r="25" spans="2:5">
      <c r="B25" s="383"/>
      <c r="C25" t="s">
        <v>61</v>
      </c>
      <c r="D25">
        <v>25</v>
      </c>
      <c r="E25">
        <v>27.3</v>
      </c>
    </row>
    <row r="26" spans="2:5">
      <c r="B26" s="383"/>
      <c r="C26" t="s">
        <v>60</v>
      </c>
      <c r="D26">
        <v>25.2</v>
      </c>
      <c r="E26">
        <v>25.3</v>
      </c>
    </row>
    <row r="27" spans="2:5">
      <c r="B27" s="383"/>
      <c r="C27" t="s">
        <v>59</v>
      </c>
      <c r="D27">
        <v>25.1</v>
      </c>
      <c r="E27">
        <v>25.7</v>
      </c>
    </row>
    <row r="28" spans="2:5">
      <c r="B28" s="383">
        <v>2011</v>
      </c>
      <c r="C28" t="s">
        <v>62</v>
      </c>
      <c r="D28">
        <v>26</v>
      </c>
      <c r="E28">
        <v>26.1</v>
      </c>
    </row>
    <row r="29" spans="2:5">
      <c r="B29" s="383"/>
      <c r="C29" t="s">
        <v>61</v>
      </c>
      <c r="D29">
        <v>26.1</v>
      </c>
      <c r="E29">
        <v>31.6</v>
      </c>
    </row>
    <row r="30" spans="2:5">
      <c r="B30" s="383"/>
      <c r="C30" t="s">
        <v>60</v>
      </c>
      <c r="D30">
        <v>26.1</v>
      </c>
      <c r="E30">
        <v>31.1</v>
      </c>
    </row>
    <row r="31" spans="2:5">
      <c r="B31" s="383"/>
      <c r="C31" t="s">
        <v>59</v>
      </c>
      <c r="D31">
        <v>26.2</v>
      </c>
      <c r="E31">
        <v>28.8</v>
      </c>
    </row>
    <row r="32" spans="2:5">
      <c r="B32" s="383">
        <v>2012</v>
      </c>
      <c r="C32" t="s">
        <v>62</v>
      </c>
      <c r="D32">
        <v>26.8</v>
      </c>
      <c r="E32">
        <v>28.9</v>
      </c>
    </row>
    <row r="33" spans="2:5">
      <c r="B33" s="383"/>
      <c r="C33" t="s">
        <v>61</v>
      </c>
      <c r="D33">
        <v>27.7</v>
      </c>
      <c r="E33">
        <v>40.299999999999997</v>
      </c>
    </row>
    <row r="34" spans="2:5">
      <c r="B34" s="383"/>
      <c r="C34" t="s">
        <v>60</v>
      </c>
      <c r="D34">
        <v>28.3</v>
      </c>
      <c r="E34">
        <v>41.8</v>
      </c>
    </row>
    <row r="35" spans="2:5">
      <c r="B35" s="383"/>
      <c r="C35" t="s">
        <v>59</v>
      </c>
      <c r="D35">
        <v>28.7</v>
      </c>
      <c r="E35">
        <v>39.9</v>
      </c>
    </row>
    <row r="36" spans="2:5">
      <c r="B36" s="383">
        <v>2013</v>
      </c>
      <c r="C36" t="s">
        <v>62</v>
      </c>
      <c r="D36">
        <v>33.5</v>
      </c>
      <c r="E36">
        <v>54.4</v>
      </c>
    </row>
    <row r="37" spans="2:5">
      <c r="B37" s="383"/>
      <c r="C37" t="s">
        <v>61</v>
      </c>
      <c r="D37">
        <v>35.799999999999997</v>
      </c>
      <c r="E37">
        <v>56.9</v>
      </c>
    </row>
    <row r="38" spans="2:5">
      <c r="B38" s="383"/>
      <c r="C38" t="s">
        <v>60</v>
      </c>
      <c r="D38">
        <v>38</v>
      </c>
      <c r="E38">
        <v>58.7</v>
      </c>
    </row>
    <row r="39" spans="2:5">
      <c r="B39" s="383"/>
      <c r="C39" t="s">
        <v>59</v>
      </c>
      <c r="D39">
        <v>36.700000000000003</v>
      </c>
      <c r="E39">
        <v>57.4</v>
      </c>
    </row>
    <row r="40" spans="2:5">
      <c r="B40" s="383">
        <v>2014</v>
      </c>
      <c r="C40" t="s">
        <v>62</v>
      </c>
      <c r="D40">
        <v>39.799999999999997</v>
      </c>
      <c r="E40">
        <v>63</v>
      </c>
    </row>
    <row r="41" spans="2:5">
      <c r="B41" s="383"/>
      <c r="C41" t="s">
        <v>61</v>
      </c>
      <c r="D41">
        <v>40.299999999999997</v>
      </c>
      <c r="E41">
        <v>62.6</v>
      </c>
    </row>
    <row r="42" spans="2:5">
      <c r="B42" s="383"/>
      <c r="C42" t="s">
        <v>60</v>
      </c>
      <c r="D42">
        <v>41.2</v>
      </c>
      <c r="E42">
        <v>63.5</v>
      </c>
    </row>
    <row r="43" spans="2:5">
      <c r="B43" s="383"/>
      <c r="C43" t="s">
        <v>59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M15" sqref="M15"/>
    </sheetView>
  </sheetViews>
  <sheetFormatPr defaultRowHeight="15"/>
  <cols>
    <col min="3" max="3" width="38" bestFit="1" customWidth="1"/>
  </cols>
  <sheetData>
    <row r="2" spans="3:30">
      <c r="D2" s="227" t="s">
        <v>36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33</v>
      </c>
      <c r="H3" s="229">
        <v>2013</v>
      </c>
      <c r="I3" s="226"/>
      <c r="J3" s="226"/>
      <c r="K3" s="15" t="s">
        <v>33</v>
      </c>
      <c r="L3" s="229">
        <v>2012</v>
      </c>
      <c r="M3" s="226"/>
      <c r="N3" s="226"/>
    </row>
    <row r="4" spans="3:30">
      <c r="C4" s="14" t="s">
        <v>32</v>
      </c>
      <c r="D4" s="230">
        <v>40.799999999999997</v>
      </c>
      <c r="E4" s="226"/>
      <c r="F4" s="15" t="s">
        <v>33</v>
      </c>
      <c r="G4" s="15" t="s">
        <v>33</v>
      </c>
      <c r="H4" s="230">
        <v>36.700000000000003</v>
      </c>
      <c r="I4" s="226"/>
      <c r="J4" s="15" t="s">
        <v>33</v>
      </c>
      <c r="K4" s="15" t="s">
        <v>33</v>
      </c>
      <c r="L4" s="230">
        <v>28.7</v>
      </c>
      <c r="M4" s="226"/>
    </row>
    <row r="5" spans="3:30">
      <c r="C5" s="14" t="s">
        <v>37</v>
      </c>
      <c r="D5" s="230">
        <v>62.9</v>
      </c>
      <c r="E5" s="226"/>
      <c r="F5" s="15" t="s">
        <v>33</v>
      </c>
      <c r="G5" s="15" t="s">
        <v>33</v>
      </c>
      <c r="H5" s="230">
        <v>57.4</v>
      </c>
      <c r="I5" s="226"/>
      <c r="J5" s="15" t="s">
        <v>33</v>
      </c>
      <c r="K5" s="15" t="s">
        <v>33</v>
      </c>
      <c r="L5" s="230">
        <v>39.9</v>
      </c>
      <c r="M5" s="226"/>
    </row>
    <row r="8" spans="3:30">
      <c r="C8" s="15" t="s">
        <v>33</v>
      </c>
      <c r="D8" s="14" t="s">
        <v>34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33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33</v>
      </c>
      <c r="G9" s="15" t="s">
        <v>33</v>
      </c>
      <c r="H9" s="229">
        <v>2013</v>
      </c>
      <c r="I9" s="226"/>
      <c r="J9" s="226"/>
      <c r="V9" s="226"/>
    </row>
    <row r="10" spans="3:30">
      <c r="C10" s="14" t="s">
        <v>32</v>
      </c>
      <c r="D10" s="230">
        <v>41.2</v>
      </c>
      <c r="E10" s="226"/>
      <c r="F10" s="15" t="s">
        <v>33</v>
      </c>
      <c r="G10" s="15" t="s">
        <v>33</v>
      </c>
      <c r="H10" s="15" t="s">
        <v>33</v>
      </c>
      <c r="I10" s="230">
        <v>38</v>
      </c>
      <c r="J10" s="226"/>
    </row>
    <row r="11" spans="3:30">
      <c r="C11" s="14" t="s">
        <v>37</v>
      </c>
      <c r="D11" s="230">
        <v>63.5</v>
      </c>
      <c r="E11" s="226"/>
      <c r="F11" s="15" t="s">
        <v>33</v>
      </c>
      <c r="G11" s="15" t="s">
        <v>33</v>
      </c>
      <c r="H11" s="15" t="s">
        <v>33</v>
      </c>
      <c r="I11" s="230">
        <v>58.7</v>
      </c>
      <c r="J11" s="226"/>
    </row>
    <row r="14" spans="3:30">
      <c r="D14" s="16" t="s">
        <v>38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33</v>
      </c>
      <c r="H15" s="17" t="s">
        <v>33</v>
      </c>
      <c r="I15" s="232">
        <v>2013</v>
      </c>
      <c r="J15" s="233"/>
      <c r="K15" s="233"/>
    </row>
    <row r="16" spans="3:30">
      <c r="C16" s="19" t="s">
        <v>32</v>
      </c>
      <c r="D16" s="234">
        <v>40.299999999999997</v>
      </c>
      <c r="E16" s="235"/>
      <c r="F16" s="18" t="s">
        <v>33</v>
      </c>
      <c r="G16" s="18" t="s">
        <v>33</v>
      </c>
      <c r="H16" s="18" t="s">
        <v>33</v>
      </c>
      <c r="I16" s="234">
        <v>35.799999999999997</v>
      </c>
      <c r="J16" s="235"/>
    </row>
    <row r="17" spans="3:15">
      <c r="C17" s="21" t="s">
        <v>37</v>
      </c>
      <c r="D17" s="236">
        <v>62.6</v>
      </c>
      <c r="E17" s="237"/>
      <c r="F17" s="20" t="s">
        <v>33</v>
      </c>
      <c r="G17" s="20" t="s">
        <v>33</v>
      </c>
      <c r="H17" s="20" t="s">
        <v>33</v>
      </c>
      <c r="I17" s="236">
        <v>56.9</v>
      </c>
      <c r="J17" s="237"/>
    </row>
    <row r="20" spans="3:15">
      <c r="D20" s="23" t="s">
        <v>39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33</v>
      </c>
      <c r="H21" s="239">
        <v>2013</v>
      </c>
      <c r="I21" s="238"/>
      <c r="J21" s="238"/>
      <c r="K21" s="238"/>
      <c r="L21" s="22" t="s">
        <v>33</v>
      </c>
      <c r="M21" s="23"/>
      <c r="N21" s="238"/>
      <c r="O21" s="238"/>
    </row>
    <row r="22" spans="3:15">
      <c r="C22" s="25" t="s">
        <v>32</v>
      </c>
      <c r="D22" s="240">
        <v>39.799999999999997</v>
      </c>
      <c r="E22" s="241"/>
      <c r="F22" s="24" t="s">
        <v>33</v>
      </c>
      <c r="G22" s="24" t="s">
        <v>33</v>
      </c>
      <c r="H22" s="24" t="s">
        <v>33</v>
      </c>
      <c r="I22" s="240">
        <v>33.5</v>
      </c>
      <c r="J22" s="241"/>
    </row>
    <row r="23" spans="3:15">
      <c r="C23" s="27" t="s">
        <v>37</v>
      </c>
      <c r="D23" s="242">
        <v>63</v>
      </c>
      <c r="E23" s="243"/>
      <c r="F23" s="26" t="s">
        <v>33</v>
      </c>
      <c r="G23" s="26" t="s">
        <v>33</v>
      </c>
      <c r="H23" s="26" t="s">
        <v>33</v>
      </c>
      <c r="I23" s="242">
        <v>54.4</v>
      </c>
      <c r="J23" s="243"/>
    </row>
    <row r="28" spans="3:15">
      <c r="D28" s="244" t="s">
        <v>36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33</v>
      </c>
      <c r="H29" s="246">
        <v>2012</v>
      </c>
      <c r="I29" s="247"/>
      <c r="J29" s="247"/>
      <c r="K29" s="28" t="s">
        <v>33</v>
      </c>
      <c r="L29" s="246">
        <v>2011</v>
      </c>
      <c r="M29" s="247"/>
      <c r="N29" s="247"/>
    </row>
    <row r="30" spans="3:15">
      <c r="C30" s="30" t="s">
        <v>32</v>
      </c>
      <c r="D30" s="248">
        <v>36.700000000000003</v>
      </c>
      <c r="E30" s="249"/>
      <c r="F30" s="29" t="s">
        <v>33</v>
      </c>
      <c r="G30" s="29" t="s">
        <v>33</v>
      </c>
      <c r="H30" s="248">
        <v>28.7</v>
      </c>
      <c r="I30" s="249"/>
      <c r="J30" s="29" t="s">
        <v>33</v>
      </c>
      <c r="K30" s="29" t="s">
        <v>33</v>
      </c>
      <c r="L30" s="248">
        <v>26.2</v>
      </c>
      <c r="M30" s="249"/>
    </row>
    <row r="31" spans="3:15">
      <c r="C31" s="32" t="s">
        <v>37</v>
      </c>
      <c r="D31" s="250">
        <v>57.4</v>
      </c>
      <c r="E31" s="251"/>
      <c r="F31" s="31" t="s">
        <v>33</v>
      </c>
      <c r="G31" s="31" t="s">
        <v>33</v>
      </c>
      <c r="H31" s="250">
        <v>39.9</v>
      </c>
      <c r="I31" s="251"/>
      <c r="J31" s="31" t="s">
        <v>33</v>
      </c>
      <c r="K31" s="31" t="s">
        <v>33</v>
      </c>
      <c r="L31" s="250">
        <v>28.8</v>
      </c>
      <c r="M31" s="251"/>
    </row>
    <row r="33" spans="3:16">
      <c r="D33" s="33" t="s">
        <v>41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42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32</v>
      </c>
      <c r="D35" s="253">
        <v>38</v>
      </c>
      <c r="E35" s="254"/>
      <c r="F35" s="34" t="s">
        <v>33</v>
      </c>
      <c r="G35" s="34" t="s">
        <v>33</v>
      </c>
      <c r="H35" s="253">
        <v>28.3</v>
      </c>
      <c r="I35" s="254"/>
    </row>
    <row r="36" spans="3:16">
      <c r="C36" s="37" t="s">
        <v>37</v>
      </c>
      <c r="D36" s="255">
        <v>58.7</v>
      </c>
      <c r="E36" s="256"/>
      <c r="F36" s="36" t="s">
        <v>33</v>
      </c>
      <c r="G36" s="36" t="s">
        <v>33</v>
      </c>
      <c r="H36" s="255">
        <v>41.8</v>
      </c>
      <c r="I36" s="256"/>
    </row>
    <row r="38" spans="3:16">
      <c r="D38" s="39" t="s">
        <v>38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33</v>
      </c>
      <c r="H39" s="258">
        <v>2012</v>
      </c>
      <c r="I39" s="257"/>
      <c r="J39" s="257"/>
      <c r="K39" s="38" t="s">
        <v>33</v>
      </c>
      <c r="L39" s="39" t="s">
        <v>40</v>
      </c>
      <c r="M39" s="257"/>
      <c r="N39" s="257"/>
    </row>
    <row r="40" spans="3:16">
      <c r="C40" s="41" t="s">
        <v>32</v>
      </c>
      <c r="D40" s="259">
        <v>35.799999999999997</v>
      </c>
      <c r="E40" s="260"/>
      <c r="F40" s="40" t="s">
        <v>33</v>
      </c>
      <c r="G40" s="40" t="s">
        <v>33</v>
      </c>
      <c r="H40" s="259">
        <v>27.7</v>
      </c>
      <c r="I40" s="260"/>
    </row>
    <row r="41" spans="3:16">
      <c r="C41" s="43" t="s">
        <v>37</v>
      </c>
      <c r="D41" s="261">
        <v>56.9</v>
      </c>
      <c r="E41" s="262"/>
      <c r="F41" s="42" t="s">
        <v>33</v>
      </c>
      <c r="G41" s="42" t="s">
        <v>33</v>
      </c>
      <c r="H41" s="261">
        <v>40.299999999999997</v>
      </c>
      <c r="I41" s="262"/>
    </row>
    <row r="43" spans="3:16">
      <c r="D43" s="45" t="s">
        <v>39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33</v>
      </c>
      <c r="H44" s="264">
        <v>2012</v>
      </c>
      <c r="I44" s="263"/>
      <c r="J44" s="263"/>
      <c r="K44" s="263"/>
      <c r="L44" s="263"/>
      <c r="M44" s="44" t="s">
        <v>33</v>
      </c>
      <c r="N44" s="45" t="s">
        <v>40</v>
      </c>
      <c r="O44" s="263"/>
      <c r="P44" s="263"/>
    </row>
    <row r="45" spans="3:16">
      <c r="C45" s="47" t="s">
        <v>32</v>
      </c>
      <c r="D45" s="265">
        <v>33.5</v>
      </c>
      <c r="E45" s="266"/>
      <c r="F45" s="46" t="s">
        <v>33</v>
      </c>
      <c r="G45" s="46" t="s">
        <v>33</v>
      </c>
      <c r="H45" s="46" t="s">
        <v>33</v>
      </c>
      <c r="I45" s="265">
        <v>26.8</v>
      </c>
      <c r="J45" s="266"/>
    </row>
    <row r="46" spans="3:16">
      <c r="C46" s="49" t="s">
        <v>37</v>
      </c>
      <c r="D46" s="267">
        <v>54.4</v>
      </c>
      <c r="E46" s="268"/>
      <c r="F46" s="48" t="s">
        <v>33</v>
      </c>
      <c r="G46" s="48" t="s">
        <v>33</v>
      </c>
      <c r="H46" s="48" t="s">
        <v>33</v>
      </c>
      <c r="I46" s="267">
        <v>28.9</v>
      </c>
      <c r="J46" s="268"/>
    </row>
    <row r="49" spans="3:16">
      <c r="D49" s="269" t="s">
        <v>36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33</v>
      </c>
      <c r="H50" s="271">
        <v>2011</v>
      </c>
      <c r="I50" s="272"/>
      <c r="J50" s="272"/>
      <c r="K50" s="50" t="s">
        <v>33</v>
      </c>
      <c r="L50" s="271">
        <v>2010</v>
      </c>
      <c r="M50" s="272"/>
      <c r="N50" s="272"/>
    </row>
    <row r="51" spans="3:16">
      <c r="C51" s="52" t="s">
        <v>32</v>
      </c>
      <c r="D51" s="273">
        <v>28.7</v>
      </c>
      <c r="E51" s="274"/>
      <c r="F51" s="51" t="s">
        <v>33</v>
      </c>
      <c r="G51" s="51" t="s">
        <v>33</v>
      </c>
      <c r="H51" s="273">
        <v>26.2</v>
      </c>
      <c r="I51" s="274"/>
      <c r="J51" s="51" t="s">
        <v>33</v>
      </c>
      <c r="K51" s="51" t="s">
        <v>33</v>
      </c>
      <c r="L51" s="273">
        <v>25.1</v>
      </c>
      <c r="M51" s="274"/>
    </row>
    <row r="52" spans="3:16">
      <c r="C52" s="55" t="s">
        <v>37</v>
      </c>
      <c r="D52" s="275">
        <v>39.9</v>
      </c>
      <c r="E52" s="276"/>
      <c r="F52" s="54" t="s">
        <v>33</v>
      </c>
      <c r="G52" s="54" t="s">
        <v>33</v>
      </c>
      <c r="H52" s="275">
        <v>28.8</v>
      </c>
      <c r="I52" s="276"/>
      <c r="J52" s="54" t="s">
        <v>33</v>
      </c>
      <c r="K52" s="54" t="s">
        <v>33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34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33</v>
      </c>
      <c r="H55" s="278">
        <v>2011</v>
      </c>
      <c r="I55" s="277"/>
      <c r="J55" s="277"/>
      <c r="K55" s="277"/>
      <c r="L55" s="277"/>
      <c r="M55" s="56" t="s">
        <v>33</v>
      </c>
      <c r="N55" s="57" t="s">
        <v>40</v>
      </c>
      <c r="O55" s="277"/>
      <c r="P55" s="277"/>
    </row>
    <row r="56" spans="3:16">
      <c r="C56" s="59" t="s">
        <v>32</v>
      </c>
      <c r="D56" s="279">
        <v>28.3</v>
      </c>
      <c r="E56" s="280"/>
      <c r="F56" s="58" t="s">
        <v>33</v>
      </c>
      <c r="G56" s="58" t="s">
        <v>33</v>
      </c>
      <c r="H56" s="58" t="s">
        <v>33</v>
      </c>
      <c r="I56" s="279">
        <v>26.1</v>
      </c>
      <c r="J56" s="280"/>
    </row>
    <row r="57" spans="3:16">
      <c r="C57" s="61" t="s">
        <v>37</v>
      </c>
      <c r="D57" s="281">
        <v>41.8</v>
      </c>
      <c r="E57" s="282"/>
      <c r="F57" s="60" t="s">
        <v>33</v>
      </c>
      <c r="G57" s="60" t="s">
        <v>33</v>
      </c>
      <c r="H57" s="60" t="s">
        <v>33</v>
      </c>
      <c r="I57" s="281">
        <v>31.1</v>
      </c>
      <c r="J57" s="282"/>
    </row>
    <row r="59" spans="3:16">
      <c r="D59" s="72" t="s">
        <v>38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33</v>
      </c>
      <c r="H60" s="284">
        <v>2011</v>
      </c>
      <c r="I60" s="283"/>
      <c r="J60" s="283"/>
      <c r="K60" s="71" t="s">
        <v>33</v>
      </c>
      <c r="L60" s="72" t="s">
        <v>40</v>
      </c>
      <c r="M60" s="283"/>
      <c r="N60" s="283"/>
      <c r="O60" s="283"/>
      <c r="P60" s="283"/>
    </row>
    <row r="61" spans="3:16">
      <c r="C61" s="74" t="s">
        <v>32</v>
      </c>
      <c r="D61" s="285">
        <v>27.7</v>
      </c>
      <c r="E61" s="286"/>
      <c r="F61" s="73" t="s">
        <v>33</v>
      </c>
      <c r="G61" s="73" t="s">
        <v>33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37</v>
      </c>
      <c r="D62" s="287">
        <v>40.299999999999997</v>
      </c>
      <c r="E62" s="288"/>
      <c r="F62" s="75" t="s">
        <v>33</v>
      </c>
      <c r="G62" s="75" t="s">
        <v>33</v>
      </c>
      <c r="H62" s="287">
        <v>31.6</v>
      </c>
      <c r="I62" s="288"/>
    </row>
    <row r="64" spans="3:16">
      <c r="D64" s="63" t="s">
        <v>39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33</v>
      </c>
      <c r="G65" s="62" t="s">
        <v>33</v>
      </c>
      <c r="H65" s="290">
        <v>2011</v>
      </c>
      <c r="I65" s="289"/>
      <c r="J65" s="62" t="s">
        <v>33</v>
      </c>
      <c r="K65" s="62" t="s">
        <v>33</v>
      </c>
      <c r="L65" s="63" t="s">
        <v>40</v>
      </c>
      <c r="M65" s="289"/>
    </row>
    <row r="66" spans="3:14">
      <c r="C66" s="65" t="s">
        <v>32</v>
      </c>
      <c r="D66" s="64" t="s">
        <v>33</v>
      </c>
      <c r="E66" s="64" t="s">
        <v>33</v>
      </c>
      <c r="F66" s="66">
        <v>26.8</v>
      </c>
      <c r="G66" s="64" t="s">
        <v>33</v>
      </c>
      <c r="H66" s="64" t="s">
        <v>33</v>
      </c>
      <c r="I66" s="64" t="s">
        <v>33</v>
      </c>
      <c r="J66" s="66">
        <v>26</v>
      </c>
    </row>
    <row r="67" spans="3:14">
      <c r="C67" s="68" t="s">
        <v>37</v>
      </c>
      <c r="D67" s="67" t="s">
        <v>33</v>
      </c>
      <c r="E67" s="67" t="s">
        <v>33</v>
      </c>
      <c r="F67" s="69">
        <v>28.9</v>
      </c>
      <c r="G67" s="67" t="s">
        <v>33</v>
      </c>
      <c r="H67" s="67" t="s">
        <v>33</v>
      </c>
      <c r="I67" s="67" t="s">
        <v>33</v>
      </c>
      <c r="J67" s="69">
        <v>26.1</v>
      </c>
    </row>
    <row r="70" spans="3:14">
      <c r="D70" s="291" t="s">
        <v>36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33</v>
      </c>
      <c r="G71" s="77" t="s">
        <v>33</v>
      </c>
      <c r="H71" s="293">
        <v>2010</v>
      </c>
      <c r="I71" s="294"/>
      <c r="J71" s="77" t="s">
        <v>33</v>
      </c>
      <c r="K71" s="77" t="s">
        <v>33</v>
      </c>
      <c r="L71" s="293">
        <v>2009</v>
      </c>
      <c r="M71" s="294"/>
    </row>
    <row r="72" spans="3:14">
      <c r="C72" s="79" t="s">
        <v>32</v>
      </c>
      <c r="D72" s="78" t="s">
        <v>33</v>
      </c>
      <c r="E72" s="78" t="s">
        <v>33</v>
      </c>
      <c r="F72" s="80">
        <v>26.2</v>
      </c>
      <c r="G72" s="78" t="s">
        <v>33</v>
      </c>
      <c r="H72" s="78" t="s">
        <v>33</v>
      </c>
      <c r="I72" s="78" t="s">
        <v>33</v>
      </c>
      <c r="J72" s="80">
        <v>25.1</v>
      </c>
      <c r="N72" s="84">
        <v>27.9</v>
      </c>
    </row>
    <row r="73" spans="3:14">
      <c r="C73" s="82" t="s">
        <v>37</v>
      </c>
      <c r="D73" s="81" t="s">
        <v>33</v>
      </c>
      <c r="E73" s="81" t="s">
        <v>33</v>
      </c>
      <c r="F73" s="83">
        <v>28.8</v>
      </c>
      <c r="G73" s="81" t="s">
        <v>33</v>
      </c>
      <c r="H73" s="81" t="s">
        <v>33</v>
      </c>
      <c r="I73" s="81" t="s">
        <v>33</v>
      </c>
      <c r="J73" s="83">
        <v>25.7</v>
      </c>
      <c r="K73" s="81" t="s">
        <v>33</v>
      </c>
      <c r="N73" s="84">
        <v>23.8</v>
      </c>
    </row>
    <row r="75" spans="3:14">
      <c r="D75" s="86" t="s">
        <v>34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33</v>
      </c>
      <c r="G76" s="85" t="s">
        <v>33</v>
      </c>
      <c r="H76" s="296">
        <v>2010</v>
      </c>
      <c r="I76" s="295"/>
      <c r="J76" s="85" t="s">
        <v>33</v>
      </c>
      <c r="K76" s="85" t="s">
        <v>33</v>
      </c>
      <c r="L76" s="86" t="s">
        <v>40</v>
      </c>
      <c r="M76" s="295"/>
    </row>
    <row r="77" spans="3:14">
      <c r="C77" s="88" t="s">
        <v>32</v>
      </c>
      <c r="D77" s="87" t="s">
        <v>33</v>
      </c>
      <c r="E77" s="87" t="s">
        <v>33</v>
      </c>
      <c r="F77" s="89">
        <v>26.1</v>
      </c>
      <c r="G77" s="87" t="s">
        <v>33</v>
      </c>
      <c r="H77" s="87" t="s">
        <v>33</v>
      </c>
      <c r="I77" s="87" t="s">
        <v>33</v>
      </c>
      <c r="J77" s="89">
        <v>25.2</v>
      </c>
    </row>
    <row r="78" spans="3:14">
      <c r="C78" s="91" t="s">
        <v>37</v>
      </c>
      <c r="D78" s="90" t="s">
        <v>33</v>
      </c>
      <c r="E78" s="90" t="s">
        <v>33</v>
      </c>
      <c r="F78" s="92">
        <v>31.1</v>
      </c>
      <c r="G78" s="90" t="s">
        <v>33</v>
      </c>
      <c r="H78" s="90" t="s">
        <v>33</v>
      </c>
      <c r="I78" s="90" t="s">
        <v>33</v>
      </c>
      <c r="J78" s="92">
        <v>25.3</v>
      </c>
    </row>
    <row r="81" spans="3:14">
      <c r="D81" s="94" t="s">
        <v>38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33</v>
      </c>
      <c r="G82" s="93" t="s">
        <v>33</v>
      </c>
      <c r="H82" s="298">
        <v>2010</v>
      </c>
      <c r="I82" s="297"/>
      <c r="J82" s="93" t="s">
        <v>33</v>
      </c>
      <c r="K82" s="93" t="s">
        <v>33</v>
      </c>
      <c r="L82" s="94" t="s">
        <v>40</v>
      </c>
      <c r="M82" s="297"/>
    </row>
    <row r="83" spans="3:14">
      <c r="C83" s="96" t="s">
        <v>32</v>
      </c>
      <c r="D83" s="95" t="s">
        <v>33</v>
      </c>
      <c r="E83" s="95" t="s">
        <v>33</v>
      </c>
      <c r="F83" s="97">
        <v>26.1</v>
      </c>
      <c r="G83" s="95" t="s">
        <v>33</v>
      </c>
      <c r="H83" s="95" t="s">
        <v>33</v>
      </c>
      <c r="I83" s="95" t="s">
        <v>33</v>
      </c>
      <c r="J83" s="97">
        <v>25</v>
      </c>
    </row>
    <row r="84" spans="3:14">
      <c r="C84" s="99" t="s">
        <v>37</v>
      </c>
      <c r="D84" s="98" t="s">
        <v>33</v>
      </c>
      <c r="E84" s="98" t="s">
        <v>33</v>
      </c>
      <c r="F84" s="100">
        <v>31.6</v>
      </c>
      <c r="G84" s="98" t="s">
        <v>33</v>
      </c>
      <c r="H84" s="98" t="s">
        <v>33</v>
      </c>
      <c r="I84" s="98" t="s">
        <v>33</v>
      </c>
      <c r="J84" s="100">
        <v>27.3</v>
      </c>
    </row>
    <row r="86" spans="3:14">
      <c r="D86" s="102" t="s">
        <v>39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33</v>
      </c>
      <c r="G87" s="101" t="s">
        <v>33</v>
      </c>
      <c r="H87" s="300">
        <v>2010</v>
      </c>
      <c r="I87" s="299"/>
      <c r="J87" s="101" t="s">
        <v>33</v>
      </c>
      <c r="K87" s="101" t="s">
        <v>33</v>
      </c>
      <c r="L87" s="102" t="s">
        <v>40</v>
      </c>
      <c r="M87" s="299"/>
    </row>
    <row r="88" spans="3:14">
      <c r="C88" s="104" t="s">
        <v>32</v>
      </c>
      <c r="D88" s="103" t="s">
        <v>33</v>
      </c>
      <c r="E88" s="103" t="s">
        <v>33</v>
      </c>
      <c r="F88" s="105">
        <v>26</v>
      </c>
      <c r="G88" s="103" t="s">
        <v>33</v>
      </c>
      <c r="H88" s="103" t="s">
        <v>33</v>
      </c>
      <c r="I88" s="103" t="s">
        <v>33</v>
      </c>
      <c r="J88" s="105">
        <v>24.4</v>
      </c>
    </row>
    <row r="89" spans="3:14">
      <c r="C89" s="107" t="s">
        <v>37</v>
      </c>
      <c r="D89" s="106" t="s">
        <v>33</v>
      </c>
      <c r="E89" s="106" t="s">
        <v>33</v>
      </c>
      <c r="F89" s="108">
        <v>26.1</v>
      </c>
      <c r="G89" s="106" t="s">
        <v>33</v>
      </c>
      <c r="H89" s="106" t="s">
        <v>33</v>
      </c>
      <c r="I89" s="106" t="s">
        <v>33</v>
      </c>
      <c r="J89" s="108">
        <v>26.9</v>
      </c>
    </row>
    <row r="91" spans="3:14">
      <c r="D91" s="301" t="s">
        <v>36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33</v>
      </c>
      <c r="G92" s="109" t="s">
        <v>33</v>
      </c>
      <c r="H92" s="303">
        <v>2009</v>
      </c>
      <c r="I92" s="304"/>
      <c r="J92" s="109" t="s">
        <v>33</v>
      </c>
      <c r="K92" s="109" t="s">
        <v>33</v>
      </c>
      <c r="L92" s="303">
        <v>2008</v>
      </c>
      <c r="M92" s="304"/>
    </row>
    <row r="93" spans="3:14">
      <c r="C93" s="111" t="s">
        <v>32</v>
      </c>
      <c r="D93" s="110" t="s">
        <v>33</v>
      </c>
      <c r="E93" s="110" t="s">
        <v>33</v>
      </c>
      <c r="F93" s="112">
        <v>25.1</v>
      </c>
      <c r="G93" s="110" t="s">
        <v>33</v>
      </c>
      <c r="H93" s="110" t="s">
        <v>33</v>
      </c>
      <c r="I93" s="110" t="s">
        <v>33</v>
      </c>
      <c r="J93" s="112">
        <v>27.9</v>
      </c>
      <c r="K93" s="110" t="s">
        <v>33</v>
      </c>
      <c r="L93" s="110" t="s">
        <v>33</v>
      </c>
      <c r="M93" s="110" t="s">
        <v>33</v>
      </c>
      <c r="N93" s="112">
        <v>30.9</v>
      </c>
    </row>
    <row r="94" spans="3:14">
      <c r="C94" s="114" t="s">
        <v>37</v>
      </c>
      <c r="D94" s="113" t="s">
        <v>33</v>
      </c>
      <c r="E94" s="113" t="s">
        <v>33</v>
      </c>
      <c r="F94" s="115">
        <v>25.7</v>
      </c>
      <c r="G94" s="113" t="s">
        <v>33</v>
      </c>
      <c r="H94" s="113" t="s">
        <v>33</v>
      </c>
      <c r="I94" s="113" t="s">
        <v>33</v>
      </c>
      <c r="J94" s="115">
        <v>23.8</v>
      </c>
      <c r="K94" s="113" t="s">
        <v>33</v>
      </c>
      <c r="L94" s="113" t="s">
        <v>33</v>
      </c>
      <c r="M94" s="113" t="s">
        <v>33</v>
      </c>
      <c r="N94" s="115">
        <v>28</v>
      </c>
    </row>
    <row r="96" spans="3:14">
      <c r="D96" s="118" t="s">
        <v>43</v>
      </c>
      <c r="E96" s="305"/>
      <c r="F96" s="305"/>
      <c r="G96" s="305"/>
      <c r="H96" s="305"/>
      <c r="I96" s="305"/>
    </row>
    <row r="97" spans="3:25">
      <c r="D97" s="117" t="s">
        <v>33</v>
      </c>
      <c r="E97" s="116"/>
      <c r="F97" s="116"/>
      <c r="G97" s="116"/>
      <c r="H97" s="116"/>
      <c r="I97" s="116"/>
    </row>
    <row r="98" spans="3:25">
      <c r="D98" s="118" t="s">
        <v>44</v>
      </c>
      <c r="E98" s="305"/>
      <c r="F98" s="305"/>
      <c r="G98" s="305"/>
      <c r="H98" s="305"/>
      <c r="I98" s="305"/>
    </row>
    <row r="99" spans="3:25">
      <c r="C99" s="120" t="s">
        <v>32</v>
      </c>
      <c r="D99" s="119" t="s">
        <v>33</v>
      </c>
      <c r="E99" s="119" t="s">
        <v>33</v>
      </c>
      <c r="F99" s="121">
        <v>25.2</v>
      </c>
      <c r="G99" s="119" t="s">
        <v>33</v>
      </c>
      <c r="H99" s="119" t="s">
        <v>33</v>
      </c>
      <c r="I99" s="119" t="s">
        <v>33</v>
      </c>
      <c r="J99" s="121">
        <v>29.3</v>
      </c>
    </row>
    <row r="100" spans="3:25">
      <c r="C100" s="123" t="s">
        <v>37</v>
      </c>
      <c r="D100" s="122" t="s">
        <v>33</v>
      </c>
      <c r="E100" s="122" t="s">
        <v>33</v>
      </c>
      <c r="F100" s="124">
        <v>25.3</v>
      </c>
      <c r="G100" s="122" t="s">
        <v>33</v>
      </c>
      <c r="H100" s="122" t="s">
        <v>33</v>
      </c>
      <c r="I100" s="122" t="s">
        <v>33</v>
      </c>
      <c r="J100" s="124">
        <v>24.7</v>
      </c>
    </row>
    <row r="102" spans="3:25">
      <c r="D102" s="126" t="s">
        <v>38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33</v>
      </c>
      <c r="G103" s="125" t="s">
        <v>33</v>
      </c>
      <c r="H103" s="307">
        <v>2009</v>
      </c>
      <c r="I103" s="306"/>
    </row>
    <row r="104" spans="3:25">
      <c r="C104" s="128" t="s">
        <v>32</v>
      </c>
      <c r="D104" s="127" t="s">
        <v>33</v>
      </c>
      <c r="E104" s="127" t="s">
        <v>33</v>
      </c>
      <c r="F104" s="129">
        <v>25</v>
      </c>
      <c r="G104" s="127" t="s">
        <v>33</v>
      </c>
      <c r="H104" s="127" t="s">
        <v>33</v>
      </c>
      <c r="I104" s="127" t="s">
        <v>33</v>
      </c>
      <c r="J104" s="129">
        <v>26.1</v>
      </c>
    </row>
    <row r="105" spans="3:25">
      <c r="C105" s="131" t="s">
        <v>45</v>
      </c>
      <c r="D105" s="130" t="s">
        <v>33</v>
      </c>
      <c r="E105" s="130" t="s">
        <v>33</v>
      </c>
      <c r="F105" s="132">
        <v>27.3</v>
      </c>
      <c r="G105" s="130" t="s">
        <v>33</v>
      </c>
      <c r="H105" s="130" t="s">
        <v>33</v>
      </c>
      <c r="I105" s="130" t="s">
        <v>33</v>
      </c>
      <c r="J105" s="132">
        <v>23.7</v>
      </c>
    </row>
    <row r="107" spans="3:25">
      <c r="D107" s="134" t="s">
        <v>39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33</v>
      </c>
      <c r="G108" s="133" t="s">
        <v>33</v>
      </c>
      <c r="H108" s="309">
        <v>2009</v>
      </c>
      <c r="I108" s="308"/>
    </row>
    <row r="109" spans="3:25">
      <c r="C109" s="136" t="s">
        <v>32</v>
      </c>
      <c r="D109" s="135" t="s">
        <v>33</v>
      </c>
      <c r="E109" s="135" t="s">
        <v>33</v>
      </c>
      <c r="F109" s="137">
        <v>24.4</v>
      </c>
      <c r="G109" s="135" t="s">
        <v>33</v>
      </c>
      <c r="H109" s="135" t="s">
        <v>33</v>
      </c>
      <c r="I109" s="135" t="s">
        <v>33</v>
      </c>
      <c r="J109" s="137">
        <v>27.9</v>
      </c>
    </row>
    <row r="110" spans="3:25">
      <c r="C110" s="139" t="s">
        <v>45</v>
      </c>
      <c r="D110" s="138" t="s">
        <v>33</v>
      </c>
      <c r="E110" s="138" t="s">
        <v>33</v>
      </c>
      <c r="F110" s="140">
        <v>26.9</v>
      </c>
      <c r="G110" s="138" t="s">
        <v>33</v>
      </c>
      <c r="H110" s="138" t="s">
        <v>33</v>
      </c>
      <c r="I110" s="138" t="s">
        <v>33</v>
      </c>
      <c r="J110" s="140">
        <v>21</v>
      </c>
    </row>
    <row r="112" spans="3:25">
      <c r="D112" s="310" t="s">
        <v>36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33</v>
      </c>
      <c r="G113" s="142" t="s">
        <v>33</v>
      </c>
      <c r="H113" s="312">
        <v>2007</v>
      </c>
      <c r="I113" s="313"/>
      <c r="J113" s="142" t="s">
        <v>33</v>
      </c>
      <c r="K113" s="142" t="s">
        <v>33</v>
      </c>
      <c r="L113" s="312">
        <v>2006</v>
      </c>
      <c r="M113" s="313"/>
      <c r="N113" s="142" t="s">
        <v>33</v>
      </c>
      <c r="O113" s="142" t="s">
        <v>33</v>
      </c>
      <c r="P113" s="312">
        <v>2005</v>
      </c>
      <c r="Q113" s="313"/>
      <c r="R113" s="142" t="s">
        <v>33</v>
      </c>
      <c r="S113" s="142" t="s">
        <v>33</v>
      </c>
      <c r="T113" s="312">
        <v>2004</v>
      </c>
      <c r="U113" s="313"/>
    </row>
    <row r="114" spans="3:23">
      <c r="C114" s="145" t="s">
        <v>46</v>
      </c>
      <c r="D114" s="144" t="s">
        <v>33</v>
      </c>
      <c r="E114" s="144" t="s">
        <v>33</v>
      </c>
      <c r="F114" s="146">
        <v>31</v>
      </c>
      <c r="G114" s="145" t="s">
        <v>47</v>
      </c>
      <c r="H114" s="144" t="s">
        <v>33</v>
      </c>
      <c r="I114" s="144" t="s">
        <v>33</v>
      </c>
      <c r="J114" s="146">
        <v>23.7</v>
      </c>
      <c r="K114" s="145" t="s">
        <v>47</v>
      </c>
      <c r="L114" s="144" t="s">
        <v>33</v>
      </c>
      <c r="M114" s="144" t="s">
        <v>33</v>
      </c>
      <c r="N114" s="146">
        <v>22.2</v>
      </c>
      <c r="O114" s="145" t="s">
        <v>47</v>
      </c>
      <c r="P114" s="144" t="s">
        <v>33</v>
      </c>
      <c r="Q114" s="144" t="s">
        <v>33</v>
      </c>
      <c r="R114" s="146">
        <v>22.3</v>
      </c>
      <c r="S114" s="145" t="s">
        <v>47</v>
      </c>
      <c r="T114" s="144" t="s">
        <v>33</v>
      </c>
      <c r="U114" s="144" t="s">
        <v>33</v>
      </c>
      <c r="V114" s="146">
        <v>21.8</v>
      </c>
      <c r="W114" s="145" t="s">
        <v>47</v>
      </c>
    </row>
    <row r="115" spans="3:23">
      <c r="C115" s="147" t="s">
        <v>48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35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33</v>
      </c>
      <c r="K118" s="151" t="s">
        <v>33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48</v>
      </c>
      <c r="D119" s="158" t="s">
        <v>33</v>
      </c>
      <c r="E119" s="316">
        <v>1475</v>
      </c>
      <c r="F119" s="317"/>
      <c r="G119" s="158" t="s">
        <v>33</v>
      </c>
      <c r="H119" s="158" t="s">
        <v>33</v>
      </c>
      <c r="I119" s="158" t="s">
        <v>33</v>
      </c>
      <c r="J119" s="160">
        <v>23.6</v>
      </c>
      <c r="K119" s="159" t="s">
        <v>47</v>
      </c>
      <c r="L119" s="158" t="s">
        <v>33</v>
      </c>
      <c r="M119" s="316">
        <v>1232</v>
      </c>
      <c r="N119" s="317"/>
      <c r="O119" s="158" t="s">
        <v>33</v>
      </c>
      <c r="P119" s="158" t="s">
        <v>33</v>
      </c>
      <c r="Q119" s="158" t="s">
        <v>33</v>
      </c>
      <c r="R119" s="160">
        <v>22.8</v>
      </c>
      <c r="S119" s="159" t="s">
        <v>47</v>
      </c>
    </row>
    <row r="120" spans="3:23">
      <c r="C120" s="155" t="s">
        <v>48</v>
      </c>
      <c r="D120" s="154" t="s">
        <v>33</v>
      </c>
      <c r="E120" s="318">
        <v>1546</v>
      </c>
      <c r="F120" s="319"/>
      <c r="G120" s="154" t="s">
        <v>33</v>
      </c>
      <c r="H120" s="154" t="s">
        <v>33</v>
      </c>
      <c r="I120" s="154" t="s">
        <v>33</v>
      </c>
      <c r="J120" s="156">
        <v>24.7</v>
      </c>
      <c r="K120" s="155" t="s">
        <v>47</v>
      </c>
      <c r="L120" s="154" t="s">
        <v>33</v>
      </c>
      <c r="M120" s="318">
        <v>1235</v>
      </c>
      <c r="N120" s="319"/>
      <c r="O120" s="154" t="s">
        <v>33</v>
      </c>
      <c r="P120" s="154" t="s">
        <v>33</v>
      </c>
      <c r="Q120" s="154" t="s">
        <v>33</v>
      </c>
      <c r="R120" s="156">
        <v>22.8</v>
      </c>
      <c r="S120" s="155" t="s">
        <v>47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52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33</v>
      </c>
      <c r="S122" s="172" t="s">
        <v>33</v>
      </c>
      <c r="T122" s="173" t="s">
        <v>33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33</v>
      </c>
      <c r="K123" s="172" t="s">
        <v>33</v>
      </c>
      <c r="L123" s="321">
        <v>2007</v>
      </c>
      <c r="M123" s="320"/>
      <c r="N123" s="320"/>
      <c r="O123" s="320"/>
      <c r="P123" s="320"/>
      <c r="Q123" s="320"/>
      <c r="R123" s="172" t="s">
        <v>33</v>
      </c>
      <c r="S123" s="172" t="s">
        <v>33</v>
      </c>
      <c r="T123" s="174" t="s">
        <v>50</v>
      </c>
      <c r="U123" s="320"/>
    </row>
    <row r="124" spans="3:23">
      <c r="D124" s="170" t="s">
        <v>50</v>
      </c>
      <c r="E124" s="322"/>
      <c r="F124" s="169" t="s">
        <v>33</v>
      </c>
      <c r="G124" s="169" t="s">
        <v>33</v>
      </c>
      <c r="H124" s="170" t="s">
        <v>51</v>
      </c>
      <c r="I124" s="322"/>
      <c r="J124" s="169" t="s">
        <v>33</v>
      </c>
      <c r="K124" s="169" t="s">
        <v>33</v>
      </c>
      <c r="L124" s="170" t="s">
        <v>50</v>
      </c>
      <c r="M124" s="322"/>
      <c r="N124" s="169" t="s">
        <v>33</v>
      </c>
      <c r="O124" s="169" t="s">
        <v>33</v>
      </c>
      <c r="P124" s="170" t="s">
        <v>51</v>
      </c>
      <c r="Q124" s="322"/>
      <c r="R124" s="169" t="s">
        <v>33</v>
      </c>
      <c r="S124" s="169" t="s">
        <v>33</v>
      </c>
      <c r="T124" s="170" t="s">
        <v>40</v>
      </c>
      <c r="U124" s="322"/>
    </row>
    <row r="125" spans="3:23">
      <c r="C125" s="166" t="s">
        <v>48</v>
      </c>
      <c r="D125" s="165" t="s">
        <v>33</v>
      </c>
      <c r="E125" s="323">
        <v>3360</v>
      </c>
      <c r="F125" s="324"/>
      <c r="G125" s="165" t="s">
        <v>33</v>
      </c>
      <c r="H125" s="165" t="s">
        <v>33</v>
      </c>
      <c r="I125" s="165" t="s">
        <v>33</v>
      </c>
      <c r="J125" s="168">
        <v>27.9</v>
      </c>
      <c r="K125" s="166" t="s">
        <v>47</v>
      </c>
      <c r="L125" s="165" t="s">
        <v>33</v>
      </c>
      <c r="M125" s="323">
        <v>2218</v>
      </c>
      <c r="N125" s="324"/>
      <c r="O125" s="165" t="s">
        <v>33</v>
      </c>
      <c r="P125" s="165" t="s">
        <v>33</v>
      </c>
      <c r="Q125" s="165" t="s">
        <v>33</v>
      </c>
      <c r="R125" s="168">
        <v>21.6</v>
      </c>
      <c r="S125" s="166" t="s">
        <v>47</v>
      </c>
      <c r="T125" s="165" t="s">
        <v>33</v>
      </c>
      <c r="U125" s="165" t="s">
        <v>33</v>
      </c>
      <c r="V125" s="167">
        <v>51</v>
      </c>
      <c r="W125" s="166" t="s">
        <v>49</v>
      </c>
    </row>
    <row r="126" spans="3:23">
      <c r="C126" s="162" t="s">
        <v>48</v>
      </c>
      <c r="D126" s="161" t="s">
        <v>33</v>
      </c>
      <c r="E126" s="325">
        <v>3177</v>
      </c>
      <c r="F126" s="326"/>
      <c r="G126" s="161" t="s">
        <v>33</v>
      </c>
      <c r="H126" s="161" t="s">
        <v>33</v>
      </c>
      <c r="I126" s="161" t="s">
        <v>33</v>
      </c>
      <c r="J126" s="164">
        <v>26.4</v>
      </c>
      <c r="K126" s="162" t="s">
        <v>47</v>
      </c>
      <c r="L126" s="161" t="s">
        <v>33</v>
      </c>
      <c r="M126" s="325">
        <v>2204</v>
      </c>
      <c r="N126" s="326"/>
      <c r="O126" s="161" t="s">
        <v>33</v>
      </c>
      <c r="P126" s="161" t="s">
        <v>33</v>
      </c>
      <c r="Q126" s="161" t="s">
        <v>33</v>
      </c>
      <c r="R126" s="164">
        <v>21.5</v>
      </c>
      <c r="S126" s="162" t="s">
        <v>47</v>
      </c>
      <c r="T126" s="161" t="s">
        <v>33</v>
      </c>
      <c r="U126" s="161" t="s">
        <v>33</v>
      </c>
      <c r="V126" s="163">
        <v>44</v>
      </c>
      <c r="W126" s="162" t="s">
        <v>49</v>
      </c>
    </row>
    <row r="128" spans="3:23">
      <c r="D128" s="176" t="s">
        <v>39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33</v>
      </c>
      <c r="K129" s="175" t="s">
        <v>33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50</v>
      </c>
      <c r="E130" s="327"/>
      <c r="F130" s="175" t="s">
        <v>33</v>
      </c>
      <c r="G130" s="175" t="s">
        <v>33</v>
      </c>
      <c r="H130" s="176" t="s">
        <v>51</v>
      </c>
      <c r="I130" s="327"/>
      <c r="J130" s="175" t="s">
        <v>33</v>
      </c>
      <c r="K130" s="175" t="s">
        <v>33</v>
      </c>
      <c r="L130" s="176" t="s">
        <v>50</v>
      </c>
      <c r="M130" s="327"/>
      <c r="N130" s="175" t="s">
        <v>33</v>
      </c>
      <c r="O130" s="175" t="s">
        <v>33</v>
      </c>
      <c r="P130" s="176" t="s">
        <v>51</v>
      </c>
      <c r="Q130" s="327"/>
    </row>
    <row r="131" spans="3:27">
      <c r="C131" s="178" t="s">
        <v>48</v>
      </c>
      <c r="D131" s="177" t="s">
        <v>33</v>
      </c>
      <c r="E131" s="329">
        <v>1752</v>
      </c>
      <c r="F131" s="330"/>
      <c r="G131" s="177" t="s">
        <v>33</v>
      </c>
      <c r="H131" s="177" t="s">
        <v>33</v>
      </c>
      <c r="I131" s="177" t="s">
        <v>33</v>
      </c>
      <c r="J131" s="179">
        <v>29.5</v>
      </c>
      <c r="K131" s="178" t="s">
        <v>47</v>
      </c>
      <c r="L131" s="177" t="s">
        <v>33</v>
      </c>
      <c r="M131" s="329">
        <v>1098</v>
      </c>
      <c r="N131" s="330"/>
      <c r="O131" s="177" t="s">
        <v>33</v>
      </c>
      <c r="P131" s="177" t="s">
        <v>33</v>
      </c>
      <c r="Q131" s="177" t="s">
        <v>33</v>
      </c>
      <c r="R131" s="179">
        <v>21.8</v>
      </c>
      <c r="S131" s="178" t="s">
        <v>47</v>
      </c>
    </row>
    <row r="132" spans="3:27">
      <c r="C132" s="181" t="s">
        <v>48</v>
      </c>
      <c r="D132" s="180" t="s">
        <v>33</v>
      </c>
      <c r="E132" s="331">
        <v>1719</v>
      </c>
      <c r="F132" s="332"/>
      <c r="G132" s="180" t="s">
        <v>33</v>
      </c>
      <c r="H132" s="180" t="s">
        <v>33</v>
      </c>
      <c r="I132" s="180" t="s">
        <v>33</v>
      </c>
      <c r="J132" s="182">
        <v>29</v>
      </c>
      <c r="K132" s="181" t="s">
        <v>47</v>
      </c>
      <c r="L132" s="180" t="s">
        <v>33</v>
      </c>
      <c r="M132" s="331">
        <v>1100</v>
      </c>
      <c r="N132" s="332"/>
      <c r="O132" s="180" t="s">
        <v>33</v>
      </c>
      <c r="P132" s="180" t="s">
        <v>33</v>
      </c>
      <c r="Q132" s="180" t="s">
        <v>33</v>
      </c>
      <c r="R132" s="182">
        <v>21.8</v>
      </c>
      <c r="S132" s="181" t="s">
        <v>47</v>
      </c>
    </row>
    <row r="135" spans="3:27">
      <c r="D135" s="333" t="s">
        <v>36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33</v>
      </c>
      <c r="K136" s="183" t="s">
        <v>33</v>
      </c>
      <c r="L136" s="335">
        <v>2006</v>
      </c>
      <c r="M136" s="336"/>
      <c r="N136" s="336"/>
      <c r="O136" s="336"/>
      <c r="P136" s="336"/>
      <c r="Q136" s="336"/>
      <c r="R136" s="183" t="s">
        <v>33</v>
      </c>
      <c r="S136" s="183" t="s">
        <v>33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33</v>
      </c>
      <c r="E137" s="185" t="s">
        <v>50</v>
      </c>
      <c r="F137" s="337"/>
      <c r="G137" s="184" t="s">
        <v>33</v>
      </c>
      <c r="H137" s="184" t="s">
        <v>33</v>
      </c>
      <c r="I137" s="185" t="s">
        <v>53</v>
      </c>
      <c r="J137" s="337"/>
      <c r="K137" s="184" t="s">
        <v>33</v>
      </c>
      <c r="L137" s="184" t="s">
        <v>33</v>
      </c>
      <c r="M137" s="185" t="s">
        <v>50</v>
      </c>
      <c r="N137" s="337"/>
      <c r="O137" s="184" t="s">
        <v>33</v>
      </c>
      <c r="P137" s="184" t="s">
        <v>33</v>
      </c>
      <c r="Q137" s="185" t="s">
        <v>53</v>
      </c>
      <c r="R137" s="337"/>
      <c r="S137" s="184" t="s">
        <v>33</v>
      </c>
      <c r="T137" s="184" t="s">
        <v>33</v>
      </c>
      <c r="U137" s="185" t="s">
        <v>50</v>
      </c>
      <c r="V137" s="337"/>
      <c r="W137" s="184" t="s">
        <v>33</v>
      </c>
      <c r="X137" s="184" t="s">
        <v>33</v>
      </c>
      <c r="Y137" s="185" t="s">
        <v>53</v>
      </c>
      <c r="Z137" s="337"/>
    </row>
    <row r="138" spans="3:27">
      <c r="C138" s="190" t="s">
        <v>48</v>
      </c>
      <c r="D138" s="189" t="s">
        <v>33</v>
      </c>
      <c r="E138" s="338">
        <v>5071</v>
      </c>
      <c r="F138" s="339"/>
      <c r="G138" s="189" t="s">
        <v>33</v>
      </c>
      <c r="H138" s="189" t="s">
        <v>33</v>
      </c>
      <c r="I138" s="189" t="s">
        <v>33</v>
      </c>
      <c r="J138" s="191">
        <v>23.7</v>
      </c>
      <c r="K138" s="190" t="s">
        <v>47</v>
      </c>
      <c r="L138" s="189" t="s">
        <v>33</v>
      </c>
      <c r="M138" s="338">
        <v>4250</v>
      </c>
      <c r="N138" s="339"/>
      <c r="O138" s="189" t="s">
        <v>33</v>
      </c>
      <c r="P138" s="189" t="s">
        <v>33</v>
      </c>
      <c r="Q138" s="189" t="s">
        <v>33</v>
      </c>
      <c r="R138" s="191">
        <v>22.2</v>
      </c>
      <c r="S138" s="190" t="s">
        <v>47</v>
      </c>
      <c r="T138" s="189" t="s">
        <v>33</v>
      </c>
      <c r="U138" s="338">
        <v>4006</v>
      </c>
      <c r="V138" s="339"/>
      <c r="W138" s="189" t="s">
        <v>33</v>
      </c>
      <c r="X138" s="189" t="s">
        <v>33</v>
      </c>
      <c r="Y138" s="189" t="s">
        <v>33</v>
      </c>
      <c r="Z138" s="191">
        <v>22.3</v>
      </c>
      <c r="AA138" s="190" t="s">
        <v>47</v>
      </c>
    </row>
    <row r="139" spans="3:27">
      <c r="C139" s="187" t="s">
        <v>48</v>
      </c>
      <c r="D139" s="186" t="s">
        <v>33</v>
      </c>
      <c r="E139" s="340">
        <v>5063</v>
      </c>
      <c r="F139" s="341"/>
      <c r="G139" s="186" t="s">
        <v>33</v>
      </c>
      <c r="H139" s="186" t="s">
        <v>33</v>
      </c>
      <c r="I139" s="186" t="s">
        <v>33</v>
      </c>
      <c r="J139" s="188">
        <v>23.7</v>
      </c>
      <c r="K139" s="187" t="s">
        <v>47</v>
      </c>
      <c r="L139" s="186" t="s">
        <v>33</v>
      </c>
      <c r="M139" s="340">
        <v>4288</v>
      </c>
      <c r="N139" s="341"/>
      <c r="O139" s="186" t="s">
        <v>33</v>
      </c>
      <c r="P139" s="186" t="s">
        <v>33</v>
      </c>
      <c r="Q139" s="186" t="s">
        <v>33</v>
      </c>
      <c r="R139" s="188">
        <v>22.4</v>
      </c>
      <c r="S139" s="187" t="s">
        <v>47</v>
      </c>
      <c r="T139" s="186" t="s">
        <v>33</v>
      </c>
      <c r="U139" s="340">
        <v>4055</v>
      </c>
      <c r="V139" s="341"/>
      <c r="W139" s="186" t="s">
        <v>33</v>
      </c>
      <c r="X139" s="186" t="s">
        <v>33</v>
      </c>
      <c r="Y139" s="186" t="s">
        <v>33</v>
      </c>
      <c r="Z139" s="188">
        <v>22.6</v>
      </c>
      <c r="AA139" s="187" t="s">
        <v>47</v>
      </c>
    </row>
    <row r="141" spans="3:27">
      <c r="D141" s="195" t="s">
        <v>35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33</v>
      </c>
      <c r="K142" s="193" t="s">
        <v>33</v>
      </c>
      <c r="L142" s="343">
        <v>2006</v>
      </c>
      <c r="M142" s="342"/>
      <c r="N142" s="342"/>
      <c r="O142" s="342"/>
      <c r="P142" s="342"/>
      <c r="Q142" s="342"/>
      <c r="R142" s="193" t="s">
        <v>33</v>
      </c>
      <c r="S142" s="193" t="s">
        <v>33</v>
      </c>
      <c r="T142" s="194" t="s">
        <v>33</v>
      </c>
      <c r="U142" s="192"/>
    </row>
    <row r="143" spans="3:27">
      <c r="D143" s="197" t="s">
        <v>50</v>
      </c>
      <c r="E143" s="344"/>
      <c r="F143" s="196" t="s">
        <v>33</v>
      </c>
      <c r="G143" s="196" t="s">
        <v>33</v>
      </c>
      <c r="H143" s="197" t="s">
        <v>51</v>
      </c>
      <c r="I143" s="344"/>
      <c r="J143" s="196" t="s">
        <v>33</v>
      </c>
      <c r="K143" s="196" t="s">
        <v>33</v>
      </c>
      <c r="L143" s="197" t="s">
        <v>50</v>
      </c>
      <c r="M143" s="344"/>
      <c r="N143" s="196" t="s">
        <v>33</v>
      </c>
      <c r="O143" s="196" t="s">
        <v>33</v>
      </c>
      <c r="P143" s="197" t="s">
        <v>51</v>
      </c>
      <c r="Q143" s="344"/>
      <c r="R143" s="196" t="s">
        <v>33</v>
      </c>
      <c r="S143" s="196" t="s">
        <v>33</v>
      </c>
      <c r="T143" s="197" t="s">
        <v>40</v>
      </c>
      <c r="U143" s="344"/>
    </row>
    <row r="144" spans="3:27">
      <c r="C144" s="203" t="s">
        <v>48</v>
      </c>
      <c r="D144" s="202" t="s">
        <v>33</v>
      </c>
      <c r="E144" s="345">
        <v>3450</v>
      </c>
      <c r="F144" s="346"/>
      <c r="G144" s="202" t="s">
        <v>33</v>
      </c>
      <c r="H144" s="202" t="s">
        <v>33</v>
      </c>
      <c r="I144" s="202" t="s">
        <v>33</v>
      </c>
      <c r="J144" s="205">
        <v>22</v>
      </c>
      <c r="K144" s="203" t="s">
        <v>47</v>
      </c>
      <c r="L144" s="202" t="s">
        <v>33</v>
      </c>
      <c r="M144" s="345">
        <v>2968</v>
      </c>
      <c r="N144" s="346"/>
      <c r="O144" s="202" t="s">
        <v>33</v>
      </c>
      <c r="P144" s="202" t="s">
        <v>33</v>
      </c>
      <c r="Q144" s="202" t="s">
        <v>33</v>
      </c>
      <c r="R144" s="205">
        <v>20.9</v>
      </c>
      <c r="S144" s="203" t="s">
        <v>47</v>
      </c>
      <c r="T144" s="202" t="s">
        <v>33</v>
      </c>
      <c r="U144" s="202" t="s">
        <v>33</v>
      </c>
      <c r="V144" s="204">
        <v>16</v>
      </c>
      <c r="W144" s="203" t="s">
        <v>49</v>
      </c>
    </row>
    <row r="145" spans="3:27">
      <c r="C145" s="199" t="s">
        <v>48</v>
      </c>
      <c r="D145" s="198" t="s">
        <v>33</v>
      </c>
      <c r="E145" s="347">
        <v>3439</v>
      </c>
      <c r="F145" s="348"/>
      <c r="G145" s="198" t="s">
        <v>33</v>
      </c>
      <c r="H145" s="198" t="s">
        <v>33</v>
      </c>
      <c r="I145" s="198" t="s">
        <v>33</v>
      </c>
      <c r="J145" s="201">
        <v>21.9</v>
      </c>
      <c r="K145" s="199" t="s">
        <v>47</v>
      </c>
      <c r="L145" s="198" t="s">
        <v>33</v>
      </c>
      <c r="M145" s="347">
        <v>2978</v>
      </c>
      <c r="N145" s="348"/>
      <c r="O145" s="198" t="s">
        <v>33</v>
      </c>
      <c r="P145" s="198" t="s">
        <v>33</v>
      </c>
      <c r="Q145" s="198" t="s">
        <v>33</v>
      </c>
      <c r="R145" s="201">
        <v>21</v>
      </c>
      <c r="S145" s="199" t="s">
        <v>47</v>
      </c>
      <c r="T145" s="198" t="s">
        <v>33</v>
      </c>
      <c r="U145" s="198" t="s">
        <v>33</v>
      </c>
      <c r="V145" s="200">
        <v>15</v>
      </c>
      <c r="W145" s="199" t="s">
        <v>49</v>
      </c>
    </row>
    <row r="147" spans="3:27">
      <c r="D147" s="349" t="s">
        <v>36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33</v>
      </c>
      <c r="K148" s="206" t="s">
        <v>33</v>
      </c>
      <c r="L148" s="351">
        <v>2004</v>
      </c>
      <c r="M148" s="352"/>
      <c r="N148" s="352"/>
      <c r="O148" s="352"/>
      <c r="P148" s="352"/>
      <c r="Q148" s="352"/>
      <c r="R148" s="206" t="s">
        <v>33</v>
      </c>
      <c r="S148" s="206" t="s">
        <v>33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50</v>
      </c>
      <c r="E149" s="353"/>
      <c r="F149" s="207" t="s">
        <v>33</v>
      </c>
      <c r="G149" s="207" t="s">
        <v>33</v>
      </c>
      <c r="H149" s="208" t="s">
        <v>53</v>
      </c>
      <c r="I149" s="353"/>
      <c r="J149" s="207" t="s">
        <v>33</v>
      </c>
      <c r="K149" s="207" t="s">
        <v>33</v>
      </c>
      <c r="L149" s="208" t="s">
        <v>50</v>
      </c>
      <c r="M149" s="353"/>
      <c r="N149" s="207" t="s">
        <v>33</v>
      </c>
      <c r="O149" s="207" t="s">
        <v>33</v>
      </c>
      <c r="P149" s="208" t="s">
        <v>53</v>
      </c>
      <c r="Q149" s="353"/>
      <c r="R149" s="207" t="s">
        <v>33</v>
      </c>
      <c r="S149" s="207" t="s">
        <v>33</v>
      </c>
      <c r="T149" s="208" t="s">
        <v>50</v>
      </c>
      <c r="U149" s="353"/>
      <c r="V149" s="207" t="s">
        <v>33</v>
      </c>
      <c r="W149" s="207" t="s">
        <v>33</v>
      </c>
      <c r="X149" s="208" t="s">
        <v>53</v>
      </c>
      <c r="Y149" s="353"/>
    </row>
    <row r="150" spans="3:27">
      <c r="C150" s="213" t="s">
        <v>54</v>
      </c>
      <c r="D150" s="212" t="s">
        <v>33</v>
      </c>
      <c r="E150" s="354">
        <v>3779</v>
      </c>
      <c r="F150" s="355"/>
      <c r="G150" s="212" t="s">
        <v>33</v>
      </c>
      <c r="H150" s="212" t="s">
        <v>33</v>
      </c>
      <c r="I150" s="212" t="s">
        <v>33</v>
      </c>
      <c r="J150" s="214">
        <v>21</v>
      </c>
      <c r="K150" s="213" t="s">
        <v>47</v>
      </c>
      <c r="L150" s="212" t="s">
        <v>33</v>
      </c>
      <c r="M150" s="354">
        <v>3604</v>
      </c>
      <c r="N150" s="355"/>
      <c r="O150" s="212" t="s">
        <v>33</v>
      </c>
      <c r="P150" s="212" t="s">
        <v>33</v>
      </c>
      <c r="Q150" s="212" t="s">
        <v>33</v>
      </c>
      <c r="R150" s="214">
        <v>20.8</v>
      </c>
      <c r="S150" s="213" t="s">
        <v>47</v>
      </c>
      <c r="T150" s="212" t="s">
        <v>33</v>
      </c>
      <c r="U150" s="354">
        <v>3281</v>
      </c>
      <c r="V150" s="355"/>
      <c r="W150" s="212" t="s">
        <v>33</v>
      </c>
      <c r="X150" s="212" t="s">
        <v>33</v>
      </c>
      <c r="Y150" s="212" t="s">
        <v>33</v>
      </c>
      <c r="Z150" s="214">
        <v>21</v>
      </c>
      <c r="AA150" s="213" t="s">
        <v>47</v>
      </c>
    </row>
    <row r="151" spans="3:27">
      <c r="C151" s="210" t="s">
        <v>54</v>
      </c>
      <c r="D151" s="209" t="s">
        <v>33</v>
      </c>
      <c r="E151" s="356">
        <v>3828</v>
      </c>
      <c r="F151" s="357"/>
      <c r="G151" s="209" t="s">
        <v>33</v>
      </c>
      <c r="H151" s="209" t="s">
        <v>33</v>
      </c>
      <c r="I151" s="209" t="s">
        <v>33</v>
      </c>
      <c r="J151" s="211">
        <v>21.3</v>
      </c>
      <c r="K151" s="210" t="s">
        <v>47</v>
      </c>
      <c r="L151" s="209" t="s">
        <v>33</v>
      </c>
      <c r="M151" s="356">
        <v>3640</v>
      </c>
      <c r="N151" s="357"/>
      <c r="O151" s="209" t="s">
        <v>33</v>
      </c>
      <c r="P151" s="209" t="s">
        <v>33</v>
      </c>
      <c r="Q151" s="209" t="s">
        <v>33</v>
      </c>
      <c r="R151" s="211">
        <v>21</v>
      </c>
      <c r="S151" s="210" t="s">
        <v>47</v>
      </c>
      <c r="T151" s="209" t="s">
        <v>33</v>
      </c>
      <c r="U151" s="356">
        <v>3474</v>
      </c>
      <c r="V151" s="357"/>
      <c r="W151" s="209" t="s">
        <v>33</v>
      </c>
      <c r="X151" s="209" t="s">
        <v>33</v>
      </c>
      <c r="Y151" s="209" t="s">
        <v>33</v>
      </c>
      <c r="Z151" s="211">
        <v>22.2</v>
      </c>
      <c r="AA151" s="210" t="s">
        <v>47</v>
      </c>
    </row>
    <row r="153" spans="3:27">
      <c r="D153" s="358" t="s">
        <v>36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33</v>
      </c>
      <c r="K154" s="215" t="s">
        <v>33</v>
      </c>
      <c r="L154" s="360">
        <v>2003</v>
      </c>
      <c r="M154" s="361"/>
      <c r="N154" s="361"/>
      <c r="O154" s="361"/>
      <c r="P154" s="361"/>
      <c r="Q154" s="361"/>
      <c r="R154" s="215" t="s">
        <v>33</v>
      </c>
      <c r="S154" s="215" t="s">
        <v>33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54</v>
      </c>
      <c r="D155" s="219" t="s">
        <v>33</v>
      </c>
      <c r="E155" s="362">
        <v>3604</v>
      </c>
      <c r="F155" s="363"/>
      <c r="G155" s="219" t="s">
        <v>33</v>
      </c>
      <c r="H155" s="219" t="s">
        <v>33</v>
      </c>
      <c r="I155" s="219" t="s">
        <v>33</v>
      </c>
      <c r="J155" s="221">
        <v>20.8</v>
      </c>
      <c r="K155" s="220" t="s">
        <v>47</v>
      </c>
      <c r="L155" s="219" t="s">
        <v>33</v>
      </c>
      <c r="M155" s="362">
        <v>3281</v>
      </c>
      <c r="N155" s="363"/>
      <c r="O155" s="219" t="s">
        <v>33</v>
      </c>
      <c r="P155" s="219" t="s">
        <v>33</v>
      </c>
      <c r="Q155" s="219" t="s">
        <v>33</v>
      </c>
      <c r="R155" s="221">
        <v>21</v>
      </c>
      <c r="S155" s="220" t="s">
        <v>47</v>
      </c>
      <c r="T155" s="219" t="s">
        <v>33</v>
      </c>
      <c r="U155" s="362">
        <v>2516</v>
      </c>
      <c r="V155" s="363"/>
      <c r="W155" s="219" t="s">
        <v>33</v>
      </c>
      <c r="X155" s="219" t="s">
        <v>33</v>
      </c>
      <c r="Y155" s="219" t="s">
        <v>33</v>
      </c>
      <c r="Z155" s="221">
        <v>19.3</v>
      </c>
      <c r="AA155" s="220" t="s">
        <v>47</v>
      </c>
    </row>
    <row r="156" spans="3:27">
      <c r="C156" s="217" t="s">
        <v>55</v>
      </c>
      <c r="D156" s="216" t="s">
        <v>33</v>
      </c>
      <c r="E156" s="364">
        <v>3640</v>
      </c>
      <c r="F156" s="365"/>
      <c r="G156" s="216" t="s">
        <v>33</v>
      </c>
      <c r="H156" s="216" t="s">
        <v>33</v>
      </c>
      <c r="I156" s="216" t="s">
        <v>33</v>
      </c>
      <c r="J156" s="218">
        <v>21</v>
      </c>
      <c r="K156" s="217" t="s">
        <v>47</v>
      </c>
      <c r="L156" s="216" t="s">
        <v>33</v>
      </c>
      <c r="M156" s="364">
        <v>3474</v>
      </c>
      <c r="N156" s="365"/>
      <c r="O156" s="216" t="s">
        <v>33</v>
      </c>
      <c r="P156" s="216" t="s">
        <v>33</v>
      </c>
      <c r="Q156" s="216" t="s">
        <v>33</v>
      </c>
      <c r="R156" s="218">
        <v>22.2</v>
      </c>
      <c r="S156" s="217" t="s">
        <v>47</v>
      </c>
      <c r="T156" s="216" t="s">
        <v>33</v>
      </c>
      <c r="U156" s="364">
        <v>2808</v>
      </c>
      <c r="V156" s="365"/>
      <c r="W156" s="216" t="s">
        <v>33</v>
      </c>
      <c r="X156" s="216" t="s">
        <v>33</v>
      </c>
      <c r="Y156" s="216" t="s">
        <v>33</v>
      </c>
      <c r="Z156" s="218">
        <v>21.5</v>
      </c>
      <c r="AA156" s="217" t="s">
        <v>47</v>
      </c>
    </row>
    <row r="158" spans="3:27">
      <c r="D158" s="366" t="s">
        <v>56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57</v>
      </c>
      <c r="D159" s="222" t="s">
        <v>33</v>
      </c>
      <c r="E159" s="368">
        <v>2002</v>
      </c>
      <c r="F159" s="369"/>
      <c r="G159" s="369"/>
      <c r="H159" s="222" t="s">
        <v>33</v>
      </c>
      <c r="I159" s="368">
        <v>2001</v>
      </c>
      <c r="J159" s="369"/>
      <c r="K159" s="369"/>
      <c r="L159" s="222" t="s">
        <v>33</v>
      </c>
      <c r="M159" s="368">
        <v>2000</v>
      </c>
      <c r="N159" s="369"/>
      <c r="O159" s="369"/>
      <c r="P159" s="222" t="s">
        <v>33</v>
      </c>
      <c r="Q159" s="368">
        <v>1999</v>
      </c>
      <c r="R159" s="369"/>
      <c r="S159" s="369"/>
      <c r="T159" s="222" t="s">
        <v>33</v>
      </c>
      <c r="U159" s="368">
        <v>1998</v>
      </c>
      <c r="V159" s="369"/>
      <c r="W159" s="369"/>
    </row>
    <row r="160" spans="3:27">
      <c r="C160" s="224" t="s">
        <v>58</v>
      </c>
      <c r="D160" s="222" t="s">
        <v>33</v>
      </c>
      <c r="E160" s="222" t="s">
        <v>33</v>
      </c>
      <c r="F160" s="225">
        <v>0.191</v>
      </c>
      <c r="G160" s="224" t="s">
        <v>49</v>
      </c>
      <c r="H160" s="222" t="s">
        <v>33</v>
      </c>
      <c r="I160" s="222" t="s">
        <v>33</v>
      </c>
      <c r="J160" s="225">
        <v>0.19</v>
      </c>
      <c r="K160" s="224" t="s">
        <v>49</v>
      </c>
      <c r="L160" s="222" t="s">
        <v>33</v>
      </c>
      <c r="M160" s="222" t="s">
        <v>33</v>
      </c>
      <c r="N160" s="225">
        <v>0.19500000000000001</v>
      </c>
      <c r="O160" s="224" t="s">
        <v>49</v>
      </c>
      <c r="P160" s="222" t="s">
        <v>33</v>
      </c>
      <c r="Q160" s="222" t="s">
        <v>33</v>
      </c>
      <c r="R160" s="225">
        <v>0.193</v>
      </c>
      <c r="S160" s="224" t="s">
        <v>49</v>
      </c>
      <c r="T160" s="222" t="s">
        <v>33</v>
      </c>
      <c r="U160" s="222" t="s">
        <v>33</v>
      </c>
      <c r="V160" s="225">
        <v>0.20200000000000001</v>
      </c>
      <c r="W160" s="22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Report Page 2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2015-03-31T12:39:41Z</cp:lastPrinted>
  <dcterms:created xsi:type="dcterms:W3CDTF">2013-04-04T19:42:48Z</dcterms:created>
  <dcterms:modified xsi:type="dcterms:W3CDTF">2015-03-31T13:23:17Z</dcterms:modified>
</cp:coreProperties>
</file>