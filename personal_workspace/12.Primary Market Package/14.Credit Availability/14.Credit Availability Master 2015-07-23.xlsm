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Report (2)" sheetId="14" r:id="rId2"/>
    <sheet name="Time Series Query" sheetId="5" state="hidden" r:id="rId3"/>
  </sheets>
  <functionGroups builtInGroupCount="17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Report!$B$7:$T$64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Query'!$S$4:$T$150</definedName>
    <definedName name="Query_from_Agency_11" localSheetId="2" hidden="1">'Time Series Query'!$W$4:$X$150</definedName>
    <definedName name="Query_from_Agency_12" localSheetId="2" hidden="1">'Time Series Query'!$AA$4:$AB$150</definedName>
    <definedName name="Query_from_Agency_13" localSheetId="2" hidden="1">'Time Series Query'!$AE$4:$AF$150</definedName>
    <definedName name="Query_from_Agency_2" localSheetId="2" hidden="1">'Time Series Query'!#REF!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Query'!$A$4:$B$150</definedName>
    <definedName name="Query_from_Agency_7" localSheetId="2" hidden="1">'Time Series Query'!$G$4:$H$150</definedName>
    <definedName name="Query_from_Agency_8" localSheetId="2" hidden="1">'Time Series Query'!$K$4:$L$150</definedName>
    <definedName name="Query_from_Agency_9" localSheetId="2" hidden="1">'Time Series Query'!$O$4:$P$150</definedName>
    <definedName name="SaveRatesToDB" localSheetId="1">'Report (2)'!$V$1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AG5" i="5" l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H5" i="5"/>
  <c r="AH6" i="5"/>
  <c r="AI5" i="5" s="1"/>
  <c r="AH7" i="5"/>
  <c r="AH8" i="5"/>
  <c r="AH9" i="5"/>
  <c r="AH10" i="5"/>
  <c r="AH11" i="5"/>
  <c r="AI10" i="5" s="1"/>
  <c r="AH12" i="5"/>
  <c r="AH13" i="5"/>
  <c r="AH14" i="5"/>
  <c r="AI13" i="5" s="1"/>
  <c r="AH15" i="5"/>
  <c r="AH16" i="5"/>
  <c r="AH17" i="5"/>
  <c r="AH18" i="5"/>
  <c r="AH19" i="5"/>
  <c r="AI18" i="5" s="1"/>
  <c r="AH20" i="5"/>
  <c r="AH21" i="5"/>
  <c r="AH22" i="5"/>
  <c r="AI21" i="5" s="1"/>
  <c r="AH23" i="5"/>
  <c r="AH24" i="5"/>
  <c r="AH25" i="5"/>
  <c r="AH26" i="5"/>
  <c r="AH27" i="5"/>
  <c r="AI26" i="5" s="1"/>
  <c r="AH28" i="5"/>
  <c r="AH29" i="5"/>
  <c r="AH30" i="5"/>
  <c r="AI29" i="5" s="1"/>
  <c r="AH31" i="5"/>
  <c r="AH32" i="5"/>
  <c r="AH33" i="5"/>
  <c r="AH34" i="5"/>
  <c r="AH35" i="5"/>
  <c r="AI34" i="5" s="1"/>
  <c r="AH36" i="5"/>
  <c r="AH37" i="5"/>
  <c r="AH38" i="5"/>
  <c r="AI37" i="5" s="1"/>
  <c r="AH39" i="5"/>
  <c r="AH40" i="5"/>
  <c r="AH41" i="5"/>
  <c r="AH42" i="5"/>
  <c r="AH43" i="5"/>
  <c r="AI42" i="5" s="1"/>
  <c r="AH44" i="5"/>
  <c r="AH45" i="5"/>
  <c r="AH46" i="5"/>
  <c r="AI45" i="5" s="1"/>
  <c r="AH47" i="5"/>
  <c r="AH48" i="5"/>
  <c r="AH49" i="5"/>
  <c r="AH50" i="5"/>
  <c r="AH51" i="5"/>
  <c r="AI50" i="5" s="1"/>
  <c r="AH52" i="5"/>
  <c r="AH53" i="5"/>
  <c r="AH54" i="5"/>
  <c r="AI53" i="5" s="1"/>
  <c r="AH55" i="5"/>
  <c r="AH56" i="5"/>
  <c r="AH57" i="5"/>
  <c r="AH58" i="5"/>
  <c r="AH59" i="5"/>
  <c r="AI58" i="5" s="1"/>
  <c r="AH60" i="5"/>
  <c r="AH61" i="5"/>
  <c r="AH62" i="5"/>
  <c r="AI61" i="5" s="1"/>
  <c r="AH63" i="5"/>
  <c r="AH64" i="5"/>
  <c r="AH65" i="5"/>
  <c r="AH66" i="5"/>
  <c r="AH67" i="5"/>
  <c r="AI66" i="5" s="1"/>
  <c r="AH68" i="5"/>
  <c r="AH69" i="5"/>
  <c r="AH70" i="5"/>
  <c r="AI69" i="5" s="1"/>
  <c r="AH71" i="5"/>
  <c r="AH72" i="5"/>
  <c r="AH73" i="5"/>
  <c r="AH74" i="5"/>
  <c r="AH75" i="5"/>
  <c r="AI74" i="5" s="1"/>
  <c r="AH76" i="5"/>
  <c r="AH77" i="5"/>
  <c r="AH78" i="5"/>
  <c r="AI77" i="5" s="1"/>
  <c r="AH79" i="5"/>
  <c r="AH80" i="5"/>
  <c r="AH81" i="5"/>
  <c r="AH82" i="5"/>
  <c r="AH83" i="5"/>
  <c r="AI82" i="5" s="1"/>
  <c r="AH84" i="5"/>
  <c r="AH85" i="5"/>
  <c r="AH86" i="5"/>
  <c r="AI85" i="5" s="1"/>
  <c r="AH87" i="5"/>
  <c r="AH88" i="5"/>
  <c r="AH89" i="5"/>
  <c r="AH90" i="5"/>
  <c r="AH91" i="5"/>
  <c r="AI90" i="5" s="1"/>
  <c r="AH92" i="5"/>
  <c r="AH93" i="5"/>
  <c r="AH94" i="5"/>
  <c r="AI93" i="5" s="1"/>
  <c r="AH95" i="5"/>
  <c r="AH96" i="5"/>
  <c r="AH97" i="5"/>
  <c r="AH98" i="5"/>
  <c r="AH99" i="5"/>
  <c r="AI98" i="5" s="1"/>
  <c r="AH100" i="5"/>
  <c r="AH101" i="5"/>
  <c r="AH102" i="5"/>
  <c r="AI101" i="5" s="1"/>
  <c r="AH103" i="5"/>
  <c r="AH104" i="5"/>
  <c r="AH105" i="5"/>
  <c r="AH106" i="5"/>
  <c r="AH107" i="5"/>
  <c r="AI106" i="5" s="1"/>
  <c r="AH108" i="5"/>
  <c r="AH109" i="5"/>
  <c r="AH110" i="5"/>
  <c r="AI109" i="5" s="1"/>
  <c r="AH111" i="5"/>
  <c r="AH112" i="5"/>
  <c r="AH113" i="5"/>
  <c r="AH114" i="5"/>
  <c r="AH115" i="5"/>
  <c r="AI114" i="5" s="1"/>
  <c r="AH116" i="5"/>
  <c r="AH117" i="5"/>
  <c r="AH118" i="5"/>
  <c r="AI117" i="5" s="1"/>
  <c r="AH119" i="5"/>
  <c r="AH120" i="5"/>
  <c r="AH121" i="5"/>
  <c r="AH122" i="5"/>
  <c r="AH123" i="5"/>
  <c r="AI122" i="5" s="1"/>
  <c r="AH124" i="5"/>
  <c r="AH125" i="5"/>
  <c r="AH126" i="5"/>
  <c r="AI125" i="5" s="1"/>
  <c r="AH127" i="5"/>
  <c r="AH128" i="5"/>
  <c r="AH129" i="5"/>
  <c r="AH130" i="5"/>
  <c r="AH131" i="5"/>
  <c r="AI130" i="5" s="1"/>
  <c r="AH132" i="5"/>
  <c r="AH133" i="5"/>
  <c r="AH134" i="5"/>
  <c r="AI133" i="5" s="1"/>
  <c r="AH135" i="5"/>
  <c r="AH136" i="5"/>
  <c r="AH137" i="5"/>
  <c r="AH138" i="5"/>
  <c r="AH139" i="5"/>
  <c r="AI138" i="5" s="1"/>
  <c r="AH140" i="5"/>
  <c r="AH141" i="5"/>
  <c r="AH142" i="5"/>
  <c r="AI141" i="5" s="1"/>
  <c r="AH143" i="5"/>
  <c r="AH144" i="5"/>
  <c r="AH145" i="5"/>
  <c r="AH146" i="5"/>
  <c r="AH147" i="5"/>
  <c r="AI146" i="5" s="1"/>
  <c r="AH148" i="5"/>
  <c r="AH149" i="5"/>
  <c r="AH150" i="5"/>
  <c r="AI149" i="5" s="1"/>
  <c r="AI7" i="5"/>
  <c r="AI8" i="5"/>
  <c r="AI9" i="5"/>
  <c r="AI12" i="5"/>
  <c r="AI15" i="5"/>
  <c r="AI16" i="5"/>
  <c r="AI17" i="5"/>
  <c r="AI20" i="5"/>
  <c r="AI23" i="5"/>
  <c r="AI24" i="5"/>
  <c r="AI25" i="5"/>
  <c r="AI28" i="5"/>
  <c r="AI31" i="5"/>
  <c r="AI32" i="5"/>
  <c r="AI33" i="5"/>
  <c r="AI36" i="5"/>
  <c r="AI39" i="5"/>
  <c r="AI40" i="5"/>
  <c r="AI41" i="5"/>
  <c r="AI44" i="5"/>
  <c r="AI47" i="5"/>
  <c r="AI48" i="5"/>
  <c r="AI49" i="5"/>
  <c r="AI52" i="5"/>
  <c r="AI55" i="5"/>
  <c r="AI56" i="5"/>
  <c r="AI57" i="5"/>
  <c r="AI60" i="5"/>
  <c r="AI63" i="5"/>
  <c r="AI64" i="5"/>
  <c r="AI65" i="5"/>
  <c r="AI68" i="5"/>
  <c r="AI71" i="5"/>
  <c r="AI72" i="5"/>
  <c r="AI73" i="5"/>
  <c r="AI76" i="5"/>
  <c r="AI79" i="5"/>
  <c r="AI80" i="5"/>
  <c r="AI81" i="5"/>
  <c r="AI84" i="5"/>
  <c r="AI87" i="5"/>
  <c r="AI88" i="5"/>
  <c r="AI89" i="5"/>
  <c r="AI92" i="5"/>
  <c r="AI95" i="5"/>
  <c r="AI96" i="5"/>
  <c r="AI97" i="5"/>
  <c r="AI100" i="5"/>
  <c r="AI103" i="5"/>
  <c r="AI104" i="5"/>
  <c r="AI105" i="5"/>
  <c r="AI108" i="5"/>
  <c r="AI111" i="5"/>
  <c r="AI112" i="5"/>
  <c r="AI113" i="5"/>
  <c r="AI116" i="5"/>
  <c r="AI119" i="5"/>
  <c r="AI120" i="5"/>
  <c r="AI121" i="5"/>
  <c r="AI124" i="5"/>
  <c r="AI127" i="5"/>
  <c r="AI128" i="5"/>
  <c r="AI129" i="5"/>
  <c r="AI132" i="5"/>
  <c r="AI135" i="5"/>
  <c r="AI136" i="5"/>
  <c r="AI137" i="5"/>
  <c r="AI140" i="5"/>
  <c r="AI143" i="5"/>
  <c r="AI144" i="5"/>
  <c r="AI145" i="5"/>
  <c r="AI148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AI150" i="5" l="1"/>
  <c r="AI142" i="5"/>
  <c r="AI134" i="5"/>
  <c r="AI126" i="5"/>
  <c r="AI118" i="5"/>
  <c r="AI110" i="5"/>
  <c r="AI102" i="5"/>
  <c r="AI94" i="5"/>
  <c r="AI86" i="5"/>
  <c r="AI78" i="5"/>
  <c r="AI70" i="5"/>
  <c r="AI62" i="5"/>
  <c r="AI54" i="5"/>
  <c r="AI46" i="5"/>
  <c r="AI38" i="5"/>
  <c r="AI30" i="5"/>
  <c r="AI22" i="5"/>
  <c r="AI14" i="5"/>
  <c r="AI6" i="5"/>
  <c r="AI147" i="5"/>
  <c r="AI139" i="5"/>
  <c r="AI131" i="5"/>
  <c r="AI123" i="5"/>
  <c r="AI115" i="5"/>
  <c r="AI107" i="5"/>
  <c r="AI99" i="5"/>
  <c r="AI91" i="5"/>
  <c r="AI83" i="5"/>
  <c r="AI75" i="5"/>
  <c r="AI67" i="5"/>
  <c r="AI59" i="5"/>
  <c r="AI51" i="5"/>
  <c r="AI43" i="5"/>
  <c r="AI35" i="5"/>
  <c r="AI27" i="5"/>
  <c r="AI19" i="5"/>
  <c r="AI11" i="5"/>
  <c r="C50" i="4" l="1"/>
  <c r="C53" i="4"/>
  <c r="C58" i="4"/>
  <c r="C61" i="4"/>
  <c r="M55" i="4"/>
  <c r="M53" i="4"/>
  <c r="N52" i="4"/>
  <c r="E55" i="4"/>
  <c r="E60" i="4"/>
  <c r="F50" i="4"/>
  <c r="F54" i="4"/>
  <c r="F62" i="4"/>
  <c r="G51" i="4"/>
  <c r="G60" i="4"/>
  <c r="H52" i="4"/>
  <c r="H57" i="4"/>
  <c r="I50" i="4"/>
  <c r="R52" i="4"/>
  <c r="I56" i="4"/>
  <c r="I58" i="4"/>
  <c r="R60" i="4"/>
  <c r="R62" i="4"/>
  <c r="J53" i="4"/>
  <c r="J54" i="4"/>
  <c r="S56" i="4"/>
  <c r="J58" i="4"/>
  <c r="J62" i="4"/>
  <c r="X4" i="4"/>
  <c r="S49" i="4"/>
  <c r="R49" i="4"/>
  <c r="Q49" i="4"/>
  <c r="P49" i="4"/>
  <c r="O49" i="4"/>
  <c r="N49" i="4"/>
  <c r="D51" i="4"/>
  <c r="J49" i="4"/>
  <c r="I49" i="4"/>
  <c r="H49" i="4"/>
  <c r="G49" i="4"/>
  <c r="F49" i="4"/>
  <c r="E49" i="4"/>
  <c r="J51" i="4"/>
  <c r="J52" i="4"/>
  <c r="J55" i="4"/>
  <c r="J60" i="4"/>
  <c r="J61" i="4"/>
  <c r="R54" i="4"/>
  <c r="I57" i="4"/>
  <c r="H50" i="4"/>
  <c r="Q51" i="4"/>
  <c r="H55" i="4"/>
  <c r="H59" i="4"/>
  <c r="H60" i="4"/>
  <c r="G52" i="4"/>
  <c r="G53" i="4"/>
  <c r="G57" i="4"/>
  <c r="G59" i="4"/>
  <c r="G61" i="4"/>
  <c r="F51" i="4"/>
  <c r="F55" i="4"/>
  <c r="F57" i="4"/>
  <c r="F58" i="4"/>
  <c r="F59" i="4"/>
  <c r="E54" i="4"/>
  <c r="E58" i="4"/>
  <c r="E62" i="4"/>
  <c r="C51" i="4"/>
  <c r="C52" i="4"/>
  <c r="C54" i="4"/>
  <c r="C55" i="4"/>
  <c r="C56" i="4"/>
  <c r="C57" i="4"/>
  <c r="C59" i="4"/>
  <c r="C60" i="4"/>
  <c r="C62" i="4"/>
  <c r="D50" i="4"/>
  <c r="D52" i="4"/>
  <c r="D53" i="4"/>
  <c r="D57" i="4"/>
  <c r="D58" i="4"/>
  <c r="D60" i="4"/>
  <c r="D61" i="4"/>
  <c r="D62" i="4"/>
  <c r="X11" i="4"/>
  <c r="J57" i="4" l="1"/>
  <c r="D59" i="4"/>
  <c r="J56" i="4"/>
  <c r="R61" i="4"/>
  <c r="R53" i="4"/>
  <c r="I53" i="4"/>
  <c r="Q55" i="4"/>
  <c r="Q58" i="4"/>
  <c r="P51" i="4"/>
  <c r="P56" i="4"/>
  <c r="O51" i="4"/>
  <c r="Q61" i="4"/>
  <c r="Q53" i="4"/>
  <c r="R55" i="4"/>
  <c r="N56" i="4"/>
  <c r="Q62" i="4"/>
  <c r="R56" i="4"/>
  <c r="S50" i="4"/>
  <c r="O56" i="4"/>
  <c r="P58" i="4"/>
  <c r="P50" i="4"/>
  <c r="H61" i="4"/>
  <c r="F52" i="4"/>
  <c r="S60" i="4"/>
  <c r="O58" i="4"/>
  <c r="Q54" i="4"/>
  <c r="Q60" i="4"/>
  <c r="M54" i="4"/>
  <c r="N58" i="4"/>
  <c r="N55" i="4"/>
  <c r="O61" i="4"/>
  <c r="P55" i="4"/>
  <c r="N50" i="4"/>
  <c r="N57" i="4"/>
  <c r="P61" i="4"/>
  <c r="P53" i="4"/>
  <c r="S59" i="4"/>
  <c r="S51" i="4"/>
  <c r="J59" i="4"/>
  <c r="G55" i="4"/>
  <c r="H51" i="4"/>
  <c r="P59" i="4"/>
  <c r="N54" i="4"/>
  <c r="N51" i="4"/>
  <c r="R51" i="4"/>
  <c r="P54" i="4"/>
  <c r="Q59" i="4"/>
  <c r="G50" i="4"/>
  <c r="R50" i="4"/>
  <c r="O53" i="4"/>
  <c r="R59" i="4"/>
  <c r="O55" i="4"/>
  <c r="O60" i="4"/>
  <c r="P62" i="4"/>
  <c r="Q56" i="4"/>
  <c r="F60" i="4"/>
  <c r="G58" i="4"/>
  <c r="I54" i="4"/>
  <c r="S57" i="4"/>
  <c r="S52" i="4"/>
  <c r="I62" i="4"/>
  <c r="N62" i="4"/>
  <c r="Q52" i="4"/>
  <c r="N61" i="4"/>
  <c r="N53" i="4"/>
  <c r="S55" i="4"/>
  <c r="I61" i="4"/>
  <c r="H53" i="4"/>
  <c r="E52" i="4"/>
  <c r="H58" i="4"/>
  <c r="O62" i="4"/>
  <c r="E51" i="4"/>
  <c r="Q50" i="4"/>
  <c r="H56" i="4"/>
  <c r="O59" i="4"/>
  <c r="D56" i="4"/>
  <c r="E57" i="4"/>
  <c r="F61" i="4"/>
  <c r="G56" i="4"/>
  <c r="F53" i="4"/>
  <c r="O50" i="4"/>
  <c r="P60" i="4"/>
  <c r="N59" i="4"/>
  <c r="R57" i="4"/>
  <c r="P52" i="4"/>
  <c r="D54" i="4"/>
  <c r="D55" i="4"/>
  <c r="E56" i="4"/>
  <c r="H62" i="4"/>
  <c r="F56" i="4"/>
  <c r="H54" i="4"/>
  <c r="S62" i="4"/>
  <c r="S58" i="4"/>
  <c r="Q57" i="4"/>
  <c r="S54" i="4"/>
  <c r="O52" i="4"/>
  <c r="I59" i="4"/>
  <c r="I51" i="4"/>
  <c r="S61" i="4"/>
  <c r="E50" i="4"/>
  <c r="G62" i="4"/>
  <c r="I60" i="4"/>
  <c r="G54" i="4"/>
  <c r="I52" i="4"/>
  <c r="N60" i="4"/>
  <c r="R58" i="4"/>
  <c r="P57" i="4"/>
  <c r="O54" i="4"/>
  <c r="E59" i="4"/>
  <c r="I55" i="4"/>
  <c r="J50" i="4"/>
  <c r="O57" i="4"/>
  <c r="S53" i="4"/>
  <c r="E61" i="4"/>
  <c r="E53" i="4"/>
  <c r="M60" i="4"/>
  <c r="M52" i="4"/>
  <c r="M57" i="4"/>
  <c r="M61" i="4"/>
  <c r="M62" i="4"/>
  <c r="M58" i="4"/>
  <c r="M50" i="4"/>
  <c r="M59" i="4"/>
  <c r="M51" i="4"/>
  <c r="M56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CLTVDist90' and D.asofdate &lt;= '2015-06-01' order by d.AsOfDate"/>
  </connection>
  <connection id="2" name="CLTVMean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CLTVMean' and D.asofdate &lt;= '2015-06-01' order by d.AsOfDate"/>
  </connection>
  <connection id="3" name="DTIDist40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DTIDist40' and D.asofdate &lt;= '2015-06-01' order by d.AsOfDate"/>
  </connection>
  <connection id="4" name="DTIMean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DTIMean' and D.asofdate &lt;= '2015-06-01' order by d.AsOfDate"/>
  </connection>
  <connection id="5" name="FICODist700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FICODist700' and D.asofdate &lt;= '2015-06-01' order by d.AsOfDate"/>
  </connection>
  <connection id="6" name="FICOMean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FICOMean' and D.asofdate &lt;= '2015-06-01' order by d.AsOfDate"/>
  </connection>
  <connection id="7" name="IndexQuery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index' and D.asofdate &lt;= '2015-06-01' order by d.AsOfDate"/>
  </connection>
  <connection id="8" name="IndexQuery1" type="1" refreshedVersion="4" savePassword="1" saveData="1">
    <dbPr connection="DSN=Cello SQL Server Dev;UID=dev;PWD=ufmg71dkiw;APP=Microsoft Office 2010;WSID=CELLO-PC4;DATABASE=Cello0722" command="select D.asofdate, D.SeriesNumValue from TimeSeries D, TimeSeriesMeta M where D.TimeSeriesMetaId = M.TimeSeriesMetaId and modeltype = 'Accordion_v1.0' and SeriesType = 'index' and D.asofdate &lt;= '2015-06-01' order by d.AsOfDate desc"/>
  </connection>
</connections>
</file>

<file path=xl/sharedStrings.xml><?xml version="1.0" encoding="utf-8"?>
<sst xmlns="http://schemas.openxmlformats.org/spreadsheetml/2006/main" count="1236" uniqueCount="192">
  <si>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</si>
  <si>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</si>
  <si>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</si>
  <si>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</si>
  <si>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</si>
  <si>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</si>
  <si>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</si>
  <si>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</si>
  <si>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</si>
  <si>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</si>
  <si>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</si>
  <si>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</si>
  <si>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</si>
  <si>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</si>
  <si>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</si>
  <si>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</si>
  <si>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</si>
  <si>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</si>
  <si>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</si>
  <si>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</si>
  <si>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</si>
  <si>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</si>
  <si>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</si>
  <si>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</si>
  <si>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</si>
  <si>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</si>
  <si>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</si>
  <si>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</si>
  <si>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</si>
  <si>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</si>
  <si>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</si>
  <si>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</si>
  <si>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DEV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</si>
  <si>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</si>
  <si>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</si>
  <si>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</si>
  <si>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</si>
  <si>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</si>
  <si>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</si>
  <si>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</si>
  <si>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</si>
  <si>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</si>
  <si>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</si>
  <si>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</si>
  <si>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</si>
  <si>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</si>
  <si>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</si>
  <si>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</si>
  <si>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</si>
  <si>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</si>
  <si>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</si>
  <si>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</si>
  <si>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</si>
  <si>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</si>
  <si>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</si>
  <si>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</si>
  <si>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</si>
  <si>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</si>
  <si>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</si>
  <si>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</si>
  <si>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</si>
  <si>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</si>
  <si>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</si>
  <si>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</si>
  <si>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</si>
  <si>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</si>
  <si>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</si>
  <si>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</si>
  <si>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</si>
  <si>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</si>
  <si>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</si>
  <si>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</si>
  <si>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</si>
  <si>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</si>
  <si>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</si>
  <si>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</si>
  <si>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</si>
  <si>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</si>
  <si>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</si>
  <si>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</si>
  <si>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</si>
  <si>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</si>
  <si>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</si>
  <si>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</si>
  <si>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</si>
  <si>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</si>
  <si>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</si>
  <si>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</si>
  <si>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</si>
  <si>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</si>
  <si>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</si>
  <si>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</si>
  <si>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</si>
  <si>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</si>
  <si>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</si>
  <si>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</si>
  <si>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</si>
  <si>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</si>
  <si>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</si>
  <si>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</si>
  <si>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</si>
  <si>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</si>
  <si>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</si>
  <si>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</si>
  <si>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</si>
  <si>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</si>
  <si>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</si>
  <si>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</si>
  <si>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</si>
  <si>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</si>
  <si>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</si>
  <si>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</si>
  <si>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</si>
  <si>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</si>
  <si>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</si>
  <si>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</si>
  <si>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</si>
  <si>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</si>
  <si>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</si>
  <si>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</si>
  <si>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</si>
  <si>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</si>
  <si>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</si>
  <si>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</si>
  <si>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</si>
  <si>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</si>
  <si>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</si>
  <si>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</si>
  <si>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</si>
  <si>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</si>
  <si>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</si>
  <si>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</si>
  <si>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</si>
  <si>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</si>
  <si>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</si>
  <si>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</si>
  <si>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</si>
  <si>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</si>
  <si>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</si>
  <si>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</si>
  <si>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</si>
  <si>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</si>
  <si>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</si>
  <si>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</si>
  <si>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</si>
  <si>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</si>
  <si>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</si>
  <si>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</si>
  <si>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</si>
  <si>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</si>
  <si>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</si>
  <si>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</si>
  <si>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</si>
  <si>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</si>
  <si>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</si>
  <si>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</si>
  <si>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</si>
  <si>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</si>
  <si>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</si>
  <si>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</si>
  <si>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</si>
  <si>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</si>
  <si>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</si>
  <si>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</si>
  <si>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</si>
  <si>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</si>
  <si>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</si>
  <si>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</si>
  <si>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</si>
  <si>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</si>
  <si>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</si>
  <si>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</si>
  <si>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2015-6</t>
  </si>
  <si>
    <t>2015-5</t>
  </si>
  <si>
    <t>2015-4</t>
  </si>
  <si>
    <t>2015-3</t>
  </si>
  <si>
    <t>2015-2</t>
  </si>
  <si>
    <t>2015-1</t>
  </si>
  <si>
    <t>2014-12</t>
  </si>
  <si>
    <t>2014-11</t>
  </si>
  <si>
    <t>2014-10</t>
  </si>
  <si>
    <t>2014-9</t>
  </si>
  <si>
    <t>2014-8</t>
  </si>
  <si>
    <t>2014-7</t>
  </si>
  <si>
    <t>2014-6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</si>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</sst>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3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9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1B7A76"/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-0.72751395249463258</c:v>
                </c:pt>
                <c:pt idx="1">
                  <c:v>1.3646649413099681</c:v>
                </c:pt>
                <c:pt idx="2">
                  <c:v>-10.83318740608135</c:v>
                </c:pt>
                <c:pt idx="3">
                  <c:v>-1.0057259767733058</c:v>
                </c:pt>
                <c:pt idx="4">
                  <c:v>5.5926676557253359</c:v>
                </c:pt>
                <c:pt idx="5">
                  <c:v>-1.2136612027313163</c:v>
                </c:pt>
                <c:pt idx="6">
                  <c:v>2.640032522056643</c:v>
                </c:pt>
                <c:pt idx="7">
                  <c:v>3.7784443100746756</c:v>
                </c:pt>
                <c:pt idx="8">
                  <c:v>0.47203235161532575</c:v>
                </c:pt>
                <c:pt idx="9">
                  <c:v>-9.4006377807346553E-2</c:v>
                </c:pt>
                <c:pt idx="10">
                  <c:v>-5.0767240113373333</c:v>
                </c:pt>
                <c:pt idx="11">
                  <c:v>3.3558844878220242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470144"/>
        <c:axId val="160471680"/>
      </c:barChart>
      <c:catAx>
        <c:axId val="160470144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160471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0471680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0470144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Query'!$D$4</c:f>
              <c:strCache>
                <c:ptCount val="1"/>
                <c:pt idx="0">
                  <c:v>Index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Query'!$C$5:$C$150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Query'!$D$5:$D$150</c:f>
              <c:numCache>
                <c:formatCode>General</c:formatCode>
                <c:ptCount val="146"/>
                <c:pt idx="0">
                  <c:v>143.353358917246</c:v>
                </c:pt>
                <c:pt idx="1">
                  <c:v>140.08340024247934</c:v>
                </c:pt>
                <c:pt idx="2">
                  <c:v>150.89324463783134</c:v>
                </c:pt>
                <c:pt idx="3">
                  <c:v>143.80819472982466</c:v>
                </c:pt>
                <c:pt idx="4">
                  <c:v>116.82174839576133</c:v>
                </c:pt>
                <c:pt idx="5">
                  <c:v>110.65888262888667</c:v>
                </c:pt>
                <c:pt idx="6">
                  <c:v>143.82741192334601</c:v>
                </c:pt>
                <c:pt idx="7">
                  <c:v>145.549628691924</c:v>
                </c:pt>
                <c:pt idx="8">
                  <c:v>142.80803682493934</c:v>
                </c:pt>
                <c:pt idx="9">
                  <c:v>138.14704131399137</c:v>
                </c:pt>
                <c:pt idx="10">
                  <c:v>139.09410813856866</c:v>
                </c:pt>
                <c:pt idx="11">
                  <c:v>144.34647129508801</c:v>
                </c:pt>
                <c:pt idx="12">
                  <c:v>141.79427673403001</c:v>
                </c:pt>
                <c:pt idx="13">
                  <c:v>115.60367128509468</c:v>
                </c:pt>
                <c:pt idx="14">
                  <c:v>115.23630415432</c:v>
                </c:pt>
                <c:pt idx="15">
                  <c:v>139.07682616323734</c:v>
                </c:pt>
                <c:pt idx="16">
                  <c:v>154.79587622853134</c:v>
                </c:pt>
                <c:pt idx="17">
                  <c:v>150.21591282509132</c:v>
                </c:pt>
                <c:pt idx="18">
                  <c:v>145.96341259343802</c:v>
                </c:pt>
                <c:pt idx="19">
                  <c:v>141.15130239040866</c:v>
                </c:pt>
                <c:pt idx="20">
                  <c:v>140.30727277026799</c:v>
                </c:pt>
                <c:pt idx="21">
                  <c:v>138.47992976276467</c:v>
                </c:pt>
                <c:pt idx="22">
                  <c:v>136.96089094986533</c:v>
                </c:pt>
                <c:pt idx="23">
                  <c:v>132.8446631818</c:v>
                </c:pt>
                <c:pt idx="24">
                  <c:v>121.97625838839801</c:v>
                </c:pt>
                <c:pt idx="25">
                  <c:v>138.88058536577202</c:v>
                </c:pt>
                <c:pt idx="26">
                  <c:v>142.04468445813799</c:v>
                </c:pt>
                <c:pt idx="27">
                  <c:v>130.96650312916665</c:v>
                </c:pt>
                <c:pt idx="28">
                  <c:v>122.27112726064</c:v>
                </c:pt>
                <c:pt idx="29">
                  <c:v>126.55653721383402</c:v>
                </c:pt>
                <c:pt idx="30">
                  <c:v>121.28285918447202</c:v>
                </c:pt>
                <c:pt idx="31">
                  <c:v>101.36766795378666</c:v>
                </c:pt>
                <c:pt idx="32">
                  <c:v>100.57250325898268</c:v>
                </c:pt>
                <c:pt idx="33">
                  <c:v>112.25518055377334</c:v>
                </c:pt>
                <c:pt idx="34">
                  <c:v>107.89979313161535</c:v>
                </c:pt>
                <c:pt idx="35">
                  <c:v>105.67378609191</c:v>
                </c:pt>
                <c:pt idx="36">
                  <c:v>100.81696989885867</c:v>
                </c:pt>
                <c:pt idx="37">
                  <c:v>101.71430279377466</c:v>
                </c:pt>
                <c:pt idx="38">
                  <c:v>103.234937143114</c:v>
                </c:pt>
                <c:pt idx="39">
                  <c:v>102.22609994060201</c:v>
                </c:pt>
                <c:pt idx="40">
                  <c:v>119.20462131624801</c:v>
                </c:pt>
                <c:pt idx="41">
                  <c:v>125.55192886792202</c:v>
                </c:pt>
                <c:pt idx="42">
                  <c:v>122.26114898928869</c:v>
                </c:pt>
                <c:pt idx="43">
                  <c:v>121.19573696508066</c:v>
                </c:pt>
                <c:pt idx="44">
                  <c:v>125.36499666326266</c:v>
                </c:pt>
                <c:pt idx="45">
                  <c:v>118.44273109513668</c:v>
                </c:pt>
                <c:pt idx="46">
                  <c:v>121.178677685102</c:v>
                </c:pt>
                <c:pt idx="47">
                  <c:v>132.168252989824</c:v>
                </c:pt>
                <c:pt idx="48">
                  <c:v>135.23297487795801</c:v>
                </c:pt>
                <c:pt idx="49">
                  <c:v>137.81611582908931</c:v>
                </c:pt>
                <c:pt idx="50">
                  <c:v>132.86225615081199</c:v>
                </c:pt>
                <c:pt idx="51">
                  <c:v>138.09438212469999</c:v>
                </c:pt>
                <c:pt idx="52">
                  <c:v>155.32365149615802</c:v>
                </c:pt>
                <c:pt idx="53">
                  <c:v>169.32997067011732</c:v>
                </c:pt>
                <c:pt idx="54">
                  <c:v>172.32190005533732</c:v>
                </c:pt>
                <c:pt idx="55">
                  <c:v>173.81436431551336</c:v>
                </c:pt>
                <c:pt idx="56">
                  <c:v>174.83089194836867</c:v>
                </c:pt>
                <c:pt idx="57">
                  <c:v>173.34246172034932</c:v>
                </c:pt>
                <c:pt idx="58">
                  <c:v>153.99729221156866</c:v>
                </c:pt>
                <c:pt idx="59">
                  <c:v>130.20160020861402</c:v>
                </c:pt>
                <c:pt idx="60">
                  <c:v>131.50051553380334</c:v>
                </c:pt>
                <c:pt idx="61">
                  <c:v>107.40415781981933</c:v>
                </c:pt>
                <c:pt idx="62">
                  <c:v>91.920973518102684</c:v>
                </c:pt>
                <c:pt idx="63">
                  <c:v>88.808206050150005</c:v>
                </c:pt>
                <c:pt idx="64">
                  <c:v>89.276477159997341</c:v>
                </c:pt>
                <c:pt idx="65">
                  <c:v>107.60272027995002</c:v>
                </c:pt>
                <c:pt idx="66">
                  <c:v>93.794295482178669</c:v>
                </c:pt>
                <c:pt idx="67">
                  <c:v>88.006851373892673</c:v>
                </c:pt>
                <c:pt idx="68">
                  <c:v>116.25883239529999</c:v>
                </c:pt>
                <c:pt idx="69">
                  <c:v>100.61673190044201</c:v>
                </c:pt>
                <c:pt idx="70">
                  <c:v>79.740936290248015</c:v>
                </c:pt>
                <c:pt idx="71">
                  <c:v>76.670706273553336</c:v>
                </c:pt>
                <c:pt idx="72">
                  <c:v>80.329677030438674</c:v>
                </c:pt>
                <c:pt idx="73">
                  <c:v>75.972487810136002</c:v>
                </c:pt>
                <c:pt idx="74">
                  <c:v>64.63300214585081</c:v>
                </c:pt>
                <c:pt idx="75">
                  <c:v>64.078971323041273</c:v>
                </c:pt>
                <c:pt idx="76">
                  <c:v>73.728951791257998</c:v>
                </c:pt>
                <c:pt idx="77">
                  <c:v>78.942953475146666</c:v>
                </c:pt>
                <c:pt idx="78">
                  <c:v>80.168801171074662</c:v>
                </c:pt>
                <c:pt idx="79">
                  <c:v>76.897702965759336</c:v>
                </c:pt>
                <c:pt idx="80">
                  <c:v>76.781474217343344</c:v>
                </c:pt>
                <c:pt idx="81">
                  <c:v>69.863460538982665</c:v>
                </c:pt>
                <c:pt idx="82">
                  <c:v>71.324532207556018</c:v>
                </c:pt>
                <c:pt idx="83">
                  <c:v>73.409480861707337</c:v>
                </c:pt>
                <c:pt idx="84">
                  <c:v>73.315173031920679</c:v>
                </c:pt>
                <c:pt idx="85">
                  <c:v>75.889739017543334</c:v>
                </c:pt>
                <c:pt idx="86">
                  <c:v>83.33979249144133</c:v>
                </c:pt>
                <c:pt idx="87">
                  <c:v>82.980652510072659</c:v>
                </c:pt>
                <c:pt idx="88">
                  <c:v>79.884704099263331</c:v>
                </c:pt>
                <c:pt idx="89">
                  <c:v>78.01255524206934</c:v>
                </c:pt>
                <c:pt idx="90">
                  <c:v>77.635145366913335</c:v>
                </c:pt>
                <c:pt idx="91">
                  <c:v>77.220000821126007</c:v>
                </c:pt>
                <c:pt idx="92">
                  <c:v>69.469543960996006</c:v>
                </c:pt>
                <c:pt idx="93">
                  <c:v>67.446461600494004</c:v>
                </c:pt>
                <c:pt idx="94">
                  <c:v>73.681569600245993</c:v>
                </c:pt>
                <c:pt idx="95">
                  <c:v>76.837533752253336</c:v>
                </c:pt>
                <c:pt idx="96">
                  <c:v>82.81618658763</c:v>
                </c:pt>
                <c:pt idx="97">
                  <c:v>85.519567185450001</c:v>
                </c:pt>
                <c:pt idx="98">
                  <c:v>92.955360328638008</c:v>
                </c:pt>
                <c:pt idx="99">
                  <c:v>89.62715693334134</c:v>
                </c:pt>
                <c:pt idx="100">
                  <c:v>94.06756073715799</c:v>
                </c:pt>
                <c:pt idx="101">
                  <c:v>100.44618161046068</c:v>
                </c:pt>
                <c:pt idx="102">
                  <c:v>94.487234076947999</c:v>
                </c:pt>
                <c:pt idx="103">
                  <c:v>90.219099189844016</c:v>
                </c:pt>
                <c:pt idx="104">
                  <c:v>91.01306203969601</c:v>
                </c:pt>
                <c:pt idx="105">
                  <c:v>89.828353713126006</c:v>
                </c:pt>
                <c:pt idx="106">
                  <c:v>89.595288264423999</c:v>
                </c:pt>
                <c:pt idx="107">
                  <c:v>88.215307613107328</c:v>
                </c:pt>
                <c:pt idx="108">
                  <c:v>86.403881674592668</c:v>
                </c:pt>
                <c:pt idx="109">
                  <c:v>91.222982590209341</c:v>
                </c:pt>
                <c:pt idx="110">
                  <c:v>94.608301021768</c:v>
                </c:pt>
                <c:pt idx="111">
                  <c:v>95.018701798806674</c:v>
                </c:pt>
                <c:pt idx="112">
                  <c:v>95.544548983134007</c:v>
                </c:pt>
                <c:pt idx="113">
                  <c:v>92.793393423704003</c:v>
                </c:pt>
                <c:pt idx="114">
                  <c:v>97.734930101480671</c:v>
                </c:pt>
                <c:pt idx="115">
                  <c:v>96.944301671426004</c:v>
                </c:pt>
                <c:pt idx="116">
                  <c:v>95.567814851855999</c:v>
                </c:pt>
                <c:pt idx="117">
                  <c:v>94.208099094860671</c:v>
                </c:pt>
                <c:pt idx="118">
                  <c:v>93.249286000454006</c:v>
                </c:pt>
                <c:pt idx="119">
                  <c:v>93.878572013074674</c:v>
                </c:pt>
                <c:pt idx="120">
                  <c:v>98.913447554311333</c:v>
                </c:pt>
                <c:pt idx="121">
                  <c:v>102.75745780013801</c:v>
                </c:pt>
                <c:pt idx="122">
                  <c:v>90.986403002583344</c:v>
                </c:pt>
                <c:pt idx="123">
                  <c:v>83.134217620147339</c:v>
                </c:pt>
                <c:pt idx="124">
                  <c:v>91.794781360520673</c:v>
                </c:pt>
                <c:pt idx="125">
                  <c:v>101.07124732738066</c:v>
                </c:pt>
                <c:pt idx="126">
                  <c:v>110.71931069690868</c:v>
                </c:pt>
                <c:pt idx="127">
                  <c:v>116.05806153444533</c:v>
                </c:pt>
                <c:pt idx="128">
                  <c:v>104.66147412730133</c:v>
                </c:pt>
                <c:pt idx="129">
                  <c:v>103.46007722526333</c:v>
                </c:pt>
                <c:pt idx="130">
                  <c:v>112.60594469476865</c:v>
                </c:pt>
                <c:pt idx="131">
                  <c:v>115.87453926208269</c:v>
                </c:pt>
                <c:pt idx="132">
                  <c:v>114.09953401867334</c:v>
                </c:pt>
                <c:pt idx="133">
                  <c:v>120.58148981476333</c:v>
                </c:pt>
                <c:pt idx="134">
                  <c:v>123.93737430258535</c:v>
                </c:pt>
                <c:pt idx="135">
                  <c:v>118.86065029124802</c:v>
                </c:pt>
                <c:pt idx="136">
                  <c:v>118.76664391344067</c:v>
                </c:pt>
                <c:pt idx="137">
                  <c:v>119.238676265056</c:v>
                </c:pt>
                <c:pt idx="138">
                  <c:v>123.01712057513068</c:v>
                </c:pt>
                <c:pt idx="139">
                  <c:v>125.65715309718732</c:v>
                </c:pt>
                <c:pt idx="140">
                  <c:v>124.443491894456</c:v>
                </c:pt>
                <c:pt idx="141">
                  <c:v>130.03615955018134</c:v>
                </c:pt>
                <c:pt idx="142">
                  <c:v>129.03043357340803</c:v>
                </c:pt>
                <c:pt idx="143">
                  <c:v>118.19724616732668</c:v>
                </c:pt>
                <c:pt idx="144">
                  <c:v>119.56191110863665</c:v>
                </c:pt>
                <c:pt idx="145">
                  <c:v>118.83439715614202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493952"/>
        <c:axId val="160495488"/>
      </c:lineChart>
      <c:catAx>
        <c:axId val="160493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04954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60495488"/>
        <c:scaling>
          <c:orientation val="minMax"/>
          <c:min val="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49395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Query'!$I$5:$I$150</c:f>
              <c:numCache>
                <c:formatCode>0%</c:formatCode>
                <c:ptCount val="146"/>
                <c:pt idx="0">
                  <c:v>0.273773110302937</c:v>
                </c:pt>
                <c:pt idx="1">
                  <c:v>0.268197775375631</c:v>
                </c:pt>
                <c:pt idx="2">
                  <c:v>0.27193035338169502</c:v>
                </c:pt>
                <c:pt idx="3">
                  <c:v>0.26156705672942099</c:v>
                </c:pt>
                <c:pt idx="4">
                  <c:v>0.26229302441941998</c:v>
                </c:pt>
                <c:pt idx="5">
                  <c:v>0.27721460761591599</c:v>
                </c:pt>
                <c:pt idx="6">
                  <c:v>0.30202605452215497</c:v>
                </c:pt>
                <c:pt idx="7">
                  <c:v>0.296114091848449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0.27540534836233099</c:v>
                </c:pt>
                <c:pt idx="12">
                  <c:v>0.27051249930375898</c:v>
                </c:pt>
                <c:pt idx="13">
                  <c:v>0.259842747796937</c:v>
                </c:pt>
                <c:pt idx="14">
                  <c:v>0.26660741442841002</c:v>
                </c:pt>
                <c:pt idx="15">
                  <c:v>0.28327487287095598</c:v>
                </c:pt>
                <c:pt idx="16">
                  <c:v>0.283527943042998</c:v>
                </c:pt>
                <c:pt idx="17">
                  <c:v>0.27666714373101298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0.249185537915113</c:v>
                </c:pt>
                <c:pt idx="23">
                  <c:v>0.245931688961815</c:v>
                </c:pt>
                <c:pt idx="24">
                  <c:v>0.23428916188033899</c:v>
                </c:pt>
                <c:pt idx="25">
                  <c:v>0.24199028870644701</c:v>
                </c:pt>
                <c:pt idx="26">
                  <c:v>0.23498727813374801</c:v>
                </c:pt>
                <c:pt idx="27">
                  <c:v>0.21466661143927501</c:v>
                </c:pt>
                <c:pt idx="28">
                  <c:v>0.20902100522637301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0.15960930893653599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0.17600200529424101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0.189376854241877</c:v>
                </c:pt>
                <c:pt idx="44">
                  <c:v>0.193846076998824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0.27467964165207298</c:v>
                </c:pt>
                <c:pt idx="50">
                  <c:v>0.307490238269997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0.35608216752946897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0.38125244038721101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0.28729317060700799</c:v>
                </c:pt>
                <c:pt idx="61">
                  <c:v>0.22889156479952499</c:v>
                </c:pt>
                <c:pt idx="62">
                  <c:v>0.202917163501594</c:v>
                </c:pt>
                <c:pt idx="63">
                  <c:v>0.191583558106833</c:v>
                </c:pt>
                <c:pt idx="64">
                  <c:v>0.16617522330031601</c:v>
                </c:pt>
                <c:pt idx="65">
                  <c:v>0.16329914380448399</c:v>
                </c:pt>
                <c:pt idx="66">
                  <c:v>0.150953438870432</c:v>
                </c:pt>
                <c:pt idx="67">
                  <c:v>0.143349977608903</c:v>
                </c:pt>
                <c:pt idx="68">
                  <c:v>0.13509696863435</c:v>
                </c:pt>
                <c:pt idx="69">
                  <c:v>0.12680040640458401</c:v>
                </c:pt>
                <c:pt idx="70">
                  <c:v>0.12322072048108899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9.8070727394183696E-2</c:v>
                </c:pt>
                <c:pt idx="74">
                  <c:v>9.3108291880015001E-2</c:v>
                </c:pt>
                <c:pt idx="75">
                  <c:v>8.7516530834872805E-2</c:v>
                </c:pt>
                <c:pt idx="76">
                  <c:v>8.0811265930624904E-2</c:v>
                </c:pt>
                <c:pt idx="77">
                  <c:v>8.1594786166246894E-2</c:v>
                </c:pt>
                <c:pt idx="78">
                  <c:v>8.0718675087613198E-2</c:v>
                </c:pt>
                <c:pt idx="79">
                  <c:v>7.7685579809398497E-2</c:v>
                </c:pt>
                <c:pt idx="80">
                  <c:v>8.0699397548875104E-2</c:v>
                </c:pt>
                <c:pt idx="81">
                  <c:v>6.7321806524691497E-2</c:v>
                </c:pt>
                <c:pt idx="82">
                  <c:v>6.4964808605050106E-2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9.792198846689E-2</c:v>
                </c:pt>
                <c:pt idx="87">
                  <c:v>0.10134986605641599</c:v>
                </c:pt>
                <c:pt idx="88">
                  <c:v>9.8361710433251301E-2</c:v>
                </c:pt>
                <c:pt idx="89">
                  <c:v>0.103564704192559</c:v>
                </c:pt>
                <c:pt idx="90">
                  <c:v>0.109595310123141</c:v>
                </c:pt>
                <c:pt idx="91">
                  <c:v>0.110103631507</c:v>
                </c:pt>
                <c:pt idx="92">
                  <c:v>0.118005260788832</c:v>
                </c:pt>
                <c:pt idx="93">
                  <c:v>0.120701096401822</c:v>
                </c:pt>
                <c:pt idx="94">
                  <c:v>0.117193907205183</c:v>
                </c:pt>
                <c:pt idx="95">
                  <c:v>0.122647089650309</c:v>
                </c:pt>
                <c:pt idx="96">
                  <c:v>0.12673284323842701</c:v>
                </c:pt>
                <c:pt idx="97">
                  <c:v>0.142133100786937</c:v>
                </c:pt>
                <c:pt idx="98">
                  <c:v>0.163140877283213</c:v>
                </c:pt>
                <c:pt idx="99">
                  <c:v>0.17193051390476799</c:v>
                </c:pt>
                <c:pt idx="100">
                  <c:v>0.18285657379937501</c:v>
                </c:pt>
                <c:pt idx="101">
                  <c:v>0.19121615344839399</c:v>
                </c:pt>
                <c:pt idx="102">
                  <c:v>0.19691770674556899</c:v>
                </c:pt>
                <c:pt idx="103">
                  <c:v>0.19909240626705399</c:v>
                </c:pt>
                <c:pt idx="104">
                  <c:v>0.19485876227794</c:v>
                </c:pt>
                <c:pt idx="105">
                  <c:v>0.18964437882075599</c:v>
                </c:pt>
                <c:pt idx="106">
                  <c:v>0.18875936195045501</c:v>
                </c:pt>
                <c:pt idx="107">
                  <c:v>0.19845527362620699</c:v>
                </c:pt>
                <c:pt idx="108">
                  <c:v>0.20666487767317901</c:v>
                </c:pt>
                <c:pt idx="109">
                  <c:v>0.21270819961904999</c:v>
                </c:pt>
                <c:pt idx="110">
                  <c:v>0.224617863342048</c:v>
                </c:pt>
                <c:pt idx="111">
                  <c:v>0.23041099227119</c:v>
                </c:pt>
                <c:pt idx="112">
                  <c:v>0.24201218386033299</c:v>
                </c:pt>
                <c:pt idx="113">
                  <c:v>0.23845473096648101</c:v>
                </c:pt>
                <c:pt idx="114">
                  <c:v>0.24251385239543</c:v>
                </c:pt>
                <c:pt idx="115">
                  <c:v>0.24565562899712601</c:v>
                </c:pt>
                <c:pt idx="116">
                  <c:v>0.24751650752262899</c:v>
                </c:pt>
                <c:pt idx="117">
                  <c:v>0.24834391419848201</c:v>
                </c:pt>
                <c:pt idx="118">
                  <c:v>0.24921385952558001</c:v>
                </c:pt>
                <c:pt idx="119">
                  <c:v>0.25704056507600498</c:v>
                </c:pt>
                <c:pt idx="120">
                  <c:v>0.26283671665637698</c:v>
                </c:pt>
                <c:pt idx="121">
                  <c:v>0.27246872233055902</c:v>
                </c:pt>
                <c:pt idx="122">
                  <c:v>0.28536396189055402</c:v>
                </c:pt>
                <c:pt idx="123">
                  <c:v>0.284639199478668</c:v>
                </c:pt>
                <c:pt idx="124">
                  <c:v>0.29035960588757298</c:v>
                </c:pt>
                <c:pt idx="125">
                  <c:v>0.29271684918984597</c:v>
                </c:pt>
                <c:pt idx="126">
                  <c:v>0.29878094038042202</c:v>
                </c:pt>
                <c:pt idx="127">
                  <c:v>0.29695425947809301</c:v>
                </c:pt>
                <c:pt idx="128">
                  <c:v>0.29927596061024597</c:v>
                </c:pt>
                <c:pt idx="129">
                  <c:v>0.297453418401049</c:v>
                </c:pt>
                <c:pt idx="130">
                  <c:v>0.29276029694175298</c:v>
                </c:pt>
                <c:pt idx="131">
                  <c:v>0.30242604280597202</c:v>
                </c:pt>
                <c:pt idx="132">
                  <c:v>0.308421338294318</c:v>
                </c:pt>
                <c:pt idx="133">
                  <c:v>0.31553423156886901</c:v>
                </c:pt>
                <c:pt idx="134">
                  <c:v>0.31911152651525598</c:v>
                </c:pt>
                <c:pt idx="135">
                  <c:v>0.31724681597179999</c:v>
                </c:pt>
                <c:pt idx="136">
                  <c:v>0.31248163926657901</c:v>
                </c:pt>
                <c:pt idx="137">
                  <c:v>0.31578210572313697</c:v>
                </c:pt>
                <c:pt idx="138">
                  <c:v>0.32260658064910602</c:v>
                </c:pt>
                <c:pt idx="139">
                  <c:v>0.3182637424325</c:v>
                </c:pt>
                <c:pt idx="140">
                  <c:v>0.32030669927441502</c:v>
                </c:pt>
                <c:pt idx="141">
                  <c:v>0.326527942114888</c:v>
                </c:pt>
                <c:pt idx="142">
                  <c:v>0.31949128373865499</c:v>
                </c:pt>
                <c:pt idx="143">
                  <c:v>0.32984190450163098</c:v>
                </c:pt>
                <c:pt idx="144">
                  <c:v>0.33042720377120399</c:v>
                </c:pt>
                <c:pt idx="145">
                  <c:v>0.32819322175534099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937088"/>
        <c:axId val="162935552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Query'!$H$5:$H$150</c:f>
              <c:numCache>
                <c:formatCode>General</c:formatCode>
                <c:ptCount val="146"/>
                <c:pt idx="0">
                  <c:v>81.539035520498601</c:v>
                </c:pt>
                <c:pt idx="1">
                  <c:v>81.618643707083294</c:v>
                </c:pt>
                <c:pt idx="2">
                  <c:v>81.559567738559593</c:v>
                </c:pt>
                <c:pt idx="3">
                  <c:v>81.295959132137398</c:v>
                </c:pt>
                <c:pt idx="4">
                  <c:v>81.227783424263805</c:v>
                </c:pt>
                <c:pt idx="5">
                  <c:v>81.319665374729297</c:v>
                </c:pt>
                <c:pt idx="6">
                  <c:v>81.964228940536998</c:v>
                </c:pt>
                <c:pt idx="7">
                  <c:v>81.864675439973595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81.282382582521706</c:v>
                </c:pt>
                <c:pt idx="12">
                  <c:v>81.176434819561706</c:v>
                </c:pt>
                <c:pt idx="13">
                  <c:v>80.962812814278394</c:v>
                </c:pt>
                <c:pt idx="14">
                  <c:v>80.929303128497196</c:v>
                </c:pt>
                <c:pt idx="15">
                  <c:v>81.369180558242803</c:v>
                </c:pt>
                <c:pt idx="16">
                  <c:v>81.576108267439906</c:v>
                </c:pt>
                <c:pt idx="17">
                  <c:v>81.278008182824607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80.935490519379599</c:v>
                </c:pt>
                <c:pt idx="23">
                  <c:v>80.895125662890706</c:v>
                </c:pt>
                <c:pt idx="24">
                  <c:v>80.691453386703202</c:v>
                </c:pt>
                <c:pt idx="25">
                  <c:v>80.948951507975195</c:v>
                </c:pt>
                <c:pt idx="26">
                  <c:v>80.923921130237204</c:v>
                </c:pt>
                <c:pt idx="27">
                  <c:v>79.862643010011894</c:v>
                </c:pt>
                <c:pt idx="28">
                  <c:v>79.800293185781797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78.311389246586302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78.908848830602196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79.313843638726098</c:v>
                </c:pt>
                <c:pt idx="44">
                  <c:v>79.416723299241198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81.6388720816486</c:v>
                </c:pt>
                <c:pt idx="50">
                  <c:v>82.390008866534302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83.087890003817094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83.855086421359104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81.660205199506606</c:v>
                </c:pt>
                <c:pt idx="61">
                  <c:v>80.027867651152405</c:v>
                </c:pt>
                <c:pt idx="62">
                  <c:v>79.237894218252706</c:v>
                </c:pt>
                <c:pt idx="63">
                  <c:v>78.848083591540799</c:v>
                </c:pt>
                <c:pt idx="64">
                  <c:v>78.2639911263947</c:v>
                </c:pt>
                <c:pt idx="65">
                  <c:v>78.312440158411405</c:v>
                </c:pt>
                <c:pt idx="66">
                  <c:v>78.157742768007694</c:v>
                </c:pt>
                <c:pt idx="67">
                  <c:v>78.085313604041602</c:v>
                </c:pt>
                <c:pt idx="68">
                  <c:v>78.387697357956398</c:v>
                </c:pt>
                <c:pt idx="69">
                  <c:v>77.790728920564703</c:v>
                </c:pt>
                <c:pt idx="70">
                  <c:v>77.524155540439295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77.490070785439897</c:v>
                </c:pt>
                <c:pt idx="74">
                  <c:v>77.2305024936758</c:v>
                </c:pt>
                <c:pt idx="75">
                  <c:v>76.939201105906605</c:v>
                </c:pt>
                <c:pt idx="76">
                  <c:v>76.886220859530198</c:v>
                </c:pt>
                <c:pt idx="77">
                  <c:v>77.094075147073795</c:v>
                </c:pt>
                <c:pt idx="78">
                  <c:v>76.953756110094901</c:v>
                </c:pt>
                <c:pt idx="79">
                  <c:v>76.821902013385596</c:v>
                </c:pt>
                <c:pt idx="80">
                  <c:v>77.043744815036703</c:v>
                </c:pt>
                <c:pt idx="81">
                  <c:v>76.298254333287304</c:v>
                </c:pt>
                <c:pt idx="82">
                  <c:v>76.135228391298597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77.571270057902098</c:v>
                </c:pt>
                <c:pt idx="87">
                  <c:v>77.233235343375298</c:v>
                </c:pt>
                <c:pt idx="88">
                  <c:v>76.946955858059994</c:v>
                </c:pt>
                <c:pt idx="89">
                  <c:v>77.156561485235699</c:v>
                </c:pt>
                <c:pt idx="90">
                  <c:v>77.508572841074596</c:v>
                </c:pt>
                <c:pt idx="91">
                  <c:v>77.837797594412805</c:v>
                </c:pt>
                <c:pt idx="92">
                  <c:v>77.942430425924101</c:v>
                </c:pt>
                <c:pt idx="93">
                  <c:v>77.808361246858993</c:v>
                </c:pt>
                <c:pt idx="94">
                  <c:v>77.638128652132593</c:v>
                </c:pt>
                <c:pt idx="95">
                  <c:v>77.553566680433306</c:v>
                </c:pt>
                <c:pt idx="96">
                  <c:v>77.980703572003705</c:v>
                </c:pt>
                <c:pt idx="97">
                  <c:v>78.4121920195076</c:v>
                </c:pt>
                <c:pt idx="98">
                  <c:v>79.091934077567899</c:v>
                </c:pt>
                <c:pt idx="99">
                  <c:v>79.4086037178091</c:v>
                </c:pt>
                <c:pt idx="100">
                  <c:v>79.893276473820805</c:v>
                </c:pt>
                <c:pt idx="101">
                  <c:v>79.997549920383307</c:v>
                </c:pt>
                <c:pt idx="102">
                  <c:v>79.994322427847806</c:v>
                </c:pt>
                <c:pt idx="103">
                  <c:v>79.987561933911195</c:v>
                </c:pt>
                <c:pt idx="104">
                  <c:v>79.742942474085694</c:v>
                </c:pt>
                <c:pt idx="105">
                  <c:v>79.577067279672804</c:v>
                </c:pt>
                <c:pt idx="106">
                  <c:v>79.622576352334605</c:v>
                </c:pt>
                <c:pt idx="107">
                  <c:v>79.930262705068301</c:v>
                </c:pt>
                <c:pt idx="108">
                  <c:v>80.041285343988605</c:v>
                </c:pt>
                <c:pt idx="109">
                  <c:v>80.206562302162695</c:v>
                </c:pt>
                <c:pt idx="110">
                  <c:v>80.425984157691204</c:v>
                </c:pt>
                <c:pt idx="111">
                  <c:v>80.5202763349739</c:v>
                </c:pt>
                <c:pt idx="112">
                  <c:v>80.774218340001596</c:v>
                </c:pt>
                <c:pt idx="113">
                  <c:v>80.705110616952894</c:v>
                </c:pt>
                <c:pt idx="114">
                  <c:v>80.843606386272</c:v>
                </c:pt>
                <c:pt idx="115">
                  <c:v>80.866112462807195</c:v>
                </c:pt>
                <c:pt idx="116">
                  <c:v>80.925553814734698</c:v>
                </c:pt>
                <c:pt idx="117">
                  <c:v>80.800375314434206</c:v>
                </c:pt>
                <c:pt idx="118">
                  <c:v>81.043826873856403</c:v>
                </c:pt>
                <c:pt idx="119">
                  <c:v>81.200489208425694</c:v>
                </c:pt>
                <c:pt idx="120">
                  <c:v>81.325702438075396</c:v>
                </c:pt>
                <c:pt idx="121">
                  <c:v>81.5612670845737</c:v>
                </c:pt>
                <c:pt idx="122">
                  <c:v>81.7888289703358</c:v>
                </c:pt>
                <c:pt idx="123">
                  <c:v>81.827851463146402</c:v>
                </c:pt>
                <c:pt idx="124">
                  <c:v>81.9190328003167</c:v>
                </c:pt>
                <c:pt idx="125">
                  <c:v>81.931329359342499</c:v>
                </c:pt>
                <c:pt idx="126">
                  <c:v>82.001865069591801</c:v>
                </c:pt>
                <c:pt idx="127">
                  <c:v>81.893171597205495</c:v>
                </c:pt>
                <c:pt idx="128">
                  <c:v>81.983618645150898</c:v>
                </c:pt>
                <c:pt idx="129">
                  <c:v>82.058164103671999</c:v>
                </c:pt>
                <c:pt idx="130">
                  <c:v>81.856233579535996</c:v>
                </c:pt>
                <c:pt idx="131">
                  <c:v>82.226218839418294</c:v>
                </c:pt>
                <c:pt idx="132">
                  <c:v>82.451741134251506</c:v>
                </c:pt>
                <c:pt idx="133">
                  <c:v>82.679845207781995</c:v>
                </c:pt>
                <c:pt idx="134">
                  <c:v>82.825596264816795</c:v>
                </c:pt>
                <c:pt idx="135">
                  <c:v>82.760809880115303</c:v>
                </c:pt>
                <c:pt idx="136">
                  <c:v>82.698876298661204</c:v>
                </c:pt>
                <c:pt idx="137">
                  <c:v>82.725027620560496</c:v>
                </c:pt>
                <c:pt idx="138">
                  <c:v>82.806025021635705</c:v>
                </c:pt>
                <c:pt idx="139">
                  <c:v>82.648682475903897</c:v>
                </c:pt>
                <c:pt idx="140">
                  <c:v>82.726894845049003</c:v>
                </c:pt>
                <c:pt idx="141">
                  <c:v>82.799999029380501</c:v>
                </c:pt>
                <c:pt idx="142">
                  <c:v>82.6718498563298</c:v>
                </c:pt>
                <c:pt idx="143">
                  <c:v>82.950060225010503</c:v>
                </c:pt>
                <c:pt idx="144">
                  <c:v>82.946143202331896</c:v>
                </c:pt>
                <c:pt idx="145">
                  <c:v>82.961320951046801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932224"/>
        <c:axId val="162933760"/>
      </c:lineChart>
      <c:catAx>
        <c:axId val="162932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6293376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6293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932224"/>
        <c:crosses val="autoZero"/>
        <c:crossBetween val="between"/>
      </c:valAx>
      <c:valAx>
        <c:axId val="1629355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62937088"/>
        <c:crosses val="max"/>
        <c:crossBetween val="between"/>
      </c:valAx>
      <c:catAx>
        <c:axId val="162937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93555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Query'!$Q$5:$Q$150</c:f>
              <c:numCache>
                <c:formatCode>0%</c:formatCode>
                <c:ptCount val="146"/>
                <c:pt idx="0">
                  <c:v>1.3214033853566599E-2</c:v>
                </c:pt>
                <c:pt idx="1">
                  <c:v>1.1153200110278301E-2</c:v>
                </c:pt>
                <c:pt idx="2">
                  <c:v>1.2644025438160299E-2</c:v>
                </c:pt>
                <c:pt idx="3">
                  <c:v>1.3217082179037699E-2</c:v>
                </c:pt>
                <c:pt idx="4">
                  <c:v>1.39964446794712E-2</c:v>
                </c:pt>
                <c:pt idx="5">
                  <c:v>1.6059974401441201E-2</c:v>
                </c:pt>
                <c:pt idx="6">
                  <c:v>2.1167569446924599E-2</c:v>
                </c:pt>
                <c:pt idx="7">
                  <c:v>2.16059765998683E-2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2.1384091785982801E-2</c:v>
                </c:pt>
                <c:pt idx="12">
                  <c:v>2.0473067086164198E-2</c:v>
                </c:pt>
                <c:pt idx="13">
                  <c:v>1.89317302664378E-2</c:v>
                </c:pt>
                <c:pt idx="14">
                  <c:v>1.9712869514707201E-2</c:v>
                </c:pt>
                <c:pt idx="15">
                  <c:v>2.66878218720141E-2</c:v>
                </c:pt>
                <c:pt idx="16">
                  <c:v>2.4365254472032302E-2</c:v>
                </c:pt>
                <c:pt idx="17">
                  <c:v>2.27030172996712E-2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2.27896209751474E-2</c:v>
                </c:pt>
                <c:pt idx="23">
                  <c:v>2.0414171190781299E-2</c:v>
                </c:pt>
                <c:pt idx="24">
                  <c:v>2.0220548051852201E-2</c:v>
                </c:pt>
                <c:pt idx="25">
                  <c:v>2.4888563661056001E-2</c:v>
                </c:pt>
                <c:pt idx="26">
                  <c:v>2.3978880843192399E-2</c:v>
                </c:pt>
                <c:pt idx="27">
                  <c:v>2.0742036604422101E-2</c:v>
                </c:pt>
                <c:pt idx="28">
                  <c:v>2.6840486999244E-2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0.25604208841456999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0.25571090777241101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0.28453753894657102</c:v>
                </c:pt>
                <c:pt idx="44">
                  <c:v>0.27954850970586498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0.29479974602203601</c:v>
                </c:pt>
                <c:pt idx="50">
                  <c:v>0.30018736627776699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0.31485195273809702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0.32344256668514099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0.33210440565274801</c:v>
                </c:pt>
                <c:pt idx="61">
                  <c:v>0.31965036017869303</c:v>
                </c:pt>
                <c:pt idx="62">
                  <c:v>0.30721338923919</c:v>
                </c:pt>
                <c:pt idx="63">
                  <c:v>0.32484503679139298</c:v>
                </c:pt>
                <c:pt idx="64">
                  <c:v>0.34039413439216898</c:v>
                </c:pt>
                <c:pt idx="65">
                  <c:v>0.32142740355010901</c:v>
                </c:pt>
                <c:pt idx="66">
                  <c:v>0.32847350810014198</c:v>
                </c:pt>
                <c:pt idx="67">
                  <c:v>0.31868336870622999</c:v>
                </c:pt>
                <c:pt idx="68">
                  <c:v>0.33607801513818097</c:v>
                </c:pt>
                <c:pt idx="69">
                  <c:v>0.37065371536998298</c:v>
                </c:pt>
                <c:pt idx="70">
                  <c:v>0.367791267784353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0.30665761619769899</c:v>
                </c:pt>
                <c:pt idx="74">
                  <c:v>0.295070326807992</c:v>
                </c:pt>
                <c:pt idx="75">
                  <c:v>0.301360516013709</c:v>
                </c:pt>
                <c:pt idx="76">
                  <c:v>0.312415035648752</c:v>
                </c:pt>
                <c:pt idx="77">
                  <c:v>0.31815813113818903</c:v>
                </c:pt>
                <c:pt idx="78">
                  <c:v>0.31707955739888399</c:v>
                </c:pt>
                <c:pt idx="79">
                  <c:v>0.31475885767788397</c:v>
                </c:pt>
                <c:pt idx="80">
                  <c:v>0.30945359177563603</c:v>
                </c:pt>
                <c:pt idx="81">
                  <c:v>0.32605220218625802</c:v>
                </c:pt>
                <c:pt idx="82">
                  <c:v>0.32344434841451197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0.28832487174291599</c:v>
                </c:pt>
                <c:pt idx="87">
                  <c:v>0.28355778919539698</c:v>
                </c:pt>
                <c:pt idx="88">
                  <c:v>0.28517471897831898</c:v>
                </c:pt>
                <c:pt idx="89">
                  <c:v>0.27448138184562199</c:v>
                </c:pt>
                <c:pt idx="90">
                  <c:v>0.271344279061353</c:v>
                </c:pt>
                <c:pt idx="91">
                  <c:v>0.27858044460794301</c:v>
                </c:pt>
                <c:pt idx="92">
                  <c:v>0.27239662139969401</c:v>
                </c:pt>
                <c:pt idx="93">
                  <c:v>0.28762591004458499</c:v>
                </c:pt>
                <c:pt idx="94">
                  <c:v>0.31326019116319598</c:v>
                </c:pt>
                <c:pt idx="95">
                  <c:v>0.319872427731487</c:v>
                </c:pt>
                <c:pt idx="96">
                  <c:v>0.32151789622334498</c:v>
                </c:pt>
                <c:pt idx="97">
                  <c:v>0.29764988347825</c:v>
                </c:pt>
                <c:pt idx="98">
                  <c:v>0.287501640949613</c:v>
                </c:pt>
                <c:pt idx="99">
                  <c:v>0.27887427708074303</c:v>
                </c:pt>
                <c:pt idx="100">
                  <c:v>0.28110698657093303</c:v>
                </c:pt>
                <c:pt idx="101">
                  <c:v>0.28079551834164501</c:v>
                </c:pt>
                <c:pt idx="102">
                  <c:v>0.27287221464637801</c:v>
                </c:pt>
                <c:pt idx="103">
                  <c:v>0.275249862195238</c:v>
                </c:pt>
                <c:pt idx="104">
                  <c:v>0.27064716125585703</c:v>
                </c:pt>
                <c:pt idx="105">
                  <c:v>0.26105925719805601</c:v>
                </c:pt>
                <c:pt idx="106">
                  <c:v>0.26732894786611999</c:v>
                </c:pt>
                <c:pt idx="107">
                  <c:v>0.26157806679984102</c:v>
                </c:pt>
                <c:pt idx="108">
                  <c:v>0.25390844569801402</c:v>
                </c:pt>
                <c:pt idx="109">
                  <c:v>0.25766637668109099</c:v>
                </c:pt>
                <c:pt idx="110">
                  <c:v>0.25448423881191201</c:v>
                </c:pt>
                <c:pt idx="111">
                  <c:v>0.24575199886231799</c:v>
                </c:pt>
                <c:pt idx="112">
                  <c:v>0.24307617004430199</c:v>
                </c:pt>
                <c:pt idx="113">
                  <c:v>0.24584655238150399</c:v>
                </c:pt>
                <c:pt idx="114">
                  <c:v>0.25383414809773602</c:v>
                </c:pt>
                <c:pt idx="115">
                  <c:v>0.25544920449144998</c:v>
                </c:pt>
                <c:pt idx="116">
                  <c:v>0.25560995908197398</c:v>
                </c:pt>
                <c:pt idx="117">
                  <c:v>0.26462376759609502</c:v>
                </c:pt>
                <c:pt idx="118">
                  <c:v>0.267770092509233</c:v>
                </c:pt>
                <c:pt idx="119">
                  <c:v>0.26710168753772401</c:v>
                </c:pt>
                <c:pt idx="120">
                  <c:v>0.26794073060632401</c:v>
                </c:pt>
                <c:pt idx="121">
                  <c:v>0.26164794287106502</c:v>
                </c:pt>
                <c:pt idx="122">
                  <c:v>0.25208186650608</c:v>
                </c:pt>
                <c:pt idx="123">
                  <c:v>0.26111241421832199</c:v>
                </c:pt>
                <c:pt idx="124">
                  <c:v>0.28424451003106099</c:v>
                </c:pt>
                <c:pt idx="125">
                  <c:v>0.29331220050253898</c:v>
                </c:pt>
                <c:pt idx="126">
                  <c:v>0.304715372991815</c:v>
                </c:pt>
                <c:pt idx="127">
                  <c:v>0.30501204150837602</c:v>
                </c:pt>
                <c:pt idx="128">
                  <c:v>0.30212770635860797</c:v>
                </c:pt>
                <c:pt idx="129">
                  <c:v>0.31111711432241701</c:v>
                </c:pt>
                <c:pt idx="130">
                  <c:v>0.326066586661303</c:v>
                </c:pt>
                <c:pt idx="131">
                  <c:v>0.30842172890368003</c:v>
                </c:pt>
                <c:pt idx="132">
                  <c:v>0.29977074297467998</c:v>
                </c:pt>
                <c:pt idx="133">
                  <c:v>0.29884259120715101</c:v>
                </c:pt>
                <c:pt idx="134">
                  <c:v>0.292372068977993</c:v>
                </c:pt>
                <c:pt idx="135">
                  <c:v>0.28912803306412299</c:v>
                </c:pt>
                <c:pt idx="136">
                  <c:v>0.292572300486659</c:v>
                </c:pt>
                <c:pt idx="137">
                  <c:v>0.30133477473338999</c:v>
                </c:pt>
                <c:pt idx="138">
                  <c:v>0.30946150188699401</c:v>
                </c:pt>
                <c:pt idx="139">
                  <c:v>0.312501649272727</c:v>
                </c:pt>
                <c:pt idx="140">
                  <c:v>0.31225215513724403</c:v>
                </c:pt>
                <c:pt idx="141">
                  <c:v>0.31902548887329202</c:v>
                </c:pt>
                <c:pt idx="142">
                  <c:v>0.32254502946695401</c:v>
                </c:pt>
                <c:pt idx="143">
                  <c:v>0.30203236660688898</c:v>
                </c:pt>
                <c:pt idx="144">
                  <c:v>0.30077326622622502</c:v>
                </c:pt>
                <c:pt idx="145">
                  <c:v>0.29594927973713903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980608"/>
        <c:axId val="162974720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Query'!$P$5:$P$150</c:f>
              <c:numCache>
                <c:formatCode>General</c:formatCode>
                <c:ptCount val="146"/>
                <c:pt idx="0">
                  <c:v>33.494897247675397</c:v>
                </c:pt>
                <c:pt idx="1">
                  <c:v>33.7182309791107</c:v>
                </c:pt>
                <c:pt idx="2">
                  <c:v>34.146724560705401</c:v>
                </c:pt>
                <c:pt idx="3">
                  <c:v>33.498398894729299</c:v>
                </c:pt>
                <c:pt idx="4">
                  <c:v>33.485657077991299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36.512469501669301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35.6489678872315</c:v>
                </c:pt>
                <c:pt idx="12">
                  <c:v>35.983860754805796</c:v>
                </c:pt>
                <c:pt idx="13">
                  <c:v>35.526911453853302</c:v>
                </c:pt>
                <c:pt idx="14">
                  <c:v>34.992796676142099</c:v>
                </c:pt>
                <c:pt idx="15">
                  <c:v>36.220778947235601</c:v>
                </c:pt>
                <c:pt idx="16">
                  <c:v>36.725576191617002</c:v>
                </c:pt>
                <c:pt idx="17">
                  <c:v>36.157033768122801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36.5639802821904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35.633553387060303</c:v>
                </c:pt>
                <c:pt idx="27">
                  <c:v>35.075540490054998</c:v>
                </c:pt>
                <c:pt idx="28">
                  <c:v>35.147215732380403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37.501602262048998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37.944023424215104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37.784328278355098</c:v>
                </c:pt>
                <c:pt idx="44">
                  <c:v>37.718187826882101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37.926114853981097</c:v>
                </c:pt>
                <c:pt idx="50">
                  <c:v>38.352053831064303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39.155855037278897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39.489770337798902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38.763320523913798</c:v>
                </c:pt>
                <c:pt idx="61">
                  <c:v>38.559555713699098</c:v>
                </c:pt>
                <c:pt idx="62">
                  <c:v>38.341732864603699</c:v>
                </c:pt>
                <c:pt idx="63">
                  <c:v>37.999022975700299</c:v>
                </c:pt>
                <c:pt idx="64">
                  <c:v>38.161391290982401</c:v>
                </c:pt>
                <c:pt idx="65">
                  <c:v>37.988041819556599</c:v>
                </c:pt>
                <c:pt idx="66">
                  <c:v>37.893642795120201</c:v>
                </c:pt>
                <c:pt idx="67">
                  <c:v>37.863287602496598</c:v>
                </c:pt>
                <c:pt idx="68">
                  <c:v>37.7564539019778</c:v>
                </c:pt>
                <c:pt idx="69">
                  <c:v>36.704341766811801</c:v>
                </c:pt>
                <c:pt idx="70">
                  <c:v>36.205808346435497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34.719716052328401</c:v>
                </c:pt>
                <c:pt idx="74">
                  <c:v>34.3486666650331</c:v>
                </c:pt>
                <c:pt idx="75">
                  <c:v>34.6107153733629</c:v>
                </c:pt>
                <c:pt idx="76">
                  <c:v>35.062181072393599</c:v>
                </c:pt>
                <c:pt idx="77">
                  <c:v>35.2848405585259</c:v>
                </c:pt>
                <c:pt idx="78">
                  <c:v>35.346324530510302</c:v>
                </c:pt>
                <c:pt idx="79">
                  <c:v>35.1667411870623</c:v>
                </c:pt>
                <c:pt idx="80">
                  <c:v>35.096282130919299</c:v>
                </c:pt>
                <c:pt idx="81">
                  <c:v>35.3508411911533</c:v>
                </c:pt>
                <c:pt idx="82">
                  <c:v>35.168301849716002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34.135812191148297</c:v>
                </c:pt>
                <c:pt idx="87">
                  <c:v>34.011766218461197</c:v>
                </c:pt>
                <c:pt idx="88">
                  <c:v>33.848965056113798</c:v>
                </c:pt>
                <c:pt idx="89">
                  <c:v>33.5576122403547</c:v>
                </c:pt>
                <c:pt idx="90">
                  <c:v>33.446969337891602</c:v>
                </c:pt>
                <c:pt idx="91">
                  <c:v>33.559075656695398</c:v>
                </c:pt>
                <c:pt idx="92">
                  <c:v>33.487827800598602</c:v>
                </c:pt>
                <c:pt idx="93">
                  <c:v>33.8951357753784</c:v>
                </c:pt>
                <c:pt idx="94">
                  <c:v>34.494816098160101</c:v>
                </c:pt>
                <c:pt idx="95">
                  <c:v>34.640563307089003</c:v>
                </c:pt>
                <c:pt idx="96">
                  <c:v>34.674479233867103</c:v>
                </c:pt>
                <c:pt idx="97">
                  <c:v>34.252139111142597</c:v>
                </c:pt>
                <c:pt idx="98">
                  <c:v>34.045091137562203</c:v>
                </c:pt>
                <c:pt idx="99">
                  <c:v>33.867489591730902</c:v>
                </c:pt>
                <c:pt idx="100">
                  <c:v>33.923728827793703</c:v>
                </c:pt>
                <c:pt idx="101">
                  <c:v>33.813525149721997</c:v>
                </c:pt>
                <c:pt idx="102">
                  <c:v>33.733487916258603</c:v>
                </c:pt>
                <c:pt idx="103">
                  <c:v>33.656871711463303</c:v>
                </c:pt>
                <c:pt idx="104">
                  <c:v>33.655157879528304</c:v>
                </c:pt>
                <c:pt idx="105">
                  <c:v>33.616764795031301</c:v>
                </c:pt>
                <c:pt idx="106">
                  <c:v>33.679289577888902</c:v>
                </c:pt>
                <c:pt idx="107">
                  <c:v>33.517464455945003</c:v>
                </c:pt>
                <c:pt idx="108">
                  <c:v>33.383530018783603</c:v>
                </c:pt>
                <c:pt idx="109">
                  <c:v>33.320969301989898</c:v>
                </c:pt>
                <c:pt idx="110">
                  <c:v>33.121501266058502</c:v>
                </c:pt>
                <c:pt idx="111">
                  <c:v>32.914894096552899</c:v>
                </c:pt>
                <c:pt idx="112">
                  <c:v>32.835058548279001</c:v>
                </c:pt>
                <c:pt idx="113">
                  <c:v>32.877390032993198</c:v>
                </c:pt>
                <c:pt idx="114">
                  <c:v>33.068171385250899</c:v>
                </c:pt>
                <c:pt idx="115">
                  <c:v>33.0765463497358</c:v>
                </c:pt>
                <c:pt idx="116">
                  <c:v>33.1249472170026</c:v>
                </c:pt>
                <c:pt idx="117">
                  <c:v>33.236666006629001</c:v>
                </c:pt>
                <c:pt idx="118">
                  <c:v>33.429044897728502</c:v>
                </c:pt>
                <c:pt idx="119">
                  <c:v>33.479233755489297</c:v>
                </c:pt>
                <c:pt idx="120">
                  <c:v>33.556560873923601</c:v>
                </c:pt>
                <c:pt idx="121">
                  <c:v>33.442949942350502</c:v>
                </c:pt>
                <c:pt idx="122">
                  <c:v>33.228836462083102</c:v>
                </c:pt>
                <c:pt idx="123">
                  <c:v>33.415347228067603</c:v>
                </c:pt>
                <c:pt idx="124">
                  <c:v>34.0414134834745</c:v>
                </c:pt>
                <c:pt idx="125">
                  <c:v>34.358023343400497</c:v>
                </c:pt>
                <c:pt idx="126">
                  <c:v>34.648006233967998</c:v>
                </c:pt>
                <c:pt idx="127">
                  <c:v>34.628107319458202</c:v>
                </c:pt>
                <c:pt idx="128">
                  <c:v>34.5666116045888</c:v>
                </c:pt>
                <c:pt idx="129">
                  <c:v>34.760092377593502</c:v>
                </c:pt>
                <c:pt idx="130">
                  <c:v>35.099450367876898</c:v>
                </c:pt>
                <c:pt idx="131">
                  <c:v>34.816657466332202</c:v>
                </c:pt>
                <c:pt idx="132">
                  <c:v>34.675936119585899</c:v>
                </c:pt>
                <c:pt idx="133">
                  <c:v>34.661162842672901</c:v>
                </c:pt>
                <c:pt idx="134">
                  <c:v>34.469118698589199</c:v>
                </c:pt>
                <c:pt idx="135">
                  <c:v>34.322668964414902</c:v>
                </c:pt>
                <c:pt idx="136">
                  <c:v>34.445658086161799</c:v>
                </c:pt>
                <c:pt idx="137">
                  <c:v>34.610194558743203</c:v>
                </c:pt>
                <c:pt idx="138">
                  <c:v>34.799602284529101</c:v>
                </c:pt>
                <c:pt idx="139">
                  <c:v>34.846411519785804</c:v>
                </c:pt>
                <c:pt idx="140">
                  <c:v>34.825549801776098</c:v>
                </c:pt>
                <c:pt idx="141">
                  <c:v>34.979534284843602</c:v>
                </c:pt>
                <c:pt idx="142">
                  <c:v>35.030265771356703</c:v>
                </c:pt>
                <c:pt idx="143">
                  <c:v>34.588396942070901</c:v>
                </c:pt>
                <c:pt idx="144">
                  <c:v>34.589627076095397</c:v>
                </c:pt>
                <c:pt idx="145">
                  <c:v>34.455525298530901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971648"/>
        <c:axId val="162973184"/>
      </c:lineChart>
      <c:catAx>
        <c:axId val="162971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297318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62973184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971648"/>
        <c:crosses val="autoZero"/>
        <c:crossBetween val="between"/>
      </c:valAx>
      <c:valAx>
        <c:axId val="162974720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162980608"/>
        <c:crosses val="max"/>
        <c:crossBetween val="between"/>
      </c:valAx>
      <c:catAx>
        <c:axId val="162980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97472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Query'!$Y$5:$Y$150</c:f>
              <c:numCache>
                <c:formatCode>0%</c:formatCode>
                <c:ptCount val="146"/>
                <c:pt idx="0">
                  <c:v>0.32552540334650598</c:v>
                </c:pt>
                <c:pt idx="1">
                  <c:v>0.31736980921803998</c:v>
                </c:pt>
                <c:pt idx="2">
                  <c:v>0.32366346376695998</c:v>
                </c:pt>
                <c:pt idx="3">
                  <c:v>0.31012537854220201</c:v>
                </c:pt>
                <c:pt idx="4">
                  <c:v>0.30673000001085399</c:v>
                </c:pt>
                <c:pt idx="5">
                  <c:v>0.325559155206814</c:v>
                </c:pt>
                <c:pt idx="6">
                  <c:v>0.34444111149615098</c:v>
                </c:pt>
                <c:pt idx="7">
                  <c:v>0.339664978186758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0.32413504500143903</c:v>
                </c:pt>
                <c:pt idx="12">
                  <c:v>0.31650083814304297</c:v>
                </c:pt>
                <c:pt idx="13">
                  <c:v>0.31188618870316498</c:v>
                </c:pt>
                <c:pt idx="14">
                  <c:v>0.32135414932178502</c:v>
                </c:pt>
                <c:pt idx="15">
                  <c:v>0.34685847478755499</c:v>
                </c:pt>
                <c:pt idx="16">
                  <c:v>0.34856829980590698</c:v>
                </c:pt>
                <c:pt idx="17">
                  <c:v>0.337279657049117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0.32539461336384001</c:v>
                </c:pt>
                <c:pt idx="23">
                  <c:v>0.31175809732214199</c:v>
                </c:pt>
                <c:pt idx="24">
                  <c:v>0.31192531307344201</c:v>
                </c:pt>
                <c:pt idx="25">
                  <c:v>0.31915669681855002</c:v>
                </c:pt>
                <c:pt idx="26">
                  <c:v>0.31631796100141901</c:v>
                </c:pt>
                <c:pt idx="27">
                  <c:v>0.30538804890256599</c:v>
                </c:pt>
                <c:pt idx="28">
                  <c:v>0.29227003191516798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0.27543160169902903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0.26931987091908599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0.28244071580254698</c:v>
                </c:pt>
                <c:pt idx="44">
                  <c:v>0.28267583421654802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0.31736322727135702</c:v>
                </c:pt>
                <c:pt idx="50">
                  <c:v>0.32994997846275098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0.32561141745214001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0.31873641481570802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0.241430128341835</c:v>
                </c:pt>
                <c:pt idx="61">
                  <c:v>0.20023623442105001</c:v>
                </c:pt>
                <c:pt idx="62">
                  <c:v>0.18323535030281299</c:v>
                </c:pt>
                <c:pt idx="63">
                  <c:v>0.173153700247589</c:v>
                </c:pt>
                <c:pt idx="64">
                  <c:v>0.16640580356024401</c:v>
                </c:pt>
                <c:pt idx="65">
                  <c:v>0.177445284968613</c:v>
                </c:pt>
                <c:pt idx="66">
                  <c:v>0.16267950338576401</c:v>
                </c:pt>
                <c:pt idx="67">
                  <c:v>0.15477775916858899</c:v>
                </c:pt>
                <c:pt idx="68">
                  <c:v>0.16220081425273</c:v>
                </c:pt>
                <c:pt idx="69">
                  <c:v>0.140197330259278</c:v>
                </c:pt>
                <c:pt idx="70">
                  <c:v>0.123674269970081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8.7515307690631497E-2</c:v>
                </c:pt>
                <c:pt idx="74">
                  <c:v>7.8300566764158197E-2</c:v>
                </c:pt>
                <c:pt idx="75">
                  <c:v>7.5177874786257204E-2</c:v>
                </c:pt>
                <c:pt idx="76">
                  <c:v>7.68331120579719E-2</c:v>
                </c:pt>
                <c:pt idx="77">
                  <c:v>8.2429595201286898E-2</c:v>
                </c:pt>
                <c:pt idx="78">
                  <c:v>8.76909251191334E-2</c:v>
                </c:pt>
                <c:pt idx="79">
                  <c:v>8.4410849267763197E-2</c:v>
                </c:pt>
                <c:pt idx="80">
                  <c:v>8.6705418936856196E-2</c:v>
                </c:pt>
                <c:pt idx="81">
                  <c:v>8.9067713239008597E-2</c:v>
                </c:pt>
                <c:pt idx="82">
                  <c:v>8.6689856219654499E-2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8.4139494871519796E-2</c:v>
                </c:pt>
                <c:pt idx="87">
                  <c:v>8.5429424015766503E-2</c:v>
                </c:pt>
                <c:pt idx="88">
                  <c:v>8.3655813641190901E-2</c:v>
                </c:pt>
                <c:pt idx="89">
                  <c:v>8.2191299826441605E-2</c:v>
                </c:pt>
                <c:pt idx="90">
                  <c:v>7.9307129121269804E-2</c:v>
                </c:pt>
                <c:pt idx="91">
                  <c:v>7.6552959238073204E-2</c:v>
                </c:pt>
                <c:pt idx="92">
                  <c:v>7.5971479839057096E-2</c:v>
                </c:pt>
                <c:pt idx="93">
                  <c:v>8.1437592939799103E-2</c:v>
                </c:pt>
                <c:pt idx="94">
                  <c:v>8.6058253104911206E-2</c:v>
                </c:pt>
                <c:pt idx="95">
                  <c:v>9.3031068029574907E-2</c:v>
                </c:pt>
                <c:pt idx="96">
                  <c:v>9.1089972624073604E-2</c:v>
                </c:pt>
                <c:pt idx="97">
                  <c:v>8.66192531494651E-2</c:v>
                </c:pt>
                <c:pt idx="98">
                  <c:v>9.1407920331609702E-2</c:v>
                </c:pt>
                <c:pt idx="99">
                  <c:v>9.1604255359206105E-2</c:v>
                </c:pt>
                <c:pt idx="100">
                  <c:v>9.44189309015048E-2</c:v>
                </c:pt>
                <c:pt idx="101">
                  <c:v>9.5262443071944702E-2</c:v>
                </c:pt>
                <c:pt idx="102">
                  <c:v>9.1581517813900795E-2</c:v>
                </c:pt>
                <c:pt idx="103">
                  <c:v>9.2082831485556599E-2</c:v>
                </c:pt>
                <c:pt idx="104">
                  <c:v>8.7313625509359505E-2</c:v>
                </c:pt>
                <c:pt idx="105">
                  <c:v>8.6151049782676598E-2</c:v>
                </c:pt>
                <c:pt idx="106">
                  <c:v>8.5781845087441896E-2</c:v>
                </c:pt>
                <c:pt idx="107">
                  <c:v>8.36630802928469E-2</c:v>
                </c:pt>
                <c:pt idx="108">
                  <c:v>8.2484010965590507E-2</c:v>
                </c:pt>
                <c:pt idx="109">
                  <c:v>8.1952917281064297E-2</c:v>
                </c:pt>
                <c:pt idx="110">
                  <c:v>8.4442892037218498E-2</c:v>
                </c:pt>
                <c:pt idx="111">
                  <c:v>8.3411421784346601E-2</c:v>
                </c:pt>
                <c:pt idx="112">
                  <c:v>8.9158109260444401E-2</c:v>
                </c:pt>
                <c:pt idx="113">
                  <c:v>8.8541904484275194E-2</c:v>
                </c:pt>
                <c:pt idx="114">
                  <c:v>8.6895177059962594E-2</c:v>
                </c:pt>
                <c:pt idx="115">
                  <c:v>8.9198353639291697E-2</c:v>
                </c:pt>
                <c:pt idx="116">
                  <c:v>8.7854049336442502E-2</c:v>
                </c:pt>
                <c:pt idx="117">
                  <c:v>9.5032351596639697E-2</c:v>
                </c:pt>
                <c:pt idx="118">
                  <c:v>9.6986521429274206E-2</c:v>
                </c:pt>
                <c:pt idx="119">
                  <c:v>9.1589233896697805E-2</c:v>
                </c:pt>
                <c:pt idx="120">
                  <c:v>9.3299125345115905E-2</c:v>
                </c:pt>
                <c:pt idx="121">
                  <c:v>9.4256092593603E-2</c:v>
                </c:pt>
                <c:pt idx="122">
                  <c:v>9.6571858683146397E-2</c:v>
                </c:pt>
                <c:pt idx="123">
                  <c:v>9.7422158776019799E-2</c:v>
                </c:pt>
                <c:pt idx="124">
                  <c:v>0.10240669631997799</c:v>
                </c:pt>
                <c:pt idx="125">
                  <c:v>0.11166350322123</c:v>
                </c:pt>
                <c:pt idx="126">
                  <c:v>0.118117013085428</c:v>
                </c:pt>
                <c:pt idx="127">
                  <c:v>0.122631934366872</c:v>
                </c:pt>
                <c:pt idx="128">
                  <c:v>0.12337351423576701</c:v>
                </c:pt>
                <c:pt idx="129">
                  <c:v>0.12805661972827001</c:v>
                </c:pt>
                <c:pt idx="130">
                  <c:v>0.133940209650801</c:v>
                </c:pt>
                <c:pt idx="131">
                  <c:v>0.136849264796784</c:v>
                </c:pt>
                <c:pt idx="132">
                  <c:v>0.137807709955651</c:v>
                </c:pt>
                <c:pt idx="133">
                  <c:v>0.14051454639572</c:v>
                </c:pt>
                <c:pt idx="134">
                  <c:v>0.142896947192278</c:v>
                </c:pt>
                <c:pt idx="135">
                  <c:v>0.14214393533160299</c:v>
                </c:pt>
                <c:pt idx="136">
                  <c:v>0.146716544232804</c:v>
                </c:pt>
                <c:pt idx="137">
                  <c:v>0.14744949602653001</c:v>
                </c:pt>
                <c:pt idx="138">
                  <c:v>0.15614999525418599</c:v>
                </c:pt>
                <c:pt idx="139">
                  <c:v>0.15472556611875801</c:v>
                </c:pt>
                <c:pt idx="140">
                  <c:v>0.155627447967319</c:v>
                </c:pt>
                <c:pt idx="141">
                  <c:v>0.15830472899411399</c:v>
                </c:pt>
                <c:pt idx="142">
                  <c:v>0.160868404347313</c:v>
                </c:pt>
                <c:pt idx="143">
                  <c:v>0.14691246628329799</c:v>
                </c:pt>
                <c:pt idx="144">
                  <c:v>0.142311552894924</c:v>
                </c:pt>
                <c:pt idx="145">
                  <c:v>0.14240539660943999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41408"/>
        <c:axId val="162639872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Query'!$W$5:$W$150</c:f>
              <c:strCache>
                <c:ptCount val="146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</c:strCache>
            </c:strRef>
          </c:cat>
          <c:val>
            <c:numRef>
              <c:f>'Time Series Query'!$X$5:$X$150</c:f>
              <c:numCache>
                <c:formatCode>General</c:formatCode>
                <c:ptCount val="146"/>
                <c:pt idx="0">
                  <c:v>721.82095826598299</c:v>
                </c:pt>
                <c:pt idx="1">
                  <c:v>722.77500565149899</c:v>
                </c:pt>
                <c:pt idx="2">
                  <c:v>722.25565515955498</c:v>
                </c:pt>
                <c:pt idx="3">
                  <c:v>724.13043049769794</c:v>
                </c:pt>
                <c:pt idx="4">
                  <c:v>724.69001272811101</c:v>
                </c:pt>
                <c:pt idx="5">
                  <c:v>722.36494109535602</c:v>
                </c:pt>
                <c:pt idx="6">
                  <c:v>719.09071003198596</c:v>
                </c:pt>
                <c:pt idx="7">
                  <c:v>720.40606203129505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721.56281309935798</c:v>
                </c:pt>
                <c:pt idx="12">
                  <c:v>723.07301547125496</c:v>
                </c:pt>
                <c:pt idx="13">
                  <c:v>724.09011428757503</c:v>
                </c:pt>
                <c:pt idx="14">
                  <c:v>722.99316837448498</c:v>
                </c:pt>
                <c:pt idx="15">
                  <c:v>720.05720457238999</c:v>
                </c:pt>
                <c:pt idx="16">
                  <c:v>719.797868102076</c:v>
                </c:pt>
                <c:pt idx="17">
                  <c:v>720.92881207466598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723.637747969624</c:v>
                </c:pt>
                <c:pt idx="23">
                  <c:v>725.25839259543602</c:v>
                </c:pt>
                <c:pt idx="24">
                  <c:v>725.45443780722496</c:v>
                </c:pt>
                <c:pt idx="25">
                  <c:v>724.54450005986598</c:v>
                </c:pt>
                <c:pt idx="26">
                  <c:v>725.24416475674298</c:v>
                </c:pt>
                <c:pt idx="27">
                  <c:v>727.32851128836899</c:v>
                </c:pt>
                <c:pt idx="28">
                  <c:v>728.11822863875295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730.87369541317798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732.49601929884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730.60265144365599</c:v>
                </c:pt>
                <c:pt idx="44">
                  <c:v>730.47782131374504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726.03782382293798</c:v>
                </c:pt>
                <c:pt idx="50">
                  <c:v>724.46347829876504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725.21978804700802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725.61509622047595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736.65069694176304</c:v>
                </c:pt>
                <c:pt idx="61">
                  <c:v>742.222862301183</c:v>
                </c:pt>
                <c:pt idx="62">
                  <c:v>744.50255708489203</c:v>
                </c:pt>
                <c:pt idx="63">
                  <c:v>746.24269414627599</c:v>
                </c:pt>
                <c:pt idx="64">
                  <c:v>747.62063220995401</c:v>
                </c:pt>
                <c:pt idx="65">
                  <c:v>746.048226946775</c:v>
                </c:pt>
                <c:pt idx="66">
                  <c:v>748.10181343452996</c:v>
                </c:pt>
                <c:pt idx="67">
                  <c:v>748.91250127599301</c:v>
                </c:pt>
                <c:pt idx="68">
                  <c:v>747.67307981041199</c:v>
                </c:pt>
                <c:pt idx="69">
                  <c:v>751.15797505422495</c:v>
                </c:pt>
                <c:pt idx="70">
                  <c:v>753.836876819336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759.07286748086904</c:v>
                </c:pt>
                <c:pt idx="74">
                  <c:v>760.65613459844997</c:v>
                </c:pt>
                <c:pt idx="75">
                  <c:v>761.27193985439999</c:v>
                </c:pt>
                <c:pt idx="76">
                  <c:v>760.53277686443903</c:v>
                </c:pt>
                <c:pt idx="77">
                  <c:v>759.72591769650705</c:v>
                </c:pt>
                <c:pt idx="78">
                  <c:v>759.44774185470101</c:v>
                </c:pt>
                <c:pt idx="79">
                  <c:v>759.77843640103094</c:v>
                </c:pt>
                <c:pt idx="80">
                  <c:v>759.47296644487005</c:v>
                </c:pt>
                <c:pt idx="81">
                  <c:v>759.55088579060998</c:v>
                </c:pt>
                <c:pt idx="82">
                  <c:v>759.42978397366801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761.23580818420896</c:v>
                </c:pt>
                <c:pt idx="87">
                  <c:v>760.87938286905</c:v>
                </c:pt>
                <c:pt idx="88">
                  <c:v>761.77021296223404</c:v>
                </c:pt>
                <c:pt idx="89">
                  <c:v>762.20978525417195</c:v>
                </c:pt>
                <c:pt idx="90">
                  <c:v>762.31989803796102</c:v>
                </c:pt>
                <c:pt idx="91">
                  <c:v>762.664513090382</c:v>
                </c:pt>
                <c:pt idx="92">
                  <c:v>762.74176259389799</c:v>
                </c:pt>
                <c:pt idx="93">
                  <c:v>761.89350586452201</c:v>
                </c:pt>
                <c:pt idx="94">
                  <c:v>760.60832650649604</c:v>
                </c:pt>
                <c:pt idx="95">
                  <c:v>759.50569560703002</c:v>
                </c:pt>
                <c:pt idx="96">
                  <c:v>759.975962803107</c:v>
                </c:pt>
                <c:pt idx="97">
                  <c:v>760.82402569153601</c:v>
                </c:pt>
                <c:pt idx="98">
                  <c:v>760.10416700261203</c:v>
                </c:pt>
                <c:pt idx="99">
                  <c:v>760.11089092925397</c:v>
                </c:pt>
                <c:pt idx="100">
                  <c:v>759.68574303527498</c:v>
                </c:pt>
                <c:pt idx="101">
                  <c:v>759.31136265639805</c:v>
                </c:pt>
                <c:pt idx="102">
                  <c:v>760.11994455534398</c:v>
                </c:pt>
                <c:pt idx="103">
                  <c:v>760.09068987419801</c:v>
                </c:pt>
                <c:pt idx="104">
                  <c:v>760.81334271789297</c:v>
                </c:pt>
                <c:pt idx="105">
                  <c:v>761.11114239602796</c:v>
                </c:pt>
                <c:pt idx="106">
                  <c:v>760.52328958127202</c:v>
                </c:pt>
                <c:pt idx="107">
                  <c:v>760.69826911231303</c:v>
                </c:pt>
                <c:pt idx="108">
                  <c:v>761.22105616828799</c:v>
                </c:pt>
                <c:pt idx="109">
                  <c:v>761.68214700317503</c:v>
                </c:pt>
                <c:pt idx="110">
                  <c:v>761.328024759296</c:v>
                </c:pt>
                <c:pt idx="111">
                  <c:v>761.209296502906</c:v>
                </c:pt>
                <c:pt idx="112">
                  <c:v>760.56704735831397</c:v>
                </c:pt>
                <c:pt idx="113">
                  <c:v>760.08884618930597</c:v>
                </c:pt>
                <c:pt idx="114">
                  <c:v>760.12747000458296</c:v>
                </c:pt>
                <c:pt idx="115">
                  <c:v>759.90551704346296</c:v>
                </c:pt>
                <c:pt idx="116">
                  <c:v>759.65100694832404</c:v>
                </c:pt>
                <c:pt idx="117">
                  <c:v>758.83265866612305</c:v>
                </c:pt>
                <c:pt idx="118">
                  <c:v>758.31040860104099</c:v>
                </c:pt>
                <c:pt idx="119">
                  <c:v>758.50138413694401</c:v>
                </c:pt>
                <c:pt idx="120">
                  <c:v>758.42267716896799</c:v>
                </c:pt>
                <c:pt idx="121">
                  <c:v>758.39517424014696</c:v>
                </c:pt>
                <c:pt idx="122">
                  <c:v>758.28635665856098</c:v>
                </c:pt>
                <c:pt idx="123">
                  <c:v>757.91742361522199</c:v>
                </c:pt>
                <c:pt idx="124">
                  <c:v>756.65309096524095</c:v>
                </c:pt>
                <c:pt idx="125">
                  <c:v>755.17990223477602</c:v>
                </c:pt>
                <c:pt idx="126">
                  <c:v>754.17844059723097</c:v>
                </c:pt>
                <c:pt idx="127">
                  <c:v>753.46744924726704</c:v>
                </c:pt>
                <c:pt idx="128">
                  <c:v>753.533586442206</c:v>
                </c:pt>
                <c:pt idx="129">
                  <c:v>752.81585049342698</c:v>
                </c:pt>
                <c:pt idx="130">
                  <c:v>752.01802300598297</c:v>
                </c:pt>
                <c:pt idx="131">
                  <c:v>751.46145428432101</c:v>
                </c:pt>
                <c:pt idx="132">
                  <c:v>751.61544232733797</c:v>
                </c:pt>
                <c:pt idx="133">
                  <c:v>751.34573772027397</c:v>
                </c:pt>
                <c:pt idx="134">
                  <c:v>751.34658083025101</c:v>
                </c:pt>
                <c:pt idx="135">
                  <c:v>751.49916793197099</c:v>
                </c:pt>
                <c:pt idx="136">
                  <c:v>750.90629465641405</c:v>
                </c:pt>
                <c:pt idx="137">
                  <c:v>750.89041693345405</c:v>
                </c:pt>
                <c:pt idx="138">
                  <c:v>749.74175563471795</c:v>
                </c:pt>
                <c:pt idx="139">
                  <c:v>749.85098239753597</c:v>
                </c:pt>
                <c:pt idx="140">
                  <c:v>749.70818030748501</c:v>
                </c:pt>
                <c:pt idx="141">
                  <c:v>749.18624317874605</c:v>
                </c:pt>
                <c:pt idx="142">
                  <c:v>749.12037373042301</c:v>
                </c:pt>
                <c:pt idx="143">
                  <c:v>750.56998764591503</c:v>
                </c:pt>
                <c:pt idx="144">
                  <c:v>751.39344332595499</c:v>
                </c:pt>
                <c:pt idx="145">
                  <c:v>751.75185833983403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32448"/>
        <c:axId val="162633984"/>
      </c:lineChart>
      <c:catAx>
        <c:axId val="16263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263398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6263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632448"/>
        <c:crosses val="autoZero"/>
        <c:crossBetween val="between"/>
      </c:valAx>
      <c:valAx>
        <c:axId val="1626398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62641408"/>
        <c:crosses val="max"/>
        <c:crossBetween val="between"/>
      </c:valAx>
      <c:catAx>
        <c:axId val="162641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6263987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19</xdr:row>
      <xdr:rowOff>140073</xdr:rowOff>
    </xdr:from>
    <xdr:to>
      <xdr:col>18</xdr:col>
      <xdr:colOff>600138</xdr:colOff>
      <xdr:row>43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215397</xdr:colOff>
      <xdr:row>43</xdr:row>
      <xdr:rowOff>96371</xdr:rowOff>
    </xdr:from>
    <xdr:to>
      <xdr:col>12</xdr:col>
      <xdr:colOff>717177</xdr:colOff>
      <xdr:row>45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19</xdr:row>
      <xdr:rowOff>139451</xdr:rowOff>
    </xdr:from>
    <xdr:to>
      <xdr:col>13</xdr:col>
      <xdr:colOff>145676</xdr:colOff>
      <xdr:row>43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367795</xdr:colOff>
      <xdr:row>43</xdr:row>
      <xdr:rowOff>170329</xdr:rowOff>
    </xdr:from>
    <xdr:to>
      <xdr:col>10</xdr:col>
      <xdr:colOff>33618</xdr:colOff>
      <xdr:row>46</xdr:row>
      <xdr:rowOff>89647</xdr:rowOff>
    </xdr:to>
    <xdr:sp macro="" textlink="">
      <xdr:nvSpPr>
        <xdr:cNvPr id="9" name="TextBox 8"/>
        <xdr:cNvSpPr txBox="1"/>
      </xdr:nvSpPr>
      <xdr:spPr>
        <a:xfrm>
          <a:off x="1510795" y="8361829"/>
          <a:ext cx="6210058" cy="490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/>
            <a:t>Note: Based on Fannie</a:t>
          </a:r>
          <a:r>
            <a:rPr lang="en-US" sz="900" baseline="0"/>
            <a:t> and Freddie loan level data 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644234" y="2342205"/>
          <a:ext cx="365474" cy="2533706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644234" y="5546904"/>
          <a:ext cx="365474" cy="2533705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644234" y="8639031"/>
          <a:ext cx="365474" cy="2534467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8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7" name="CurrentMtgRatesDataTable8" displayName="CurrentMtgRatesDataTable8" ref="A4:D150" tableType="queryTable" totalsRowShown="0" headerRowDxfId="45" dataDxfId="44">
  <tableColumns count="4">
    <tableColumn id="10" uniqueName="10" name="asofdate" queryTableFieldId="51" dataDxfId="43" dataCellStyle="Normal 2 7"/>
    <tableColumn id="5" uniqueName="5" name="SeriesNumValue" queryTableFieldId="68" dataDxfId="42"/>
    <tableColumn id="1" uniqueName="1" name="Month" queryTableFieldId="85" dataDxfId="41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40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0" tableType="queryTable" totalsRowShown="0" headerRowDxfId="39" dataDxfId="38">
  <tableColumns count="3">
    <tableColumn id="10" uniqueName="10" name="asofdate" queryTableFieldId="51" dataDxfId="37" dataCellStyle="Normal 2 7"/>
    <tableColumn id="5" uniqueName="5" name="SeriesNumValue" queryTableFieldId="68" dataDxfId="36"/>
    <tableColumn id="1" uniqueName="1" name="% OLTV &gt; 90" queryTableFieldId="85" dataDxfId="35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0" tableType="queryTable" totalsRowShown="0" headerRowDxfId="34" dataDxfId="33">
  <tableColumns count="2">
    <tableColumn id="10" uniqueName="10" name="asofdate" queryTableFieldId="51" dataDxfId="32" dataCellStyle="Normal 2 7"/>
    <tableColumn id="5" uniqueName="5" name="SeriesNumValue" queryTableFieldId="68" dataDxfId="31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0" tableType="queryTable" totalsRowShown="0" headerRowDxfId="30" dataDxfId="29">
  <tableColumns count="3">
    <tableColumn id="10" uniqueName="10" name="asofdate" queryTableFieldId="51" dataDxfId="28" dataCellStyle="Normal 2 7"/>
    <tableColumn id="5" uniqueName="5" name="SeriesNumValue" queryTableFieldId="68" dataDxfId="27"/>
    <tableColumn id="1" uniqueName="1" name="% DTI &gt; 40" queryTableFieldId="85" dataDxfId="26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0" tableType="queryTable" totalsRowShown="0" headerRowDxfId="25" dataDxfId="24">
  <tableColumns count="2">
    <tableColumn id="10" uniqueName="10" name="asofdate" queryTableFieldId="51" dataDxfId="23" dataCellStyle="Normal 2 7"/>
    <tableColumn id="5" uniqueName="5" name="SeriesNumValue" queryTableFieldId="6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0" tableType="queryTable" totalsRowShown="0" headerRowDxfId="21" dataDxfId="20">
  <tableColumns count="3">
    <tableColumn id="10" uniqueName="10" name="asofdate" queryTableFieldId="51" dataDxfId="19" dataCellStyle="Normal 2 7"/>
    <tableColumn id="5" uniqueName="5" name="SeriesNumValue" queryTableFieldId="68" dataDxfId="18"/>
    <tableColumn id="1" uniqueName="1" name="% FICO &lt; 700" queryTableFieldId="85" dataDxfId="17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0" tableType="queryTable" totalsRowShown="0" headerRowDxfId="16" dataDxfId="15">
  <tableColumns count="2">
    <tableColumn id="10" uniqueName="10" name="asofdate" queryTableFieldId="51" dataDxfId="14" dataCellStyle="Normal 2 7"/>
    <tableColumn id="5" uniqueName="5" name="SeriesNumValue" queryTableFieldId="68" dataDxfId="13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0" tableType="queryTable" totalsRowShown="0" headerRowDxfId="12" dataDxfId="11">
  <tableColumns count="11">
    <tableColumn id="10" uniqueName="10" name="asofdate" queryTableFieldId="51" dataDxfId="10" dataCellStyle="Normal 2 7"/>
    <tableColumn id="5" uniqueName="5" name="SeriesNumValue" queryTableFieldId="68" dataDxfId="9"/>
    <tableColumn id="1" uniqueName="1" name="Month" queryTableFieldId="85" dataDxfId="8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7" dataCellStyle="Normal 2 7">
      <calculatedColumnFormula>((CurrentMtgRatesDataTable89[[#This Row],[SeriesNumValue]]-$D$1)/$D$1+1)*100</calculatedColumnFormula>
    </tableColumn>
    <tableColumn id="3" uniqueName="3" name="Changes" queryTableFieldId="86" dataDxfId="6" dataCellStyle="Normal 2 7">
      <calculatedColumnFormula>CurrentMtgRatesDataTable89[[#This Row],[Index]]-AH6</calculatedColumnFormula>
    </tableColumn>
    <tableColumn id="4" uniqueName="4" name="OLTV Mean" queryTableFieldId="87" dataDxfId="5" dataCellStyle="Normal 2 7">
      <calculatedColumnFormula>VLOOKUP(CurrentMtgRatesDataTable89[[#This Row],[asofdate]],G:H,2,0)</calculatedColumnFormula>
    </tableColumn>
    <tableColumn id="6" uniqueName="6" name="% OLTV &gt; 90" queryTableFieldId="88" dataDxfId="4" dataCellStyle="Normal 2 7">
      <calculatedColumnFormula>VLOOKUP(CurrentMtgRatesDataTable89[[#This Row],[asofdate]],K:L,2,0)</calculatedColumnFormula>
    </tableColumn>
    <tableColumn id="7" uniqueName="7" name="DTI Mean" queryTableFieldId="89" dataDxfId="3" dataCellStyle="Normal 2 7">
      <calculatedColumnFormula>VLOOKUP(CurrentMtgRatesDataTable89[[#This Row],[asofdate]],O:P,2,0)</calculatedColumnFormula>
    </tableColumn>
    <tableColumn id="8" uniqueName="8" name="% DTI &gt; 40" queryTableFieldId="90" dataDxfId="2" dataCellStyle="Normal 2 7">
      <calculatedColumnFormula>VLOOKUP(CurrentMtgRatesDataTable89[[#This Row],[asofdate]],S:T,2,0)</calculatedColumnFormula>
    </tableColumn>
    <tableColumn id="9" uniqueName="9" name="FICO Mean" queryTableFieldId="91" dataDxfId="1" dataCellStyle="Normal 2 7">
      <calculatedColumnFormula>VLOOKUP(CurrentMtgRatesDataTable89[[#This Row],[asofdate]],W:X,2,0)</calculatedColumnFormula>
    </tableColumn>
    <tableColumn id="11" uniqueName="11" name="% FICO &lt; 700" queryTableFieldId="92" dataDxfId="0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63"/>
  <sheetViews>
    <sheetView showGridLines="0" tabSelected="1" zoomScale="85" zoomScaleNormal="85" workbookViewId="0">
      <selection activeCell="V29" sqref="V29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32</v>
      </c>
      <c r="Y1" t="s">
        <v>1</v>
      </c>
      <c r="Z1" s="2" t="s">
        <v>4</v>
      </c>
    </row>
    <row r="2" spans="23:26">
      <c r="W2" s="1" t="s">
        <v>2</v>
      </c>
      <c r="X2" s="3">
        <v>42209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2015-07-24.pdf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42208</v>
      </c>
      <c r="Y8" s="9"/>
    </row>
    <row r="9" spans="23:26">
      <c r="W9" t="s">
        <v>26</v>
      </c>
      <c r="X9" s="9">
        <f>LastSurveyDate-1</f>
        <v>42207</v>
      </c>
    </row>
    <row r="11" spans="23:26">
      <c r="W11" t="s">
        <v>164</v>
      </c>
      <c r="X11" s="9">
        <f>IF(DAY(CurrentCloseDate)&lt;32,(CurrentCloseDate-DAY(CurrentCloseDate))-DAY((CurrentCloseDate-DAY(CurrentCloseDate)))+1,CurrentCloseDate-DAY(CurrentCloseDate)+1)</f>
        <v>42156</v>
      </c>
    </row>
    <row r="12" spans="23:26">
      <c r="X12" s="9"/>
    </row>
    <row r="48" spans="3:12">
      <c r="C48" s="15" t="s">
        <v>186</v>
      </c>
      <c r="L48" s="15" t="s">
        <v>187</v>
      </c>
    </row>
    <row r="49" spans="3:19" s="23" customFormat="1">
      <c r="C49" s="19"/>
      <c r="D49" s="20" t="s">
        <v>159</v>
      </c>
      <c r="E49" s="21" t="str">
        <f>CurrentMtgRatesDataTable89[[#Headers],[OLTV Mean]]</f>
        <v>OLTV Mean</v>
      </c>
      <c r="F49" s="20" t="str">
        <f>CurrentMtgRatesDataTable89[[#Headers],[% OLTV &gt; 90]]</f>
        <v>% OLTV &gt; 90</v>
      </c>
      <c r="G49" s="21" t="str">
        <f>CurrentMtgRatesDataTable89[[#Headers],[DTI Mean]]</f>
        <v>DTI Mean</v>
      </c>
      <c r="H49" s="20" t="str">
        <f>CurrentMtgRatesDataTable89[[#Headers],[% DTI &gt; 40]]</f>
        <v>% DTI &gt; 40</v>
      </c>
      <c r="I49" s="21" t="str">
        <f>CurrentMtgRatesDataTable89[[#Headers],[FICO Mean]]</f>
        <v>FICO Mean</v>
      </c>
      <c r="J49" s="20" t="str">
        <f>CurrentMtgRatesDataTable89[[#Headers],[% FICO &lt; 700]]</f>
        <v>% FICO &lt; 700</v>
      </c>
      <c r="K49" s="22"/>
      <c r="L49" s="19"/>
      <c r="M49" s="20" t="s">
        <v>159</v>
      </c>
      <c r="N49" s="21" t="str">
        <f>CurrentMtgRatesDataTable89[[#Headers],[OLTV Mean]]</f>
        <v>OLTV Mean</v>
      </c>
      <c r="O49" s="20" t="str">
        <f>CurrentMtgRatesDataTable89[[#Headers],[% OLTV &gt; 90]]</f>
        <v>% OLTV &gt; 90</v>
      </c>
      <c r="P49" s="21" t="str">
        <f>CurrentMtgRatesDataTable89[[#Headers],[DTI Mean]]</f>
        <v>DTI Mean</v>
      </c>
      <c r="Q49" s="20" t="str">
        <f>CurrentMtgRatesDataTable89[[#Headers],[% DTI &gt; 40]]</f>
        <v>% DTI &gt; 40</v>
      </c>
      <c r="R49" s="21" t="str">
        <f>CurrentMtgRatesDataTable89[[#Headers],[FICO Mean]]</f>
        <v>FICO Mean</v>
      </c>
      <c r="S49" s="20" t="str">
        <f>CurrentMtgRatesDataTable89[[#Headers],[% FICO &lt; 700]]</f>
        <v>% FICO &lt; 700</v>
      </c>
    </row>
    <row r="50" spans="3:19">
      <c r="C50" s="13" t="str">
        <f>'Time Series Query'!AG5</f>
        <v>2015-6</v>
      </c>
      <c r="D50" s="13">
        <f>'Time Series Query'!AH5</f>
        <v>118.83439715614202</v>
      </c>
      <c r="E50" s="24">
        <f>'Time Series Query'!AJ5</f>
        <v>82.961320951046801</v>
      </c>
      <c r="F50" s="25">
        <f>'Time Series Query'!AK5</f>
        <v>0.32819322175534099</v>
      </c>
      <c r="G50" s="24">
        <f>'Time Series Query'!AL5</f>
        <v>34.455525298530901</v>
      </c>
      <c r="H50" s="25">
        <f>'Time Series Query'!AM5</f>
        <v>0.29594927973713903</v>
      </c>
      <c r="I50" s="24">
        <f>'Time Series Query'!AN5</f>
        <v>751.75185833983403</v>
      </c>
      <c r="J50" s="25">
        <f>'Time Series Query'!AO5</f>
        <v>0.14240539660943999</v>
      </c>
      <c r="L50" s="13" t="s">
        <v>172</v>
      </c>
      <c r="M50" s="13">
        <f>'Time Series Query'!AI5</f>
        <v>-0.72751395249463258</v>
      </c>
      <c r="N50" s="14">
        <f>'Time Series Query'!AJ5-'Time Series Query'!AJ6</f>
        <v>1.5177748714904737E-2</v>
      </c>
      <c r="O50" s="18">
        <f>'Time Series Query'!AK5-'Time Series Query'!AK6</f>
        <v>-2.2339820158630008E-3</v>
      </c>
      <c r="P50" s="14">
        <f>'Time Series Query'!AL5-'Time Series Query'!AL6</f>
        <v>-0.13410177756449571</v>
      </c>
      <c r="Q50" s="18">
        <f>'Time Series Query'!AM5-'Time Series Query'!AM6</f>
        <v>-4.8239864890859963E-3</v>
      </c>
      <c r="R50" s="14">
        <f>'Time Series Query'!AN5-'Time Series Query'!AN6</f>
        <v>0.35841501387903918</v>
      </c>
      <c r="S50" s="18">
        <f>'Time Series Query'!AO5-'Time Series Query'!AO6</f>
        <v>9.3843714515984278E-5</v>
      </c>
    </row>
    <row r="51" spans="3:19">
      <c r="C51" s="13" t="str">
        <f>'Time Series Query'!AG6</f>
        <v>2015-5</v>
      </c>
      <c r="D51" s="13">
        <f>'Time Series Query'!AH6</f>
        <v>119.56191110863665</v>
      </c>
      <c r="E51" s="24">
        <f>'Time Series Query'!AJ6</f>
        <v>82.946143202331896</v>
      </c>
      <c r="F51" s="25">
        <f>'Time Series Query'!AK6</f>
        <v>0.33042720377120399</v>
      </c>
      <c r="G51" s="24">
        <f>'Time Series Query'!AL6</f>
        <v>34.589627076095397</v>
      </c>
      <c r="H51" s="25">
        <f>'Time Series Query'!AM6</f>
        <v>0.30077326622622502</v>
      </c>
      <c r="I51" s="24">
        <f>'Time Series Query'!AN6</f>
        <v>751.39344332595499</v>
      </c>
      <c r="J51" s="25">
        <f>'Time Series Query'!AO6</f>
        <v>0.142311552894924</v>
      </c>
      <c r="L51" s="13" t="s">
        <v>173</v>
      </c>
      <c r="M51" s="13">
        <f>'Time Series Query'!AI6</f>
        <v>1.3646649413099681</v>
      </c>
      <c r="N51" s="14">
        <f>'Time Series Query'!AJ6-'Time Series Query'!AJ7</f>
        <v>-3.9170226786069406E-3</v>
      </c>
      <c r="O51" s="18">
        <f>'Time Series Query'!AK6-'Time Series Query'!AK7</f>
        <v>5.8529926957301415E-4</v>
      </c>
      <c r="P51" s="14">
        <f>'Time Series Query'!AL6-'Time Series Query'!AL7</f>
        <v>1.2301340244960102E-3</v>
      </c>
      <c r="Q51" s="18">
        <f>'Time Series Query'!AM6-'Time Series Query'!AM7</f>
        <v>-1.2591003806639578E-3</v>
      </c>
      <c r="R51" s="14">
        <f>'Time Series Query'!AN6-'Time Series Query'!AN7</f>
        <v>0.82345568003995595</v>
      </c>
      <c r="S51" s="18">
        <f>'Time Series Query'!AO6-'Time Series Query'!AO7</f>
        <v>-4.6009133883739839E-3</v>
      </c>
    </row>
    <row r="52" spans="3:19">
      <c r="C52" s="13" t="str">
        <f>'Time Series Query'!AG7</f>
        <v>2015-4</v>
      </c>
      <c r="D52" s="13">
        <f>'Time Series Query'!AH7</f>
        <v>118.19724616732668</v>
      </c>
      <c r="E52" s="24">
        <f>'Time Series Query'!AJ7</f>
        <v>82.950060225010503</v>
      </c>
      <c r="F52" s="25">
        <f>'Time Series Query'!AK7</f>
        <v>0.32984190450163098</v>
      </c>
      <c r="G52" s="24">
        <f>'Time Series Query'!AL7</f>
        <v>34.588396942070901</v>
      </c>
      <c r="H52" s="25">
        <f>'Time Series Query'!AM7</f>
        <v>0.30203236660688898</v>
      </c>
      <c r="I52" s="24">
        <f>'Time Series Query'!AN7</f>
        <v>750.56998764591503</v>
      </c>
      <c r="J52" s="25">
        <f>'Time Series Query'!AO7</f>
        <v>0.14691246628329799</v>
      </c>
      <c r="L52" s="13" t="s">
        <v>174</v>
      </c>
      <c r="M52" s="13">
        <f>'Time Series Query'!AI7</f>
        <v>-10.83318740608135</v>
      </c>
      <c r="N52" s="14">
        <f>'Time Series Query'!AJ7-'Time Series Query'!AJ8</f>
        <v>0.27821036868070337</v>
      </c>
      <c r="O52" s="18">
        <f>'Time Series Query'!AK7-'Time Series Query'!AK8</f>
        <v>1.0350620762975993E-2</v>
      </c>
      <c r="P52" s="14">
        <f>'Time Series Query'!AL7-'Time Series Query'!AL8</f>
        <v>-0.44186882928580218</v>
      </c>
      <c r="Q52" s="18">
        <f>'Time Series Query'!AM7-'Time Series Query'!AM8</f>
        <v>-2.0512662860065034E-2</v>
      </c>
      <c r="R52" s="14">
        <f>'Time Series Query'!AN7-'Time Series Query'!AN8</f>
        <v>1.4496139154920229</v>
      </c>
      <c r="S52" s="18">
        <f>'Time Series Query'!AO7-'Time Series Query'!AO8</f>
        <v>-1.3955938064015017E-2</v>
      </c>
    </row>
    <row r="53" spans="3:19">
      <c r="C53" s="13" t="str">
        <f>'Time Series Query'!AG8</f>
        <v>2015-3</v>
      </c>
      <c r="D53" s="13">
        <f>'Time Series Query'!AH8</f>
        <v>129.03043357340803</v>
      </c>
      <c r="E53" s="24">
        <f>'Time Series Query'!AJ8</f>
        <v>82.6718498563298</v>
      </c>
      <c r="F53" s="25">
        <f>'Time Series Query'!AK8</f>
        <v>0.31949128373865499</v>
      </c>
      <c r="G53" s="24">
        <f>'Time Series Query'!AL8</f>
        <v>35.030265771356703</v>
      </c>
      <c r="H53" s="25">
        <f>'Time Series Query'!AM8</f>
        <v>0.32254502946695401</v>
      </c>
      <c r="I53" s="24">
        <f>'Time Series Query'!AN8</f>
        <v>749.12037373042301</v>
      </c>
      <c r="J53" s="25">
        <f>'Time Series Query'!AO8</f>
        <v>0.160868404347313</v>
      </c>
      <c r="L53" s="13" t="s">
        <v>175</v>
      </c>
      <c r="M53" s="13">
        <f>'Time Series Query'!AI8</f>
        <v>-1.0057259767733058</v>
      </c>
      <c r="N53" s="14">
        <f>'Time Series Query'!AJ8-'Time Series Query'!AJ9</f>
        <v>-0.12814917305070139</v>
      </c>
      <c r="O53" s="18">
        <f>'Time Series Query'!AK8-'Time Series Query'!AK9</f>
        <v>-7.0366583762330182E-3</v>
      </c>
      <c r="P53" s="14">
        <f>'Time Series Query'!AL8-'Time Series Query'!AL9</f>
        <v>5.0731486513100776E-2</v>
      </c>
      <c r="Q53" s="18">
        <f>'Time Series Query'!AM8-'Time Series Query'!AM9</f>
        <v>3.5195405936619961E-3</v>
      </c>
      <c r="R53" s="14">
        <f>'Time Series Query'!AN8-'Time Series Query'!AN9</f>
        <v>-6.5869448323041979E-2</v>
      </c>
      <c r="S53" s="18">
        <f>'Time Series Query'!AO8-'Time Series Query'!AO9</f>
        <v>2.5636753531990131E-3</v>
      </c>
    </row>
    <row r="54" spans="3:19">
      <c r="C54" s="13" t="str">
        <f>'Time Series Query'!AG9</f>
        <v>2015-2</v>
      </c>
      <c r="D54" s="13">
        <f>'Time Series Query'!AH9</f>
        <v>130.03615955018134</v>
      </c>
      <c r="E54" s="24">
        <f>'Time Series Query'!AJ9</f>
        <v>82.799999029380501</v>
      </c>
      <c r="F54" s="25">
        <f>'Time Series Query'!AK9</f>
        <v>0.326527942114888</v>
      </c>
      <c r="G54" s="24">
        <f>'Time Series Query'!AL9</f>
        <v>34.979534284843602</v>
      </c>
      <c r="H54" s="25">
        <f>'Time Series Query'!AM9</f>
        <v>0.31902548887329202</v>
      </c>
      <c r="I54" s="24">
        <f>'Time Series Query'!AN9</f>
        <v>749.18624317874605</v>
      </c>
      <c r="J54" s="25">
        <f>'Time Series Query'!AO9</f>
        <v>0.15830472899411399</v>
      </c>
      <c r="L54" s="13" t="s">
        <v>176</v>
      </c>
      <c r="M54" s="13">
        <f>'Time Series Query'!AI9</f>
        <v>5.5926676557253359</v>
      </c>
      <c r="N54" s="14">
        <f>'Time Series Query'!AJ9-'Time Series Query'!AJ10</f>
        <v>7.3104184331498345E-2</v>
      </c>
      <c r="O54" s="18">
        <f>'Time Series Query'!AK9-'Time Series Query'!AK10</f>
        <v>6.2212428404729847E-3</v>
      </c>
      <c r="P54" s="14">
        <f>'Time Series Query'!AL9-'Time Series Query'!AL10</f>
        <v>0.15398448306750367</v>
      </c>
      <c r="Q54" s="18">
        <f>'Time Series Query'!AM9-'Time Series Query'!AM10</f>
        <v>6.7733337360479928E-3</v>
      </c>
      <c r="R54" s="14">
        <f>'Time Series Query'!AN9-'Time Series Query'!AN10</f>
        <v>-0.52193712873895493</v>
      </c>
      <c r="S54" s="18">
        <f>'Time Series Query'!AO9-'Time Series Query'!AO10</f>
        <v>2.6772810267949865E-3</v>
      </c>
    </row>
    <row r="55" spans="3:19">
      <c r="C55" s="13" t="str">
        <f>'Time Series Query'!AG10</f>
        <v>2015-1</v>
      </c>
      <c r="D55" s="13">
        <f>'Time Series Query'!AH10</f>
        <v>124.443491894456</v>
      </c>
      <c r="E55" s="24">
        <f>'Time Series Query'!AJ10</f>
        <v>82.726894845049003</v>
      </c>
      <c r="F55" s="25">
        <f>'Time Series Query'!AK10</f>
        <v>0.32030669927441502</v>
      </c>
      <c r="G55" s="24">
        <f>'Time Series Query'!AL10</f>
        <v>34.825549801776098</v>
      </c>
      <c r="H55" s="25">
        <f>'Time Series Query'!AM10</f>
        <v>0.31225215513724403</v>
      </c>
      <c r="I55" s="24">
        <f>'Time Series Query'!AN10</f>
        <v>749.70818030748501</v>
      </c>
      <c r="J55" s="25">
        <f>'Time Series Query'!AO10</f>
        <v>0.155627447967319</v>
      </c>
      <c r="L55" s="13" t="s">
        <v>177</v>
      </c>
      <c r="M55" s="13">
        <f>'Time Series Query'!AI10</f>
        <v>-1.2136612027313163</v>
      </c>
      <c r="N55" s="14">
        <f>'Time Series Query'!AJ10-'Time Series Query'!AJ11</f>
        <v>7.8212369145106209E-2</v>
      </c>
      <c r="O55" s="18">
        <f>'Time Series Query'!AK10-'Time Series Query'!AK11</f>
        <v>2.0429568419150224E-3</v>
      </c>
      <c r="P55" s="14">
        <f>'Time Series Query'!AL10-'Time Series Query'!AL11</f>
        <v>-2.0861718009705044E-2</v>
      </c>
      <c r="Q55" s="18">
        <f>'Time Series Query'!AM10-'Time Series Query'!AM11</f>
        <v>-2.4949413548297494E-4</v>
      </c>
      <c r="R55" s="14">
        <f>'Time Series Query'!AN10-'Time Series Query'!AN11</f>
        <v>-0.14280209005096367</v>
      </c>
      <c r="S55" s="18">
        <f>'Time Series Query'!AO10-'Time Series Query'!AO11</f>
        <v>9.0188184856099252E-4</v>
      </c>
    </row>
    <row r="56" spans="3:19">
      <c r="C56" s="13" t="str">
        <f>'Time Series Query'!AG11</f>
        <v>2014-12</v>
      </c>
      <c r="D56" s="13">
        <f>'Time Series Query'!AH11</f>
        <v>125.65715309718732</v>
      </c>
      <c r="E56" s="24">
        <f>'Time Series Query'!AJ11</f>
        <v>82.648682475903897</v>
      </c>
      <c r="F56" s="25">
        <f>'Time Series Query'!AK11</f>
        <v>0.3182637424325</v>
      </c>
      <c r="G56" s="24">
        <f>'Time Series Query'!AL11</f>
        <v>34.846411519785804</v>
      </c>
      <c r="H56" s="25">
        <f>'Time Series Query'!AM11</f>
        <v>0.312501649272727</v>
      </c>
      <c r="I56" s="24">
        <f>'Time Series Query'!AN11</f>
        <v>749.85098239753597</v>
      </c>
      <c r="J56" s="25">
        <f>'Time Series Query'!AO11</f>
        <v>0.15472556611875801</v>
      </c>
      <c r="L56" s="13" t="s">
        <v>178</v>
      </c>
      <c r="M56" s="13">
        <f>'Time Series Query'!AI11</f>
        <v>2.640032522056643</v>
      </c>
      <c r="N56" s="14">
        <f>'Time Series Query'!AJ11-'Time Series Query'!AJ12</f>
        <v>-0.15734254573180806</v>
      </c>
      <c r="O56" s="18">
        <f>'Time Series Query'!AK11-'Time Series Query'!AK12</f>
        <v>-4.3428382166060264E-3</v>
      </c>
      <c r="P56" s="14">
        <f>'Time Series Query'!AL11-'Time Series Query'!AL12</f>
        <v>4.6809235256702664E-2</v>
      </c>
      <c r="Q56" s="18">
        <f>'Time Series Query'!AM11-'Time Series Query'!AM12</f>
        <v>3.0401473857329941E-3</v>
      </c>
      <c r="R56" s="14">
        <f>'Time Series Query'!AN11-'Time Series Query'!AN12</f>
        <v>0.10922676281802524</v>
      </c>
      <c r="S56" s="18">
        <f>'Time Series Query'!AO11-'Time Series Query'!AO12</f>
        <v>-1.4244291354279792E-3</v>
      </c>
    </row>
    <row r="57" spans="3:19">
      <c r="C57" s="13" t="str">
        <f>'Time Series Query'!AG12</f>
        <v>2014-11</v>
      </c>
      <c r="D57" s="13">
        <f>'Time Series Query'!AH12</f>
        <v>123.01712057513068</v>
      </c>
      <c r="E57" s="24">
        <f>'Time Series Query'!AJ12</f>
        <v>82.806025021635705</v>
      </c>
      <c r="F57" s="25">
        <f>'Time Series Query'!AK12</f>
        <v>0.32260658064910602</v>
      </c>
      <c r="G57" s="24">
        <f>'Time Series Query'!AL12</f>
        <v>34.799602284529101</v>
      </c>
      <c r="H57" s="25">
        <f>'Time Series Query'!AM12</f>
        <v>0.30946150188699401</v>
      </c>
      <c r="I57" s="24">
        <f>'Time Series Query'!AN12</f>
        <v>749.74175563471795</v>
      </c>
      <c r="J57" s="25">
        <f>'Time Series Query'!AO12</f>
        <v>0.15614999525418599</v>
      </c>
      <c r="L57" s="13" t="s">
        <v>179</v>
      </c>
      <c r="M57" s="13">
        <f>'Time Series Query'!AI12</f>
        <v>3.7784443100746756</v>
      </c>
      <c r="N57" s="14">
        <f>'Time Series Query'!AJ12-'Time Series Query'!AJ13</f>
        <v>8.0997401075208586E-2</v>
      </c>
      <c r="O57" s="18">
        <f>'Time Series Query'!AK12-'Time Series Query'!AK13</f>
        <v>6.8244749259690485E-3</v>
      </c>
      <c r="P57" s="14">
        <f>'Time Series Query'!AL12-'Time Series Query'!AL13</f>
        <v>0.18940772578589815</v>
      </c>
      <c r="Q57" s="18">
        <f>'Time Series Query'!AM12-'Time Series Query'!AM13</f>
        <v>8.1267271536040186E-3</v>
      </c>
      <c r="R57" s="14">
        <f>'Time Series Query'!AN12-'Time Series Query'!AN13</f>
        <v>-1.1486612987361013</v>
      </c>
      <c r="S57" s="18">
        <f>'Time Series Query'!AO12-'Time Series Query'!AO13</f>
        <v>8.7004992276559778E-3</v>
      </c>
    </row>
    <row r="58" spans="3:19">
      <c r="C58" s="13" t="str">
        <f>'Time Series Query'!AG13</f>
        <v>2014-10</v>
      </c>
      <c r="D58" s="13">
        <f>'Time Series Query'!AH13</f>
        <v>119.238676265056</v>
      </c>
      <c r="E58" s="24">
        <f>'Time Series Query'!AJ13</f>
        <v>82.725027620560496</v>
      </c>
      <c r="F58" s="25">
        <f>'Time Series Query'!AK13</f>
        <v>0.31578210572313697</v>
      </c>
      <c r="G58" s="24">
        <f>'Time Series Query'!AL13</f>
        <v>34.610194558743203</v>
      </c>
      <c r="H58" s="25">
        <f>'Time Series Query'!AM13</f>
        <v>0.30133477473338999</v>
      </c>
      <c r="I58" s="24">
        <f>'Time Series Query'!AN13</f>
        <v>750.89041693345405</v>
      </c>
      <c r="J58" s="25">
        <f>'Time Series Query'!AO13</f>
        <v>0.14744949602653001</v>
      </c>
      <c r="L58" s="13" t="s">
        <v>180</v>
      </c>
      <c r="M58" s="13">
        <f>'Time Series Query'!AI13</f>
        <v>0.47203235161532575</v>
      </c>
      <c r="N58" s="14">
        <f>'Time Series Query'!AJ13-'Time Series Query'!AJ14</f>
        <v>2.6151321899291702E-2</v>
      </c>
      <c r="O58" s="18">
        <f>'Time Series Query'!AK13-'Time Series Query'!AK14</f>
        <v>3.30046645655796E-3</v>
      </c>
      <c r="P58" s="14">
        <f>'Time Series Query'!AL13-'Time Series Query'!AL14</f>
        <v>0.16453647258140336</v>
      </c>
      <c r="Q58" s="18">
        <f>'Time Series Query'!AM13-'Time Series Query'!AM14</f>
        <v>8.7624742467309891E-3</v>
      </c>
      <c r="R58" s="14">
        <f>'Time Series Query'!AN13-'Time Series Query'!AN14</f>
        <v>-1.5877722959999119E-2</v>
      </c>
      <c r="S58" s="18">
        <f>'Time Series Query'!AO13-'Time Series Query'!AO14</f>
        <v>7.3295179372601105E-4</v>
      </c>
    </row>
    <row r="59" spans="3:19">
      <c r="C59" s="13" t="str">
        <f>'Time Series Query'!AG14</f>
        <v>2014-9</v>
      </c>
      <c r="D59" s="13">
        <f>'Time Series Query'!AH14</f>
        <v>118.76664391344067</v>
      </c>
      <c r="E59" s="24">
        <f>'Time Series Query'!AJ14</f>
        <v>82.698876298661204</v>
      </c>
      <c r="F59" s="25">
        <f>'Time Series Query'!AK14</f>
        <v>0.31248163926657901</v>
      </c>
      <c r="G59" s="24">
        <f>'Time Series Query'!AL14</f>
        <v>34.445658086161799</v>
      </c>
      <c r="H59" s="25">
        <f>'Time Series Query'!AM14</f>
        <v>0.292572300486659</v>
      </c>
      <c r="I59" s="24">
        <f>'Time Series Query'!AN14</f>
        <v>750.90629465641405</v>
      </c>
      <c r="J59" s="25">
        <f>'Time Series Query'!AO14</f>
        <v>0.146716544232804</v>
      </c>
      <c r="L59" s="13" t="s">
        <v>181</v>
      </c>
      <c r="M59" s="13">
        <f>'Time Series Query'!AI14</f>
        <v>-9.4006377807346553E-2</v>
      </c>
      <c r="N59" s="14">
        <f>'Time Series Query'!AJ14-'Time Series Query'!AJ15</f>
        <v>-6.1933581454098885E-2</v>
      </c>
      <c r="O59" s="18">
        <f>'Time Series Query'!AK14-'Time Series Query'!AK15</f>
        <v>-4.7651767052209748E-3</v>
      </c>
      <c r="P59" s="14">
        <f>'Time Series Query'!AL14-'Time Series Query'!AL15</f>
        <v>0.12298912174689747</v>
      </c>
      <c r="Q59" s="18">
        <f>'Time Series Query'!AM14-'Time Series Query'!AM15</f>
        <v>3.444267422536007E-3</v>
      </c>
      <c r="R59" s="14">
        <f>'Time Series Query'!AN14-'Time Series Query'!AN15</f>
        <v>-0.59287327555693992</v>
      </c>
      <c r="S59" s="18">
        <f>'Time Series Query'!AO14-'Time Series Query'!AO15</f>
        <v>4.5726089012010085E-3</v>
      </c>
    </row>
    <row r="60" spans="3:19">
      <c r="C60" s="13" t="str">
        <f>'Time Series Query'!AG15</f>
        <v>2014-8</v>
      </c>
      <c r="D60" s="13">
        <f>'Time Series Query'!AH15</f>
        <v>118.86065029124802</v>
      </c>
      <c r="E60" s="24">
        <f>'Time Series Query'!AJ15</f>
        <v>82.760809880115303</v>
      </c>
      <c r="F60" s="25">
        <f>'Time Series Query'!AK15</f>
        <v>0.31724681597179999</v>
      </c>
      <c r="G60" s="24">
        <f>'Time Series Query'!AL15</f>
        <v>34.322668964414902</v>
      </c>
      <c r="H60" s="25">
        <f>'Time Series Query'!AM15</f>
        <v>0.28912803306412299</v>
      </c>
      <c r="I60" s="24">
        <f>'Time Series Query'!AN15</f>
        <v>751.49916793197099</v>
      </c>
      <c r="J60" s="25">
        <f>'Time Series Query'!AO15</f>
        <v>0.14214393533160299</v>
      </c>
      <c r="L60" s="13" t="s">
        <v>182</v>
      </c>
      <c r="M60" s="13">
        <f>'Time Series Query'!AI15</f>
        <v>-5.0767240113373333</v>
      </c>
      <c r="N60" s="14">
        <f>'Time Series Query'!AJ15-'Time Series Query'!AJ16</f>
        <v>-6.4786384701491784E-2</v>
      </c>
      <c r="O60" s="18">
        <f>'Time Series Query'!AK15-'Time Series Query'!AK16</f>
        <v>-1.8647105434559941E-3</v>
      </c>
      <c r="P60" s="14">
        <f>'Time Series Query'!AL15-'Time Series Query'!AL16</f>
        <v>-0.14644973417429696</v>
      </c>
      <c r="Q60" s="18">
        <f>'Time Series Query'!AM15-'Time Series Query'!AM16</f>
        <v>-3.2440359138700137E-3</v>
      </c>
      <c r="R60" s="14">
        <f>'Time Series Query'!AN15-'Time Series Query'!AN16</f>
        <v>0.15258710171997336</v>
      </c>
      <c r="S60" s="18">
        <f>'Time Series Query'!AO15-'Time Series Query'!AO16</f>
        <v>-7.5301186067500137E-4</v>
      </c>
    </row>
    <row r="61" spans="3:19">
      <c r="C61" s="13" t="str">
        <f>'Time Series Query'!AG16</f>
        <v>2014-7</v>
      </c>
      <c r="D61" s="13">
        <f>'Time Series Query'!AH16</f>
        <v>123.93737430258535</v>
      </c>
      <c r="E61" s="24">
        <f>'Time Series Query'!AJ16</f>
        <v>82.825596264816795</v>
      </c>
      <c r="F61" s="25">
        <f>'Time Series Query'!AK16</f>
        <v>0.31911152651525598</v>
      </c>
      <c r="G61" s="24">
        <f>'Time Series Query'!AL16</f>
        <v>34.469118698589199</v>
      </c>
      <c r="H61" s="25">
        <f>'Time Series Query'!AM16</f>
        <v>0.292372068977993</v>
      </c>
      <c r="I61" s="24">
        <f>'Time Series Query'!AN16</f>
        <v>751.34658083025101</v>
      </c>
      <c r="J61" s="25">
        <f>'Time Series Query'!AO16</f>
        <v>0.142896947192278</v>
      </c>
      <c r="L61" s="13" t="s">
        <v>183</v>
      </c>
      <c r="M61" s="13">
        <f>'Time Series Query'!AI16</f>
        <v>3.3558844878220242</v>
      </c>
      <c r="N61" s="14">
        <f>'Time Series Query'!AJ16-'Time Series Query'!AJ17</f>
        <v>0.14575105703480062</v>
      </c>
      <c r="O61" s="18">
        <f>'Time Series Query'!AK16-'Time Series Query'!AK17</f>
        <v>3.5772949463869774E-3</v>
      </c>
      <c r="P61" s="14">
        <f>'Time Series Query'!AL16-'Time Series Query'!AL17</f>
        <v>-0.19204414408370241</v>
      </c>
      <c r="Q61" s="18">
        <f>'Time Series Query'!AM16-'Time Series Query'!AM17</f>
        <v>-6.4705222291580045E-3</v>
      </c>
      <c r="R61" s="14">
        <f>'Time Series Query'!AN16-'Time Series Query'!AN17</f>
        <v>8.431099770405126E-4</v>
      </c>
      <c r="S61" s="18">
        <f>'Time Series Query'!AO16-'Time Series Query'!AO17</f>
        <v>2.382400796557993E-3</v>
      </c>
    </row>
    <row r="62" spans="3:19">
      <c r="C62" s="13" t="str">
        <f>'Time Series Query'!AG17</f>
        <v>2014-6</v>
      </c>
      <c r="D62" s="13">
        <f>'Time Series Query'!AH17</f>
        <v>120.58148981476333</v>
      </c>
      <c r="E62" s="24">
        <f>'Time Series Query'!AJ17</f>
        <v>82.679845207781995</v>
      </c>
      <c r="F62" s="25">
        <f>'Time Series Query'!AK17</f>
        <v>0.31553423156886901</v>
      </c>
      <c r="G62" s="24">
        <f>'Time Series Query'!AL17</f>
        <v>34.661162842672901</v>
      </c>
      <c r="H62" s="25">
        <f>'Time Series Query'!AM17</f>
        <v>0.29884259120715101</v>
      </c>
      <c r="I62" s="24">
        <f>'Time Series Query'!AN17</f>
        <v>751.34573772027397</v>
      </c>
      <c r="J62" s="25">
        <f>'Time Series Query'!AO17</f>
        <v>0.14051454639572</v>
      </c>
      <c r="L62" s="13" t="s">
        <v>184</v>
      </c>
      <c r="M62" s="13">
        <f>'Time Series Query'!AI17</f>
        <v>6.4819557960899914</v>
      </c>
      <c r="N62" s="14">
        <f>'Time Series Query'!AJ17-'Time Series Query'!AJ18</f>
        <v>0.22810407353048845</v>
      </c>
      <c r="O62" s="18">
        <f>'Time Series Query'!AK17-'Time Series Query'!AK18</f>
        <v>7.1128932745510021E-3</v>
      </c>
      <c r="P62" s="14">
        <f>'Time Series Query'!AL17-'Time Series Query'!AL18</f>
        <v>-1.4773276912997346E-2</v>
      </c>
      <c r="Q62" s="18">
        <f>'Time Series Query'!AM17-'Time Series Query'!AM18</f>
        <v>-9.2815176752897299E-4</v>
      </c>
      <c r="R62" s="14">
        <f>'Time Series Query'!AN17-'Time Series Query'!AN18</f>
        <v>-0.2697046070639999</v>
      </c>
      <c r="S62" s="18">
        <f>'Time Series Query'!AO17-'Time Series Query'!AO18</f>
        <v>2.7068364400689993E-3</v>
      </c>
    </row>
    <row r="63" spans="3:19">
      <c r="C63" t="s">
        <v>185</v>
      </c>
    </row>
  </sheetData>
  <conditionalFormatting sqref="M50:O62">
    <cfRule type="cellIs" dxfId="48" priority="34" operator="lessThan">
      <formula>0</formula>
    </cfRule>
  </conditionalFormatting>
  <conditionalFormatting sqref="D50:D62">
    <cfRule type="colorScale" priority="24">
      <colorScale>
        <cfvo type="min"/>
        <cfvo type="max"/>
        <color theme="0"/>
        <color theme="3" tint="0.59999389629810485"/>
      </colorScale>
    </cfRule>
  </conditionalFormatting>
  <conditionalFormatting sqref="E50:E62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F50:F62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G50:G62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H50:H62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I50:I62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J50:J62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P50:Q62">
    <cfRule type="cellIs" dxfId="47" priority="3" operator="lessThan">
      <formula>0</formula>
    </cfRule>
  </conditionalFormatting>
  <conditionalFormatting sqref="R50:S62">
    <cfRule type="cellIs" dxfId="46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9" orientation="landscape" horizontalDpi="1200" verticalDpi="1200" r:id="rId1"/>
  <headerFooter scaleWithDoc="0">
    <oddHeader>&amp;L&amp;G&amp;C&amp;"-,Bold"&amp;10&amp;K2E398A
&amp;15Credit Availability Index&amp;R&amp;"-,Bold"&amp;10&amp;K2E398A
As of 07/24/2015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topLeftCell="A11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5" orientation="landscape" horizontalDpi="300" verticalDpi="300" r:id="rId1"/>
  <headerFooter scaleWithDoc="0">
    <oddHeader xml:space="preserve">&amp;L&amp;G&amp;C&amp;"-,Bold"&amp;15&amp;K2E398A
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263"/>
  <sheetViews>
    <sheetView topLeftCell="J1" workbookViewId="0">
      <selection activeCell="AJ5" sqref="AJ5"/>
    </sheetView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16384" width="9.140625" style="5"/>
  </cols>
  <sheetData>
    <row r="1" spans="1:41">
      <c r="C1" s="5" t="s">
        <v>167</v>
      </c>
      <c r="D1" s="5">
        <v>1.4999999999999999E-2</v>
      </c>
    </row>
    <row r="3" spans="1:41" ht="21">
      <c r="A3" s="17" t="s">
        <v>35</v>
      </c>
      <c r="G3" s="17" t="s">
        <v>189</v>
      </c>
      <c r="K3" s="17" t="s">
        <v>188</v>
      </c>
      <c r="O3" s="17" t="s">
        <v>160</v>
      </c>
      <c r="S3" s="17" t="s">
        <v>161</v>
      </c>
      <c r="W3" s="17" t="s">
        <v>162</v>
      </c>
      <c r="AA3" s="17" t="s">
        <v>163</v>
      </c>
      <c r="AE3" s="17" t="s">
        <v>165</v>
      </c>
    </row>
    <row r="4" spans="1:41" s="12" customFormat="1">
      <c r="A4" s="12" t="s">
        <v>33</v>
      </c>
      <c r="B4" s="12" t="s">
        <v>5</v>
      </c>
      <c r="C4" s="16" t="s">
        <v>164</v>
      </c>
      <c r="D4" s="16" t="s">
        <v>159</v>
      </c>
      <c r="E4"/>
      <c r="G4" s="12" t="s">
        <v>33</v>
      </c>
      <c r="H4" s="12" t="s">
        <v>5</v>
      </c>
      <c r="I4" s="12" t="s">
        <v>190</v>
      </c>
      <c r="K4" s="12" t="s">
        <v>33</v>
      </c>
      <c r="L4" s="28" t="s">
        <v>5</v>
      </c>
      <c r="O4" s="12" t="s">
        <v>33</v>
      </c>
      <c r="P4" s="12" t="s">
        <v>5</v>
      </c>
      <c r="Q4" s="12" t="s">
        <v>171</v>
      </c>
      <c r="S4" s="12" t="s">
        <v>33</v>
      </c>
      <c r="T4" s="12" t="s">
        <v>5</v>
      </c>
      <c r="W4" s="12" t="s">
        <v>33</v>
      </c>
      <c r="X4" s="12" t="s">
        <v>5</v>
      </c>
      <c r="Y4" s="28" t="s">
        <v>170</v>
      </c>
      <c r="AA4" s="12" t="s">
        <v>33</v>
      </c>
      <c r="AB4" s="12" t="s">
        <v>5</v>
      </c>
      <c r="AE4" s="12" t="s">
        <v>33</v>
      </c>
      <c r="AF4" s="12" t="s">
        <v>5</v>
      </c>
      <c r="AG4" s="16" t="s">
        <v>164</v>
      </c>
      <c r="AH4" s="16" t="s">
        <v>159</v>
      </c>
      <c r="AI4" s="12" t="s">
        <v>166</v>
      </c>
      <c r="AJ4" s="12" t="s">
        <v>191</v>
      </c>
      <c r="AK4" s="12" t="s">
        <v>190</v>
      </c>
      <c r="AL4" s="12" t="s">
        <v>168</v>
      </c>
      <c r="AM4" s="12" t="s">
        <v>171</v>
      </c>
      <c r="AN4" s="12" t="s">
        <v>169</v>
      </c>
      <c r="AO4" s="12" t="s">
        <v>170</v>
      </c>
    </row>
    <row r="5" spans="1:41" s="6" customFormat="1" ht="12.75">
      <c r="A5" s="7" t="s">
        <v>34</v>
      </c>
      <c r="B5" s="11">
        <v>2.1503003837586899E-2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143.353358917246</v>
      </c>
      <c r="G5" s="7" t="s">
        <v>34</v>
      </c>
      <c r="H5" s="11">
        <v>81.539035520498601</v>
      </c>
      <c r="I5" s="26">
        <f>VLOOKUP(CurrentMtgRatesDataTable82[[#This Row],[asofdate]],K:L,2,0)</f>
        <v>0.273773110302937</v>
      </c>
      <c r="K5" s="7" t="s">
        <v>34</v>
      </c>
      <c r="L5" s="26">
        <v>0.273773110302937</v>
      </c>
      <c r="O5" s="7" t="s">
        <v>34</v>
      </c>
      <c r="P5" s="11">
        <v>33.494897247675397</v>
      </c>
      <c r="Q5" s="29">
        <f>VLOOKUP(CurrentMtgRatesDataTable84[[#This Row],[asofdate]],S:T,2,0)</f>
        <v>1.3214033853566599E-2</v>
      </c>
      <c r="S5" s="7" t="s">
        <v>34</v>
      </c>
      <c r="T5" s="11">
        <v>1.3214033853566599E-2</v>
      </c>
      <c r="W5" s="7" t="s">
        <v>34</v>
      </c>
      <c r="X5" s="11">
        <v>721.82095826598299</v>
      </c>
      <c r="Y5" s="26">
        <f>VLOOKUP(CurrentMtgRatesDataTable86[[#This Row],[asofdate]],AA:AB,2,0)</f>
        <v>0.32552540334650598</v>
      </c>
      <c r="AA5" s="7" t="s">
        <v>34</v>
      </c>
      <c r="AB5" s="11">
        <v>0.32552540334650598</v>
      </c>
      <c r="AE5" s="7" t="s">
        <v>31</v>
      </c>
      <c r="AF5" s="11">
        <v>1.78251595734213E-2</v>
      </c>
      <c r="AG5" s="11" t="str">
        <f>YEAR(CurrentMtgRatesDataTable89[[#This Row],[asofdate]])&amp;"-"&amp;MONTH(CurrentMtgRatesDataTable89[[#This Row],[asofdate]])</f>
        <v>2015-6</v>
      </c>
      <c r="AH5" s="6">
        <f>((CurrentMtgRatesDataTable89[[#This Row],[SeriesNumValue]]-$D$1)/$D$1+1)*100</f>
        <v>118.83439715614202</v>
      </c>
      <c r="AI5" s="6">
        <f>CurrentMtgRatesDataTable89[[#This Row],[Index]]-AH6</f>
        <v>-0.72751395249463258</v>
      </c>
      <c r="AJ5" s="6">
        <f>VLOOKUP(CurrentMtgRatesDataTable89[[#This Row],[asofdate]],G:H,2,0)</f>
        <v>82.961320951046801</v>
      </c>
      <c r="AK5" s="6">
        <f>VLOOKUP(CurrentMtgRatesDataTable89[[#This Row],[asofdate]],K:L,2,0)</f>
        <v>0.32819322175534099</v>
      </c>
      <c r="AL5" s="6">
        <f>VLOOKUP(CurrentMtgRatesDataTable89[[#This Row],[asofdate]],O:P,2,0)</f>
        <v>34.455525298530901</v>
      </c>
      <c r="AM5" s="6">
        <f>VLOOKUP(CurrentMtgRatesDataTable89[[#This Row],[asofdate]],S:T,2,0)</f>
        <v>0.29594927973713903</v>
      </c>
      <c r="AN5" s="6">
        <f>VLOOKUP(CurrentMtgRatesDataTable89[[#This Row],[asofdate]],W:X,2,0)</f>
        <v>751.75185833983403</v>
      </c>
      <c r="AO5" s="6">
        <f>VLOOKUP(CurrentMtgRatesDataTable89[[#This Row],[asofdate]],AA:AB,2,0)</f>
        <v>0.14240539660943999</v>
      </c>
    </row>
    <row r="6" spans="1:41" s="6" customFormat="1" ht="12.75">
      <c r="A6" s="7" t="s">
        <v>36</v>
      </c>
      <c r="B6" s="10">
        <v>2.10125100363719E-2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140.08340024247934</v>
      </c>
      <c r="G6" s="7" t="s">
        <v>36</v>
      </c>
      <c r="H6" s="10">
        <v>81.618643707083294</v>
      </c>
      <c r="I6" s="26">
        <f>VLOOKUP(CurrentMtgRatesDataTable82[[#This Row],[asofdate]],K:L,2,0)</f>
        <v>0.268197775375631</v>
      </c>
      <c r="K6" s="7" t="s">
        <v>36</v>
      </c>
      <c r="L6" s="29">
        <v>0.268197775375631</v>
      </c>
      <c r="O6" s="7" t="s">
        <v>36</v>
      </c>
      <c r="P6" s="10">
        <v>33.7182309791107</v>
      </c>
      <c r="Q6" s="29">
        <f>VLOOKUP(CurrentMtgRatesDataTable84[[#This Row],[asofdate]],S:T,2,0)</f>
        <v>1.1153200110278301E-2</v>
      </c>
      <c r="S6" s="7" t="s">
        <v>36</v>
      </c>
      <c r="T6" s="10">
        <v>1.1153200110278301E-2</v>
      </c>
      <c r="W6" s="7" t="s">
        <v>36</v>
      </c>
      <c r="X6" s="10">
        <v>722.77500565149899</v>
      </c>
      <c r="Y6" s="26">
        <f>VLOOKUP(CurrentMtgRatesDataTable86[[#This Row],[asofdate]],AA:AB,2,0)</f>
        <v>0.31736980921803998</v>
      </c>
      <c r="AA6" s="7" t="s">
        <v>36</v>
      </c>
      <c r="AB6" s="10">
        <v>0.31736980921803998</v>
      </c>
      <c r="AE6" s="7" t="s">
        <v>30</v>
      </c>
      <c r="AF6" s="10">
        <v>1.7934286666295499E-2</v>
      </c>
      <c r="AG6" s="10" t="str">
        <f>YEAR(CurrentMtgRatesDataTable89[[#This Row],[asofdate]])&amp;"-"&amp;MONTH(CurrentMtgRatesDataTable89[[#This Row],[asofdate]])</f>
        <v>2015-5</v>
      </c>
      <c r="AH6" s="6">
        <f>((CurrentMtgRatesDataTable89[[#This Row],[SeriesNumValue]]-$D$1)/$D$1+1)*100</f>
        <v>119.56191110863665</v>
      </c>
      <c r="AI6" s="6">
        <f>CurrentMtgRatesDataTable89[[#This Row],[Index]]-AH7</f>
        <v>1.3646649413099681</v>
      </c>
      <c r="AJ6" s="6">
        <f>VLOOKUP(CurrentMtgRatesDataTable89[[#This Row],[asofdate]],G:H,2,0)</f>
        <v>82.946143202331896</v>
      </c>
      <c r="AK6" s="6">
        <f>VLOOKUP(CurrentMtgRatesDataTable89[[#This Row],[asofdate]],K:L,2,0)</f>
        <v>0.33042720377120399</v>
      </c>
      <c r="AL6" s="6">
        <f>VLOOKUP(CurrentMtgRatesDataTable89[[#This Row],[asofdate]],O:P,2,0)</f>
        <v>34.589627076095397</v>
      </c>
      <c r="AM6" s="6">
        <f>VLOOKUP(CurrentMtgRatesDataTable89[[#This Row],[asofdate]],S:T,2,0)</f>
        <v>0.30077326622622502</v>
      </c>
      <c r="AN6" s="6">
        <f>VLOOKUP(CurrentMtgRatesDataTable89[[#This Row],[asofdate]],W:X,2,0)</f>
        <v>751.39344332595499</v>
      </c>
      <c r="AO6" s="6">
        <f>VLOOKUP(CurrentMtgRatesDataTable89[[#This Row],[asofdate]],AA:AB,2,0)</f>
        <v>0.142311552894924</v>
      </c>
    </row>
    <row r="7" spans="1:41" s="6" customFormat="1" ht="12.75">
      <c r="A7" s="7" t="s">
        <v>37</v>
      </c>
      <c r="B7" s="10">
        <v>2.26339866956747E-2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150.89324463783134</v>
      </c>
      <c r="G7" s="7" t="s">
        <v>37</v>
      </c>
      <c r="H7" s="10">
        <v>81.559567738559593</v>
      </c>
      <c r="I7" s="26">
        <f>VLOOKUP(CurrentMtgRatesDataTable82[[#This Row],[asofdate]],K:L,2,0)</f>
        <v>0.27193035338169502</v>
      </c>
      <c r="K7" s="7" t="s">
        <v>37</v>
      </c>
      <c r="L7" s="29">
        <v>0.27193035338169502</v>
      </c>
      <c r="O7" s="7" t="s">
        <v>37</v>
      </c>
      <c r="P7" s="10">
        <v>34.146724560705401</v>
      </c>
      <c r="Q7" s="29">
        <f>VLOOKUP(CurrentMtgRatesDataTable84[[#This Row],[asofdate]],S:T,2,0)</f>
        <v>1.2644025438160299E-2</v>
      </c>
      <c r="S7" s="7" t="s">
        <v>37</v>
      </c>
      <c r="T7" s="10">
        <v>1.2644025438160299E-2</v>
      </c>
      <c r="W7" s="7" t="s">
        <v>37</v>
      </c>
      <c r="X7" s="10">
        <v>722.25565515955498</v>
      </c>
      <c r="Y7" s="26">
        <f>VLOOKUP(CurrentMtgRatesDataTable86[[#This Row],[asofdate]],AA:AB,2,0)</f>
        <v>0.32366346376695998</v>
      </c>
      <c r="AA7" s="7" t="s">
        <v>37</v>
      </c>
      <c r="AB7" s="10">
        <v>0.32366346376695998</v>
      </c>
      <c r="AE7" s="7" t="s">
        <v>29</v>
      </c>
      <c r="AF7" s="10">
        <v>1.7729586925098999E-2</v>
      </c>
      <c r="AG7" s="10" t="str">
        <f>YEAR(CurrentMtgRatesDataTable89[[#This Row],[asofdate]])&amp;"-"&amp;MONTH(CurrentMtgRatesDataTable89[[#This Row],[asofdate]])</f>
        <v>2015-4</v>
      </c>
      <c r="AH7" s="6">
        <f>((CurrentMtgRatesDataTable89[[#This Row],[SeriesNumValue]]-$D$1)/$D$1+1)*100</f>
        <v>118.19724616732668</v>
      </c>
      <c r="AI7" s="6">
        <f>CurrentMtgRatesDataTable89[[#This Row],[Index]]-AH8</f>
        <v>-10.83318740608135</v>
      </c>
      <c r="AJ7" s="6">
        <f>VLOOKUP(CurrentMtgRatesDataTable89[[#This Row],[asofdate]],G:H,2,0)</f>
        <v>82.950060225010503</v>
      </c>
      <c r="AK7" s="6">
        <f>VLOOKUP(CurrentMtgRatesDataTable89[[#This Row],[asofdate]],K:L,2,0)</f>
        <v>0.32984190450163098</v>
      </c>
      <c r="AL7" s="6">
        <f>VLOOKUP(CurrentMtgRatesDataTable89[[#This Row],[asofdate]],O:P,2,0)</f>
        <v>34.588396942070901</v>
      </c>
      <c r="AM7" s="6">
        <f>VLOOKUP(CurrentMtgRatesDataTable89[[#This Row],[asofdate]],S:T,2,0)</f>
        <v>0.30203236660688898</v>
      </c>
      <c r="AN7" s="6">
        <f>VLOOKUP(CurrentMtgRatesDataTable89[[#This Row],[asofdate]],W:X,2,0)</f>
        <v>750.56998764591503</v>
      </c>
      <c r="AO7" s="6">
        <f>VLOOKUP(CurrentMtgRatesDataTable89[[#This Row],[asofdate]],AA:AB,2,0)</f>
        <v>0.14691246628329799</v>
      </c>
    </row>
    <row r="8" spans="1:41" s="6" customFormat="1" ht="12.75">
      <c r="A8" s="7" t="s">
        <v>38</v>
      </c>
      <c r="B8" s="10">
        <v>2.15712292094737E-2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143.80819472982466</v>
      </c>
      <c r="G8" s="7" t="s">
        <v>38</v>
      </c>
      <c r="H8" s="10">
        <v>81.295959132137398</v>
      </c>
      <c r="I8" s="26">
        <f>VLOOKUP(CurrentMtgRatesDataTable82[[#This Row],[asofdate]],K:L,2,0)</f>
        <v>0.26156705672942099</v>
      </c>
      <c r="K8" s="7" t="s">
        <v>38</v>
      </c>
      <c r="L8" s="29">
        <v>0.26156705672942099</v>
      </c>
      <c r="O8" s="7" t="s">
        <v>38</v>
      </c>
      <c r="P8" s="10">
        <v>33.498398894729299</v>
      </c>
      <c r="Q8" s="29">
        <f>VLOOKUP(CurrentMtgRatesDataTable84[[#This Row],[asofdate]],S:T,2,0)</f>
        <v>1.3217082179037699E-2</v>
      </c>
      <c r="S8" s="7" t="s">
        <v>38</v>
      </c>
      <c r="T8" s="10">
        <v>1.3217082179037699E-2</v>
      </c>
      <c r="W8" s="7" t="s">
        <v>38</v>
      </c>
      <c r="X8" s="10">
        <v>724.13043049769794</v>
      </c>
      <c r="Y8" s="26">
        <f>VLOOKUP(CurrentMtgRatesDataTable86[[#This Row],[asofdate]],AA:AB,2,0)</f>
        <v>0.31012537854220201</v>
      </c>
      <c r="AA8" s="7" t="s">
        <v>38</v>
      </c>
      <c r="AB8" s="10">
        <v>0.31012537854220201</v>
      </c>
      <c r="AE8" s="7" t="s">
        <v>158</v>
      </c>
      <c r="AF8" s="10">
        <v>1.9354565036011202E-2</v>
      </c>
      <c r="AG8" s="10" t="str">
        <f>YEAR(CurrentMtgRatesDataTable89[[#This Row],[asofdate]])&amp;"-"&amp;MONTH(CurrentMtgRatesDataTable89[[#This Row],[asofdate]])</f>
        <v>2015-3</v>
      </c>
      <c r="AH8" s="6">
        <f>((CurrentMtgRatesDataTable89[[#This Row],[SeriesNumValue]]-$D$1)/$D$1+1)*100</f>
        <v>129.03043357340803</v>
      </c>
      <c r="AI8" s="6">
        <f>CurrentMtgRatesDataTable89[[#This Row],[Index]]-AH9</f>
        <v>-1.0057259767733058</v>
      </c>
      <c r="AJ8" s="6">
        <f>VLOOKUP(CurrentMtgRatesDataTable89[[#This Row],[asofdate]],G:H,2,0)</f>
        <v>82.6718498563298</v>
      </c>
      <c r="AK8" s="6">
        <f>VLOOKUP(CurrentMtgRatesDataTable89[[#This Row],[asofdate]],K:L,2,0)</f>
        <v>0.31949128373865499</v>
      </c>
      <c r="AL8" s="6">
        <f>VLOOKUP(CurrentMtgRatesDataTable89[[#This Row],[asofdate]],O:P,2,0)</f>
        <v>35.030265771356703</v>
      </c>
      <c r="AM8" s="6">
        <f>VLOOKUP(CurrentMtgRatesDataTable89[[#This Row],[asofdate]],S:T,2,0)</f>
        <v>0.32254502946695401</v>
      </c>
      <c r="AN8" s="6">
        <f>VLOOKUP(CurrentMtgRatesDataTable89[[#This Row],[asofdate]],W:X,2,0)</f>
        <v>749.12037373042301</v>
      </c>
      <c r="AO8" s="6">
        <f>VLOOKUP(CurrentMtgRatesDataTable89[[#This Row],[asofdate]],AA:AB,2,0)</f>
        <v>0.160868404347313</v>
      </c>
    </row>
    <row r="9" spans="1:41" s="6" customFormat="1" ht="12.75">
      <c r="A9" s="7" t="s">
        <v>39</v>
      </c>
      <c r="B9" s="10">
        <v>1.7523262259364202E-2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116.82174839576133</v>
      </c>
      <c r="G9" s="7" t="s">
        <v>39</v>
      </c>
      <c r="H9" s="10">
        <v>81.227783424263805</v>
      </c>
      <c r="I9" s="26">
        <f>VLOOKUP(CurrentMtgRatesDataTable82[[#This Row],[asofdate]],K:L,2,0)</f>
        <v>0.26229302441941998</v>
      </c>
      <c r="K9" s="7" t="s">
        <v>39</v>
      </c>
      <c r="L9" s="29">
        <v>0.26229302441941998</v>
      </c>
      <c r="O9" s="7" t="s">
        <v>39</v>
      </c>
      <c r="P9" s="10">
        <v>33.485657077991299</v>
      </c>
      <c r="Q9" s="29">
        <f>VLOOKUP(CurrentMtgRatesDataTable84[[#This Row],[asofdate]],S:T,2,0)</f>
        <v>1.39964446794712E-2</v>
      </c>
      <c r="S9" s="7" t="s">
        <v>39</v>
      </c>
      <c r="T9" s="10">
        <v>1.39964446794712E-2</v>
      </c>
      <c r="W9" s="7" t="s">
        <v>39</v>
      </c>
      <c r="X9" s="10">
        <v>724.69001272811101</v>
      </c>
      <c r="Y9" s="26">
        <f>VLOOKUP(CurrentMtgRatesDataTable86[[#This Row],[asofdate]],AA:AB,2,0)</f>
        <v>0.30673000001085399</v>
      </c>
      <c r="AA9" s="7" t="s">
        <v>39</v>
      </c>
      <c r="AB9" s="10">
        <v>0.30673000001085399</v>
      </c>
      <c r="AE9" s="7" t="s">
        <v>157</v>
      </c>
      <c r="AF9" s="10">
        <v>1.9505423932527199E-2</v>
      </c>
      <c r="AG9" s="10" t="str">
        <f>YEAR(CurrentMtgRatesDataTable89[[#This Row],[asofdate]])&amp;"-"&amp;MONTH(CurrentMtgRatesDataTable89[[#This Row],[asofdate]])</f>
        <v>2015-2</v>
      </c>
      <c r="AH9" s="6">
        <f>((CurrentMtgRatesDataTable89[[#This Row],[SeriesNumValue]]-$D$1)/$D$1+1)*100</f>
        <v>130.03615955018134</v>
      </c>
      <c r="AI9" s="6">
        <f>CurrentMtgRatesDataTable89[[#This Row],[Index]]-AH10</f>
        <v>5.5926676557253359</v>
      </c>
      <c r="AJ9" s="6">
        <f>VLOOKUP(CurrentMtgRatesDataTable89[[#This Row],[asofdate]],G:H,2,0)</f>
        <v>82.799999029380501</v>
      </c>
      <c r="AK9" s="6">
        <f>VLOOKUP(CurrentMtgRatesDataTable89[[#This Row],[asofdate]],K:L,2,0)</f>
        <v>0.326527942114888</v>
      </c>
      <c r="AL9" s="6">
        <f>VLOOKUP(CurrentMtgRatesDataTable89[[#This Row],[asofdate]],O:P,2,0)</f>
        <v>34.979534284843602</v>
      </c>
      <c r="AM9" s="6">
        <f>VLOOKUP(CurrentMtgRatesDataTable89[[#This Row],[asofdate]],S:T,2,0)</f>
        <v>0.31902548887329202</v>
      </c>
      <c r="AN9" s="6">
        <f>VLOOKUP(CurrentMtgRatesDataTable89[[#This Row],[asofdate]],W:X,2,0)</f>
        <v>749.18624317874605</v>
      </c>
      <c r="AO9" s="6">
        <f>VLOOKUP(CurrentMtgRatesDataTable89[[#This Row],[asofdate]],AA:AB,2,0)</f>
        <v>0.15830472899411399</v>
      </c>
    </row>
    <row r="10" spans="1:41" s="6" customFormat="1" ht="12.75">
      <c r="A10" s="7" t="s">
        <v>40</v>
      </c>
      <c r="B10" s="10">
        <v>1.6598832394333001E-2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110.65888262888667</v>
      </c>
      <c r="G10" s="7" t="s">
        <v>40</v>
      </c>
      <c r="H10" s="10">
        <v>81.319665374729297</v>
      </c>
      <c r="I10" s="26">
        <f>VLOOKUP(CurrentMtgRatesDataTable82[[#This Row],[asofdate]],K:L,2,0)</f>
        <v>0.27721460761591599</v>
      </c>
      <c r="K10" s="7" t="s">
        <v>40</v>
      </c>
      <c r="L10" s="29">
        <v>0.27721460761591599</v>
      </c>
      <c r="O10" s="7" t="s">
        <v>40</v>
      </c>
      <c r="P10" s="10">
        <v>34.340700588560999</v>
      </c>
      <c r="Q10" s="29">
        <f>VLOOKUP(CurrentMtgRatesDataTable84[[#This Row],[asofdate]],S:T,2,0)</f>
        <v>1.6059974401441201E-2</v>
      </c>
      <c r="S10" s="7" t="s">
        <v>40</v>
      </c>
      <c r="T10" s="10">
        <v>1.6059974401441201E-2</v>
      </c>
      <c r="W10" s="7" t="s">
        <v>40</v>
      </c>
      <c r="X10" s="10">
        <v>722.36494109535602</v>
      </c>
      <c r="Y10" s="26">
        <f>VLOOKUP(CurrentMtgRatesDataTable86[[#This Row],[asofdate]],AA:AB,2,0)</f>
        <v>0.325559155206814</v>
      </c>
      <c r="AA10" s="7" t="s">
        <v>40</v>
      </c>
      <c r="AB10" s="10">
        <v>0.325559155206814</v>
      </c>
      <c r="AE10" s="7" t="s">
        <v>156</v>
      </c>
      <c r="AF10" s="10">
        <v>1.8666523784168401E-2</v>
      </c>
      <c r="AG10" s="10" t="str">
        <f>YEAR(CurrentMtgRatesDataTable89[[#This Row],[asofdate]])&amp;"-"&amp;MONTH(CurrentMtgRatesDataTable89[[#This Row],[asofdate]])</f>
        <v>2015-1</v>
      </c>
      <c r="AH10" s="6">
        <f>((CurrentMtgRatesDataTable89[[#This Row],[SeriesNumValue]]-$D$1)/$D$1+1)*100</f>
        <v>124.443491894456</v>
      </c>
      <c r="AI10" s="6">
        <f>CurrentMtgRatesDataTable89[[#This Row],[Index]]-AH11</f>
        <v>-1.2136612027313163</v>
      </c>
      <c r="AJ10" s="6">
        <f>VLOOKUP(CurrentMtgRatesDataTable89[[#This Row],[asofdate]],G:H,2,0)</f>
        <v>82.726894845049003</v>
      </c>
      <c r="AK10" s="6">
        <f>VLOOKUP(CurrentMtgRatesDataTable89[[#This Row],[asofdate]],K:L,2,0)</f>
        <v>0.32030669927441502</v>
      </c>
      <c r="AL10" s="6">
        <f>VLOOKUP(CurrentMtgRatesDataTable89[[#This Row],[asofdate]],O:P,2,0)</f>
        <v>34.825549801776098</v>
      </c>
      <c r="AM10" s="6">
        <f>VLOOKUP(CurrentMtgRatesDataTable89[[#This Row],[asofdate]],S:T,2,0)</f>
        <v>0.31225215513724403</v>
      </c>
      <c r="AN10" s="6">
        <f>VLOOKUP(CurrentMtgRatesDataTable89[[#This Row],[asofdate]],W:X,2,0)</f>
        <v>749.70818030748501</v>
      </c>
      <c r="AO10" s="6">
        <f>VLOOKUP(CurrentMtgRatesDataTable89[[#This Row],[asofdate]],AA:AB,2,0)</f>
        <v>0.155627447967319</v>
      </c>
    </row>
    <row r="11" spans="1:41" s="6" customFormat="1" ht="12.75">
      <c r="A11" s="7" t="s">
        <v>41</v>
      </c>
      <c r="B11" s="10">
        <v>2.1574111788501899E-2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143.82741192334601</v>
      </c>
      <c r="G11" s="7" t="s">
        <v>41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41</v>
      </c>
      <c r="L11" s="29">
        <v>0.30202605452215497</v>
      </c>
      <c r="O11" s="7" t="s">
        <v>41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41</v>
      </c>
      <c r="T11" s="10">
        <v>2.1167569446924599E-2</v>
      </c>
      <c r="W11" s="7" t="s">
        <v>41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41</v>
      </c>
      <c r="AB11" s="10">
        <v>0.34444111149615098</v>
      </c>
      <c r="AE11" s="7" t="s">
        <v>16</v>
      </c>
      <c r="AF11" s="10">
        <v>1.8848572964578099E-2</v>
      </c>
      <c r="AG11" s="10" t="str">
        <f>YEAR(CurrentMtgRatesDataTable89[[#This Row],[asofdate]])&amp;"-"&amp;MONTH(CurrentMtgRatesDataTable89[[#This Row],[asofdate]])</f>
        <v>2014-12</v>
      </c>
      <c r="AH11" s="6">
        <f>((CurrentMtgRatesDataTable89[[#This Row],[SeriesNumValue]]-$D$1)/$D$1+1)*100</f>
        <v>125.65715309718732</v>
      </c>
      <c r="AI11" s="6">
        <f>CurrentMtgRatesDataTable89[[#This Row],[Index]]-AH12</f>
        <v>2.640032522056643</v>
      </c>
      <c r="AJ11" s="6">
        <f>VLOOKUP(CurrentMtgRatesDataTable89[[#This Row],[asofdate]],G:H,2,0)</f>
        <v>82.648682475903897</v>
      </c>
      <c r="AK11" s="6">
        <f>VLOOKUP(CurrentMtgRatesDataTable89[[#This Row],[asofdate]],K:L,2,0)</f>
        <v>0.3182637424325</v>
      </c>
      <c r="AL11" s="6">
        <f>VLOOKUP(CurrentMtgRatesDataTable89[[#This Row],[asofdate]],O:P,2,0)</f>
        <v>34.846411519785804</v>
      </c>
      <c r="AM11" s="6">
        <f>VLOOKUP(CurrentMtgRatesDataTable89[[#This Row],[asofdate]],S:T,2,0)</f>
        <v>0.312501649272727</v>
      </c>
      <c r="AN11" s="6">
        <f>VLOOKUP(CurrentMtgRatesDataTable89[[#This Row],[asofdate]],W:X,2,0)</f>
        <v>749.85098239753597</v>
      </c>
      <c r="AO11" s="6">
        <f>VLOOKUP(CurrentMtgRatesDataTable89[[#This Row],[asofdate]],AA:AB,2,0)</f>
        <v>0.15472556611875801</v>
      </c>
    </row>
    <row r="12" spans="1:41" s="6" customFormat="1" ht="12.75">
      <c r="A12" s="7" t="s">
        <v>42</v>
      </c>
      <c r="B12" s="10">
        <v>2.1832444303788601E-2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145.549628691924</v>
      </c>
      <c r="G12" s="7" t="s">
        <v>42</v>
      </c>
      <c r="H12" s="10">
        <v>81.864675439973595</v>
      </c>
      <c r="I12" s="26">
        <f>VLOOKUP(CurrentMtgRatesDataTable82[[#This Row],[asofdate]],K:L,2,0)</f>
        <v>0.296114091848449</v>
      </c>
      <c r="K12" s="7" t="s">
        <v>42</v>
      </c>
      <c r="L12" s="29">
        <v>0.296114091848449</v>
      </c>
      <c r="O12" s="7" t="s">
        <v>42</v>
      </c>
      <c r="P12" s="10">
        <v>36.512469501669301</v>
      </c>
      <c r="Q12" s="29">
        <f>VLOOKUP(CurrentMtgRatesDataTable84[[#This Row],[asofdate]],S:T,2,0)</f>
        <v>2.16059765998683E-2</v>
      </c>
      <c r="S12" s="7" t="s">
        <v>42</v>
      </c>
      <c r="T12" s="10">
        <v>2.16059765998683E-2</v>
      </c>
      <c r="W12" s="7" t="s">
        <v>42</v>
      </c>
      <c r="X12" s="10">
        <v>720.40606203129505</v>
      </c>
      <c r="Y12" s="26">
        <f>VLOOKUP(CurrentMtgRatesDataTable86[[#This Row],[asofdate]],AA:AB,2,0)</f>
        <v>0.339664978186758</v>
      </c>
      <c r="AA12" s="7" t="s">
        <v>42</v>
      </c>
      <c r="AB12" s="10">
        <v>0.339664978186758</v>
      </c>
      <c r="AE12" s="7" t="s">
        <v>155</v>
      </c>
      <c r="AF12" s="10">
        <v>1.8452568086269602E-2</v>
      </c>
      <c r="AG12" s="10" t="str">
        <f>YEAR(CurrentMtgRatesDataTable89[[#This Row],[asofdate]])&amp;"-"&amp;MONTH(CurrentMtgRatesDataTable89[[#This Row],[asofdate]])</f>
        <v>2014-11</v>
      </c>
      <c r="AH12" s="6">
        <f>((CurrentMtgRatesDataTable89[[#This Row],[SeriesNumValue]]-$D$1)/$D$1+1)*100</f>
        <v>123.01712057513068</v>
      </c>
      <c r="AI12" s="6">
        <f>CurrentMtgRatesDataTable89[[#This Row],[Index]]-AH13</f>
        <v>3.7784443100746756</v>
      </c>
      <c r="AJ12" s="6">
        <f>VLOOKUP(CurrentMtgRatesDataTable89[[#This Row],[asofdate]],G:H,2,0)</f>
        <v>82.806025021635705</v>
      </c>
      <c r="AK12" s="6">
        <f>VLOOKUP(CurrentMtgRatesDataTable89[[#This Row],[asofdate]],K:L,2,0)</f>
        <v>0.32260658064910602</v>
      </c>
      <c r="AL12" s="6">
        <f>VLOOKUP(CurrentMtgRatesDataTable89[[#This Row],[asofdate]],O:P,2,0)</f>
        <v>34.799602284529101</v>
      </c>
      <c r="AM12" s="6">
        <f>VLOOKUP(CurrentMtgRatesDataTable89[[#This Row],[asofdate]],S:T,2,0)</f>
        <v>0.30946150188699401</v>
      </c>
      <c r="AN12" s="6">
        <f>VLOOKUP(CurrentMtgRatesDataTable89[[#This Row],[asofdate]],W:X,2,0)</f>
        <v>749.74175563471795</v>
      </c>
      <c r="AO12" s="6">
        <f>VLOOKUP(CurrentMtgRatesDataTable89[[#This Row],[asofdate]],AA:AB,2,0)</f>
        <v>0.15614999525418599</v>
      </c>
    </row>
    <row r="13" spans="1:41" s="6" customFormat="1" ht="12.75">
      <c r="A13" s="7" t="s">
        <v>43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G13" s="7" t="s">
        <v>43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43</v>
      </c>
      <c r="L13" s="29">
        <v>0.29070058027366003</v>
      </c>
      <c r="O13" s="7" t="s">
        <v>43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43</v>
      </c>
      <c r="T13" s="10">
        <v>2.07685482202341E-2</v>
      </c>
      <c r="W13" s="7" t="s">
        <v>43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43</v>
      </c>
      <c r="AB13" s="10">
        <v>0.33824400161048002</v>
      </c>
      <c r="AE13" s="7" t="s">
        <v>8</v>
      </c>
      <c r="AF13" s="10">
        <v>1.78858014397584E-2</v>
      </c>
      <c r="AG13" s="10" t="str">
        <f>YEAR(CurrentMtgRatesDataTable89[[#This Row],[asofdate]])&amp;"-"&amp;MONTH(CurrentMtgRatesDataTable89[[#This Row],[asofdate]])</f>
        <v>2014-10</v>
      </c>
      <c r="AH13" s="6">
        <f>((CurrentMtgRatesDataTable89[[#This Row],[SeriesNumValue]]-$D$1)/$D$1+1)*100</f>
        <v>119.238676265056</v>
      </c>
      <c r="AI13" s="6">
        <f>CurrentMtgRatesDataTable89[[#This Row],[Index]]-AH14</f>
        <v>0.47203235161532575</v>
      </c>
      <c r="AJ13" s="6">
        <f>VLOOKUP(CurrentMtgRatesDataTable89[[#This Row],[asofdate]],G:H,2,0)</f>
        <v>82.725027620560496</v>
      </c>
      <c r="AK13" s="6">
        <f>VLOOKUP(CurrentMtgRatesDataTable89[[#This Row],[asofdate]],K:L,2,0)</f>
        <v>0.31578210572313697</v>
      </c>
      <c r="AL13" s="6">
        <f>VLOOKUP(CurrentMtgRatesDataTable89[[#This Row],[asofdate]],O:P,2,0)</f>
        <v>34.610194558743203</v>
      </c>
      <c r="AM13" s="6">
        <f>VLOOKUP(CurrentMtgRatesDataTable89[[#This Row],[asofdate]],S:T,2,0)</f>
        <v>0.30133477473338999</v>
      </c>
      <c r="AN13" s="6">
        <f>VLOOKUP(CurrentMtgRatesDataTable89[[#This Row],[asofdate]],W:X,2,0)</f>
        <v>750.89041693345405</v>
      </c>
      <c r="AO13" s="6">
        <f>VLOOKUP(CurrentMtgRatesDataTable89[[#This Row],[asofdate]],AA:AB,2,0)</f>
        <v>0.14744949602653001</v>
      </c>
    </row>
    <row r="14" spans="1:41" s="6" customFormat="1" ht="12.75">
      <c r="A14" s="7" t="s">
        <v>44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G14" s="7" t="s">
        <v>44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44</v>
      </c>
      <c r="L14" s="29">
        <v>0.279273746865356</v>
      </c>
      <c r="O14" s="7" t="s">
        <v>44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44</v>
      </c>
      <c r="T14" s="10">
        <v>2.56930597823848E-2</v>
      </c>
      <c r="W14" s="7" t="s">
        <v>44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44</v>
      </c>
      <c r="AB14" s="10">
        <v>0.33004652003424001</v>
      </c>
      <c r="AE14" s="7" t="s">
        <v>154</v>
      </c>
      <c r="AF14" s="10">
        <v>1.7814996587016099E-2</v>
      </c>
      <c r="AG14" s="10" t="str">
        <f>YEAR(CurrentMtgRatesDataTable89[[#This Row],[asofdate]])&amp;"-"&amp;MONTH(CurrentMtgRatesDataTable89[[#This Row],[asofdate]])</f>
        <v>2014-9</v>
      </c>
      <c r="AH14" s="6">
        <f>((CurrentMtgRatesDataTable89[[#This Row],[SeriesNumValue]]-$D$1)/$D$1+1)*100</f>
        <v>118.76664391344067</v>
      </c>
      <c r="AI14" s="6">
        <f>CurrentMtgRatesDataTable89[[#This Row],[Index]]-AH15</f>
        <v>-9.4006377807346553E-2</v>
      </c>
      <c r="AJ14" s="6">
        <f>VLOOKUP(CurrentMtgRatesDataTable89[[#This Row],[asofdate]],G:H,2,0)</f>
        <v>82.698876298661204</v>
      </c>
      <c r="AK14" s="6">
        <f>VLOOKUP(CurrentMtgRatesDataTable89[[#This Row],[asofdate]],K:L,2,0)</f>
        <v>0.31248163926657901</v>
      </c>
      <c r="AL14" s="6">
        <f>VLOOKUP(CurrentMtgRatesDataTable89[[#This Row],[asofdate]],O:P,2,0)</f>
        <v>34.445658086161799</v>
      </c>
      <c r="AM14" s="6">
        <f>VLOOKUP(CurrentMtgRatesDataTable89[[#This Row],[asofdate]],S:T,2,0)</f>
        <v>0.292572300486659</v>
      </c>
      <c r="AN14" s="6">
        <f>VLOOKUP(CurrentMtgRatesDataTable89[[#This Row],[asofdate]],W:X,2,0)</f>
        <v>750.90629465641405</v>
      </c>
      <c r="AO14" s="6">
        <f>VLOOKUP(CurrentMtgRatesDataTable89[[#This Row],[asofdate]],AA:AB,2,0)</f>
        <v>0.146716544232804</v>
      </c>
    </row>
    <row r="15" spans="1:41" s="6" customFormat="1" ht="12.75">
      <c r="A15" s="7" t="s">
        <v>45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G15" s="7" t="s">
        <v>45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45</v>
      </c>
      <c r="L15" s="29">
        <v>0.26366024772207802</v>
      </c>
      <c r="O15" s="7" t="s">
        <v>45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45</v>
      </c>
      <c r="T15" s="10">
        <v>2.4328764311436001E-2</v>
      </c>
      <c r="W15" s="7" t="s">
        <v>45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45</v>
      </c>
      <c r="AB15" s="10">
        <v>0.32020990049907999</v>
      </c>
      <c r="AE15" s="7" t="s">
        <v>21</v>
      </c>
      <c r="AF15" s="10">
        <v>1.7829097543687202E-2</v>
      </c>
      <c r="AG15" s="10" t="str">
        <f>YEAR(CurrentMtgRatesDataTable89[[#This Row],[asofdate]])&amp;"-"&amp;MONTH(CurrentMtgRatesDataTable89[[#This Row],[asofdate]])</f>
        <v>2014-8</v>
      </c>
      <c r="AH15" s="6">
        <f>((CurrentMtgRatesDataTable89[[#This Row],[SeriesNumValue]]-$D$1)/$D$1+1)*100</f>
        <v>118.86065029124802</v>
      </c>
      <c r="AI15" s="6">
        <f>CurrentMtgRatesDataTable89[[#This Row],[Index]]-AH16</f>
        <v>-5.0767240113373333</v>
      </c>
      <c r="AJ15" s="6">
        <f>VLOOKUP(CurrentMtgRatesDataTable89[[#This Row],[asofdate]],G:H,2,0)</f>
        <v>82.760809880115303</v>
      </c>
      <c r="AK15" s="6">
        <f>VLOOKUP(CurrentMtgRatesDataTable89[[#This Row],[asofdate]],K:L,2,0)</f>
        <v>0.31724681597179999</v>
      </c>
      <c r="AL15" s="6">
        <f>VLOOKUP(CurrentMtgRatesDataTable89[[#This Row],[asofdate]],O:P,2,0)</f>
        <v>34.322668964414902</v>
      </c>
      <c r="AM15" s="6">
        <f>VLOOKUP(CurrentMtgRatesDataTable89[[#This Row],[asofdate]],S:T,2,0)</f>
        <v>0.28912803306412299</v>
      </c>
      <c r="AN15" s="6">
        <f>VLOOKUP(CurrentMtgRatesDataTable89[[#This Row],[asofdate]],W:X,2,0)</f>
        <v>751.49916793197099</v>
      </c>
      <c r="AO15" s="6">
        <f>VLOOKUP(CurrentMtgRatesDataTable89[[#This Row],[asofdate]],AA:AB,2,0)</f>
        <v>0.14214393533160299</v>
      </c>
    </row>
    <row r="16" spans="1:41" s="6" customFormat="1" ht="12.75">
      <c r="A16" s="7" t="s">
        <v>46</v>
      </c>
      <c r="B16" s="10">
        <v>2.1651970694263199E-2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144.34647129508801</v>
      </c>
      <c r="G16" s="7" t="s">
        <v>46</v>
      </c>
      <c r="H16" s="10">
        <v>81.282382582521706</v>
      </c>
      <c r="I16" s="26">
        <f>VLOOKUP(CurrentMtgRatesDataTable82[[#This Row],[asofdate]],K:L,2,0)</f>
        <v>0.27540534836233099</v>
      </c>
      <c r="K16" s="7" t="s">
        <v>46</v>
      </c>
      <c r="L16" s="29">
        <v>0.27540534836233099</v>
      </c>
      <c r="O16" s="7" t="s">
        <v>46</v>
      </c>
      <c r="P16" s="10">
        <v>35.6489678872315</v>
      </c>
      <c r="Q16" s="29">
        <f>VLOOKUP(CurrentMtgRatesDataTable84[[#This Row],[asofdate]],S:T,2,0)</f>
        <v>2.1384091785982801E-2</v>
      </c>
      <c r="S16" s="7" t="s">
        <v>46</v>
      </c>
      <c r="T16" s="10">
        <v>2.1384091785982801E-2</v>
      </c>
      <c r="W16" s="7" t="s">
        <v>46</v>
      </c>
      <c r="X16" s="10">
        <v>721.56281309935798</v>
      </c>
      <c r="Y16" s="26">
        <f>VLOOKUP(CurrentMtgRatesDataTable86[[#This Row],[asofdate]],AA:AB,2,0)</f>
        <v>0.32413504500143903</v>
      </c>
      <c r="AA16" s="7" t="s">
        <v>46</v>
      </c>
      <c r="AB16" s="10">
        <v>0.32413504500143903</v>
      </c>
      <c r="AE16" s="7" t="s">
        <v>13</v>
      </c>
      <c r="AF16" s="10">
        <v>1.8590606145387802E-2</v>
      </c>
      <c r="AG16" s="10" t="str">
        <f>YEAR(CurrentMtgRatesDataTable89[[#This Row],[asofdate]])&amp;"-"&amp;MONTH(CurrentMtgRatesDataTable89[[#This Row],[asofdate]])</f>
        <v>2014-7</v>
      </c>
      <c r="AH16" s="6">
        <f>((CurrentMtgRatesDataTable89[[#This Row],[SeriesNumValue]]-$D$1)/$D$1+1)*100</f>
        <v>123.93737430258535</v>
      </c>
      <c r="AI16" s="6">
        <f>CurrentMtgRatesDataTable89[[#This Row],[Index]]-AH17</f>
        <v>3.3558844878220242</v>
      </c>
      <c r="AJ16" s="6">
        <f>VLOOKUP(CurrentMtgRatesDataTable89[[#This Row],[asofdate]],G:H,2,0)</f>
        <v>82.825596264816795</v>
      </c>
      <c r="AK16" s="6">
        <f>VLOOKUP(CurrentMtgRatesDataTable89[[#This Row],[asofdate]],K:L,2,0)</f>
        <v>0.31911152651525598</v>
      </c>
      <c r="AL16" s="6">
        <f>VLOOKUP(CurrentMtgRatesDataTable89[[#This Row],[asofdate]],O:P,2,0)</f>
        <v>34.469118698589199</v>
      </c>
      <c r="AM16" s="6">
        <f>VLOOKUP(CurrentMtgRatesDataTable89[[#This Row],[asofdate]],S:T,2,0)</f>
        <v>0.292372068977993</v>
      </c>
      <c r="AN16" s="6">
        <f>VLOOKUP(CurrentMtgRatesDataTable89[[#This Row],[asofdate]],W:X,2,0)</f>
        <v>751.34658083025101</v>
      </c>
      <c r="AO16" s="6">
        <f>VLOOKUP(CurrentMtgRatesDataTable89[[#This Row],[asofdate]],AA:AB,2,0)</f>
        <v>0.142896947192278</v>
      </c>
    </row>
    <row r="17" spans="1:41" s="6" customFormat="1" ht="12.75">
      <c r="A17" s="7" t="s">
        <v>47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G17" s="7" t="s">
        <v>47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47</v>
      </c>
      <c r="L17" s="29">
        <v>0.27051249930375898</v>
      </c>
      <c r="O17" s="7" t="s">
        <v>47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47</v>
      </c>
      <c r="T17" s="10">
        <v>2.0473067086164198E-2</v>
      </c>
      <c r="W17" s="7" t="s">
        <v>47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47</v>
      </c>
      <c r="AB17" s="10">
        <v>0.31650083814304297</v>
      </c>
      <c r="AE17" s="7" t="s">
        <v>153</v>
      </c>
      <c r="AF17" s="10">
        <v>1.80872234722145E-2</v>
      </c>
      <c r="AG17" s="10" t="str">
        <f>YEAR(CurrentMtgRatesDataTable89[[#This Row],[asofdate]])&amp;"-"&amp;MONTH(CurrentMtgRatesDataTable89[[#This Row],[asofdate]])</f>
        <v>2014-6</v>
      </c>
      <c r="AH17" s="6">
        <f>((CurrentMtgRatesDataTable89[[#This Row],[SeriesNumValue]]-$D$1)/$D$1+1)*100</f>
        <v>120.58148981476333</v>
      </c>
      <c r="AI17" s="6">
        <f>CurrentMtgRatesDataTable89[[#This Row],[Index]]-AH18</f>
        <v>6.4819557960899914</v>
      </c>
      <c r="AJ17" s="6">
        <f>VLOOKUP(CurrentMtgRatesDataTable89[[#This Row],[asofdate]],G:H,2,0)</f>
        <v>82.679845207781995</v>
      </c>
      <c r="AK17" s="6">
        <f>VLOOKUP(CurrentMtgRatesDataTable89[[#This Row],[asofdate]],K:L,2,0)</f>
        <v>0.31553423156886901</v>
      </c>
      <c r="AL17" s="6">
        <f>VLOOKUP(CurrentMtgRatesDataTable89[[#This Row],[asofdate]],O:P,2,0)</f>
        <v>34.661162842672901</v>
      </c>
      <c r="AM17" s="6">
        <f>VLOOKUP(CurrentMtgRatesDataTable89[[#This Row],[asofdate]],S:T,2,0)</f>
        <v>0.29884259120715101</v>
      </c>
      <c r="AN17" s="6">
        <f>VLOOKUP(CurrentMtgRatesDataTable89[[#This Row],[asofdate]],W:X,2,0)</f>
        <v>751.34573772027397</v>
      </c>
      <c r="AO17" s="6">
        <f>VLOOKUP(CurrentMtgRatesDataTable89[[#This Row],[asofdate]],AA:AB,2,0)</f>
        <v>0.14051454639572</v>
      </c>
    </row>
    <row r="18" spans="1:41" s="6" customFormat="1" ht="12.75">
      <c r="A18" s="7" t="s">
        <v>48</v>
      </c>
      <c r="B18" s="10">
        <v>1.73405506927642E-2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115.60367128509468</v>
      </c>
      <c r="G18" s="7" t="s">
        <v>48</v>
      </c>
      <c r="H18" s="10">
        <v>80.962812814278394</v>
      </c>
      <c r="I18" s="26">
        <f>VLOOKUP(CurrentMtgRatesDataTable82[[#This Row],[asofdate]],K:L,2,0)</f>
        <v>0.259842747796937</v>
      </c>
      <c r="K18" s="7" t="s">
        <v>48</v>
      </c>
      <c r="L18" s="29">
        <v>0.259842747796937</v>
      </c>
      <c r="O18" s="7" t="s">
        <v>48</v>
      </c>
      <c r="P18" s="10">
        <v>35.526911453853302</v>
      </c>
      <c r="Q18" s="29">
        <f>VLOOKUP(CurrentMtgRatesDataTable84[[#This Row],[asofdate]],S:T,2,0)</f>
        <v>1.89317302664378E-2</v>
      </c>
      <c r="S18" s="7" t="s">
        <v>48</v>
      </c>
      <c r="T18" s="10">
        <v>1.89317302664378E-2</v>
      </c>
      <c r="W18" s="7" t="s">
        <v>48</v>
      </c>
      <c r="X18" s="10">
        <v>724.09011428757503</v>
      </c>
      <c r="Y18" s="26">
        <f>VLOOKUP(CurrentMtgRatesDataTable86[[#This Row],[asofdate]],AA:AB,2,0)</f>
        <v>0.31188618870316498</v>
      </c>
      <c r="AA18" s="7" t="s">
        <v>48</v>
      </c>
      <c r="AB18" s="10">
        <v>0.31188618870316498</v>
      </c>
      <c r="AE18" s="7" t="s">
        <v>24</v>
      </c>
      <c r="AF18" s="10">
        <v>1.7114930102801001E-2</v>
      </c>
      <c r="AG18" s="10" t="str">
        <f>YEAR(CurrentMtgRatesDataTable89[[#This Row],[asofdate]])&amp;"-"&amp;MONTH(CurrentMtgRatesDataTable89[[#This Row],[asofdate]])</f>
        <v>2014-5</v>
      </c>
      <c r="AH18" s="6">
        <f>((CurrentMtgRatesDataTable89[[#This Row],[SeriesNumValue]]-$D$1)/$D$1+1)*100</f>
        <v>114.09953401867334</v>
      </c>
      <c r="AI18" s="6">
        <f>CurrentMtgRatesDataTable89[[#This Row],[Index]]-AH19</f>
        <v>-1.7750052434093533</v>
      </c>
      <c r="AJ18" s="6">
        <f>VLOOKUP(CurrentMtgRatesDataTable89[[#This Row],[asofdate]],G:H,2,0)</f>
        <v>82.451741134251506</v>
      </c>
      <c r="AK18" s="6">
        <f>VLOOKUP(CurrentMtgRatesDataTable89[[#This Row],[asofdate]],K:L,2,0)</f>
        <v>0.308421338294318</v>
      </c>
      <c r="AL18" s="6">
        <f>VLOOKUP(CurrentMtgRatesDataTable89[[#This Row],[asofdate]],O:P,2,0)</f>
        <v>34.675936119585899</v>
      </c>
      <c r="AM18" s="6">
        <f>VLOOKUP(CurrentMtgRatesDataTable89[[#This Row],[asofdate]],S:T,2,0)</f>
        <v>0.29977074297467998</v>
      </c>
      <c r="AN18" s="6">
        <f>VLOOKUP(CurrentMtgRatesDataTable89[[#This Row],[asofdate]],W:X,2,0)</f>
        <v>751.61544232733797</v>
      </c>
      <c r="AO18" s="6">
        <f>VLOOKUP(CurrentMtgRatesDataTable89[[#This Row],[asofdate]],AA:AB,2,0)</f>
        <v>0.137807709955651</v>
      </c>
    </row>
    <row r="19" spans="1:41" s="6" customFormat="1" ht="12.75">
      <c r="A19" s="7" t="s">
        <v>49</v>
      </c>
      <c r="B19" s="10">
        <v>1.7285445623147998E-2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115.23630415432</v>
      </c>
      <c r="G19" s="7" t="s">
        <v>49</v>
      </c>
      <c r="H19" s="10">
        <v>80.929303128497196</v>
      </c>
      <c r="I19" s="26">
        <f>VLOOKUP(CurrentMtgRatesDataTable82[[#This Row],[asofdate]],K:L,2,0)</f>
        <v>0.26660741442841002</v>
      </c>
      <c r="K19" s="7" t="s">
        <v>49</v>
      </c>
      <c r="L19" s="29">
        <v>0.26660741442841002</v>
      </c>
      <c r="O19" s="7" t="s">
        <v>49</v>
      </c>
      <c r="P19" s="10">
        <v>34.992796676142099</v>
      </c>
      <c r="Q19" s="29">
        <f>VLOOKUP(CurrentMtgRatesDataTable84[[#This Row],[asofdate]],S:T,2,0)</f>
        <v>1.9712869514707201E-2</v>
      </c>
      <c r="S19" s="7" t="s">
        <v>49</v>
      </c>
      <c r="T19" s="10">
        <v>1.9712869514707201E-2</v>
      </c>
      <c r="W19" s="7" t="s">
        <v>49</v>
      </c>
      <c r="X19" s="10">
        <v>722.99316837448498</v>
      </c>
      <c r="Y19" s="26">
        <f>VLOOKUP(CurrentMtgRatesDataTable86[[#This Row],[asofdate]],AA:AB,2,0)</f>
        <v>0.32135414932178502</v>
      </c>
      <c r="AA19" s="7" t="s">
        <v>49</v>
      </c>
      <c r="AB19" s="10">
        <v>0.32135414932178502</v>
      </c>
      <c r="AE19" s="7" t="s">
        <v>12</v>
      </c>
      <c r="AF19" s="10">
        <v>1.7381180889312401E-2</v>
      </c>
      <c r="AG19" s="10" t="str">
        <f>YEAR(CurrentMtgRatesDataTable89[[#This Row],[asofdate]])&amp;"-"&amp;MONTH(CurrentMtgRatesDataTable89[[#This Row],[asofdate]])</f>
        <v>2014-4</v>
      </c>
      <c r="AH19" s="6">
        <f>((CurrentMtgRatesDataTable89[[#This Row],[SeriesNumValue]]-$D$1)/$D$1+1)*100</f>
        <v>115.87453926208269</v>
      </c>
      <c r="AI19" s="6">
        <f>CurrentMtgRatesDataTable89[[#This Row],[Index]]-AH20</f>
        <v>3.2685945673140395</v>
      </c>
      <c r="AJ19" s="6">
        <f>VLOOKUP(CurrentMtgRatesDataTable89[[#This Row],[asofdate]],G:H,2,0)</f>
        <v>82.226218839418294</v>
      </c>
      <c r="AK19" s="6">
        <f>VLOOKUP(CurrentMtgRatesDataTable89[[#This Row],[asofdate]],K:L,2,0)</f>
        <v>0.30242604280597202</v>
      </c>
      <c r="AL19" s="6">
        <f>VLOOKUP(CurrentMtgRatesDataTable89[[#This Row],[asofdate]],O:P,2,0)</f>
        <v>34.816657466332202</v>
      </c>
      <c r="AM19" s="6">
        <f>VLOOKUP(CurrentMtgRatesDataTable89[[#This Row],[asofdate]],S:T,2,0)</f>
        <v>0.30842172890368003</v>
      </c>
      <c r="AN19" s="6">
        <f>VLOOKUP(CurrentMtgRatesDataTable89[[#This Row],[asofdate]],W:X,2,0)</f>
        <v>751.46145428432101</v>
      </c>
      <c r="AO19" s="6">
        <f>VLOOKUP(CurrentMtgRatesDataTable89[[#This Row],[asofdate]],AA:AB,2,0)</f>
        <v>0.136849264796784</v>
      </c>
    </row>
    <row r="20" spans="1:41" s="6" customFormat="1" ht="12.75">
      <c r="A20" s="7" t="s">
        <v>50</v>
      </c>
      <c r="B20" s="10">
        <v>2.0861523924485599E-2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139.07682616323734</v>
      </c>
      <c r="G20" s="7" t="s">
        <v>50</v>
      </c>
      <c r="H20" s="10">
        <v>81.369180558242803</v>
      </c>
      <c r="I20" s="26">
        <f>VLOOKUP(CurrentMtgRatesDataTable82[[#This Row],[asofdate]],K:L,2,0)</f>
        <v>0.28327487287095598</v>
      </c>
      <c r="K20" s="7" t="s">
        <v>50</v>
      </c>
      <c r="L20" s="29">
        <v>0.28327487287095598</v>
      </c>
      <c r="O20" s="7" t="s">
        <v>50</v>
      </c>
      <c r="P20" s="10">
        <v>36.220778947235601</v>
      </c>
      <c r="Q20" s="29">
        <f>VLOOKUP(CurrentMtgRatesDataTable84[[#This Row],[asofdate]],S:T,2,0)</f>
        <v>2.66878218720141E-2</v>
      </c>
      <c r="S20" s="7" t="s">
        <v>50</v>
      </c>
      <c r="T20" s="10">
        <v>2.66878218720141E-2</v>
      </c>
      <c r="W20" s="7" t="s">
        <v>50</v>
      </c>
      <c r="X20" s="10">
        <v>720.05720457238999</v>
      </c>
      <c r="Y20" s="26">
        <f>VLOOKUP(CurrentMtgRatesDataTable86[[#This Row],[asofdate]],AA:AB,2,0)</f>
        <v>0.34685847478755499</v>
      </c>
      <c r="AA20" s="7" t="s">
        <v>50</v>
      </c>
      <c r="AB20" s="10">
        <v>0.34685847478755499</v>
      </c>
      <c r="AE20" s="7" t="s">
        <v>152</v>
      </c>
      <c r="AF20" s="10">
        <v>1.6890891704215299E-2</v>
      </c>
      <c r="AG20" s="10" t="str">
        <f>YEAR(CurrentMtgRatesDataTable89[[#This Row],[asofdate]])&amp;"-"&amp;MONTH(CurrentMtgRatesDataTable89[[#This Row],[asofdate]])</f>
        <v>2014-3</v>
      </c>
      <c r="AH20" s="6">
        <f>((CurrentMtgRatesDataTable89[[#This Row],[SeriesNumValue]]-$D$1)/$D$1+1)*100</f>
        <v>112.60594469476865</v>
      </c>
      <c r="AI20" s="6">
        <f>CurrentMtgRatesDataTable89[[#This Row],[Index]]-AH21</f>
        <v>9.145867469505319</v>
      </c>
      <c r="AJ20" s="6">
        <f>VLOOKUP(CurrentMtgRatesDataTable89[[#This Row],[asofdate]],G:H,2,0)</f>
        <v>81.856233579535996</v>
      </c>
      <c r="AK20" s="6">
        <f>VLOOKUP(CurrentMtgRatesDataTable89[[#This Row],[asofdate]],K:L,2,0)</f>
        <v>0.29276029694175298</v>
      </c>
      <c r="AL20" s="6">
        <f>VLOOKUP(CurrentMtgRatesDataTable89[[#This Row],[asofdate]],O:P,2,0)</f>
        <v>35.099450367876898</v>
      </c>
      <c r="AM20" s="6">
        <f>VLOOKUP(CurrentMtgRatesDataTable89[[#This Row],[asofdate]],S:T,2,0)</f>
        <v>0.326066586661303</v>
      </c>
      <c r="AN20" s="6">
        <f>VLOOKUP(CurrentMtgRatesDataTable89[[#This Row],[asofdate]],W:X,2,0)</f>
        <v>752.01802300598297</v>
      </c>
      <c r="AO20" s="6">
        <f>VLOOKUP(CurrentMtgRatesDataTable89[[#This Row],[asofdate]],AA:AB,2,0)</f>
        <v>0.133940209650801</v>
      </c>
    </row>
    <row r="21" spans="1:41" s="6" customFormat="1" ht="12.75">
      <c r="A21" s="7" t="s">
        <v>51</v>
      </c>
      <c r="B21" s="10">
        <v>2.32193814342797E-2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154.79587622853134</v>
      </c>
      <c r="G21" s="7" t="s">
        <v>51</v>
      </c>
      <c r="H21" s="10">
        <v>81.576108267439906</v>
      </c>
      <c r="I21" s="26">
        <f>VLOOKUP(CurrentMtgRatesDataTable82[[#This Row],[asofdate]],K:L,2,0)</f>
        <v>0.283527943042998</v>
      </c>
      <c r="K21" s="7" t="s">
        <v>51</v>
      </c>
      <c r="L21" s="29">
        <v>0.283527943042998</v>
      </c>
      <c r="O21" s="7" t="s">
        <v>51</v>
      </c>
      <c r="P21" s="10">
        <v>36.725576191617002</v>
      </c>
      <c r="Q21" s="29">
        <f>VLOOKUP(CurrentMtgRatesDataTable84[[#This Row],[asofdate]],S:T,2,0)</f>
        <v>2.4365254472032302E-2</v>
      </c>
      <c r="S21" s="7" t="s">
        <v>51</v>
      </c>
      <c r="T21" s="10">
        <v>2.4365254472032302E-2</v>
      </c>
      <c r="W21" s="7" t="s">
        <v>51</v>
      </c>
      <c r="X21" s="10">
        <v>719.797868102076</v>
      </c>
      <c r="Y21" s="26">
        <f>VLOOKUP(CurrentMtgRatesDataTable86[[#This Row],[asofdate]],AA:AB,2,0)</f>
        <v>0.34856829980590698</v>
      </c>
      <c r="AA21" s="7" t="s">
        <v>51</v>
      </c>
      <c r="AB21" s="10">
        <v>0.34856829980590698</v>
      </c>
      <c r="AE21" s="7" t="s">
        <v>151</v>
      </c>
      <c r="AF21" s="10">
        <v>1.55190115837895E-2</v>
      </c>
      <c r="AG21" s="10" t="str">
        <f>YEAR(CurrentMtgRatesDataTable89[[#This Row],[asofdate]])&amp;"-"&amp;MONTH(CurrentMtgRatesDataTable89[[#This Row],[asofdate]])</f>
        <v>2014-2</v>
      </c>
      <c r="AH21" s="6">
        <f>((CurrentMtgRatesDataTable89[[#This Row],[SeriesNumValue]]-$D$1)/$D$1+1)*100</f>
        <v>103.46007722526333</v>
      </c>
      <c r="AI21" s="6">
        <f>CurrentMtgRatesDataTable89[[#This Row],[Index]]-AH22</f>
        <v>-1.2013969020379989</v>
      </c>
      <c r="AJ21" s="6">
        <f>VLOOKUP(CurrentMtgRatesDataTable89[[#This Row],[asofdate]],G:H,2,0)</f>
        <v>82.058164103671999</v>
      </c>
      <c r="AK21" s="6">
        <f>VLOOKUP(CurrentMtgRatesDataTable89[[#This Row],[asofdate]],K:L,2,0)</f>
        <v>0.297453418401049</v>
      </c>
      <c r="AL21" s="6">
        <f>VLOOKUP(CurrentMtgRatesDataTable89[[#This Row],[asofdate]],O:P,2,0)</f>
        <v>34.760092377593502</v>
      </c>
      <c r="AM21" s="6">
        <f>VLOOKUP(CurrentMtgRatesDataTable89[[#This Row],[asofdate]],S:T,2,0)</f>
        <v>0.31111711432241701</v>
      </c>
      <c r="AN21" s="6">
        <f>VLOOKUP(CurrentMtgRatesDataTable89[[#This Row],[asofdate]],W:X,2,0)</f>
        <v>752.81585049342698</v>
      </c>
      <c r="AO21" s="6">
        <f>VLOOKUP(CurrentMtgRatesDataTable89[[#This Row],[asofdate]],AA:AB,2,0)</f>
        <v>0.12805661972827001</v>
      </c>
    </row>
    <row r="22" spans="1:41" s="6" customFormat="1" ht="12.75">
      <c r="A22" s="7" t="s">
        <v>52</v>
      </c>
      <c r="B22" s="10">
        <v>2.2532386923763699E-2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150.21591282509132</v>
      </c>
      <c r="G22" s="7" t="s">
        <v>52</v>
      </c>
      <c r="H22" s="10">
        <v>81.278008182824607</v>
      </c>
      <c r="I22" s="26">
        <f>VLOOKUP(CurrentMtgRatesDataTable82[[#This Row],[asofdate]],K:L,2,0)</f>
        <v>0.27666714373101298</v>
      </c>
      <c r="K22" s="7" t="s">
        <v>52</v>
      </c>
      <c r="L22" s="29">
        <v>0.27666714373101298</v>
      </c>
      <c r="O22" s="7" t="s">
        <v>52</v>
      </c>
      <c r="P22" s="10">
        <v>36.157033768122801</v>
      </c>
      <c r="Q22" s="29">
        <f>VLOOKUP(CurrentMtgRatesDataTable84[[#This Row],[asofdate]],S:T,2,0)</f>
        <v>2.27030172996712E-2</v>
      </c>
      <c r="S22" s="7" t="s">
        <v>52</v>
      </c>
      <c r="T22" s="10">
        <v>2.27030172996712E-2</v>
      </c>
      <c r="W22" s="7" t="s">
        <v>52</v>
      </c>
      <c r="X22" s="10">
        <v>720.92881207466598</v>
      </c>
      <c r="Y22" s="26">
        <f>VLOOKUP(CurrentMtgRatesDataTable86[[#This Row],[asofdate]],AA:AB,2,0)</f>
        <v>0.337279657049117</v>
      </c>
      <c r="AA22" s="7" t="s">
        <v>52</v>
      </c>
      <c r="AB22" s="10">
        <v>0.337279657049117</v>
      </c>
      <c r="AE22" s="7" t="s">
        <v>150</v>
      </c>
      <c r="AF22" s="10">
        <v>1.5699221119095198E-2</v>
      </c>
      <c r="AG22" s="10" t="str">
        <f>YEAR(CurrentMtgRatesDataTable89[[#This Row],[asofdate]])&amp;"-"&amp;MONTH(CurrentMtgRatesDataTable89[[#This Row],[asofdate]])</f>
        <v>2014-1</v>
      </c>
      <c r="AH22" s="6">
        <f>((CurrentMtgRatesDataTable89[[#This Row],[SeriesNumValue]]-$D$1)/$D$1+1)*100</f>
        <v>104.66147412730133</v>
      </c>
      <c r="AI22" s="6">
        <f>CurrentMtgRatesDataTable89[[#This Row],[Index]]-AH23</f>
        <v>-11.396587407143997</v>
      </c>
      <c r="AJ22" s="6">
        <f>VLOOKUP(CurrentMtgRatesDataTable89[[#This Row],[asofdate]],G:H,2,0)</f>
        <v>81.983618645150898</v>
      </c>
      <c r="AK22" s="6">
        <f>VLOOKUP(CurrentMtgRatesDataTable89[[#This Row],[asofdate]],K:L,2,0)</f>
        <v>0.29927596061024597</v>
      </c>
      <c r="AL22" s="6">
        <f>VLOOKUP(CurrentMtgRatesDataTable89[[#This Row],[asofdate]],O:P,2,0)</f>
        <v>34.5666116045888</v>
      </c>
      <c r="AM22" s="6">
        <f>VLOOKUP(CurrentMtgRatesDataTable89[[#This Row],[asofdate]],S:T,2,0)</f>
        <v>0.30212770635860797</v>
      </c>
      <c r="AN22" s="6">
        <f>VLOOKUP(CurrentMtgRatesDataTable89[[#This Row],[asofdate]],W:X,2,0)</f>
        <v>753.533586442206</v>
      </c>
      <c r="AO22" s="6">
        <f>VLOOKUP(CurrentMtgRatesDataTable89[[#This Row],[asofdate]],AA:AB,2,0)</f>
        <v>0.12337351423576701</v>
      </c>
    </row>
    <row r="23" spans="1:41" s="6" customFormat="1" ht="12.75">
      <c r="A23" s="7" t="s">
        <v>53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G23" s="7" t="s">
        <v>53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53</v>
      </c>
      <c r="L23" s="29">
        <v>0.27010544272213999</v>
      </c>
      <c r="O23" s="7" t="s">
        <v>53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53</v>
      </c>
      <c r="T23" s="10">
        <v>2.3836089043189498E-2</v>
      </c>
      <c r="W23" s="7" t="s">
        <v>53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53</v>
      </c>
      <c r="AB23" s="10">
        <v>0.341747031945347</v>
      </c>
      <c r="AE23" s="7" t="s">
        <v>149</v>
      </c>
      <c r="AF23" s="10">
        <v>1.74087092301668E-2</v>
      </c>
      <c r="AG23" s="10" t="str">
        <f>YEAR(CurrentMtgRatesDataTable89[[#This Row],[asofdate]])&amp;"-"&amp;MONTH(CurrentMtgRatesDataTable89[[#This Row],[asofdate]])</f>
        <v>2013-12</v>
      </c>
      <c r="AH23" s="6">
        <f>((CurrentMtgRatesDataTable89[[#This Row],[SeriesNumValue]]-$D$1)/$D$1+1)*100</f>
        <v>116.05806153444533</v>
      </c>
      <c r="AI23" s="6">
        <f>CurrentMtgRatesDataTable89[[#This Row],[Index]]-AH24</f>
        <v>5.3387508375366508</v>
      </c>
      <c r="AJ23" s="6">
        <f>VLOOKUP(CurrentMtgRatesDataTable89[[#This Row],[asofdate]],G:H,2,0)</f>
        <v>81.893171597205495</v>
      </c>
      <c r="AK23" s="6">
        <f>VLOOKUP(CurrentMtgRatesDataTable89[[#This Row],[asofdate]],K:L,2,0)</f>
        <v>0.29695425947809301</v>
      </c>
      <c r="AL23" s="6">
        <f>VLOOKUP(CurrentMtgRatesDataTable89[[#This Row],[asofdate]],O:P,2,0)</f>
        <v>34.628107319458202</v>
      </c>
      <c r="AM23" s="6">
        <f>VLOOKUP(CurrentMtgRatesDataTable89[[#This Row],[asofdate]],S:T,2,0)</f>
        <v>0.30501204150837602</v>
      </c>
      <c r="AN23" s="6">
        <f>VLOOKUP(CurrentMtgRatesDataTable89[[#This Row],[asofdate]],W:X,2,0)</f>
        <v>753.46744924726704</v>
      </c>
      <c r="AO23" s="6">
        <f>VLOOKUP(CurrentMtgRatesDataTable89[[#This Row],[asofdate]],AA:AB,2,0)</f>
        <v>0.122631934366872</v>
      </c>
    </row>
    <row r="24" spans="1:41" s="6" customFormat="1" ht="12.75">
      <c r="A24" s="7" t="s">
        <v>54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G24" s="7" t="s">
        <v>54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54</v>
      </c>
      <c r="L24" s="29">
        <v>0.25927423449241599</v>
      </c>
      <c r="O24" s="7" t="s">
        <v>54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54</v>
      </c>
      <c r="T24" s="10">
        <v>2.0322416607770299E-2</v>
      </c>
      <c r="W24" s="7" t="s">
        <v>54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54</v>
      </c>
      <c r="AB24" s="10">
        <v>0.33226636417420502</v>
      </c>
      <c r="AE24" s="7" t="s">
        <v>20</v>
      </c>
      <c r="AF24" s="10">
        <v>1.66078966045363E-2</v>
      </c>
      <c r="AG24" s="10" t="str">
        <f>YEAR(CurrentMtgRatesDataTable89[[#This Row],[asofdate]])&amp;"-"&amp;MONTH(CurrentMtgRatesDataTable89[[#This Row],[asofdate]])</f>
        <v>2013-11</v>
      </c>
      <c r="AH24" s="6">
        <f>((CurrentMtgRatesDataTable89[[#This Row],[SeriesNumValue]]-$D$1)/$D$1+1)*100</f>
        <v>110.71931069690868</v>
      </c>
      <c r="AI24" s="6">
        <f>CurrentMtgRatesDataTable89[[#This Row],[Index]]-AH25</f>
        <v>9.6480633695280176</v>
      </c>
      <c r="AJ24" s="6">
        <f>VLOOKUP(CurrentMtgRatesDataTable89[[#This Row],[asofdate]],G:H,2,0)</f>
        <v>82.001865069591801</v>
      </c>
      <c r="AK24" s="6">
        <f>VLOOKUP(CurrentMtgRatesDataTable89[[#This Row],[asofdate]],K:L,2,0)</f>
        <v>0.29878094038042202</v>
      </c>
      <c r="AL24" s="6">
        <f>VLOOKUP(CurrentMtgRatesDataTable89[[#This Row],[asofdate]],O:P,2,0)</f>
        <v>34.648006233967998</v>
      </c>
      <c r="AM24" s="6">
        <f>VLOOKUP(CurrentMtgRatesDataTable89[[#This Row],[asofdate]],S:T,2,0)</f>
        <v>0.304715372991815</v>
      </c>
      <c r="AN24" s="6">
        <f>VLOOKUP(CurrentMtgRatesDataTable89[[#This Row],[asofdate]],W:X,2,0)</f>
        <v>754.17844059723097</v>
      </c>
      <c r="AO24" s="6">
        <f>VLOOKUP(CurrentMtgRatesDataTable89[[#This Row],[asofdate]],AA:AB,2,0)</f>
        <v>0.118117013085428</v>
      </c>
    </row>
    <row r="25" spans="1:41" s="6" customFormat="1" ht="12.75">
      <c r="A25" s="7" t="s">
        <v>55</v>
      </c>
      <c r="B25" s="10">
        <v>2.1046090915540199E-2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140.30727277026799</v>
      </c>
      <c r="G25" s="7" t="s">
        <v>55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55</v>
      </c>
      <c r="L25" s="29">
        <v>0.27546927529221299</v>
      </c>
      <c r="O25" s="7" t="s">
        <v>55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55</v>
      </c>
      <c r="T25" s="10">
        <v>2.1384716547729901E-2</v>
      </c>
      <c r="W25" s="7" t="s">
        <v>55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55</v>
      </c>
      <c r="AB25" s="10">
        <v>0.32923258254458498</v>
      </c>
      <c r="AE25" s="7" t="s">
        <v>11</v>
      </c>
      <c r="AF25" s="10">
        <v>1.51606870991071E-2</v>
      </c>
      <c r="AG25" s="10" t="str">
        <f>YEAR(CurrentMtgRatesDataTable89[[#This Row],[asofdate]])&amp;"-"&amp;MONTH(CurrentMtgRatesDataTable89[[#This Row],[asofdate]])</f>
        <v>2013-10</v>
      </c>
      <c r="AH25" s="6">
        <f>((CurrentMtgRatesDataTable89[[#This Row],[SeriesNumValue]]-$D$1)/$D$1+1)*100</f>
        <v>101.07124732738066</v>
      </c>
      <c r="AI25" s="6">
        <f>CurrentMtgRatesDataTable89[[#This Row],[Index]]-AH26</f>
        <v>9.2764659668599876</v>
      </c>
      <c r="AJ25" s="6">
        <f>VLOOKUP(CurrentMtgRatesDataTable89[[#This Row],[asofdate]],G:H,2,0)</f>
        <v>81.931329359342499</v>
      </c>
      <c r="AK25" s="6">
        <f>VLOOKUP(CurrentMtgRatesDataTable89[[#This Row],[asofdate]],K:L,2,0)</f>
        <v>0.29271684918984597</v>
      </c>
      <c r="AL25" s="6">
        <f>VLOOKUP(CurrentMtgRatesDataTable89[[#This Row],[asofdate]],O:P,2,0)</f>
        <v>34.358023343400497</v>
      </c>
      <c r="AM25" s="6">
        <f>VLOOKUP(CurrentMtgRatesDataTable89[[#This Row],[asofdate]],S:T,2,0)</f>
        <v>0.29331220050253898</v>
      </c>
      <c r="AN25" s="6">
        <f>VLOOKUP(CurrentMtgRatesDataTable89[[#This Row],[asofdate]],W:X,2,0)</f>
        <v>755.17990223477602</v>
      </c>
      <c r="AO25" s="6">
        <f>VLOOKUP(CurrentMtgRatesDataTable89[[#This Row],[asofdate]],AA:AB,2,0)</f>
        <v>0.11166350322123</v>
      </c>
    </row>
    <row r="26" spans="1:41" s="6" customFormat="1" ht="12.75">
      <c r="A26" s="7" t="s">
        <v>56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G26" s="7" t="s">
        <v>56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56</v>
      </c>
      <c r="L26" s="29">
        <v>0.26359078536765701</v>
      </c>
      <c r="O26" s="7" t="s">
        <v>56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56</v>
      </c>
      <c r="T26" s="10">
        <v>2.15048269951971E-2</v>
      </c>
      <c r="W26" s="7" t="s">
        <v>56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56</v>
      </c>
      <c r="AB26" s="10">
        <v>0.33234768002944598</v>
      </c>
      <c r="AE26" s="7" t="s">
        <v>148</v>
      </c>
      <c r="AF26" s="10">
        <v>1.37692172040781E-2</v>
      </c>
      <c r="AG26" s="10" t="str">
        <f>YEAR(CurrentMtgRatesDataTable89[[#This Row],[asofdate]])&amp;"-"&amp;MONTH(CurrentMtgRatesDataTable89[[#This Row],[asofdate]])</f>
        <v>2013-9</v>
      </c>
      <c r="AH26" s="6">
        <f>((CurrentMtgRatesDataTable89[[#This Row],[SeriesNumValue]]-$D$1)/$D$1+1)*100</f>
        <v>91.794781360520673</v>
      </c>
      <c r="AI26" s="6">
        <f>CurrentMtgRatesDataTable89[[#This Row],[Index]]-AH27</f>
        <v>8.660563740373334</v>
      </c>
      <c r="AJ26" s="6">
        <f>VLOOKUP(CurrentMtgRatesDataTable89[[#This Row],[asofdate]],G:H,2,0)</f>
        <v>81.9190328003167</v>
      </c>
      <c r="AK26" s="6">
        <f>VLOOKUP(CurrentMtgRatesDataTable89[[#This Row],[asofdate]],K:L,2,0)</f>
        <v>0.29035960588757298</v>
      </c>
      <c r="AL26" s="6">
        <f>VLOOKUP(CurrentMtgRatesDataTable89[[#This Row],[asofdate]],O:P,2,0)</f>
        <v>34.0414134834745</v>
      </c>
      <c r="AM26" s="6">
        <f>VLOOKUP(CurrentMtgRatesDataTable89[[#This Row],[asofdate]],S:T,2,0)</f>
        <v>0.28424451003106099</v>
      </c>
      <c r="AN26" s="6">
        <f>VLOOKUP(CurrentMtgRatesDataTable89[[#This Row],[asofdate]],W:X,2,0)</f>
        <v>756.65309096524095</v>
      </c>
      <c r="AO26" s="6">
        <f>VLOOKUP(CurrentMtgRatesDataTable89[[#This Row],[asofdate]],AA:AB,2,0)</f>
        <v>0.10240669631997799</v>
      </c>
    </row>
    <row r="27" spans="1:41" s="6" customFormat="1" ht="12.75">
      <c r="A27" s="7" t="s">
        <v>57</v>
      </c>
      <c r="B27" s="10">
        <v>2.0544133642479801E-2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136.96089094986533</v>
      </c>
      <c r="G27" s="7" t="s">
        <v>57</v>
      </c>
      <c r="H27" s="10">
        <v>80.935490519379599</v>
      </c>
      <c r="I27" s="26">
        <f>VLOOKUP(CurrentMtgRatesDataTable82[[#This Row],[asofdate]],K:L,2,0)</f>
        <v>0.249185537915113</v>
      </c>
      <c r="K27" s="7" t="s">
        <v>57</v>
      </c>
      <c r="L27" s="29">
        <v>0.249185537915113</v>
      </c>
      <c r="O27" s="7" t="s">
        <v>57</v>
      </c>
      <c r="P27" s="10">
        <v>36.5639802821904</v>
      </c>
      <c r="Q27" s="29">
        <f>VLOOKUP(CurrentMtgRatesDataTable84[[#This Row],[asofdate]],S:T,2,0)</f>
        <v>2.27896209751474E-2</v>
      </c>
      <c r="S27" s="7" t="s">
        <v>57</v>
      </c>
      <c r="T27" s="10">
        <v>2.27896209751474E-2</v>
      </c>
      <c r="W27" s="7" t="s">
        <v>57</v>
      </c>
      <c r="X27" s="10">
        <v>723.637747969624</v>
      </c>
      <c r="Y27" s="26">
        <f>VLOOKUP(CurrentMtgRatesDataTable86[[#This Row],[asofdate]],AA:AB,2,0)</f>
        <v>0.32539461336384001</v>
      </c>
      <c r="AA27" s="7" t="s">
        <v>57</v>
      </c>
      <c r="AB27" s="10">
        <v>0.32539461336384001</v>
      </c>
      <c r="AE27" s="7" t="s">
        <v>23</v>
      </c>
      <c r="AF27" s="10">
        <v>1.2470132643022099E-2</v>
      </c>
      <c r="AG27" s="10" t="str">
        <f>YEAR(CurrentMtgRatesDataTable89[[#This Row],[asofdate]])&amp;"-"&amp;MONTH(CurrentMtgRatesDataTable89[[#This Row],[asofdate]])</f>
        <v>2013-8</v>
      </c>
      <c r="AH27" s="6">
        <f>((CurrentMtgRatesDataTable89[[#This Row],[SeriesNumValue]]-$D$1)/$D$1+1)*100</f>
        <v>83.134217620147339</v>
      </c>
      <c r="AI27" s="6">
        <f>CurrentMtgRatesDataTable89[[#This Row],[Index]]-AH28</f>
        <v>-7.8521853824360051</v>
      </c>
      <c r="AJ27" s="6">
        <f>VLOOKUP(CurrentMtgRatesDataTable89[[#This Row],[asofdate]],G:H,2,0)</f>
        <v>81.827851463146402</v>
      </c>
      <c r="AK27" s="6">
        <f>VLOOKUP(CurrentMtgRatesDataTable89[[#This Row],[asofdate]],K:L,2,0)</f>
        <v>0.284639199478668</v>
      </c>
      <c r="AL27" s="6">
        <f>VLOOKUP(CurrentMtgRatesDataTable89[[#This Row],[asofdate]],O:P,2,0)</f>
        <v>33.415347228067603</v>
      </c>
      <c r="AM27" s="6">
        <f>VLOOKUP(CurrentMtgRatesDataTable89[[#This Row],[asofdate]],S:T,2,0)</f>
        <v>0.26111241421832199</v>
      </c>
      <c r="AN27" s="6">
        <f>VLOOKUP(CurrentMtgRatesDataTable89[[#This Row],[asofdate]],W:X,2,0)</f>
        <v>757.91742361522199</v>
      </c>
      <c r="AO27" s="6">
        <f>VLOOKUP(CurrentMtgRatesDataTable89[[#This Row],[asofdate]],AA:AB,2,0)</f>
        <v>9.7422158776019799E-2</v>
      </c>
    </row>
    <row r="28" spans="1:41" s="6" customFormat="1" ht="12.75">
      <c r="A28" s="7" t="s">
        <v>58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G28" s="7" t="s">
        <v>58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58</v>
      </c>
      <c r="L28" s="29">
        <v>0.245931688961815</v>
      </c>
      <c r="O28" s="7" t="s">
        <v>58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58</v>
      </c>
      <c r="T28" s="10">
        <v>2.0414171190781299E-2</v>
      </c>
      <c r="W28" s="7" t="s">
        <v>58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58</v>
      </c>
      <c r="AB28" s="10">
        <v>0.31175809732214199</v>
      </c>
      <c r="AE28" s="7" t="s">
        <v>10</v>
      </c>
      <c r="AF28" s="10">
        <v>1.3647960450387501E-2</v>
      </c>
      <c r="AG28" s="10" t="str">
        <f>YEAR(CurrentMtgRatesDataTable89[[#This Row],[asofdate]])&amp;"-"&amp;MONTH(CurrentMtgRatesDataTable89[[#This Row],[asofdate]])</f>
        <v>2013-7</v>
      </c>
      <c r="AH28" s="6">
        <f>((CurrentMtgRatesDataTable89[[#This Row],[SeriesNumValue]]-$D$1)/$D$1+1)*100</f>
        <v>90.986403002583344</v>
      </c>
      <c r="AI28" s="6">
        <f>CurrentMtgRatesDataTable89[[#This Row],[Index]]-AH29</f>
        <v>-11.771054797554669</v>
      </c>
      <c r="AJ28" s="6">
        <f>VLOOKUP(CurrentMtgRatesDataTable89[[#This Row],[asofdate]],G:H,2,0)</f>
        <v>81.7888289703358</v>
      </c>
      <c r="AK28" s="6">
        <f>VLOOKUP(CurrentMtgRatesDataTable89[[#This Row],[asofdate]],K:L,2,0)</f>
        <v>0.28536396189055402</v>
      </c>
      <c r="AL28" s="6">
        <f>VLOOKUP(CurrentMtgRatesDataTable89[[#This Row],[asofdate]],O:P,2,0)</f>
        <v>33.228836462083102</v>
      </c>
      <c r="AM28" s="6">
        <f>VLOOKUP(CurrentMtgRatesDataTable89[[#This Row],[asofdate]],S:T,2,0)</f>
        <v>0.25208186650608</v>
      </c>
      <c r="AN28" s="6">
        <f>VLOOKUP(CurrentMtgRatesDataTable89[[#This Row],[asofdate]],W:X,2,0)</f>
        <v>758.28635665856098</v>
      </c>
      <c r="AO28" s="6">
        <f>VLOOKUP(CurrentMtgRatesDataTable89[[#This Row],[asofdate]],AA:AB,2,0)</f>
        <v>9.6571858683146397E-2</v>
      </c>
    </row>
    <row r="29" spans="1:41" s="6" customFormat="1" ht="12.75">
      <c r="A29" s="7" t="s">
        <v>59</v>
      </c>
      <c r="B29" s="10">
        <v>1.82964387582597E-2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121.97625838839801</v>
      </c>
      <c r="G29" s="7" t="s">
        <v>59</v>
      </c>
      <c r="H29" s="10">
        <v>80.691453386703202</v>
      </c>
      <c r="I29" s="26">
        <f>VLOOKUP(CurrentMtgRatesDataTable82[[#This Row],[asofdate]],K:L,2,0)</f>
        <v>0.23428916188033899</v>
      </c>
      <c r="K29" s="7" t="s">
        <v>59</v>
      </c>
      <c r="L29" s="29">
        <v>0.23428916188033899</v>
      </c>
      <c r="O29" s="7" t="s">
        <v>59</v>
      </c>
      <c r="P29" s="10">
        <v>36.327186002251203</v>
      </c>
      <c r="Q29" s="29">
        <f>VLOOKUP(CurrentMtgRatesDataTable84[[#This Row],[asofdate]],S:T,2,0)</f>
        <v>2.0220548051852201E-2</v>
      </c>
      <c r="S29" s="7" t="s">
        <v>59</v>
      </c>
      <c r="T29" s="10">
        <v>2.0220548051852201E-2</v>
      </c>
      <c r="W29" s="7" t="s">
        <v>59</v>
      </c>
      <c r="X29" s="10">
        <v>725.45443780722496</v>
      </c>
      <c r="Y29" s="26">
        <f>VLOOKUP(CurrentMtgRatesDataTable86[[#This Row],[asofdate]],AA:AB,2,0)</f>
        <v>0.31192531307344201</v>
      </c>
      <c r="AA29" s="7" t="s">
        <v>59</v>
      </c>
      <c r="AB29" s="10">
        <v>0.31192531307344201</v>
      </c>
      <c r="AE29" s="7" t="s">
        <v>147</v>
      </c>
      <c r="AF29" s="10">
        <v>1.5413618670020701E-2</v>
      </c>
      <c r="AG29" s="10" t="str">
        <f>YEAR(CurrentMtgRatesDataTable89[[#This Row],[asofdate]])&amp;"-"&amp;MONTH(CurrentMtgRatesDataTable89[[#This Row],[asofdate]])</f>
        <v>2013-6</v>
      </c>
      <c r="AH29" s="6">
        <f>((CurrentMtgRatesDataTable89[[#This Row],[SeriesNumValue]]-$D$1)/$D$1+1)*100</f>
        <v>102.75745780013801</v>
      </c>
      <c r="AI29" s="6">
        <f>CurrentMtgRatesDataTable89[[#This Row],[Index]]-AH30</f>
        <v>3.8440102458266807</v>
      </c>
      <c r="AJ29" s="6">
        <f>VLOOKUP(CurrentMtgRatesDataTable89[[#This Row],[asofdate]],G:H,2,0)</f>
        <v>81.5612670845737</v>
      </c>
      <c r="AK29" s="6">
        <f>VLOOKUP(CurrentMtgRatesDataTable89[[#This Row],[asofdate]],K:L,2,0)</f>
        <v>0.27246872233055902</v>
      </c>
      <c r="AL29" s="6">
        <f>VLOOKUP(CurrentMtgRatesDataTable89[[#This Row],[asofdate]],O:P,2,0)</f>
        <v>33.442949942350502</v>
      </c>
      <c r="AM29" s="6">
        <f>VLOOKUP(CurrentMtgRatesDataTable89[[#This Row],[asofdate]],S:T,2,0)</f>
        <v>0.26164794287106502</v>
      </c>
      <c r="AN29" s="6">
        <f>VLOOKUP(CurrentMtgRatesDataTable89[[#This Row],[asofdate]],W:X,2,0)</f>
        <v>758.39517424014696</v>
      </c>
      <c r="AO29" s="6">
        <f>VLOOKUP(CurrentMtgRatesDataTable89[[#This Row],[asofdate]],AA:AB,2,0)</f>
        <v>9.4256092593603E-2</v>
      </c>
    </row>
    <row r="30" spans="1:41" s="6" customFormat="1" ht="12.75">
      <c r="A30" s="7" t="s">
        <v>60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G30" s="7" t="s">
        <v>60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60</v>
      </c>
      <c r="L30" s="29">
        <v>0.24199028870644701</v>
      </c>
      <c r="O30" s="7" t="s">
        <v>60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60</v>
      </c>
      <c r="T30" s="10">
        <v>2.4888563661056001E-2</v>
      </c>
      <c r="W30" s="7" t="s">
        <v>60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60</v>
      </c>
      <c r="AB30" s="10">
        <v>0.31915669681855002</v>
      </c>
      <c r="AE30" s="7" t="s">
        <v>7</v>
      </c>
      <c r="AF30" s="10">
        <v>1.4837017133146699E-2</v>
      </c>
      <c r="AG30" s="10" t="str">
        <f>YEAR(CurrentMtgRatesDataTable89[[#This Row],[asofdate]])&amp;"-"&amp;MONTH(CurrentMtgRatesDataTable89[[#This Row],[asofdate]])</f>
        <v>2013-5</v>
      </c>
      <c r="AH30" s="6">
        <f>((CurrentMtgRatesDataTable89[[#This Row],[SeriesNumValue]]-$D$1)/$D$1+1)*100</f>
        <v>98.913447554311333</v>
      </c>
      <c r="AI30" s="6">
        <f>CurrentMtgRatesDataTable89[[#This Row],[Index]]-AH31</f>
        <v>5.0348755412366586</v>
      </c>
      <c r="AJ30" s="6">
        <f>VLOOKUP(CurrentMtgRatesDataTable89[[#This Row],[asofdate]],G:H,2,0)</f>
        <v>81.325702438075396</v>
      </c>
      <c r="AK30" s="6">
        <f>VLOOKUP(CurrentMtgRatesDataTable89[[#This Row],[asofdate]],K:L,2,0)</f>
        <v>0.26283671665637698</v>
      </c>
      <c r="AL30" s="6">
        <f>VLOOKUP(CurrentMtgRatesDataTable89[[#This Row],[asofdate]],O:P,2,0)</f>
        <v>33.556560873923601</v>
      </c>
      <c r="AM30" s="6">
        <f>VLOOKUP(CurrentMtgRatesDataTable89[[#This Row],[asofdate]],S:T,2,0)</f>
        <v>0.26794073060632401</v>
      </c>
      <c r="AN30" s="6">
        <f>VLOOKUP(CurrentMtgRatesDataTable89[[#This Row],[asofdate]],W:X,2,0)</f>
        <v>758.42267716896799</v>
      </c>
      <c r="AO30" s="6">
        <f>VLOOKUP(CurrentMtgRatesDataTable89[[#This Row],[asofdate]],AA:AB,2,0)</f>
        <v>9.3299125345115905E-2</v>
      </c>
    </row>
    <row r="31" spans="1:41" s="6" customFormat="1" ht="12.75">
      <c r="A31" s="7" t="s">
        <v>61</v>
      </c>
      <c r="B31" s="10">
        <v>2.1306702668720701E-2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142.04468445813799</v>
      </c>
      <c r="G31" s="7" t="s">
        <v>61</v>
      </c>
      <c r="H31" s="10">
        <v>80.923921130237204</v>
      </c>
      <c r="I31" s="26">
        <f>VLOOKUP(CurrentMtgRatesDataTable82[[#This Row],[asofdate]],K:L,2,0)</f>
        <v>0.23498727813374801</v>
      </c>
      <c r="K31" s="7" t="s">
        <v>61</v>
      </c>
      <c r="L31" s="29">
        <v>0.23498727813374801</v>
      </c>
      <c r="O31" s="7" t="s">
        <v>61</v>
      </c>
      <c r="P31" s="10">
        <v>35.633553387060303</v>
      </c>
      <c r="Q31" s="29">
        <f>VLOOKUP(CurrentMtgRatesDataTable84[[#This Row],[asofdate]],S:T,2,0)</f>
        <v>2.3978880843192399E-2</v>
      </c>
      <c r="S31" s="7" t="s">
        <v>61</v>
      </c>
      <c r="T31" s="10">
        <v>2.3978880843192399E-2</v>
      </c>
      <c r="W31" s="7" t="s">
        <v>61</v>
      </c>
      <c r="X31" s="10">
        <v>725.24416475674298</v>
      </c>
      <c r="Y31" s="26">
        <f>VLOOKUP(CurrentMtgRatesDataTable86[[#This Row],[asofdate]],AA:AB,2,0)</f>
        <v>0.31631796100141901</v>
      </c>
      <c r="AA31" s="7" t="s">
        <v>61</v>
      </c>
      <c r="AB31" s="10">
        <v>0.31631796100141901</v>
      </c>
      <c r="AE31" s="7" t="s">
        <v>15</v>
      </c>
      <c r="AF31" s="10">
        <v>1.40817858019612E-2</v>
      </c>
      <c r="AG31" s="10" t="str">
        <f>YEAR(CurrentMtgRatesDataTable89[[#This Row],[asofdate]])&amp;"-"&amp;MONTH(CurrentMtgRatesDataTable89[[#This Row],[asofdate]])</f>
        <v>2013-4</v>
      </c>
      <c r="AH31" s="6">
        <f>((CurrentMtgRatesDataTable89[[#This Row],[SeriesNumValue]]-$D$1)/$D$1+1)*100</f>
        <v>93.878572013074674</v>
      </c>
      <c r="AI31" s="6">
        <f>CurrentMtgRatesDataTable89[[#This Row],[Index]]-AH32</f>
        <v>0.62928601262066763</v>
      </c>
      <c r="AJ31" s="6">
        <f>VLOOKUP(CurrentMtgRatesDataTable89[[#This Row],[asofdate]],G:H,2,0)</f>
        <v>81.200489208425694</v>
      </c>
      <c r="AK31" s="6">
        <f>VLOOKUP(CurrentMtgRatesDataTable89[[#This Row],[asofdate]],K:L,2,0)</f>
        <v>0.25704056507600498</v>
      </c>
      <c r="AL31" s="6">
        <f>VLOOKUP(CurrentMtgRatesDataTable89[[#This Row],[asofdate]],O:P,2,0)</f>
        <v>33.479233755489297</v>
      </c>
      <c r="AM31" s="6">
        <f>VLOOKUP(CurrentMtgRatesDataTable89[[#This Row],[asofdate]],S:T,2,0)</f>
        <v>0.26710168753772401</v>
      </c>
      <c r="AN31" s="6">
        <f>VLOOKUP(CurrentMtgRatesDataTable89[[#This Row],[asofdate]],W:X,2,0)</f>
        <v>758.50138413694401</v>
      </c>
      <c r="AO31" s="6">
        <f>VLOOKUP(CurrentMtgRatesDataTable89[[#This Row],[asofdate]],AA:AB,2,0)</f>
        <v>9.1589233896697805E-2</v>
      </c>
    </row>
    <row r="32" spans="1:41" s="6" customFormat="1" ht="12.75">
      <c r="A32" s="7" t="s">
        <v>62</v>
      </c>
      <c r="B32" s="10">
        <v>1.9644975469374999E-2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130.96650312916665</v>
      </c>
      <c r="G32" s="7" t="s">
        <v>62</v>
      </c>
      <c r="H32" s="10">
        <v>79.862643010011894</v>
      </c>
      <c r="I32" s="26">
        <f>VLOOKUP(CurrentMtgRatesDataTable82[[#This Row],[asofdate]],K:L,2,0)</f>
        <v>0.21466661143927501</v>
      </c>
      <c r="K32" s="7" t="s">
        <v>62</v>
      </c>
      <c r="L32" s="29">
        <v>0.21466661143927501</v>
      </c>
      <c r="O32" s="7" t="s">
        <v>62</v>
      </c>
      <c r="P32" s="10">
        <v>35.075540490054998</v>
      </c>
      <c r="Q32" s="29">
        <f>VLOOKUP(CurrentMtgRatesDataTable84[[#This Row],[asofdate]],S:T,2,0)</f>
        <v>2.0742036604422101E-2</v>
      </c>
      <c r="S32" s="7" t="s">
        <v>62</v>
      </c>
      <c r="T32" s="10">
        <v>2.0742036604422101E-2</v>
      </c>
      <c r="W32" s="7" t="s">
        <v>62</v>
      </c>
      <c r="X32" s="10">
        <v>727.32851128836899</v>
      </c>
      <c r="Y32" s="26">
        <f>VLOOKUP(CurrentMtgRatesDataTable86[[#This Row],[asofdate]],AA:AB,2,0)</f>
        <v>0.30538804890256599</v>
      </c>
      <c r="AA32" s="7" t="s">
        <v>62</v>
      </c>
      <c r="AB32" s="10">
        <v>0.30538804890256599</v>
      </c>
      <c r="AE32" s="7" t="s">
        <v>19</v>
      </c>
      <c r="AF32" s="10">
        <v>1.3987392900068099E-2</v>
      </c>
      <c r="AG32" s="10" t="str">
        <f>YEAR(CurrentMtgRatesDataTable89[[#This Row],[asofdate]])&amp;"-"&amp;MONTH(CurrentMtgRatesDataTable89[[#This Row],[asofdate]])</f>
        <v>2013-3</v>
      </c>
      <c r="AH32" s="6">
        <f>((CurrentMtgRatesDataTable89[[#This Row],[SeriesNumValue]]-$D$1)/$D$1+1)*100</f>
        <v>93.249286000454006</v>
      </c>
      <c r="AI32" s="6">
        <f>CurrentMtgRatesDataTable89[[#This Row],[Index]]-AH33</f>
        <v>-0.95881309440666485</v>
      </c>
      <c r="AJ32" s="6">
        <f>VLOOKUP(CurrentMtgRatesDataTable89[[#This Row],[asofdate]],G:H,2,0)</f>
        <v>81.043826873856403</v>
      </c>
      <c r="AK32" s="6">
        <f>VLOOKUP(CurrentMtgRatesDataTable89[[#This Row],[asofdate]],K:L,2,0)</f>
        <v>0.24921385952558001</v>
      </c>
      <c r="AL32" s="6">
        <f>VLOOKUP(CurrentMtgRatesDataTable89[[#This Row],[asofdate]],O:P,2,0)</f>
        <v>33.429044897728502</v>
      </c>
      <c r="AM32" s="6">
        <f>VLOOKUP(CurrentMtgRatesDataTable89[[#This Row],[asofdate]],S:T,2,0)</f>
        <v>0.267770092509233</v>
      </c>
      <c r="AN32" s="6">
        <f>VLOOKUP(CurrentMtgRatesDataTable89[[#This Row],[asofdate]],W:X,2,0)</f>
        <v>758.31040860104099</v>
      </c>
      <c r="AO32" s="6">
        <f>VLOOKUP(CurrentMtgRatesDataTable89[[#This Row],[asofdate]],AA:AB,2,0)</f>
        <v>9.6986521429274206E-2</v>
      </c>
    </row>
    <row r="33" spans="1:41" s="6" customFormat="1" ht="12.75">
      <c r="A33" s="7" t="s">
        <v>63</v>
      </c>
      <c r="B33" s="10">
        <v>1.8340669089095998E-2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122.27112726064</v>
      </c>
      <c r="G33" s="7" t="s">
        <v>63</v>
      </c>
      <c r="H33" s="10">
        <v>79.800293185781797</v>
      </c>
      <c r="I33" s="26">
        <f>VLOOKUP(CurrentMtgRatesDataTable82[[#This Row],[asofdate]],K:L,2,0)</f>
        <v>0.20902100522637301</v>
      </c>
      <c r="K33" s="7" t="s">
        <v>63</v>
      </c>
      <c r="L33" s="29">
        <v>0.20902100522637301</v>
      </c>
      <c r="O33" s="7" t="s">
        <v>63</v>
      </c>
      <c r="P33" s="10">
        <v>35.147215732380403</v>
      </c>
      <c r="Q33" s="29">
        <f>VLOOKUP(CurrentMtgRatesDataTable84[[#This Row],[asofdate]],S:T,2,0)</f>
        <v>2.6840486999244E-2</v>
      </c>
      <c r="S33" s="7" t="s">
        <v>63</v>
      </c>
      <c r="T33" s="10">
        <v>2.6840486999244E-2</v>
      </c>
      <c r="W33" s="7" t="s">
        <v>63</v>
      </c>
      <c r="X33" s="10">
        <v>728.11822863875295</v>
      </c>
      <c r="Y33" s="26">
        <f>VLOOKUP(CurrentMtgRatesDataTable86[[#This Row],[asofdate]],AA:AB,2,0)</f>
        <v>0.29227003191516798</v>
      </c>
      <c r="AA33" s="7" t="s">
        <v>63</v>
      </c>
      <c r="AB33" s="10">
        <v>0.29227003191516798</v>
      </c>
      <c r="AE33" s="7" t="s">
        <v>18</v>
      </c>
      <c r="AF33" s="10">
        <v>1.4131214864229099E-2</v>
      </c>
      <c r="AG33" s="10" t="str">
        <f>YEAR(CurrentMtgRatesDataTable89[[#This Row],[asofdate]])&amp;"-"&amp;MONTH(CurrentMtgRatesDataTable89[[#This Row],[asofdate]])</f>
        <v>2013-2</v>
      </c>
      <c r="AH33" s="6">
        <f>((CurrentMtgRatesDataTable89[[#This Row],[SeriesNumValue]]-$D$1)/$D$1+1)*100</f>
        <v>94.208099094860671</v>
      </c>
      <c r="AI33" s="6">
        <f>CurrentMtgRatesDataTable89[[#This Row],[Index]]-AH34</f>
        <v>-1.3597157569953282</v>
      </c>
      <c r="AJ33" s="6">
        <f>VLOOKUP(CurrentMtgRatesDataTable89[[#This Row],[asofdate]],G:H,2,0)</f>
        <v>80.800375314434206</v>
      </c>
      <c r="AK33" s="6">
        <f>VLOOKUP(CurrentMtgRatesDataTable89[[#This Row],[asofdate]],K:L,2,0)</f>
        <v>0.24834391419848201</v>
      </c>
      <c r="AL33" s="6">
        <f>VLOOKUP(CurrentMtgRatesDataTable89[[#This Row],[asofdate]],O:P,2,0)</f>
        <v>33.236666006629001</v>
      </c>
      <c r="AM33" s="6">
        <f>VLOOKUP(CurrentMtgRatesDataTable89[[#This Row],[asofdate]],S:T,2,0)</f>
        <v>0.26462376759609502</v>
      </c>
      <c r="AN33" s="6">
        <f>VLOOKUP(CurrentMtgRatesDataTable89[[#This Row],[asofdate]],W:X,2,0)</f>
        <v>758.83265866612305</v>
      </c>
      <c r="AO33" s="6">
        <f>VLOOKUP(CurrentMtgRatesDataTable89[[#This Row],[asofdate]],AA:AB,2,0)</f>
        <v>9.5032351596639697E-2</v>
      </c>
    </row>
    <row r="34" spans="1:41" s="6" customFormat="1" ht="12.75">
      <c r="A34" s="7" t="s">
        <v>64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G34" s="7" t="s">
        <v>64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64</v>
      </c>
      <c r="L34" s="29">
        <v>0.21644067259883701</v>
      </c>
      <c r="O34" s="7" t="s">
        <v>64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64</v>
      </c>
      <c r="T34" s="10">
        <v>4.7987353312741503E-2</v>
      </c>
      <c r="W34" s="7" t="s">
        <v>64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64</v>
      </c>
      <c r="AB34" s="10">
        <v>0.307866686997112</v>
      </c>
      <c r="AE34" s="7" t="s">
        <v>146</v>
      </c>
      <c r="AF34" s="10">
        <v>1.43351722277784E-2</v>
      </c>
      <c r="AG34" s="10" t="str">
        <f>YEAR(CurrentMtgRatesDataTable89[[#This Row],[asofdate]])&amp;"-"&amp;MONTH(CurrentMtgRatesDataTable89[[#This Row],[asofdate]])</f>
        <v>2013-1</v>
      </c>
      <c r="AH34" s="6">
        <f>((CurrentMtgRatesDataTable89[[#This Row],[SeriesNumValue]]-$D$1)/$D$1+1)*100</f>
        <v>95.567814851855999</v>
      </c>
      <c r="AI34" s="6">
        <f>CurrentMtgRatesDataTable89[[#This Row],[Index]]-AH35</f>
        <v>-1.3764868195700046</v>
      </c>
      <c r="AJ34" s="6">
        <f>VLOOKUP(CurrentMtgRatesDataTable89[[#This Row],[asofdate]],G:H,2,0)</f>
        <v>80.925553814734698</v>
      </c>
      <c r="AK34" s="6">
        <f>VLOOKUP(CurrentMtgRatesDataTable89[[#This Row],[asofdate]],K:L,2,0)</f>
        <v>0.24751650752262899</v>
      </c>
      <c r="AL34" s="6">
        <f>VLOOKUP(CurrentMtgRatesDataTable89[[#This Row],[asofdate]],O:P,2,0)</f>
        <v>33.1249472170026</v>
      </c>
      <c r="AM34" s="6">
        <f>VLOOKUP(CurrentMtgRatesDataTable89[[#This Row],[asofdate]],S:T,2,0)</f>
        <v>0.25560995908197398</v>
      </c>
      <c r="AN34" s="6">
        <f>VLOOKUP(CurrentMtgRatesDataTable89[[#This Row],[asofdate]],W:X,2,0)</f>
        <v>759.65100694832404</v>
      </c>
      <c r="AO34" s="6">
        <f>VLOOKUP(CurrentMtgRatesDataTable89[[#This Row],[asofdate]],AA:AB,2,0)</f>
        <v>8.7854049336442502E-2</v>
      </c>
    </row>
    <row r="35" spans="1:41" s="6" customFormat="1" ht="12.75">
      <c r="A35" s="7" t="s">
        <v>65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G35" s="7" t="s">
        <v>65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65</v>
      </c>
      <c r="L35" s="29">
        <v>0.20403530410173701</v>
      </c>
      <c r="O35" s="7" t="s">
        <v>65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65</v>
      </c>
      <c r="T35" s="10">
        <v>9.4940112137955404E-2</v>
      </c>
      <c r="W35" s="7" t="s">
        <v>65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65</v>
      </c>
      <c r="AB35" s="10">
        <v>0.29282399528074898</v>
      </c>
      <c r="AE35" s="7" t="s">
        <v>145</v>
      </c>
      <c r="AF35" s="10">
        <v>1.45416452507139E-2</v>
      </c>
      <c r="AG35" s="10" t="str">
        <f>YEAR(CurrentMtgRatesDataTable89[[#This Row],[asofdate]])&amp;"-"&amp;MONTH(CurrentMtgRatesDataTable89[[#This Row],[asofdate]])</f>
        <v>2012-12</v>
      </c>
      <c r="AH35" s="6">
        <f>((CurrentMtgRatesDataTable89[[#This Row],[SeriesNumValue]]-$D$1)/$D$1+1)*100</f>
        <v>96.944301671426004</v>
      </c>
      <c r="AI35" s="6">
        <f>CurrentMtgRatesDataTable89[[#This Row],[Index]]-AH36</f>
        <v>-0.79062843005466732</v>
      </c>
      <c r="AJ35" s="6">
        <f>VLOOKUP(CurrentMtgRatesDataTable89[[#This Row],[asofdate]],G:H,2,0)</f>
        <v>80.866112462807195</v>
      </c>
      <c r="AK35" s="6">
        <f>VLOOKUP(CurrentMtgRatesDataTable89[[#This Row],[asofdate]],K:L,2,0)</f>
        <v>0.24565562899712601</v>
      </c>
      <c r="AL35" s="6">
        <f>VLOOKUP(CurrentMtgRatesDataTable89[[#This Row],[asofdate]],O:P,2,0)</f>
        <v>33.0765463497358</v>
      </c>
      <c r="AM35" s="6">
        <f>VLOOKUP(CurrentMtgRatesDataTable89[[#This Row],[asofdate]],S:T,2,0)</f>
        <v>0.25544920449144998</v>
      </c>
      <c r="AN35" s="6">
        <f>VLOOKUP(CurrentMtgRatesDataTable89[[#This Row],[asofdate]],W:X,2,0)</f>
        <v>759.90551704346296</v>
      </c>
      <c r="AO35" s="6">
        <f>VLOOKUP(CurrentMtgRatesDataTable89[[#This Row],[asofdate]],AA:AB,2,0)</f>
        <v>8.9198353639291697E-2</v>
      </c>
    </row>
    <row r="36" spans="1:41" s="6" customFormat="1" ht="12.75">
      <c r="A36" s="7" t="s">
        <v>66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G36" s="7" t="s">
        <v>66</v>
      </c>
      <c r="H36" s="10">
        <v>78.7208769661856</v>
      </c>
      <c r="I36" s="26">
        <f>VLOOKUP(CurrentMtgRatesDataTable82[[#This Row],[asofdate]],K:L,2,0)</f>
        <v>0.174025887847987</v>
      </c>
      <c r="K36" s="7" t="s">
        <v>66</v>
      </c>
      <c r="L36" s="29">
        <v>0.174025887847987</v>
      </c>
      <c r="O36" s="7" t="s">
        <v>66</v>
      </c>
      <c r="P36" s="10">
        <v>37.331752401609997</v>
      </c>
      <c r="Q36" s="29">
        <f>VLOOKUP(CurrentMtgRatesDataTable84[[#This Row],[asofdate]],S:T,2,0)</f>
        <v>0.20745068367851</v>
      </c>
      <c r="S36" s="7" t="s">
        <v>66</v>
      </c>
      <c r="T36" s="10">
        <v>0.20745068367851</v>
      </c>
      <c r="W36" s="7" t="s">
        <v>66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66</v>
      </c>
      <c r="AB36" s="10">
        <v>0.28542044215849499</v>
      </c>
      <c r="AE36" s="7" t="s">
        <v>22</v>
      </c>
      <c r="AF36" s="10">
        <v>1.46602395152221E-2</v>
      </c>
      <c r="AG36" s="10" t="str">
        <f>YEAR(CurrentMtgRatesDataTable89[[#This Row],[asofdate]])&amp;"-"&amp;MONTH(CurrentMtgRatesDataTable89[[#This Row],[asofdate]])</f>
        <v>2012-11</v>
      </c>
      <c r="AH36" s="6">
        <f>((CurrentMtgRatesDataTable89[[#This Row],[SeriesNumValue]]-$D$1)/$D$1+1)*100</f>
        <v>97.734930101480671</v>
      </c>
      <c r="AI36" s="6">
        <f>CurrentMtgRatesDataTable89[[#This Row],[Index]]-AH37</f>
        <v>4.9415366777766678</v>
      </c>
      <c r="AJ36" s="6">
        <f>VLOOKUP(CurrentMtgRatesDataTable89[[#This Row],[asofdate]],G:H,2,0)</f>
        <v>80.843606386272</v>
      </c>
      <c r="AK36" s="6">
        <f>VLOOKUP(CurrentMtgRatesDataTable89[[#This Row],[asofdate]],K:L,2,0)</f>
        <v>0.24251385239543</v>
      </c>
      <c r="AL36" s="6">
        <f>VLOOKUP(CurrentMtgRatesDataTable89[[#This Row],[asofdate]],O:P,2,0)</f>
        <v>33.068171385250899</v>
      </c>
      <c r="AM36" s="6">
        <f>VLOOKUP(CurrentMtgRatesDataTable89[[#This Row],[asofdate]],S:T,2,0)</f>
        <v>0.25383414809773602</v>
      </c>
      <c r="AN36" s="6">
        <f>VLOOKUP(CurrentMtgRatesDataTable89[[#This Row],[asofdate]],W:X,2,0)</f>
        <v>760.12747000458296</v>
      </c>
      <c r="AO36" s="6">
        <f>VLOOKUP(CurrentMtgRatesDataTable89[[#This Row],[asofdate]],AA:AB,2,0)</f>
        <v>8.6895177059962594E-2</v>
      </c>
    </row>
    <row r="37" spans="1:41" s="6" customFormat="1" ht="12.75">
      <c r="A37" s="7" t="s">
        <v>67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G37" s="7" t="s">
        <v>67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67</v>
      </c>
      <c r="L37" s="29">
        <v>0.159637174596993</v>
      </c>
      <c r="O37" s="7" t="s">
        <v>67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67</v>
      </c>
      <c r="T37" s="10">
        <v>0.25185729465780399</v>
      </c>
      <c r="W37" s="7" t="s">
        <v>67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67</v>
      </c>
      <c r="AB37" s="10">
        <v>0.27252886688316702</v>
      </c>
      <c r="AE37" s="7" t="s">
        <v>14</v>
      </c>
      <c r="AF37" s="10">
        <v>1.3919009013555601E-2</v>
      </c>
      <c r="AG37" s="10" t="str">
        <f>YEAR(CurrentMtgRatesDataTable89[[#This Row],[asofdate]])&amp;"-"&amp;MONTH(CurrentMtgRatesDataTable89[[#This Row],[asofdate]])</f>
        <v>2012-10</v>
      </c>
      <c r="AH37" s="6">
        <f>((CurrentMtgRatesDataTable89[[#This Row],[SeriesNumValue]]-$D$1)/$D$1+1)*100</f>
        <v>92.793393423704003</v>
      </c>
      <c r="AI37" s="6">
        <f>CurrentMtgRatesDataTable89[[#This Row],[Index]]-AH38</f>
        <v>-2.7511555594300034</v>
      </c>
      <c r="AJ37" s="6">
        <f>VLOOKUP(CurrentMtgRatesDataTable89[[#This Row],[asofdate]],G:H,2,0)</f>
        <v>80.705110616952894</v>
      </c>
      <c r="AK37" s="6">
        <f>VLOOKUP(CurrentMtgRatesDataTable89[[#This Row],[asofdate]],K:L,2,0)</f>
        <v>0.23845473096648101</v>
      </c>
      <c r="AL37" s="6">
        <f>VLOOKUP(CurrentMtgRatesDataTable89[[#This Row],[asofdate]],O:P,2,0)</f>
        <v>32.877390032993198</v>
      </c>
      <c r="AM37" s="6">
        <f>VLOOKUP(CurrentMtgRatesDataTable89[[#This Row],[asofdate]],S:T,2,0)</f>
        <v>0.24584655238150399</v>
      </c>
      <c r="AN37" s="6">
        <f>VLOOKUP(CurrentMtgRatesDataTable89[[#This Row],[asofdate]],W:X,2,0)</f>
        <v>760.08884618930597</v>
      </c>
      <c r="AO37" s="6">
        <f>VLOOKUP(CurrentMtgRatesDataTable89[[#This Row],[asofdate]],AA:AB,2,0)</f>
        <v>8.8541904484275194E-2</v>
      </c>
    </row>
    <row r="38" spans="1:41" s="6" customFormat="1" ht="12.75">
      <c r="A38" s="7" t="s">
        <v>68</v>
      </c>
      <c r="B38" s="10">
        <v>1.6838277083066001E-2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112.25518055377334</v>
      </c>
      <c r="G38" s="7" t="s">
        <v>68</v>
      </c>
      <c r="H38" s="10">
        <v>78.311389246586302</v>
      </c>
      <c r="I38" s="26">
        <f>VLOOKUP(CurrentMtgRatesDataTable82[[#This Row],[asofdate]],K:L,2,0)</f>
        <v>0.15960930893653599</v>
      </c>
      <c r="K38" s="7" t="s">
        <v>68</v>
      </c>
      <c r="L38" s="29">
        <v>0.15960930893653599</v>
      </c>
      <c r="O38" s="7" t="s">
        <v>68</v>
      </c>
      <c r="P38" s="10">
        <v>37.501602262048998</v>
      </c>
      <c r="Q38" s="29">
        <f>VLOOKUP(CurrentMtgRatesDataTable84[[#This Row],[asofdate]],S:T,2,0)</f>
        <v>0.25604208841456999</v>
      </c>
      <c r="S38" s="7" t="s">
        <v>68</v>
      </c>
      <c r="T38" s="10">
        <v>0.25604208841456999</v>
      </c>
      <c r="W38" s="7" t="s">
        <v>68</v>
      </c>
      <c r="X38" s="10">
        <v>730.87369541317798</v>
      </c>
      <c r="Y38" s="26">
        <f>VLOOKUP(CurrentMtgRatesDataTable86[[#This Row],[asofdate]],AA:AB,2,0)</f>
        <v>0.27543160169902903</v>
      </c>
      <c r="AA38" s="7" t="s">
        <v>68</v>
      </c>
      <c r="AB38" s="10">
        <v>0.27543160169902903</v>
      </c>
      <c r="AE38" s="7" t="s">
        <v>144</v>
      </c>
      <c r="AF38" s="10">
        <v>1.43316823474701E-2</v>
      </c>
      <c r="AG38" s="10" t="str">
        <f>YEAR(CurrentMtgRatesDataTable89[[#This Row],[asofdate]])&amp;"-"&amp;MONTH(CurrentMtgRatesDataTable89[[#This Row],[asofdate]])</f>
        <v>2012-9</v>
      </c>
      <c r="AH38" s="6">
        <f>((CurrentMtgRatesDataTable89[[#This Row],[SeriesNumValue]]-$D$1)/$D$1+1)*100</f>
        <v>95.544548983134007</v>
      </c>
      <c r="AI38" s="6">
        <f>CurrentMtgRatesDataTable89[[#This Row],[Index]]-AH39</f>
        <v>0.52584718432733268</v>
      </c>
      <c r="AJ38" s="6">
        <f>VLOOKUP(CurrentMtgRatesDataTable89[[#This Row],[asofdate]],G:H,2,0)</f>
        <v>80.774218340001596</v>
      </c>
      <c r="AK38" s="6">
        <f>VLOOKUP(CurrentMtgRatesDataTable89[[#This Row],[asofdate]],K:L,2,0)</f>
        <v>0.24201218386033299</v>
      </c>
      <c r="AL38" s="6">
        <f>VLOOKUP(CurrentMtgRatesDataTable89[[#This Row],[asofdate]],O:P,2,0)</f>
        <v>32.835058548279001</v>
      </c>
      <c r="AM38" s="6">
        <f>VLOOKUP(CurrentMtgRatesDataTable89[[#This Row],[asofdate]],S:T,2,0)</f>
        <v>0.24307617004430199</v>
      </c>
      <c r="AN38" s="6">
        <f>VLOOKUP(CurrentMtgRatesDataTable89[[#This Row],[asofdate]],W:X,2,0)</f>
        <v>760.56704735831397</v>
      </c>
      <c r="AO38" s="6">
        <f>VLOOKUP(CurrentMtgRatesDataTable89[[#This Row],[asofdate]],AA:AB,2,0)</f>
        <v>8.9158109260444401E-2</v>
      </c>
    </row>
    <row r="39" spans="1:41" s="6" customFormat="1" ht="12.75">
      <c r="A39" s="7" t="s">
        <v>69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G39" s="7" t="s">
        <v>69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69</v>
      </c>
      <c r="L39" s="29">
        <v>0.15991961797697701</v>
      </c>
      <c r="O39" s="7" t="s">
        <v>69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69</v>
      </c>
      <c r="T39" s="10">
        <v>0.25876564659608398</v>
      </c>
      <c r="W39" s="7" t="s">
        <v>69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69</v>
      </c>
      <c r="AB39" s="10">
        <v>0.27099622377881499</v>
      </c>
      <c r="AE39" s="7" t="s">
        <v>6</v>
      </c>
      <c r="AF39" s="10">
        <v>1.4252805269820999E-2</v>
      </c>
      <c r="AG39" s="10" t="str">
        <f>YEAR(CurrentMtgRatesDataTable89[[#This Row],[asofdate]])&amp;"-"&amp;MONTH(CurrentMtgRatesDataTable89[[#This Row],[asofdate]])</f>
        <v>2012-8</v>
      </c>
      <c r="AH39" s="6">
        <f>((CurrentMtgRatesDataTable89[[#This Row],[SeriesNumValue]]-$D$1)/$D$1+1)*100</f>
        <v>95.018701798806674</v>
      </c>
      <c r="AI39" s="6">
        <f>CurrentMtgRatesDataTable89[[#This Row],[Index]]-AH40</f>
        <v>0.41040077703867439</v>
      </c>
      <c r="AJ39" s="6">
        <f>VLOOKUP(CurrentMtgRatesDataTable89[[#This Row],[asofdate]],G:H,2,0)</f>
        <v>80.5202763349739</v>
      </c>
      <c r="AK39" s="6">
        <f>VLOOKUP(CurrentMtgRatesDataTable89[[#This Row],[asofdate]],K:L,2,0)</f>
        <v>0.23041099227119</v>
      </c>
      <c r="AL39" s="6">
        <f>VLOOKUP(CurrentMtgRatesDataTable89[[#This Row],[asofdate]],O:P,2,0)</f>
        <v>32.914894096552899</v>
      </c>
      <c r="AM39" s="6">
        <f>VLOOKUP(CurrentMtgRatesDataTable89[[#This Row],[asofdate]],S:T,2,0)</f>
        <v>0.24575199886231799</v>
      </c>
      <c r="AN39" s="6">
        <f>VLOOKUP(CurrentMtgRatesDataTable89[[#This Row],[asofdate]],W:X,2,0)</f>
        <v>761.209296502906</v>
      </c>
      <c r="AO39" s="6">
        <f>VLOOKUP(CurrentMtgRatesDataTable89[[#This Row],[asofdate]],AA:AB,2,0)</f>
        <v>8.3411421784346601E-2</v>
      </c>
    </row>
    <row r="40" spans="1:41" s="6" customFormat="1" ht="12.75">
      <c r="A40" s="7" t="s">
        <v>70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G40" s="7" t="s">
        <v>70</v>
      </c>
      <c r="H40" s="10">
        <v>78.671898299829707</v>
      </c>
      <c r="I40" s="26">
        <f>VLOOKUP(CurrentMtgRatesDataTable82[[#This Row],[asofdate]],K:L,2,0)</f>
        <v>0.163030939666403</v>
      </c>
      <c r="K40" s="7" t="s">
        <v>70</v>
      </c>
      <c r="L40" s="29">
        <v>0.163030939666403</v>
      </c>
      <c r="O40" s="7" t="s">
        <v>70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70</v>
      </c>
      <c r="T40" s="10">
        <v>0.25720646817190801</v>
      </c>
      <c r="W40" s="7" t="s">
        <v>70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70</v>
      </c>
      <c r="AB40" s="10">
        <v>0.27172244359806702</v>
      </c>
      <c r="AE40" s="7" t="s">
        <v>143</v>
      </c>
      <c r="AF40" s="10">
        <v>1.4191245153265201E-2</v>
      </c>
      <c r="AG40" s="10" t="str">
        <f>YEAR(CurrentMtgRatesDataTable89[[#This Row],[asofdate]])&amp;"-"&amp;MONTH(CurrentMtgRatesDataTable89[[#This Row],[asofdate]])</f>
        <v>2012-7</v>
      </c>
      <c r="AH40" s="6">
        <f>((CurrentMtgRatesDataTable89[[#This Row],[SeriesNumValue]]-$D$1)/$D$1+1)*100</f>
        <v>94.608301021768</v>
      </c>
      <c r="AI40" s="6">
        <f>CurrentMtgRatesDataTable89[[#This Row],[Index]]-AH41</f>
        <v>3.3853184315586589</v>
      </c>
      <c r="AJ40" s="6">
        <f>VLOOKUP(CurrentMtgRatesDataTable89[[#This Row],[asofdate]],G:H,2,0)</f>
        <v>80.425984157691204</v>
      </c>
      <c r="AK40" s="6">
        <f>VLOOKUP(CurrentMtgRatesDataTable89[[#This Row],[asofdate]],K:L,2,0)</f>
        <v>0.224617863342048</v>
      </c>
      <c r="AL40" s="6">
        <f>VLOOKUP(CurrentMtgRatesDataTable89[[#This Row],[asofdate]],O:P,2,0)</f>
        <v>33.121501266058502</v>
      </c>
      <c r="AM40" s="6">
        <f>VLOOKUP(CurrentMtgRatesDataTable89[[#This Row],[asofdate]],S:T,2,0)</f>
        <v>0.25448423881191201</v>
      </c>
      <c r="AN40" s="6">
        <f>VLOOKUP(CurrentMtgRatesDataTable89[[#This Row],[asofdate]],W:X,2,0)</f>
        <v>761.328024759296</v>
      </c>
      <c r="AO40" s="6">
        <f>VLOOKUP(CurrentMtgRatesDataTable89[[#This Row],[asofdate]],AA:AB,2,0)</f>
        <v>8.4442892037218498E-2</v>
      </c>
    </row>
    <row r="41" spans="1:41" s="6" customFormat="1" ht="12.75">
      <c r="A41" s="7" t="s">
        <v>71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G41" s="7" t="s">
        <v>71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71</v>
      </c>
      <c r="L41" s="29">
        <v>0.16247581027591801</v>
      </c>
      <c r="O41" s="7" t="s">
        <v>71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71</v>
      </c>
      <c r="T41" s="10">
        <v>0.25530695689293598</v>
      </c>
      <c r="W41" s="7" t="s">
        <v>71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71</v>
      </c>
      <c r="AB41" s="10">
        <v>0.269545751649933</v>
      </c>
      <c r="AE41" s="7" t="s">
        <v>17</v>
      </c>
      <c r="AF41" s="10">
        <v>1.3683447388531399E-2</v>
      </c>
      <c r="AG41" s="10" t="str">
        <f>YEAR(CurrentMtgRatesDataTable89[[#This Row],[asofdate]])&amp;"-"&amp;MONTH(CurrentMtgRatesDataTable89[[#This Row],[asofdate]])</f>
        <v>2012-6</v>
      </c>
      <c r="AH41" s="6">
        <f>((CurrentMtgRatesDataTable89[[#This Row],[SeriesNumValue]]-$D$1)/$D$1+1)*100</f>
        <v>91.222982590209341</v>
      </c>
      <c r="AI41" s="6">
        <f>CurrentMtgRatesDataTable89[[#This Row],[Index]]-AH42</f>
        <v>4.8191009156166729</v>
      </c>
      <c r="AJ41" s="6">
        <f>VLOOKUP(CurrentMtgRatesDataTable89[[#This Row],[asofdate]],G:H,2,0)</f>
        <v>80.206562302162695</v>
      </c>
      <c r="AK41" s="6">
        <f>VLOOKUP(CurrentMtgRatesDataTable89[[#This Row],[asofdate]],K:L,2,0)</f>
        <v>0.21270819961904999</v>
      </c>
      <c r="AL41" s="6">
        <f>VLOOKUP(CurrentMtgRatesDataTable89[[#This Row],[asofdate]],O:P,2,0)</f>
        <v>33.320969301989898</v>
      </c>
      <c r="AM41" s="6">
        <f>VLOOKUP(CurrentMtgRatesDataTable89[[#This Row],[asofdate]],S:T,2,0)</f>
        <v>0.25766637668109099</v>
      </c>
      <c r="AN41" s="6">
        <f>VLOOKUP(CurrentMtgRatesDataTable89[[#This Row],[asofdate]],W:X,2,0)</f>
        <v>761.68214700317503</v>
      </c>
      <c r="AO41" s="6">
        <f>VLOOKUP(CurrentMtgRatesDataTable89[[#This Row],[asofdate]],AA:AB,2,0)</f>
        <v>8.1952917281064297E-2</v>
      </c>
    </row>
    <row r="42" spans="1:41" s="6" customFormat="1" ht="12.75">
      <c r="A42" s="7" t="s">
        <v>72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G42" s="7" t="s">
        <v>72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72</v>
      </c>
      <c r="L42" s="29">
        <v>0.166487927243791</v>
      </c>
      <c r="O42" s="7" t="s">
        <v>72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72</v>
      </c>
      <c r="T42" s="10">
        <v>0.250967229847814</v>
      </c>
      <c r="W42" s="7" t="s">
        <v>72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72</v>
      </c>
      <c r="AB42" s="10">
        <v>0.26924096627271599</v>
      </c>
      <c r="AE42" s="7" t="s">
        <v>9</v>
      </c>
      <c r="AF42" s="10">
        <v>1.29605822511889E-2</v>
      </c>
      <c r="AG42" s="10" t="str">
        <f>YEAR(CurrentMtgRatesDataTable89[[#This Row],[asofdate]])&amp;"-"&amp;MONTH(CurrentMtgRatesDataTable89[[#This Row],[asofdate]])</f>
        <v>2012-5</v>
      </c>
      <c r="AH42" s="6">
        <f>((CurrentMtgRatesDataTable89[[#This Row],[SeriesNumValue]]-$D$1)/$D$1+1)*100</f>
        <v>86.403881674592668</v>
      </c>
      <c r="AI42" s="6">
        <f>CurrentMtgRatesDataTable89[[#This Row],[Index]]-AH43</f>
        <v>-1.8114259385146596</v>
      </c>
      <c r="AJ42" s="6">
        <f>VLOOKUP(CurrentMtgRatesDataTable89[[#This Row],[asofdate]],G:H,2,0)</f>
        <v>80.041285343988605</v>
      </c>
      <c r="AK42" s="6">
        <f>VLOOKUP(CurrentMtgRatesDataTable89[[#This Row],[asofdate]],K:L,2,0)</f>
        <v>0.20666487767317901</v>
      </c>
      <c r="AL42" s="6">
        <f>VLOOKUP(CurrentMtgRatesDataTable89[[#This Row],[asofdate]],O:P,2,0)</f>
        <v>33.383530018783603</v>
      </c>
      <c r="AM42" s="6">
        <f>VLOOKUP(CurrentMtgRatesDataTable89[[#This Row],[asofdate]],S:T,2,0)</f>
        <v>0.25390844569801402</v>
      </c>
      <c r="AN42" s="6">
        <f>VLOOKUP(CurrentMtgRatesDataTable89[[#This Row],[asofdate]],W:X,2,0)</f>
        <v>761.22105616828799</v>
      </c>
      <c r="AO42" s="6">
        <f>VLOOKUP(CurrentMtgRatesDataTable89[[#This Row],[asofdate]],AA:AB,2,0)</f>
        <v>8.2484010965590507E-2</v>
      </c>
    </row>
    <row r="43" spans="1:41" s="6" customFormat="1" ht="12.75">
      <c r="A43" s="7" t="s">
        <v>73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G43" s="7" t="s">
        <v>73</v>
      </c>
      <c r="H43" s="10">
        <v>78.765290924066704</v>
      </c>
      <c r="I43" s="26">
        <f>VLOOKUP(CurrentMtgRatesDataTable82[[#This Row],[asofdate]],K:L,2,0)</f>
        <v>0.16509874727797</v>
      </c>
      <c r="K43" s="7" t="s">
        <v>73</v>
      </c>
      <c r="L43" s="29">
        <v>0.16509874727797</v>
      </c>
      <c r="O43" s="7" t="s">
        <v>73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73</v>
      </c>
      <c r="T43" s="10">
        <v>0.25385801090037102</v>
      </c>
      <c r="W43" s="7" t="s">
        <v>73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73</v>
      </c>
      <c r="AB43" s="10">
        <v>0.26404056393812197</v>
      </c>
      <c r="AE43" s="7" t="s">
        <v>142</v>
      </c>
      <c r="AF43" s="10">
        <v>1.32322961419661E-2</v>
      </c>
      <c r="AG43" s="10" t="str">
        <f>YEAR(CurrentMtgRatesDataTable89[[#This Row],[asofdate]])&amp;"-"&amp;MONTH(CurrentMtgRatesDataTable89[[#This Row],[asofdate]])</f>
        <v>2012-4</v>
      </c>
      <c r="AH43" s="6">
        <f>((CurrentMtgRatesDataTable89[[#This Row],[SeriesNumValue]]-$D$1)/$D$1+1)*100</f>
        <v>88.215307613107328</v>
      </c>
      <c r="AI43" s="6">
        <f>CurrentMtgRatesDataTable89[[#This Row],[Index]]-AH44</f>
        <v>-1.3799806513166715</v>
      </c>
      <c r="AJ43" s="6">
        <f>VLOOKUP(CurrentMtgRatesDataTable89[[#This Row],[asofdate]],G:H,2,0)</f>
        <v>79.930262705068301</v>
      </c>
      <c r="AK43" s="6">
        <f>VLOOKUP(CurrentMtgRatesDataTable89[[#This Row],[asofdate]],K:L,2,0)</f>
        <v>0.19845527362620699</v>
      </c>
      <c r="AL43" s="6">
        <f>VLOOKUP(CurrentMtgRatesDataTable89[[#This Row],[asofdate]],O:P,2,0)</f>
        <v>33.517464455945003</v>
      </c>
      <c r="AM43" s="6">
        <f>VLOOKUP(CurrentMtgRatesDataTable89[[#This Row],[asofdate]],S:T,2,0)</f>
        <v>0.26157806679984102</v>
      </c>
      <c r="AN43" s="6">
        <f>VLOOKUP(CurrentMtgRatesDataTable89[[#This Row],[asofdate]],W:X,2,0)</f>
        <v>760.69826911231303</v>
      </c>
      <c r="AO43" s="6">
        <f>VLOOKUP(CurrentMtgRatesDataTable89[[#This Row],[asofdate]],AA:AB,2,0)</f>
        <v>8.36630802928469E-2</v>
      </c>
    </row>
    <row r="44" spans="1:41" s="6" customFormat="1" ht="12.75">
      <c r="A44" s="7" t="s">
        <v>74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G44" s="7" t="s">
        <v>74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74</v>
      </c>
      <c r="L44" s="29">
        <v>0.16483333011769599</v>
      </c>
      <c r="O44" s="7" t="s">
        <v>74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74</v>
      </c>
      <c r="T44" s="10">
        <v>0.259163903970826</v>
      </c>
      <c r="W44" s="7" t="s">
        <v>74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74</v>
      </c>
      <c r="AB44" s="10">
        <v>0.26015553383897599</v>
      </c>
      <c r="AE44" s="7" t="s">
        <v>141</v>
      </c>
      <c r="AF44" s="10">
        <v>1.3439293239663599E-2</v>
      </c>
      <c r="AG44" s="10" t="str">
        <f>YEAR(CurrentMtgRatesDataTable89[[#This Row],[asofdate]])&amp;"-"&amp;MONTH(CurrentMtgRatesDataTable89[[#This Row],[asofdate]])</f>
        <v>2012-3</v>
      </c>
      <c r="AH44" s="6">
        <f>((CurrentMtgRatesDataTable89[[#This Row],[SeriesNumValue]]-$D$1)/$D$1+1)*100</f>
        <v>89.595288264423999</v>
      </c>
      <c r="AI44" s="6">
        <f>CurrentMtgRatesDataTable89[[#This Row],[Index]]-AH45</f>
        <v>-0.23306544870200696</v>
      </c>
      <c r="AJ44" s="6">
        <f>VLOOKUP(CurrentMtgRatesDataTable89[[#This Row],[asofdate]],G:H,2,0)</f>
        <v>79.622576352334605</v>
      </c>
      <c r="AK44" s="6">
        <f>VLOOKUP(CurrentMtgRatesDataTable89[[#This Row],[asofdate]],K:L,2,0)</f>
        <v>0.18875936195045501</v>
      </c>
      <c r="AL44" s="6">
        <f>VLOOKUP(CurrentMtgRatesDataTable89[[#This Row],[asofdate]],O:P,2,0)</f>
        <v>33.679289577888902</v>
      </c>
      <c r="AM44" s="6">
        <f>VLOOKUP(CurrentMtgRatesDataTable89[[#This Row],[asofdate]],S:T,2,0)</f>
        <v>0.26732894786611999</v>
      </c>
      <c r="AN44" s="6">
        <f>VLOOKUP(CurrentMtgRatesDataTable89[[#This Row],[asofdate]],W:X,2,0)</f>
        <v>760.52328958127202</v>
      </c>
      <c r="AO44" s="6">
        <f>VLOOKUP(CurrentMtgRatesDataTable89[[#This Row],[asofdate]],AA:AB,2,0)</f>
        <v>8.5781845087441896E-2</v>
      </c>
    </row>
    <row r="45" spans="1:41" s="6" customFormat="1" ht="12.75">
      <c r="A45" s="7" t="s">
        <v>75</v>
      </c>
      <c r="B45" s="10">
        <v>1.7880693197437202E-2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119.20462131624801</v>
      </c>
      <c r="G45" s="7" t="s">
        <v>75</v>
      </c>
      <c r="H45" s="10">
        <v>78.908848830602196</v>
      </c>
      <c r="I45" s="26">
        <f>VLOOKUP(CurrentMtgRatesDataTable82[[#This Row],[asofdate]],K:L,2,0)</f>
        <v>0.17600200529424101</v>
      </c>
      <c r="K45" s="7" t="s">
        <v>75</v>
      </c>
      <c r="L45" s="29">
        <v>0.17600200529424101</v>
      </c>
      <c r="O45" s="7" t="s">
        <v>75</v>
      </c>
      <c r="P45" s="10">
        <v>37.944023424215104</v>
      </c>
      <c r="Q45" s="29">
        <f>VLOOKUP(CurrentMtgRatesDataTable84[[#This Row],[asofdate]],S:T,2,0)</f>
        <v>0.25571090777241101</v>
      </c>
      <c r="S45" s="7" t="s">
        <v>75</v>
      </c>
      <c r="T45" s="10">
        <v>0.25571090777241101</v>
      </c>
      <c r="W45" s="7" t="s">
        <v>75</v>
      </c>
      <c r="X45" s="10">
        <v>732.49601929884</v>
      </c>
      <c r="Y45" s="26">
        <f>VLOOKUP(CurrentMtgRatesDataTable86[[#This Row],[asofdate]],AA:AB,2,0)</f>
        <v>0.26931987091908599</v>
      </c>
      <c r="AA45" s="7" t="s">
        <v>75</v>
      </c>
      <c r="AB45" s="10">
        <v>0.26931987091908599</v>
      </c>
      <c r="AE45" s="7" t="s">
        <v>140</v>
      </c>
      <c r="AF45" s="10">
        <v>1.34742530569689E-2</v>
      </c>
      <c r="AG45" s="10" t="str">
        <f>YEAR(CurrentMtgRatesDataTable89[[#This Row],[asofdate]])&amp;"-"&amp;MONTH(CurrentMtgRatesDataTable89[[#This Row],[asofdate]])</f>
        <v>2012-2</v>
      </c>
      <c r="AH45" s="6">
        <f>((CurrentMtgRatesDataTable89[[#This Row],[SeriesNumValue]]-$D$1)/$D$1+1)*100</f>
        <v>89.828353713126006</v>
      </c>
      <c r="AI45" s="6">
        <f>CurrentMtgRatesDataTable89[[#This Row],[Index]]-AH46</f>
        <v>-1.1847083265700036</v>
      </c>
      <c r="AJ45" s="6">
        <f>VLOOKUP(CurrentMtgRatesDataTable89[[#This Row],[asofdate]],G:H,2,0)</f>
        <v>79.577067279672804</v>
      </c>
      <c r="AK45" s="6">
        <f>VLOOKUP(CurrentMtgRatesDataTable89[[#This Row],[asofdate]],K:L,2,0)</f>
        <v>0.18964437882075599</v>
      </c>
      <c r="AL45" s="6">
        <f>VLOOKUP(CurrentMtgRatesDataTable89[[#This Row],[asofdate]],O:P,2,0)</f>
        <v>33.616764795031301</v>
      </c>
      <c r="AM45" s="6">
        <f>VLOOKUP(CurrentMtgRatesDataTable89[[#This Row],[asofdate]],S:T,2,0)</f>
        <v>0.26105925719805601</v>
      </c>
      <c r="AN45" s="6">
        <f>VLOOKUP(CurrentMtgRatesDataTable89[[#This Row],[asofdate]],W:X,2,0)</f>
        <v>761.11114239602796</v>
      </c>
      <c r="AO45" s="6">
        <f>VLOOKUP(CurrentMtgRatesDataTable89[[#This Row],[asofdate]],AA:AB,2,0)</f>
        <v>8.6151049782676598E-2</v>
      </c>
    </row>
    <row r="46" spans="1:41" s="6" customFormat="1" ht="12.75">
      <c r="A46" s="7" t="s">
        <v>76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G46" s="7" t="s">
        <v>76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76</v>
      </c>
      <c r="L46" s="29">
        <v>0.18540217986062499</v>
      </c>
      <c r="O46" s="7" t="s">
        <v>76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76</v>
      </c>
      <c r="T46" s="10">
        <v>0.25886862133549099</v>
      </c>
      <c r="W46" s="7" t="s">
        <v>76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76</v>
      </c>
      <c r="AB46" s="10">
        <v>0.27921966823928501</v>
      </c>
      <c r="AE46" s="7" t="s">
        <v>139</v>
      </c>
      <c r="AF46" s="10">
        <v>1.3651959305954401E-2</v>
      </c>
      <c r="AG46" s="10" t="str">
        <f>YEAR(CurrentMtgRatesDataTable89[[#This Row],[asofdate]])&amp;"-"&amp;MONTH(CurrentMtgRatesDataTable89[[#This Row],[asofdate]])</f>
        <v>2012-1</v>
      </c>
      <c r="AH46" s="6">
        <f>((CurrentMtgRatesDataTable89[[#This Row],[SeriesNumValue]]-$D$1)/$D$1+1)*100</f>
        <v>91.01306203969601</v>
      </c>
      <c r="AI46" s="6">
        <f>CurrentMtgRatesDataTable89[[#This Row],[Index]]-AH47</f>
        <v>0.79396284985199372</v>
      </c>
      <c r="AJ46" s="6">
        <f>VLOOKUP(CurrentMtgRatesDataTable89[[#This Row],[asofdate]],G:H,2,0)</f>
        <v>79.742942474085694</v>
      </c>
      <c r="AK46" s="6">
        <f>VLOOKUP(CurrentMtgRatesDataTable89[[#This Row],[asofdate]],K:L,2,0)</f>
        <v>0.19485876227794</v>
      </c>
      <c r="AL46" s="6">
        <f>VLOOKUP(CurrentMtgRatesDataTable89[[#This Row],[asofdate]],O:P,2,0)</f>
        <v>33.655157879528304</v>
      </c>
      <c r="AM46" s="6">
        <f>VLOOKUP(CurrentMtgRatesDataTable89[[#This Row],[asofdate]],S:T,2,0)</f>
        <v>0.27064716125585703</v>
      </c>
      <c r="AN46" s="6">
        <f>VLOOKUP(CurrentMtgRatesDataTable89[[#This Row],[asofdate]],W:X,2,0)</f>
        <v>760.81334271789297</v>
      </c>
      <c r="AO46" s="6">
        <f>VLOOKUP(CurrentMtgRatesDataTable89[[#This Row],[asofdate]],AA:AB,2,0)</f>
        <v>8.7313625509359505E-2</v>
      </c>
    </row>
    <row r="47" spans="1:41" s="6" customFormat="1" ht="12.75">
      <c r="A47" s="7" t="s">
        <v>77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G47" s="7" t="s">
        <v>77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77</v>
      </c>
      <c r="L47" s="29">
        <v>0.19239457049420899</v>
      </c>
      <c r="O47" s="7" t="s">
        <v>77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77</v>
      </c>
      <c r="T47" s="10">
        <v>0.27141833470725502</v>
      </c>
      <c r="W47" s="7" t="s">
        <v>77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77</v>
      </c>
      <c r="AB47" s="10">
        <v>0.28214362863015702</v>
      </c>
      <c r="AE47" s="7" t="s">
        <v>138</v>
      </c>
      <c r="AF47" s="10">
        <v>1.3532864878476601E-2</v>
      </c>
      <c r="AG47" s="10" t="str">
        <f>YEAR(CurrentMtgRatesDataTable89[[#This Row],[asofdate]])&amp;"-"&amp;MONTH(CurrentMtgRatesDataTable89[[#This Row],[asofdate]])</f>
        <v>2011-12</v>
      </c>
      <c r="AH47" s="6">
        <f>((CurrentMtgRatesDataTable89[[#This Row],[SeriesNumValue]]-$D$1)/$D$1+1)*100</f>
        <v>90.219099189844016</v>
      </c>
      <c r="AI47" s="6">
        <f>CurrentMtgRatesDataTable89[[#This Row],[Index]]-AH48</f>
        <v>-4.268134887103983</v>
      </c>
      <c r="AJ47" s="6">
        <f>VLOOKUP(CurrentMtgRatesDataTable89[[#This Row],[asofdate]],G:H,2,0)</f>
        <v>79.987561933911195</v>
      </c>
      <c r="AK47" s="6">
        <f>VLOOKUP(CurrentMtgRatesDataTable89[[#This Row],[asofdate]],K:L,2,0)</f>
        <v>0.19909240626705399</v>
      </c>
      <c r="AL47" s="6">
        <f>VLOOKUP(CurrentMtgRatesDataTable89[[#This Row],[asofdate]],O:P,2,0)</f>
        <v>33.656871711463303</v>
      </c>
      <c r="AM47" s="6">
        <f>VLOOKUP(CurrentMtgRatesDataTable89[[#This Row],[asofdate]],S:T,2,0)</f>
        <v>0.275249862195238</v>
      </c>
      <c r="AN47" s="6">
        <f>VLOOKUP(CurrentMtgRatesDataTable89[[#This Row],[asofdate]],W:X,2,0)</f>
        <v>760.09068987419801</v>
      </c>
      <c r="AO47" s="6">
        <f>VLOOKUP(CurrentMtgRatesDataTable89[[#This Row],[asofdate]],AA:AB,2,0)</f>
        <v>9.2082831485556599E-2</v>
      </c>
    </row>
    <row r="48" spans="1:41" s="6" customFormat="1" ht="12.75">
      <c r="A48" s="7" t="s">
        <v>78</v>
      </c>
      <c r="B48" s="10">
        <v>1.8179360544762099E-2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121.19573696508066</v>
      </c>
      <c r="G48" s="7" t="s">
        <v>78</v>
      </c>
      <c r="H48" s="10">
        <v>79.313843638726098</v>
      </c>
      <c r="I48" s="26">
        <f>VLOOKUP(CurrentMtgRatesDataTable82[[#This Row],[asofdate]],K:L,2,0)</f>
        <v>0.189376854241877</v>
      </c>
      <c r="K48" s="7" t="s">
        <v>78</v>
      </c>
      <c r="L48" s="29">
        <v>0.189376854241877</v>
      </c>
      <c r="O48" s="7" t="s">
        <v>78</v>
      </c>
      <c r="P48" s="10">
        <v>37.784328278355098</v>
      </c>
      <c r="Q48" s="29">
        <f>VLOOKUP(CurrentMtgRatesDataTable84[[#This Row],[asofdate]],S:T,2,0)</f>
        <v>0.28453753894657102</v>
      </c>
      <c r="S48" s="7" t="s">
        <v>78</v>
      </c>
      <c r="T48" s="10">
        <v>0.28453753894657102</v>
      </c>
      <c r="W48" s="7" t="s">
        <v>78</v>
      </c>
      <c r="X48" s="10">
        <v>730.60265144365599</v>
      </c>
      <c r="Y48" s="26">
        <f>VLOOKUP(CurrentMtgRatesDataTable86[[#This Row],[asofdate]],AA:AB,2,0)</f>
        <v>0.28244071580254698</v>
      </c>
      <c r="AA48" s="7" t="s">
        <v>78</v>
      </c>
      <c r="AB48" s="10">
        <v>0.28244071580254698</v>
      </c>
      <c r="AE48" s="7" t="s">
        <v>137</v>
      </c>
      <c r="AF48" s="10">
        <v>1.4173085111542199E-2</v>
      </c>
      <c r="AG48" s="10" t="str">
        <f>YEAR(CurrentMtgRatesDataTable89[[#This Row],[asofdate]])&amp;"-"&amp;MONTH(CurrentMtgRatesDataTable89[[#This Row],[asofdate]])</f>
        <v>2011-11</v>
      </c>
      <c r="AH48" s="6">
        <f>((CurrentMtgRatesDataTable89[[#This Row],[SeriesNumValue]]-$D$1)/$D$1+1)*100</f>
        <v>94.487234076947999</v>
      </c>
      <c r="AI48" s="6">
        <f>CurrentMtgRatesDataTable89[[#This Row],[Index]]-AH49</f>
        <v>-5.9589475335126849</v>
      </c>
      <c r="AJ48" s="6">
        <f>VLOOKUP(CurrentMtgRatesDataTable89[[#This Row],[asofdate]],G:H,2,0)</f>
        <v>79.994322427847806</v>
      </c>
      <c r="AK48" s="6">
        <f>VLOOKUP(CurrentMtgRatesDataTable89[[#This Row],[asofdate]],K:L,2,0)</f>
        <v>0.19691770674556899</v>
      </c>
      <c r="AL48" s="6">
        <f>VLOOKUP(CurrentMtgRatesDataTable89[[#This Row],[asofdate]],O:P,2,0)</f>
        <v>33.733487916258603</v>
      </c>
      <c r="AM48" s="6">
        <f>VLOOKUP(CurrentMtgRatesDataTable89[[#This Row],[asofdate]],S:T,2,0)</f>
        <v>0.27287221464637801</v>
      </c>
      <c r="AN48" s="6">
        <f>VLOOKUP(CurrentMtgRatesDataTable89[[#This Row],[asofdate]],W:X,2,0)</f>
        <v>760.11994455534398</v>
      </c>
      <c r="AO48" s="6">
        <f>VLOOKUP(CurrentMtgRatesDataTable89[[#This Row],[asofdate]],AA:AB,2,0)</f>
        <v>9.1581517813900795E-2</v>
      </c>
    </row>
    <row r="49" spans="1:41" s="6" customFormat="1" ht="12.75">
      <c r="A49" s="7" t="s">
        <v>79</v>
      </c>
      <c r="B49" s="10">
        <v>1.88047494994894E-2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125.36499666326266</v>
      </c>
      <c r="G49" s="7" t="s">
        <v>79</v>
      </c>
      <c r="H49" s="10">
        <v>79.416723299241198</v>
      </c>
      <c r="I49" s="26">
        <f>VLOOKUP(CurrentMtgRatesDataTable82[[#This Row],[asofdate]],K:L,2,0)</f>
        <v>0.193846076998824</v>
      </c>
      <c r="K49" s="7" t="s">
        <v>79</v>
      </c>
      <c r="L49" s="29">
        <v>0.193846076998824</v>
      </c>
      <c r="O49" s="7" t="s">
        <v>79</v>
      </c>
      <c r="P49" s="10">
        <v>37.718187826882101</v>
      </c>
      <c r="Q49" s="29">
        <f>VLOOKUP(CurrentMtgRatesDataTable84[[#This Row],[asofdate]],S:T,2,0)</f>
        <v>0.27954850970586498</v>
      </c>
      <c r="S49" s="7" t="s">
        <v>79</v>
      </c>
      <c r="T49" s="10">
        <v>0.27954850970586498</v>
      </c>
      <c r="W49" s="7" t="s">
        <v>79</v>
      </c>
      <c r="X49" s="10">
        <v>730.47782131374504</v>
      </c>
      <c r="Y49" s="26">
        <f>VLOOKUP(CurrentMtgRatesDataTable86[[#This Row],[asofdate]],AA:AB,2,0)</f>
        <v>0.28267583421654802</v>
      </c>
      <c r="AA49" s="7" t="s">
        <v>79</v>
      </c>
      <c r="AB49" s="10">
        <v>0.28267583421654802</v>
      </c>
      <c r="AE49" s="7" t="s">
        <v>136</v>
      </c>
      <c r="AF49" s="10">
        <v>1.5066927241569101E-2</v>
      </c>
      <c r="AG49" s="10" t="str">
        <f>YEAR(CurrentMtgRatesDataTable89[[#This Row],[asofdate]])&amp;"-"&amp;MONTH(CurrentMtgRatesDataTable89[[#This Row],[asofdate]])</f>
        <v>2011-10</v>
      </c>
      <c r="AH49" s="6">
        <f>((CurrentMtgRatesDataTable89[[#This Row],[SeriesNumValue]]-$D$1)/$D$1+1)*100</f>
        <v>100.44618161046068</v>
      </c>
      <c r="AI49" s="6">
        <f>CurrentMtgRatesDataTable89[[#This Row],[Index]]-AH50</f>
        <v>6.3786208733026939</v>
      </c>
      <c r="AJ49" s="6">
        <f>VLOOKUP(CurrentMtgRatesDataTable89[[#This Row],[asofdate]],G:H,2,0)</f>
        <v>79.997549920383307</v>
      </c>
      <c r="AK49" s="6">
        <f>VLOOKUP(CurrentMtgRatesDataTable89[[#This Row],[asofdate]],K:L,2,0)</f>
        <v>0.19121615344839399</v>
      </c>
      <c r="AL49" s="6">
        <f>VLOOKUP(CurrentMtgRatesDataTable89[[#This Row],[asofdate]],O:P,2,0)</f>
        <v>33.813525149721997</v>
      </c>
      <c r="AM49" s="6">
        <f>VLOOKUP(CurrentMtgRatesDataTable89[[#This Row],[asofdate]],S:T,2,0)</f>
        <v>0.28079551834164501</v>
      </c>
      <c r="AN49" s="6">
        <f>VLOOKUP(CurrentMtgRatesDataTable89[[#This Row],[asofdate]],W:X,2,0)</f>
        <v>759.31136265639805</v>
      </c>
      <c r="AO49" s="6">
        <f>VLOOKUP(CurrentMtgRatesDataTable89[[#This Row],[asofdate]],AA:AB,2,0)</f>
        <v>9.5262443071944702E-2</v>
      </c>
    </row>
    <row r="50" spans="1:41" s="6" customFormat="1" ht="12.75">
      <c r="A50" s="7" t="s">
        <v>80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G50" s="7" t="s">
        <v>80</v>
      </c>
      <c r="H50" s="10">
        <v>79.719160694476898</v>
      </c>
      <c r="I50" s="26">
        <f>VLOOKUP(CurrentMtgRatesDataTable82[[#This Row],[asofdate]],K:L,2,0)</f>
        <v>0.20262390105173</v>
      </c>
      <c r="K50" s="7" t="s">
        <v>80</v>
      </c>
      <c r="L50" s="29">
        <v>0.20262390105173</v>
      </c>
      <c r="O50" s="7" t="s">
        <v>80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80</v>
      </c>
      <c r="T50" s="10">
        <v>0.28314346572504001</v>
      </c>
      <c r="W50" s="7" t="s">
        <v>80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80</v>
      </c>
      <c r="AB50" s="10">
        <v>0.28970756977075302</v>
      </c>
      <c r="AE50" s="7" t="s">
        <v>135</v>
      </c>
      <c r="AF50" s="10">
        <v>1.4110134110573699E-2</v>
      </c>
      <c r="AG50" s="10" t="str">
        <f>YEAR(CurrentMtgRatesDataTable89[[#This Row],[asofdate]])&amp;"-"&amp;MONTH(CurrentMtgRatesDataTable89[[#This Row],[asofdate]])</f>
        <v>2011-9</v>
      </c>
      <c r="AH50" s="6">
        <f>((CurrentMtgRatesDataTable89[[#This Row],[SeriesNumValue]]-$D$1)/$D$1+1)*100</f>
        <v>94.06756073715799</v>
      </c>
      <c r="AI50" s="6">
        <f>CurrentMtgRatesDataTable89[[#This Row],[Index]]-AH51</f>
        <v>4.4404038038166505</v>
      </c>
      <c r="AJ50" s="6">
        <f>VLOOKUP(CurrentMtgRatesDataTable89[[#This Row],[asofdate]],G:H,2,0)</f>
        <v>79.893276473820805</v>
      </c>
      <c r="AK50" s="6">
        <f>VLOOKUP(CurrentMtgRatesDataTable89[[#This Row],[asofdate]],K:L,2,0)</f>
        <v>0.18285657379937501</v>
      </c>
      <c r="AL50" s="6">
        <f>VLOOKUP(CurrentMtgRatesDataTable89[[#This Row],[asofdate]],O:P,2,0)</f>
        <v>33.923728827793703</v>
      </c>
      <c r="AM50" s="6">
        <f>VLOOKUP(CurrentMtgRatesDataTable89[[#This Row],[asofdate]],S:T,2,0)</f>
        <v>0.28110698657093303</v>
      </c>
      <c r="AN50" s="6">
        <f>VLOOKUP(CurrentMtgRatesDataTable89[[#This Row],[asofdate]],W:X,2,0)</f>
        <v>759.68574303527498</v>
      </c>
      <c r="AO50" s="6">
        <f>VLOOKUP(CurrentMtgRatesDataTable89[[#This Row],[asofdate]],AA:AB,2,0)</f>
        <v>9.44189309015048E-2</v>
      </c>
    </row>
    <row r="51" spans="1:41" s="6" customFormat="1" ht="12.75">
      <c r="A51" s="7" t="s">
        <v>81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G51" s="7" t="s">
        <v>81</v>
      </c>
      <c r="H51" s="10">
        <v>80.020235794904707</v>
      </c>
      <c r="I51" s="26">
        <f>VLOOKUP(CurrentMtgRatesDataTable82[[#This Row],[asofdate]],K:L,2,0)</f>
        <v>0.21711470398919</v>
      </c>
      <c r="K51" s="7" t="s">
        <v>81</v>
      </c>
      <c r="L51" s="29">
        <v>0.21711470398919</v>
      </c>
      <c r="O51" s="7" t="s">
        <v>81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81</v>
      </c>
      <c r="T51" s="10">
        <v>0.28268064836849399</v>
      </c>
      <c r="W51" s="7" t="s">
        <v>81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81</v>
      </c>
      <c r="AB51" s="10">
        <v>0.29421874120147201</v>
      </c>
      <c r="AE51" s="7" t="s">
        <v>134</v>
      </c>
      <c r="AF51" s="10">
        <v>1.3444073540001201E-2</v>
      </c>
      <c r="AG51" s="10" t="str">
        <f>YEAR(CurrentMtgRatesDataTable89[[#This Row],[asofdate]])&amp;"-"&amp;MONTH(CurrentMtgRatesDataTable89[[#This Row],[asofdate]])</f>
        <v>2011-8</v>
      </c>
      <c r="AH51" s="6">
        <f>((CurrentMtgRatesDataTable89[[#This Row],[SeriesNumValue]]-$D$1)/$D$1+1)*100</f>
        <v>89.62715693334134</v>
      </c>
      <c r="AI51" s="6">
        <f>CurrentMtgRatesDataTable89[[#This Row],[Index]]-AH52</f>
        <v>-3.3282033952966685</v>
      </c>
      <c r="AJ51" s="6">
        <f>VLOOKUP(CurrentMtgRatesDataTable89[[#This Row],[asofdate]],G:H,2,0)</f>
        <v>79.4086037178091</v>
      </c>
      <c r="AK51" s="6">
        <f>VLOOKUP(CurrentMtgRatesDataTable89[[#This Row],[asofdate]],K:L,2,0)</f>
        <v>0.17193051390476799</v>
      </c>
      <c r="AL51" s="6">
        <f>VLOOKUP(CurrentMtgRatesDataTable89[[#This Row],[asofdate]],O:P,2,0)</f>
        <v>33.867489591730902</v>
      </c>
      <c r="AM51" s="6">
        <f>VLOOKUP(CurrentMtgRatesDataTable89[[#This Row],[asofdate]],S:T,2,0)</f>
        <v>0.27887427708074303</v>
      </c>
      <c r="AN51" s="6">
        <f>VLOOKUP(CurrentMtgRatesDataTable89[[#This Row],[asofdate]],W:X,2,0)</f>
        <v>760.11089092925397</v>
      </c>
      <c r="AO51" s="6">
        <f>VLOOKUP(CurrentMtgRatesDataTable89[[#This Row],[asofdate]],AA:AB,2,0)</f>
        <v>9.1604255359206105E-2</v>
      </c>
    </row>
    <row r="52" spans="1:41" s="6" customFormat="1" ht="12.75">
      <c r="A52" s="7" t="s">
        <v>82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G52" s="7" t="s">
        <v>82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82</v>
      </c>
      <c r="L52" s="29">
        <v>0.23336175068755199</v>
      </c>
      <c r="O52" s="7" t="s">
        <v>82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82</v>
      </c>
      <c r="T52" s="10">
        <v>0.27418324865767502</v>
      </c>
      <c r="W52" s="7" t="s">
        <v>82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82</v>
      </c>
      <c r="AB52" s="10">
        <v>0.30117036754250298</v>
      </c>
      <c r="AE52" s="7" t="s">
        <v>133</v>
      </c>
      <c r="AF52" s="10">
        <v>1.39433040492957E-2</v>
      </c>
      <c r="AG52" s="10" t="str">
        <f>YEAR(CurrentMtgRatesDataTable89[[#This Row],[asofdate]])&amp;"-"&amp;MONTH(CurrentMtgRatesDataTable89[[#This Row],[asofdate]])</f>
        <v>2011-7</v>
      </c>
      <c r="AH52" s="6">
        <f>((CurrentMtgRatesDataTable89[[#This Row],[SeriesNumValue]]-$D$1)/$D$1+1)*100</f>
        <v>92.955360328638008</v>
      </c>
      <c r="AI52" s="6">
        <f>CurrentMtgRatesDataTable89[[#This Row],[Index]]-AH53</f>
        <v>7.4357931431880075</v>
      </c>
      <c r="AJ52" s="6">
        <f>VLOOKUP(CurrentMtgRatesDataTable89[[#This Row],[asofdate]],G:H,2,0)</f>
        <v>79.091934077567899</v>
      </c>
      <c r="AK52" s="6">
        <f>VLOOKUP(CurrentMtgRatesDataTable89[[#This Row],[asofdate]],K:L,2,0)</f>
        <v>0.163140877283213</v>
      </c>
      <c r="AL52" s="6">
        <f>VLOOKUP(CurrentMtgRatesDataTable89[[#This Row],[asofdate]],O:P,2,0)</f>
        <v>34.045091137562203</v>
      </c>
      <c r="AM52" s="6">
        <f>VLOOKUP(CurrentMtgRatesDataTable89[[#This Row],[asofdate]],S:T,2,0)</f>
        <v>0.287501640949613</v>
      </c>
      <c r="AN52" s="6">
        <f>VLOOKUP(CurrentMtgRatesDataTable89[[#This Row],[asofdate]],W:X,2,0)</f>
        <v>760.10416700261203</v>
      </c>
      <c r="AO52" s="6">
        <f>VLOOKUP(CurrentMtgRatesDataTable89[[#This Row],[asofdate]],AA:AB,2,0)</f>
        <v>9.1407920331609702E-2</v>
      </c>
    </row>
    <row r="53" spans="1:41" s="6" customFormat="1" ht="12.75">
      <c r="A53" s="7" t="s">
        <v>83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G53" s="7" t="s">
        <v>83</v>
      </c>
      <c r="H53" s="10">
        <v>81.029584931334</v>
      </c>
      <c r="I53" s="26">
        <f>VLOOKUP(CurrentMtgRatesDataTable82[[#This Row],[asofdate]],K:L,2,0)</f>
        <v>0.25075487270087099</v>
      </c>
      <c r="K53" s="7" t="s">
        <v>83</v>
      </c>
      <c r="L53" s="29">
        <v>0.25075487270087099</v>
      </c>
      <c r="O53" s="7" t="s">
        <v>83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83</v>
      </c>
      <c r="T53" s="10">
        <v>0.29044045878201202</v>
      </c>
      <c r="W53" s="7" t="s">
        <v>83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83</v>
      </c>
      <c r="AB53" s="10">
        <v>0.31243119456729701</v>
      </c>
      <c r="AE53" s="7" t="s">
        <v>132</v>
      </c>
      <c r="AF53" s="10">
        <v>1.2827935077817499E-2</v>
      </c>
      <c r="AG53" s="10" t="str">
        <f>YEAR(CurrentMtgRatesDataTable89[[#This Row],[asofdate]])&amp;"-"&amp;MONTH(CurrentMtgRatesDataTable89[[#This Row],[asofdate]])</f>
        <v>2011-6</v>
      </c>
      <c r="AH53" s="6">
        <f>((CurrentMtgRatesDataTable89[[#This Row],[SeriesNumValue]]-$D$1)/$D$1+1)*100</f>
        <v>85.519567185450001</v>
      </c>
      <c r="AI53" s="6">
        <f>CurrentMtgRatesDataTable89[[#This Row],[Index]]-AH54</f>
        <v>2.7033805978200007</v>
      </c>
      <c r="AJ53" s="6">
        <f>VLOOKUP(CurrentMtgRatesDataTable89[[#This Row],[asofdate]],G:H,2,0)</f>
        <v>78.4121920195076</v>
      </c>
      <c r="AK53" s="6">
        <f>VLOOKUP(CurrentMtgRatesDataTable89[[#This Row],[asofdate]],K:L,2,0)</f>
        <v>0.142133100786937</v>
      </c>
      <c r="AL53" s="6">
        <f>VLOOKUP(CurrentMtgRatesDataTable89[[#This Row],[asofdate]],O:P,2,0)</f>
        <v>34.252139111142597</v>
      </c>
      <c r="AM53" s="6">
        <f>VLOOKUP(CurrentMtgRatesDataTable89[[#This Row],[asofdate]],S:T,2,0)</f>
        <v>0.29764988347825</v>
      </c>
      <c r="AN53" s="6">
        <f>VLOOKUP(CurrentMtgRatesDataTable89[[#This Row],[asofdate]],W:X,2,0)</f>
        <v>760.82402569153601</v>
      </c>
      <c r="AO53" s="6">
        <f>VLOOKUP(CurrentMtgRatesDataTable89[[#This Row],[asofdate]],AA:AB,2,0)</f>
        <v>8.66192531494651E-2</v>
      </c>
    </row>
    <row r="54" spans="1:41" s="6" customFormat="1" ht="12.75">
      <c r="A54" s="7" t="s">
        <v>84</v>
      </c>
      <c r="B54" s="10">
        <v>2.06724173743634E-2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137.81611582908931</v>
      </c>
      <c r="G54" s="7" t="s">
        <v>84</v>
      </c>
      <c r="H54" s="10">
        <v>81.6388720816486</v>
      </c>
      <c r="I54" s="26">
        <f>VLOOKUP(CurrentMtgRatesDataTable82[[#This Row],[asofdate]],K:L,2,0)</f>
        <v>0.27467964165207298</v>
      </c>
      <c r="K54" s="7" t="s">
        <v>84</v>
      </c>
      <c r="L54" s="29">
        <v>0.27467964165207298</v>
      </c>
      <c r="O54" s="7" t="s">
        <v>84</v>
      </c>
      <c r="P54" s="10">
        <v>37.926114853981097</v>
      </c>
      <c r="Q54" s="29">
        <f>VLOOKUP(CurrentMtgRatesDataTable84[[#This Row],[asofdate]],S:T,2,0)</f>
        <v>0.29479974602203601</v>
      </c>
      <c r="S54" s="7" t="s">
        <v>84</v>
      </c>
      <c r="T54" s="10">
        <v>0.29479974602203601</v>
      </c>
      <c r="W54" s="7" t="s">
        <v>84</v>
      </c>
      <c r="X54" s="10">
        <v>726.03782382293798</v>
      </c>
      <c r="Y54" s="26">
        <f>VLOOKUP(CurrentMtgRatesDataTable86[[#This Row],[asofdate]],AA:AB,2,0)</f>
        <v>0.31736322727135702</v>
      </c>
      <c r="AA54" s="7" t="s">
        <v>84</v>
      </c>
      <c r="AB54" s="10">
        <v>0.31736322727135702</v>
      </c>
      <c r="AE54" s="7" t="s">
        <v>131</v>
      </c>
      <c r="AF54" s="10">
        <v>1.24224279881445E-2</v>
      </c>
      <c r="AG54" s="10" t="str">
        <f>YEAR(CurrentMtgRatesDataTable89[[#This Row],[asofdate]])&amp;"-"&amp;MONTH(CurrentMtgRatesDataTable89[[#This Row],[asofdate]])</f>
        <v>2011-5</v>
      </c>
      <c r="AH54" s="6">
        <f>((CurrentMtgRatesDataTable89[[#This Row],[SeriesNumValue]]-$D$1)/$D$1+1)*100</f>
        <v>82.81618658763</v>
      </c>
      <c r="AI54" s="6">
        <f>CurrentMtgRatesDataTable89[[#This Row],[Index]]-AH55</f>
        <v>5.9786528353766641</v>
      </c>
      <c r="AJ54" s="6">
        <f>VLOOKUP(CurrentMtgRatesDataTable89[[#This Row],[asofdate]],G:H,2,0)</f>
        <v>77.980703572003705</v>
      </c>
      <c r="AK54" s="6">
        <f>VLOOKUP(CurrentMtgRatesDataTable89[[#This Row],[asofdate]],K:L,2,0)</f>
        <v>0.12673284323842701</v>
      </c>
      <c r="AL54" s="6">
        <f>VLOOKUP(CurrentMtgRatesDataTable89[[#This Row],[asofdate]],O:P,2,0)</f>
        <v>34.674479233867103</v>
      </c>
      <c r="AM54" s="6">
        <f>VLOOKUP(CurrentMtgRatesDataTable89[[#This Row],[asofdate]],S:T,2,0)</f>
        <v>0.32151789622334498</v>
      </c>
      <c r="AN54" s="6">
        <f>VLOOKUP(CurrentMtgRatesDataTable89[[#This Row],[asofdate]],W:X,2,0)</f>
        <v>759.975962803107</v>
      </c>
      <c r="AO54" s="6">
        <f>VLOOKUP(CurrentMtgRatesDataTable89[[#This Row],[asofdate]],AA:AB,2,0)</f>
        <v>9.1089972624073604E-2</v>
      </c>
    </row>
    <row r="55" spans="1:41" s="6" customFormat="1" ht="12.75">
      <c r="A55" s="7" t="s">
        <v>85</v>
      </c>
      <c r="B55" s="10">
        <v>1.99293384226218E-2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132.86225615081199</v>
      </c>
      <c r="G55" s="7" t="s">
        <v>85</v>
      </c>
      <c r="H55" s="10">
        <v>82.390008866534302</v>
      </c>
      <c r="I55" s="26">
        <f>VLOOKUP(CurrentMtgRatesDataTable82[[#This Row],[asofdate]],K:L,2,0)</f>
        <v>0.307490238269997</v>
      </c>
      <c r="K55" s="7" t="s">
        <v>85</v>
      </c>
      <c r="L55" s="29">
        <v>0.307490238269997</v>
      </c>
      <c r="O55" s="7" t="s">
        <v>85</v>
      </c>
      <c r="P55" s="10">
        <v>38.352053831064303</v>
      </c>
      <c r="Q55" s="29">
        <f>VLOOKUP(CurrentMtgRatesDataTable84[[#This Row],[asofdate]],S:T,2,0)</f>
        <v>0.30018736627776699</v>
      </c>
      <c r="S55" s="7" t="s">
        <v>85</v>
      </c>
      <c r="T55" s="10">
        <v>0.30018736627776699</v>
      </c>
      <c r="W55" s="7" t="s">
        <v>85</v>
      </c>
      <c r="X55" s="10">
        <v>724.46347829876504</v>
      </c>
      <c r="Y55" s="26">
        <f>VLOOKUP(CurrentMtgRatesDataTable86[[#This Row],[asofdate]],AA:AB,2,0)</f>
        <v>0.32994997846275098</v>
      </c>
      <c r="AA55" s="7" t="s">
        <v>85</v>
      </c>
      <c r="AB55" s="10">
        <v>0.32994997846275098</v>
      </c>
      <c r="AE55" s="7" t="s">
        <v>130</v>
      </c>
      <c r="AF55" s="10">
        <v>1.1525630062838001E-2</v>
      </c>
      <c r="AG55" s="10" t="str">
        <f>YEAR(CurrentMtgRatesDataTable89[[#This Row],[asofdate]])&amp;"-"&amp;MONTH(CurrentMtgRatesDataTable89[[#This Row],[asofdate]])</f>
        <v>2011-4</v>
      </c>
      <c r="AH55" s="6">
        <f>((CurrentMtgRatesDataTable89[[#This Row],[SeriesNumValue]]-$D$1)/$D$1+1)*100</f>
        <v>76.837533752253336</v>
      </c>
      <c r="AI55" s="6">
        <f>CurrentMtgRatesDataTable89[[#This Row],[Index]]-AH56</f>
        <v>3.1559641520073427</v>
      </c>
      <c r="AJ55" s="6">
        <f>VLOOKUP(CurrentMtgRatesDataTable89[[#This Row],[asofdate]],G:H,2,0)</f>
        <v>77.553566680433306</v>
      </c>
      <c r="AK55" s="6">
        <f>VLOOKUP(CurrentMtgRatesDataTable89[[#This Row],[asofdate]],K:L,2,0)</f>
        <v>0.122647089650309</v>
      </c>
      <c r="AL55" s="6">
        <f>VLOOKUP(CurrentMtgRatesDataTable89[[#This Row],[asofdate]],O:P,2,0)</f>
        <v>34.640563307089003</v>
      </c>
      <c r="AM55" s="6">
        <f>VLOOKUP(CurrentMtgRatesDataTable89[[#This Row],[asofdate]],S:T,2,0)</f>
        <v>0.319872427731487</v>
      </c>
      <c r="AN55" s="6">
        <f>VLOOKUP(CurrentMtgRatesDataTable89[[#This Row],[asofdate]],W:X,2,0)</f>
        <v>759.50569560703002</v>
      </c>
      <c r="AO55" s="6">
        <f>VLOOKUP(CurrentMtgRatesDataTable89[[#This Row],[asofdate]],AA:AB,2,0)</f>
        <v>9.3031068029574907E-2</v>
      </c>
    </row>
    <row r="56" spans="1:41" s="6" customFormat="1" ht="12.75">
      <c r="A56" s="7" t="s">
        <v>86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G56" s="7" t="s">
        <v>86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86</v>
      </c>
      <c r="L56" s="29">
        <v>0.32255308239293201</v>
      </c>
      <c r="O56" s="7" t="s">
        <v>86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86</v>
      </c>
      <c r="T56" s="10">
        <v>0.31732347013787598</v>
      </c>
      <c r="W56" s="7" t="s">
        <v>86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86</v>
      </c>
      <c r="AB56" s="10">
        <v>0.32695996607863698</v>
      </c>
      <c r="AE56" s="7" t="s">
        <v>129</v>
      </c>
      <c r="AF56" s="10">
        <v>1.10522354400369E-2</v>
      </c>
      <c r="AG56" s="10" t="str">
        <f>YEAR(CurrentMtgRatesDataTable89[[#This Row],[asofdate]])&amp;"-"&amp;MONTH(CurrentMtgRatesDataTable89[[#This Row],[asofdate]])</f>
        <v>2011-3</v>
      </c>
      <c r="AH56" s="6">
        <f>((CurrentMtgRatesDataTable89[[#This Row],[SeriesNumValue]]-$D$1)/$D$1+1)*100</f>
        <v>73.681569600245993</v>
      </c>
      <c r="AI56" s="6">
        <f>CurrentMtgRatesDataTable89[[#This Row],[Index]]-AH57</f>
        <v>6.2351079997519889</v>
      </c>
      <c r="AJ56" s="6">
        <f>VLOOKUP(CurrentMtgRatesDataTable89[[#This Row],[asofdate]],G:H,2,0)</f>
        <v>77.638128652132593</v>
      </c>
      <c r="AK56" s="6">
        <f>VLOOKUP(CurrentMtgRatesDataTable89[[#This Row],[asofdate]],K:L,2,0)</f>
        <v>0.117193907205183</v>
      </c>
      <c r="AL56" s="6">
        <f>VLOOKUP(CurrentMtgRatesDataTable89[[#This Row],[asofdate]],O:P,2,0)</f>
        <v>34.494816098160101</v>
      </c>
      <c r="AM56" s="6">
        <f>VLOOKUP(CurrentMtgRatesDataTable89[[#This Row],[asofdate]],S:T,2,0)</f>
        <v>0.31326019116319598</v>
      </c>
      <c r="AN56" s="6">
        <f>VLOOKUP(CurrentMtgRatesDataTable89[[#This Row],[asofdate]],W:X,2,0)</f>
        <v>760.60832650649604</v>
      </c>
      <c r="AO56" s="6">
        <f>VLOOKUP(CurrentMtgRatesDataTable89[[#This Row],[asofdate]],AA:AB,2,0)</f>
        <v>8.6058253104911206E-2</v>
      </c>
    </row>
    <row r="57" spans="1:41" s="6" customFormat="1" ht="12.75">
      <c r="A57" s="7" t="s">
        <v>87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G57" s="7" t="s">
        <v>87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87</v>
      </c>
      <c r="L57" s="29">
        <v>0.33002145591068499</v>
      </c>
      <c r="O57" s="7" t="s">
        <v>87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87</v>
      </c>
      <c r="T57" s="10">
        <v>0.31798180334842602</v>
      </c>
      <c r="W57" s="7" t="s">
        <v>87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87</v>
      </c>
      <c r="AB57" s="10">
        <v>0.32240974299630598</v>
      </c>
      <c r="AE57" s="7" t="s">
        <v>128</v>
      </c>
      <c r="AF57" s="10">
        <v>1.0116969240074099E-2</v>
      </c>
      <c r="AG57" s="10" t="str">
        <f>YEAR(CurrentMtgRatesDataTable89[[#This Row],[asofdate]])&amp;"-"&amp;MONTH(CurrentMtgRatesDataTable89[[#This Row],[asofdate]])</f>
        <v>2011-2</v>
      </c>
      <c r="AH57" s="6">
        <f>((CurrentMtgRatesDataTable89[[#This Row],[SeriesNumValue]]-$D$1)/$D$1+1)*100</f>
        <v>67.446461600494004</v>
      </c>
      <c r="AI57" s="6">
        <f>CurrentMtgRatesDataTable89[[#This Row],[Index]]-AH58</f>
        <v>-2.0230823605020021</v>
      </c>
      <c r="AJ57" s="6">
        <f>VLOOKUP(CurrentMtgRatesDataTable89[[#This Row],[asofdate]],G:H,2,0)</f>
        <v>77.808361246858993</v>
      </c>
      <c r="AK57" s="6">
        <f>VLOOKUP(CurrentMtgRatesDataTable89[[#This Row],[asofdate]],K:L,2,0)</f>
        <v>0.120701096401822</v>
      </c>
      <c r="AL57" s="6">
        <f>VLOOKUP(CurrentMtgRatesDataTable89[[#This Row],[asofdate]],O:P,2,0)</f>
        <v>33.8951357753784</v>
      </c>
      <c r="AM57" s="6">
        <f>VLOOKUP(CurrentMtgRatesDataTable89[[#This Row],[asofdate]],S:T,2,0)</f>
        <v>0.28762591004458499</v>
      </c>
      <c r="AN57" s="6">
        <f>VLOOKUP(CurrentMtgRatesDataTable89[[#This Row],[asofdate]],W:X,2,0)</f>
        <v>761.89350586452201</v>
      </c>
      <c r="AO57" s="6">
        <f>VLOOKUP(CurrentMtgRatesDataTable89[[#This Row],[asofdate]],AA:AB,2,0)</f>
        <v>8.1437592939799103E-2</v>
      </c>
    </row>
    <row r="58" spans="1:41" s="6" customFormat="1" ht="12.75">
      <c r="A58" s="7" t="s">
        <v>88</v>
      </c>
      <c r="B58" s="10">
        <v>2.5399495600517599E-2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169.32997067011732</v>
      </c>
      <c r="G58" s="7" t="s">
        <v>88</v>
      </c>
      <c r="H58" s="10">
        <v>83.087890003817094</v>
      </c>
      <c r="I58" s="26">
        <f>VLOOKUP(CurrentMtgRatesDataTable82[[#This Row],[asofdate]],K:L,2,0)</f>
        <v>0.35608216752946897</v>
      </c>
      <c r="K58" s="7" t="s">
        <v>88</v>
      </c>
      <c r="L58" s="29">
        <v>0.35608216752946897</v>
      </c>
      <c r="O58" s="7" t="s">
        <v>88</v>
      </c>
      <c r="P58" s="10">
        <v>39.155855037278897</v>
      </c>
      <c r="Q58" s="29">
        <f>VLOOKUP(CurrentMtgRatesDataTable84[[#This Row],[asofdate]],S:T,2,0)</f>
        <v>0.31485195273809702</v>
      </c>
      <c r="S58" s="7" t="s">
        <v>88</v>
      </c>
      <c r="T58" s="10">
        <v>0.31485195273809702</v>
      </c>
      <c r="W58" s="7" t="s">
        <v>88</v>
      </c>
      <c r="X58" s="10">
        <v>725.21978804700802</v>
      </c>
      <c r="Y58" s="26">
        <f>VLOOKUP(CurrentMtgRatesDataTable86[[#This Row],[asofdate]],AA:AB,2,0)</f>
        <v>0.32561141745214001</v>
      </c>
      <c r="AA58" s="7" t="s">
        <v>88</v>
      </c>
      <c r="AB58" s="10">
        <v>0.32561141745214001</v>
      </c>
      <c r="AE58" s="7" t="s">
        <v>127</v>
      </c>
      <c r="AF58" s="10">
        <v>1.0420431594149401E-2</v>
      </c>
      <c r="AG58" s="10" t="str">
        <f>YEAR(CurrentMtgRatesDataTable89[[#This Row],[asofdate]])&amp;"-"&amp;MONTH(CurrentMtgRatesDataTable89[[#This Row],[asofdate]])</f>
        <v>2011-1</v>
      </c>
      <c r="AH58" s="6">
        <f>((CurrentMtgRatesDataTable89[[#This Row],[SeriesNumValue]]-$D$1)/$D$1+1)*100</f>
        <v>69.469543960996006</v>
      </c>
      <c r="AI58" s="6">
        <f>CurrentMtgRatesDataTable89[[#This Row],[Index]]-AH59</f>
        <v>-7.7504568601300008</v>
      </c>
      <c r="AJ58" s="6">
        <f>VLOOKUP(CurrentMtgRatesDataTable89[[#This Row],[asofdate]],G:H,2,0)</f>
        <v>77.942430425924101</v>
      </c>
      <c r="AK58" s="6">
        <f>VLOOKUP(CurrentMtgRatesDataTable89[[#This Row],[asofdate]],K:L,2,0)</f>
        <v>0.118005260788832</v>
      </c>
      <c r="AL58" s="6">
        <f>VLOOKUP(CurrentMtgRatesDataTable89[[#This Row],[asofdate]],O:P,2,0)</f>
        <v>33.487827800598602</v>
      </c>
      <c r="AM58" s="6">
        <f>VLOOKUP(CurrentMtgRatesDataTable89[[#This Row],[asofdate]],S:T,2,0)</f>
        <v>0.27239662139969401</v>
      </c>
      <c r="AN58" s="6">
        <f>VLOOKUP(CurrentMtgRatesDataTable89[[#This Row],[asofdate]],W:X,2,0)</f>
        <v>762.74176259389799</v>
      </c>
      <c r="AO58" s="6">
        <f>VLOOKUP(CurrentMtgRatesDataTable89[[#This Row],[asofdate]],AA:AB,2,0)</f>
        <v>7.5971479839057096E-2</v>
      </c>
    </row>
    <row r="59" spans="1:41" s="6" customFormat="1" ht="12.75">
      <c r="A59" s="7" t="s">
        <v>89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G59" s="7" t="s">
        <v>89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89</v>
      </c>
      <c r="L59" s="29">
        <v>0.37325443173169698</v>
      </c>
      <c r="O59" s="7" t="s">
        <v>89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89</v>
      </c>
      <c r="T59" s="10">
        <v>0.33257685736857001</v>
      </c>
      <c r="W59" s="7" t="s">
        <v>89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89</v>
      </c>
      <c r="AB59" s="10">
        <v>0.33276857859813502</v>
      </c>
      <c r="AE59" s="7" t="s">
        <v>126</v>
      </c>
      <c r="AF59" s="10">
        <v>1.15830001231689E-2</v>
      </c>
      <c r="AG59" s="10" t="str">
        <f>YEAR(CurrentMtgRatesDataTable89[[#This Row],[asofdate]])&amp;"-"&amp;MONTH(CurrentMtgRatesDataTable89[[#This Row],[asofdate]])</f>
        <v>2010-12</v>
      </c>
      <c r="AH59" s="6">
        <f>((CurrentMtgRatesDataTable89[[#This Row],[SeriesNumValue]]-$D$1)/$D$1+1)*100</f>
        <v>77.220000821126007</v>
      </c>
      <c r="AI59" s="6">
        <f>CurrentMtgRatesDataTable89[[#This Row],[Index]]-AH60</f>
        <v>-0.41514454578732796</v>
      </c>
      <c r="AJ59" s="6">
        <f>VLOOKUP(CurrentMtgRatesDataTable89[[#This Row],[asofdate]],G:H,2,0)</f>
        <v>77.837797594412805</v>
      </c>
      <c r="AK59" s="6">
        <f>VLOOKUP(CurrentMtgRatesDataTable89[[#This Row],[asofdate]],K:L,2,0)</f>
        <v>0.110103631507</v>
      </c>
      <c r="AL59" s="6">
        <f>VLOOKUP(CurrentMtgRatesDataTable89[[#This Row],[asofdate]],O:P,2,0)</f>
        <v>33.559075656695398</v>
      </c>
      <c r="AM59" s="6">
        <f>VLOOKUP(CurrentMtgRatesDataTable89[[#This Row],[asofdate]],S:T,2,0)</f>
        <v>0.27858044460794301</v>
      </c>
      <c r="AN59" s="6">
        <f>VLOOKUP(CurrentMtgRatesDataTable89[[#This Row],[asofdate]],W:X,2,0)</f>
        <v>762.664513090382</v>
      </c>
      <c r="AO59" s="6">
        <f>VLOOKUP(CurrentMtgRatesDataTable89[[#This Row],[asofdate]],AA:AB,2,0)</f>
        <v>7.6552959238073204E-2</v>
      </c>
    </row>
    <row r="60" spans="1:41" s="6" customFormat="1" ht="12.75">
      <c r="A60" s="7" t="s">
        <v>90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G60" s="7" t="s">
        <v>90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90</v>
      </c>
      <c r="L60" s="29">
        <v>0.37328154108915901</v>
      </c>
      <c r="O60" s="7" t="s">
        <v>90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90</v>
      </c>
      <c r="T60" s="10">
        <v>0.32737388737458001</v>
      </c>
      <c r="W60" s="7" t="s">
        <v>90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90</v>
      </c>
      <c r="AB60" s="10">
        <v>0.32191401029786698</v>
      </c>
      <c r="AE60" s="7" t="s">
        <v>125</v>
      </c>
      <c r="AF60" s="10">
        <v>1.1645271805036999E-2</v>
      </c>
      <c r="AG60" s="10" t="str">
        <f>YEAR(CurrentMtgRatesDataTable89[[#This Row],[asofdate]])&amp;"-"&amp;MONTH(CurrentMtgRatesDataTable89[[#This Row],[asofdate]])</f>
        <v>2010-11</v>
      </c>
      <c r="AH60" s="6">
        <f>((CurrentMtgRatesDataTable89[[#This Row],[SeriesNumValue]]-$D$1)/$D$1+1)*100</f>
        <v>77.635145366913335</v>
      </c>
      <c r="AI60" s="6">
        <f>CurrentMtgRatesDataTable89[[#This Row],[Index]]-AH61</f>
        <v>-0.37740987515600466</v>
      </c>
      <c r="AJ60" s="6">
        <f>VLOOKUP(CurrentMtgRatesDataTable89[[#This Row],[asofdate]],G:H,2,0)</f>
        <v>77.508572841074596</v>
      </c>
      <c r="AK60" s="6">
        <f>VLOOKUP(CurrentMtgRatesDataTable89[[#This Row],[asofdate]],K:L,2,0)</f>
        <v>0.109595310123141</v>
      </c>
      <c r="AL60" s="6">
        <f>VLOOKUP(CurrentMtgRatesDataTable89[[#This Row],[asofdate]],O:P,2,0)</f>
        <v>33.446969337891602</v>
      </c>
      <c r="AM60" s="6">
        <f>VLOOKUP(CurrentMtgRatesDataTable89[[#This Row],[asofdate]],S:T,2,0)</f>
        <v>0.271344279061353</v>
      </c>
      <c r="AN60" s="6">
        <f>VLOOKUP(CurrentMtgRatesDataTable89[[#This Row],[asofdate]],W:X,2,0)</f>
        <v>762.31989803796102</v>
      </c>
      <c r="AO60" s="6">
        <f>VLOOKUP(CurrentMtgRatesDataTable89[[#This Row],[asofdate]],AA:AB,2,0)</f>
        <v>7.9307129121269804E-2</v>
      </c>
    </row>
    <row r="61" spans="1:41" s="6" customFormat="1" ht="12.75">
      <c r="A61" s="7" t="s">
        <v>91</v>
      </c>
      <c r="B61" s="10">
        <v>2.62246337922553E-2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174.83089194836867</v>
      </c>
      <c r="G61" s="7" t="s">
        <v>91</v>
      </c>
      <c r="H61" s="10">
        <v>83.855086421359104</v>
      </c>
      <c r="I61" s="26">
        <f>VLOOKUP(CurrentMtgRatesDataTable82[[#This Row],[asofdate]],K:L,2,0)</f>
        <v>0.38125244038721101</v>
      </c>
      <c r="K61" s="7" t="s">
        <v>91</v>
      </c>
      <c r="L61" s="29">
        <v>0.38125244038721101</v>
      </c>
      <c r="O61" s="7" t="s">
        <v>91</v>
      </c>
      <c r="P61" s="10">
        <v>39.489770337798902</v>
      </c>
      <c r="Q61" s="29">
        <f>VLOOKUP(CurrentMtgRatesDataTable84[[#This Row],[asofdate]],S:T,2,0)</f>
        <v>0.32344256668514099</v>
      </c>
      <c r="S61" s="7" t="s">
        <v>91</v>
      </c>
      <c r="T61" s="10">
        <v>0.32344256668514099</v>
      </c>
      <c r="W61" s="7" t="s">
        <v>91</v>
      </c>
      <c r="X61" s="10">
        <v>725.61509622047595</v>
      </c>
      <c r="Y61" s="26">
        <f>VLOOKUP(CurrentMtgRatesDataTable86[[#This Row],[asofdate]],AA:AB,2,0)</f>
        <v>0.31873641481570802</v>
      </c>
      <c r="AA61" s="7" t="s">
        <v>91</v>
      </c>
      <c r="AB61" s="10">
        <v>0.31873641481570802</v>
      </c>
      <c r="AE61" s="7" t="s">
        <v>124</v>
      </c>
      <c r="AF61" s="10">
        <v>1.17018832863104E-2</v>
      </c>
      <c r="AG61" s="10" t="str">
        <f>YEAR(CurrentMtgRatesDataTable89[[#This Row],[asofdate]])&amp;"-"&amp;MONTH(CurrentMtgRatesDataTable89[[#This Row],[asofdate]])</f>
        <v>2010-10</v>
      </c>
      <c r="AH61" s="6">
        <f>((CurrentMtgRatesDataTable89[[#This Row],[SeriesNumValue]]-$D$1)/$D$1+1)*100</f>
        <v>78.01255524206934</v>
      </c>
      <c r="AI61" s="6">
        <f>CurrentMtgRatesDataTable89[[#This Row],[Index]]-AH62</f>
        <v>-1.8721488571939915</v>
      </c>
      <c r="AJ61" s="6">
        <f>VLOOKUP(CurrentMtgRatesDataTable89[[#This Row],[asofdate]],G:H,2,0)</f>
        <v>77.156561485235699</v>
      </c>
      <c r="AK61" s="6">
        <f>VLOOKUP(CurrentMtgRatesDataTable89[[#This Row],[asofdate]],K:L,2,0)</f>
        <v>0.103564704192559</v>
      </c>
      <c r="AL61" s="6">
        <f>VLOOKUP(CurrentMtgRatesDataTable89[[#This Row],[asofdate]],O:P,2,0)</f>
        <v>33.5576122403547</v>
      </c>
      <c r="AM61" s="6">
        <f>VLOOKUP(CurrentMtgRatesDataTable89[[#This Row],[asofdate]],S:T,2,0)</f>
        <v>0.27448138184562199</v>
      </c>
      <c r="AN61" s="6">
        <f>VLOOKUP(CurrentMtgRatesDataTable89[[#This Row],[asofdate]],W:X,2,0)</f>
        <v>762.20978525417195</v>
      </c>
      <c r="AO61" s="6">
        <f>VLOOKUP(CurrentMtgRatesDataTable89[[#This Row],[asofdate]],AA:AB,2,0)</f>
        <v>8.2191299826441605E-2</v>
      </c>
    </row>
    <row r="62" spans="1:41" s="6" customFormat="1" ht="12.75">
      <c r="A62" s="7" t="s">
        <v>92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G62" s="7" t="s">
        <v>92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92</v>
      </c>
      <c r="L62" s="29">
        <v>0.36096554720004298</v>
      </c>
      <c r="O62" s="7" t="s">
        <v>92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92</v>
      </c>
      <c r="T62" s="10">
        <v>0.32064750057136798</v>
      </c>
      <c r="W62" s="7" t="s">
        <v>92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92</v>
      </c>
      <c r="AB62" s="10">
        <v>0.29981088723409199</v>
      </c>
      <c r="AE62" s="7" t="s">
        <v>123</v>
      </c>
      <c r="AF62" s="10">
        <v>1.19827056148895E-2</v>
      </c>
      <c r="AG62" s="10" t="str">
        <f>YEAR(CurrentMtgRatesDataTable89[[#This Row],[asofdate]])&amp;"-"&amp;MONTH(CurrentMtgRatesDataTable89[[#This Row],[asofdate]])</f>
        <v>2010-9</v>
      </c>
      <c r="AH62" s="6">
        <f>((CurrentMtgRatesDataTable89[[#This Row],[SeriesNumValue]]-$D$1)/$D$1+1)*100</f>
        <v>79.884704099263331</v>
      </c>
      <c r="AI62" s="6">
        <f>CurrentMtgRatesDataTable89[[#This Row],[Index]]-AH63</f>
        <v>-3.0959484108093278</v>
      </c>
      <c r="AJ62" s="6">
        <f>VLOOKUP(CurrentMtgRatesDataTable89[[#This Row],[asofdate]],G:H,2,0)</f>
        <v>76.946955858059994</v>
      </c>
      <c r="AK62" s="6">
        <f>VLOOKUP(CurrentMtgRatesDataTable89[[#This Row],[asofdate]],K:L,2,0)</f>
        <v>9.8361710433251301E-2</v>
      </c>
      <c r="AL62" s="6">
        <f>VLOOKUP(CurrentMtgRatesDataTable89[[#This Row],[asofdate]],O:P,2,0)</f>
        <v>33.848965056113798</v>
      </c>
      <c r="AM62" s="6">
        <f>VLOOKUP(CurrentMtgRatesDataTable89[[#This Row],[asofdate]],S:T,2,0)</f>
        <v>0.28517471897831898</v>
      </c>
      <c r="AN62" s="6">
        <f>VLOOKUP(CurrentMtgRatesDataTable89[[#This Row],[asofdate]],W:X,2,0)</f>
        <v>761.77021296223404</v>
      </c>
      <c r="AO62" s="6">
        <f>VLOOKUP(CurrentMtgRatesDataTable89[[#This Row],[asofdate]],AA:AB,2,0)</f>
        <v>8.3655813641190901E-2</v>
      </c>
    </row>
    <row r="63" spans="1:41" s="6" customFormat="1" ht="12.75">
      <c r="A63" s="7" t="s">
        <v>93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G63" s="7" t="s">
        <v>93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93</v>
      </c>
      <c r="L63" s="29">
        <v>0.34182677466995598</v>
      </c>
      <c r="O63" s="7" t="s">
        <v>93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93</v>
      </c>
      <c r="T63" s="10">
        <v>0.31717378018460402</v>
      </c>
      <c r="W63" s="7" t="s">
        <v>93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93</v>
      </c>
      <c r="AB63" s="10">
        <v>0.280579895669821</v>
      </c>
      <c r="AE63" s="7" t="s">
        <v>122</v>
      </c>
      <c r="AF63" s="10">
        <v>1.2447097876510899E-2</v>
      </c>
      <c r="AG63" s="10" t="str">
        <f>YEAR(CurrentMtgRatesDataTable89[[#This Row],[asofdate]])&amp;"-"&amp;MONTH(CurrentMtgRatesDataTable89[[#This Row],[asofdate]])</f>
        <v>2010-8</v>
      </c>
      <c r="AH63" s="6">
        <f>((CurrentMtgRatesDataTable89[[#This Row],[SeriesNumValue]]-$D$1)/$D$1+1)*100</f>
        <v>82.980652510072659</v>
      </c>
      <c r="AI63" s="6">
        <f>CurrentMtgRatesDataTable89[[#This Row],[Index]]-AH64</f>
        <v>-0.35913998136867065</v>
      </c>
      <c r="AJ63" s="6">
        <f>VLOOKUP(CurrentMtgRatesDataTable89[[#This Row],[asofdate]],G:H,2,0)</f>
        <v>77.233235343375298</v>
      </c>
      <c r="AK63" s="6">
        <f>VLOOKUP(CurrentMtgRatesDataTable89[[#This Row],[asofdate]],K:L,2,0)</f>
        <v>0.10134986605641599</v>
      </c>
      <c r="AL63" s="6">
        <f>VLOOKUP(CurrentMtgRatesDataTable89[[#This Row],[asofdate]],O:P,2,0)</f>
        <v>34.011766218461197</v>
      </c>
      <c r="AM63" s="6">
        <f>VLOOKUP(CurrentMtgRatesDataTable89[[#This Row],[asofdate]],S:T,2,0)</f>
        <v>0.28355778919539698</v>
      </c>
      <c r="AN63" s="6">
        <f>VLOOKUP(CurrentMtgRatesDataTable89[[#This Row],[asofdate]],W:X,2,0)</f>
        <v>760.87938286905</v>
      </c>
      <c r="AO63" s="6">
        <f>VLOOKUP(CurrentMtgRatesDataTable89[[#This Row],[asofdate]],AA:AB,2,0)</f>
        <v>8.5429424015766503E-2</v>
      </c>
    </row>
    <row r="64" spans="1:41" s="6" customFormat="1" ht="12.75">
      <c r="A64" s="7" t="s">
        <v>94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G64" s="7" t="s">
        <v>94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94</v>
      </c>
      <c r="L64" s="29">
        <v>0.32032869665397601</v>
      </c>
      <c r="O64" s="7" t="s">
        <v>94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94</v>
      </c>
      <c r="T64" s="10">
        <v>0.300734170812334</v>
      </c>
      <c r="W64" s="7" t="s">
        <v>94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94</v>
      </c>
      <c r="AB64" s="10">
        <v>0.25889667130801303</v>
      </c>
      <c r="AE64" s="7" t="s">
        <v>121</v>
      </c>
      <c r="AF64" s="10">
        <v>1.25009688737162E-2</v>
      </c>
      <c r="AG64" s="10" t="str">
        <f>YEAR(CurrentMtgRatesDataTable89[[#This Row],[asofdate]])&amp;"-"&amp;MONTH(CurrentMtgRatesDataTable89[[#This Row],[asofdate]])</f>
        <v>2010-7</v>
      </c>
      <c r="AH64" s="6">
        <f>((CurrentMtgRatesDataTable89[[#This Row],[SeriesNumValue]]-$D$1)/$D$1+1)*100</f>
        <v>83.33979249144133</v>
      </c>
      <c r="AI64" s="6">
        <f>CurrentMtgRatesDataTable89[[#This Row],[Index]]-AH65</f>
        <v>7.4500534738979951</v>
      </c>
      <c r="AJ64" s="6">
        <f>VLOOKUP(CurrentMtgRatesDataTable89[[#This Row],[asofdate]],G:H,2,0)</f>
        <v>77.571270057902098</v>
      </c>
      <c r="AK64" s="6">
        <f>VLOOKUP(CurrentMtgRatesDataTable89[[#This Row],[asofdate]],K:L,2,0)</f>
        <v>9.792198846689E-2</v>
      </c>
      <c r="AL64" s="6">
        <f>VLOOKUP(CurrentMtgRatesDataTable89[[#This Row],[asofdate]],O:P,2,0)</f>
        <v>34.135812191148297</v>
      </c>
      <c r="AM64" s="6">
        <f>VLOOKUP(CurrentMtgRatesDataTable89[[#This Row],[asofdate]],S:T,2,0)</f>
        <v>0.28832487174291599</v>
      </c>
      <c r="AN64" s="6">
        <f>VLOOKUP(CurrentMtgRatesDataTable89[[#This Row],[asofdate]],W:X,2,0)</f>
        <v>761.23580818420896</v>
      </c>
      <c r="AO64" s="6">
        <f>VLOOKUP(CurrentMtgRatesDataTable89[[#This Row],[asofdate]],AA:AB,2,0)</f>
        <v>8.4139494871519796E-2</v>
      </c>
    </row>
    <row r="65" spans="1:41" s="6" customFormat="1" ht="12.75">
      <c r="A65" s="7" t="s">
        <v>95</v>
      </c>
      <c r="B65" s="10">
        <v>1.9725077330070499E-2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131.50051553380334</v>
      </c>
      <c r="G65" s="7" t="s">
        <v>95</v>
      </c>
      <c r="H65" s="10">
        <v>81.660205199506606</v>
      </c>
      <c r="I65" s="26">
        <f>VLOOKUP(CurrentMtgRatesDataTable82[[#This Row],[asofdate]],K:L,2,0)</f>
        <v>0.28729317060700799</v>
      </c>
      <c r="K65" s="7" t="s">
        <v>95</v>
      </c>
      <c r="L65" s="29">
        <v>0.28729317060700799</v>
      </c>
      <c r="O65" s="7" t="s">
        <v>95</v>
      </c>
      <c r="P65" s="10">
        <v>38.763320523913798</v>
      </c>
      <c r="Q65" s="29">
        <f>VLOOKUP(CurrentMtgRatesDataTable84[[#This Row],[asofdate]],S:T,2,0)</f>
        <v>0.33210440565274801</v>
      </c>
      <c r="S65" s="7" t="s">
        <v>95</v>
      </c>
      <c r="T65" s="10">
        <v>0.33210440565274801</v>
      </c>
      <c r="W65" s="7" t="s">
        <v>95</v>
      </c>
      <c r="X65" s="10">
        <v>736.65069694176304</v>
      </c>
      <c r="Y65" s="26">
        <f>VLOOKUP(CurrentMtgRatesDataTable86[[#This Row],[asofdate]],AA:AB,2,0)</f>
        <v>0.241430128341835</v>
      </c>
      <c r="AA65" s="7" t="s">
        <v>95</v>
      </c>
      <c r="AB65" s="10">
        <v>0.241430128341835</v>
      </c>
      <c r="AE65" s="7" t="s">
        <v>120</v>
      </c>
      <c r="AF65" s="10">
        <v>1.13834608526315E-2</v>
      </c>
      <c r="AG65" s="10" t="str">
        <f>YEAR(CurrentMtgRatesDataTable89[[#This Row],[asofdate]])&amp;"-"&amp;MONTH(CurrentMtgRatesDataTable89[[#This Row],[asofdate]])</f>
        <v>2010-6</v>
      </c>
      <c r="AH65" s="6">
        <f>((CurrentMtgRatesDataTable89[[#This Row],[SeriesNumValue]]-$D$1)/$D$1+1)*100</f>
        <v>75.889739017543334</v>
      </c>
      <c r="AI65" s="6">
        <f>CurrentMtgRatesDataTable89[[#This Row],[Index]]-AH66</f>
        <v>2.5745659856226553</v>
      </c>
      <c r="AJ65" s="6">
        <f>VLOOKUP(CurrentMtgRatesDataTable89[[#This Row],[asofdate]],G:H,2,0)</f>
        <v>77.252614942686094</v>
      </c>
      <c r="AK65" s="6">
        <f>VLOOKUP(CurrentMtgRatesDataTable89[[#This Row],[asofdate]],K:L,2,0)</f>
        <v>9.1166284450128102E-2</v>
      </c>
      <c r="AL65" s="6">
        <f>VLOOKUP(CurrentMtgRatesDataTable89[[#This Row],[asofdate]],O:P,2,0)</f>
        <v>34.256883100797999</v>
      </c>
      <c r="AM65" s="6">
        <f>VLOOKUP(CurrentMtgRatesDataTable89[[#This Row],[asofdate]],S:T,2,0)</f>
        <v>0.29266486570866301</v>
      </c>
      <c r="AN65" s="6">
        <f>VLOOKUP(CurrentMtgRatesDataTable89[[#This Row],[asofdate]],W:X,2,0)</f>
        <v>760.51765866488995</v>
      </c>
      <c r="AO65" s="6">
        <f>VLOOKUP(CurrentMtgRatesDataTable89[[#This Row],[asofdate]],AA:AB,2,0)</f>
        <v>8.6052426459444206E-2</v>
      </c>
    </row>
    <row r="66" spans="1:41" s="6" customFormat="1" ht="12.75">
      <c r="A66" s="7" t="s">
        <v>96</v>
      </c>
      <c r="B66" s="10">
        <v>1.6110623672972901E-2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107.40415781981933</v>
      </c>
      <c r="G66" s="7" t="s">
        <v>96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96</v>
      </c>
      <c r="L66" s="29">
        <v>0.22889156479952499</v>
      </c>
      <c r="O66" s="7" t="s">
        <v>96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96</v>
      </c>
      <c r="T66" s="10">
        <v>0.31965036017869303</v>
      </c>
      <c r="W66" s="7" t="s">
        <v>96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96</v>
      </c>
      <c r="AB66" s="10">
        <v>0.20023623442105001</v>
      </c>
      <c r="AE66" s="7" t="s">
        <v>119</v>
      </c>
      <c r="AF66" s="10">
        <v>1.09972759547881E-2</v>
      </c>
      <c r="AG66" s="10" t="str">
        <f>YEAR(CurrentMtgRatesDataTable89[[#This Row],[asofdate]])&amp;"-"&amp;MONTH(CurrentMtgRatesDataTable89[[#This Row],[asofdate]])</f>
        <v>2010-5</v>
      </c>
      <c r="AH66" s="6">
        <f>((CurrentMtgRatesDataTable89[[#This Row],[SeriesNumValue]]-$D$1)/$D$1+1)*100</f>
        <v>73.315173031920679</v>
      </c>
      <c r="AI66" s="6">
        <f>CurrentMtgRatesDataTable89[[#This Row],[Index]]-AH67</f>
        <v>-9.4307829786657749E-2</v>
      </c>
      <c r="AJ66" s="6">
        <f>VLOOKUP(CurrentMtgRatesDataTable89[[#This Row],[asofdate]],G:H,2,0)</f>
        <v>77.057767341070999</v>
      </c>
      <c r="AK66" s="6">
        <f>VLOOKUP(CurrentMtgRatesDataTable89[[#This Row],[asofdate]],K:L,2,0)</f>
        <v>8.3302521575952804E-2</v>
      </c>
      <c r="AL66" s="6">
        <f>VLOOKUP(CurrentMtgRatesDataTable89[[#This Row],[asofdate]],O:P,2,0)</f>
        <v>34.4440642092299</v>
      </c>
      <c r="AM66" s="6">
        <f>VLOOKUP(CurrentMtgRatesDataTable89[[#This Row],[asofdate]],S:T,2,0)</f>
        <v>0.29885314640147098</v>
      </c>
      <c r="AN66" s="6">
        <f>VLOOKUP(CurrentMtgRatesDataTable89[[#This Row],[asofdate]],W:X,2,0)</f>
        <v>759.579566617463</v>
      </c>
      <c r="AO66" s="6">
        <f>VLOOKUP(CurrentMtgRatesDataTable89[[#This Row],[asofdate]],AA:AB,2,0)</f>
        <v>8.5642704200612693E-2</v>
      </c>
    </row>
    <row r="67" spans="1:41" s="6" customFormat="1" ht="12.75">
      <c r="A67" s="7" t="s">
        <v>97</v>
      </c>
      <c r="B67" s="10">
        <v>1.3788146027715401E-2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91.920973518102684</v>
      </c>
      <c r="G67" s="7" t="s">
        <v>97</v>
      </c>
      <c r="H67" s="10">
        <v>79.237894218252706</v>
      </c>
      <c r="I67" s="26">
        <f>VLOOKUP(CurrentMtgRatesDataTable82[[#This Row],[asofdate]],K:L,2,0)</f>
        <v>0.202917163501594</v>
      </c>
      <c r="K67" s="7" t="s">
        <v>97</v>
      </c>
      <c r="L67" s="29">
        <v>0.202917163501594</v>
      </c>
      <c r="O67" s="7" t="s">
        <v>97</v>
      </c>
      <c r="P67" s="10">
        <v>38.341732864603699</v>
      </c>
      <c r="Q67" s="29">
        <f>VLOOKUP(CurrentMtgRatesDataTable84[[#This Row],[asofdate]],S:T,2,0)</f>
        <v>0.30721338923919</v>
      </c>
      <c r="S67" s="7" t="s">
        <v>97</v>
      </c>
      <c r="T67" s="10">
        <v>0.30721338923919</v>
      </c>
      <c r="W67" s="7" t="s">
        <v>97</v>
      </c>
      <c r="X67" s="10">
        <v>744.50255708489203</v>
      </c>
      <c r="Y67" s="26">
        <f>VLOOKUP(CurrentMtgRatesDataTable86[[#This Row],[asofdate]],AA:AB,2,0)</f>
        <v>0.18323535030281299</v>
      </c>
      <c r="AA67" s="7" t="s">
        <v>97</v>
      </c>
      <c r="AB67" s="10">
        <v>0.18323535030281299</v>
      </c>
      <c r="AE67" s="7" t="s">
        <v>118</v>
      </c>
      <c r="AF67" s="10">
        <v>1.10114221292561E-2</v>
      </c>
      <c r="AG67" s="10" t="str">
        <f>YEAR(CurrentMtgRatesDataTable89[[#This Row],[asofdate]])&amp;"-"&amp;MONTH(CurrentMtgRatesDataTable89[[#This Row],[asofdate]])</f>
        <v>2010-4</v>
      </c>
      <c r="AH67" s="6">
        <f>((CurrentMtgRatesDataTable89[[#This Row],[SeriesNumValue]]-$D$1)/$D$1+1)*100</f>
        <v>73.409480861707337</v>
      </c>
      <c r="AI67" s="6">
        <f>CurrentMtgRatesDataTable89[[#This Row],[Index]]-AH68</f>
        <v>2.0849486541513187</v>
      </c>
      <c r="AJ67" s="6">
        <f>VLOOKUP(CurrentMtgRatesDataTable89[[#This Row],[asofdate]],G:H,2,0)</f>
        <v>76.502585993042302</v>
      </c>
      <c r="AK67" s="6">
        <f>VLOOKUP(CurrentMtgRatesDataTable89[[#This Row],[asofdate]],K:L,2,0)</f>
        <v>7.1784475002186002E-2</v>
      </c>
      <c r="AL67" s="6">
        <f>VLOOKUP(CurrentMtgRatesDataTable89[[#This Row],[asofdate]],O:P,2,0)</f>
        <v>34.642619302927201</v>
      </c>
      <c r="AM67" s="6">
        <f>VLOOKUP(CurrentMtgRatesDataTable89[[#This Row],[asofdate]],S:T,2,0)</f>
        <v>0.308692322041347</v>
      </c>
      <c r="AN67" s="6">
        <f>VLOOKUP(CurrentMtgRatesDataTable89[[#This Row],[asofdate]],W:X,2,0)</f>
        <v>759.84269690104395</v>
      </c>
      <c r="AO67" s="6">
        <f>VLOOKUP(CurrentMtgRatesDataTable89[[#This Row],[asofdate]],AA:AB,2,0)</f>
        <v>8.7713830080208194E-2</v>
      </c>
    </row>
    <row r="68" spans="1:41" s="6" customFormat="1" ht="12.75">
      <c r="A68" s="7" t="s">
        <v>98</v>
      </c>
      <c r="B68" s="10">
        <v>1.33212309075225E-2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88.808206050150005</v>
      </c>
      <c r="G68" s="7" t="s">
        <v>98</v>
      </c>
      <c r="H68" s="10">
        <v>78.848083591540799</v>
      </c>
      <c r="I68" s="26">
        <f>VLOOKUP(CurrentMtgRatesDataTable82[[#This Row],[asofdate]],K:L,2,0)</f>
        <v>0.191583558106833</v>
      </c>
      <c r="K68" s="7" t="s">
        <v>98</v>
      </c>
      <c r="L68" s="29">
        <v>0.191583558106833</v>
      </c>
      <c r="O68" s="7" t="s">
        <v>98</v>
      </c>
      <c r="P68" s="10">
        <v>37.999022975700299</v>
      </c>
      <c r="Q68" s="29">
        <f>VLOOKUP(CurrentMtgRatesDataTable84[[#This Row],[asofdate]],S:T,2,0)</f>
        <v>0.32484503679139298</v>
      </c>
      <c r="S68" s="7" t="s">
        <v>98</v>
      </c>
      <c r="T68" s="10">
        <v>0.32484503679139298</v>
      </c>
      <c r="W68" s="7" t="s">
        <v>98</v>
      </c>
      <c r="X68" s="10">
        <v>746.24269414627599</v>
      </c>
      <c r="Y68" s="26">
        <f>VLOOKUP(CurrentMtgRatesDataTable86[[#This Row],[asofdate]],AA:AB,2,0)</f>
        <v>0.173153700247589</v>
      </c>
      <c r="AA68" s="7" t="s">
        <v>98</v>
      </c>
      <c r="AB68" s="10">
        <v>0.173153700247589</v>
      </c>
      <c r="AE68" s="7" t="s">
        <v>117</v>
      </c>
      <c r="AF68" s="10">
        <v>1.0698679831133401E-2</v>
      </c>
      <c r="AG68" s="10" t="str">
        <f>YEAR(CurrentMtgRatesDataTable89[[#This Row],[asofdate]])&amp;"-"&amp;MONTH(CurrentMtgRatesDataTable89[[#This Row],[asofdate]])</f>
        <v>2010-3</v>
      </c>
      <c r="AH68" s="6">
        <f>((CurrentMtgRatesDataTable89[[#This Row],[SeriesNumValue]]-$D$1)/$D$1+1)*100</f>
        <v>71.324532207556018</v>
      </c>
      <c r="AI68" s="6">
        <f>CurrentMtgRatesDataTable89[[#This Row],[Index]]-AH69</f>
        <v>1.4610716685733536</v>
      </c>
      <c r="AJ68" s="6">
        <f>VLOOKUP(CurrentMtgRatesDataTable89[[#This Row],[asofdate]],G:H,2,0)</f>
        <v>76.135228391298597</v>
      </c>
      <c r="AK68" s="6">
        <f>VLOOKUP(CurrentMtgRatesDataTable89[[#This Row],[asofdate]],K:L,2,0)</f>
        <v>6.4964808605050106E-2</v>
      </c>
      <c r="AL68" s="6">
        <f>VLOOKUP(CurrentMtgRatesDataTable89[[#This Row],[asofdate]],O:P,2,0)</f>
        <v>35.168301849716002</v>
      </c>
      <c r="AM68" s="6">
        <f>VLOOKUP(CurrentMtgRatesDataTable89[[#This Row],[asofdate]],S:T,2,0)</f>
        <v>0.32344434841451197</v>
      </c>
      <c r="AN68" s="6">
        <f>VLOOKUP(CurrentMtgRatesDataTable89[[#This Row],[asofdate]],W:X,2,0)</f>
        <v>759.42978397366801</v>
      </c>
      <c r="AO68" s="6">
        <f>VLOOKUP(CurrentMtgRatesDataTable89[[#This Row],[asofdate]],AA:AB,2,0)</f>
        <v>8.6689856219654499E-2</v>
      </c>
    </row>
    <row r="69" spans="1:41" s="6" customFormat="1" ht="12.75">
      <c r="A69" s="7" t="s">
        <v>99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G69" s="7" t="s">
        <v>99</v>
      </c>
      <c r="H69" s="10">
        <v>78.2639911263947</v>
      </c>
      <c r="I69" s="26">
        <f>VLOOKUP(CurrentMtgRatesDataTable82[[#This Row],[asofdate]],K:L,2,0)</f>
        <v>0.16617522330031601</v>
      </c>
      <c r="K69" s="7" t="s">
        <v>99</v>
      </c>
      <c r="L69" s="29">
        <v>0.16617522330031601</v>
      </c>
      <c r="O69" s="7" t="s">
        <v>99</v>
      </c>
      <c r="P69" s="10">
        <v>38.161391290982401</v>
      </c>
      <c r="Q69" s="29">
        <f>VLOOKUP(CurrentMtgRatesDataTable84[[#This Row],[asofdate]],S:T,2,0)</f>
        <v>0.34039413439216898</v>
      </c>
      <c r="S69" s="7" t="s">
        <v>99</v>
      </c>
      <c r="T69" s="10">
        <v>0.34039413439216898</v>
      </c>
      <c r="W69" s="7" t="s">
        <v>99</v>
      </c>
      <c r="X69" s="10">
        <v>747.62063220995401</v>
      </c>
      <c r="Y69" s="26">
        <f>VLOOKUP(CurrentMtgRatesDataTable86[[#This Row],[asofdate]],AA:AB,2,0)</f>
        <v>0.16640580356024401</v>
      </c>
      <c r="AA69" s="7" t="s">
        <v>99</v>
      </c>
      <c r="AB69" s="10">
        <v>0.16640580356024401</v>
      </c>
      <c r="AE69" s="7" t="s">
        <v>116</v>
      </c>
      <c r="AF69" s="10">
        <v>1.04795190808474E-2</v>
      </c>
      <c r="AG69" s="10" t="str">
        <f>YEAR(CurrentMtgRatesDataTable89[[#This Row],[asofdate]])&amp;"-"&amp;MONTH(CurrentMtgRatesDataTable89[[#This Row],[asofdate]])</f>
        <v>2010-2</v>
      </c>
      <c r="AH69" s="6">
        <f>((CurrentMtgRatesDataTable89[[#This Row],[SeriesNumValue]]-$D$1)/$D$1+1)*100</f>
        <v>69.863460538982665</v>
      </c>
      <c r="AI69" s="6">
        <f>CurrentMtgRatesDataTable89[[#This Row],[Index]]-AH70</f>
        <v>-6.9180136783606798</v>
      </c>
      <c r="AJ69" s="6">
        <f>VLOOKUP(CurrentMtgRatesDataTable89[[#This Row],[asofdate]],G:H,2,0)</f>
        <v>76.298254333287304</v>
      </c>
      <c r="AK69" s="6">
        <f>VLOOKUP(CurrentMtgRatesDataTable89[[#This Row],[asofdate]],K:L,2,0)</f>
        <v>6.7321806524691497E-2</v>
      </c>
      <c r="AL69" s="6">
        <f>VLOOKUP(CurrentMtgRatesDataTable89[[#This Row],[asofdate]],O:P,2,0)</f>
        <v>35.3508411911533</v>
      </c>
      <c r="AM69" s="6">
        <f>VLOOKUP(CurrentMtgRatesDataTable89[[#This Row],[asofdate]],S:T,2,0)</f>
        <v>0.32605220218625802</v>
      </c>
      <c r="AN69" s="6">
        <f>VLOOKUP(CurrentMtgRatesDataTable89[[#This Row],[asofdate]],W:X,2,0)</f>
        <v>759.55088579060998</v>
      </c>
      <c r="AO69" s="6">
        <f>VLOOKUP(CurrentMtgRatesDataTable89[[#This Row],[asofdate]],AA:AB,2,0)</f>
        <v>8.9067713239008597E-2</v>
      </c>
    </row>
    <row r="70" spans="1:41" s="6" customFormat="1" ht="12.75">
      <c r="A70" s="7" t="s">
        <v>100</v>
      </c>
      <c r="B70" s="10">
        <v>1.6140408041992502E-2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107.60272027995002</v>
      </c>
      <c r="G70" s="7" t="s">
        <v>100</v>
      </c>
      <c r="H70" s="10">
        <v>78.312440158411405</v>
      </c>
      <c r="I70" s="26">
        <f>VLOOKUP(CurrentMtgRatesDataTable82[[#This Row],[asofdate]],K:L,2,0)</f>
        <v>0.16329914380448399</v>
      </c>
      <c r="K70" s="7" t="s">
        <v>100</v>
      </c>
      <c r="L70" s="29">
        <v>0.16329914380448399</v>
      </c>
      <c r="O70" s="7" t="s">
        <v>100</v>
      </c>
      <c r="P70" s="10">
        <v>37.988041819556599</v>
      </c>
      <c r="Q70" s="29">
        <f>VLOOKUP(CurrentMtgRatesDataTable84[[#This Row],[asofdate]],S:T,2,0)</f>
        <v>0.32142740355010901</v>
      </c>
      <c r="S70" s="7" t="s">
        <v>100</v>
      </c>
      <c r="T70" s="10">
        <v>0.32142740355010901</v>
      </c>
      <c r="W70" s="7" t="s">
        <v>100</v>
      </c>
      <c r="X70" s="10">
        <v>746.048226946775</v>
      </c>
      <c r="Y70" s="26">
        <f>VLOOKUP(CurrentMtgRatesDataTable86[[#This Row],[asofdate]],AA:AB,2,0)</f>
        <v>0.177445284968613</v>
      </c>
      <c r="AA70" s="7" t="s">
        <v>100</v>
      </c>
      <c r="AB70" s="10">
        <v>0.177445284968613</v>
      </c>
      <c r="AE70" s="7" t="s">
        <v>115</v>
      </c>
      <c r="AF70" s="10">
        <v>1.15172211326015E-2</v>
      </c>
      <c r="AG70" s="10" t="str">
        <f>YEAR(CurrentMtgRatesDataTable89[[#This Row],[asofdate]])&amp;"-"&amp;MONTH(CurrentMtgRatesDataTable89[[#This Row],[asofdate]])</f>
        <v>2010-1</v>
      </c>
      <c r="AH70" s="6">
        <f>((CurrentMtgRatesDataTable89[[#This Row],[SeriesNumValue]]-$D$1)/$D$1+1)*100</f>
        <v>76.781474217343344</v>
      </c>
      <c r="AI70" s="6">
        <f>CurrentMtgRatesDataTable89[[#This Row],[Index]]-AH71</f>
        <v>-0.11622874841599184</v>
      </c>
      <c r="AJ70" s="6">
        <f>VLOOKUP(CurrentMtgRatesDataTable89[[#This Row],[asofdate]],G:H,2,0)</f>
        <v>77.043744815036703</v>
      </c>
      <c r="AK70" s="6">
        <f>VLOOKUP(CurrentMtgRatesDataTable89[[#This Row],[asofdate]],K:L,2,0)</f>
        <v>8.0699397548875104E-2</v>
      </c>
      <c r="AL70" s="6">
        <f>VLOOKUP(CurrentMtgRatesDataTable89[[#This Row],[asofdate]],O:P,2,0)</f>
        <v>35.096282130919299</v>
      </c>
      <c r="AM70" s="6">
        <f>VLOOKUP(CurrentMtgRatesDataTable89[[#This Row],[asofdate]],S:T,2,0)</f>
        <v>0.30945359177563603</v>
      </c>
      <c r="AN70" s="6">
        <f>VLOOKUP(CurrentMtgRatesDataTable89[[#This Row],[asofdate]],W:X,2,0)</f>
        <v>759.47296644487005</v>
      </c>
      <c r="AO70" s="6">
        <f>VLOOKUP(CurrentMtgRatesDataTable89[[#This Row],[asofdate]],AA:AB,2,0)</f>
        <v>8.6705418936856196E-2</v>
      </c>
    </row>
    <row r="71" spans="1:41" s="6" customFormat="1" ht="12.75">
      <c r="A71" s="7" t="s">
        <v>101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G71" s="7" t="s">
        <v>101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101</v>
      </c>
      <c r="L71" s="29">
        <v>0.150953438870432</v>
      </c>
      <c r="O71" s="7" t="s">
        <v>101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101</v>
      </c>
      <c r="T71" s="10">
        <v>0.32847350810014198</v>
      </c>
      <c r="W71" s="7" t="s">
        <v>101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101</v>
      </c>
      <c r="AB71" s="10">
        <v>0.16267950338576401</v>
      </c>
      <c r="AE71" s="7" t="s">
        <v>114</v>
      </c>
      <c r="AF71" s="10">
        <v>1.15346554448639E-2</v>
      </c>
      <c r="AG71" s="10" t="str">
        <f>YEAR(CurrentMtgRatesDataTable89[[#This Row],[asofdate]])&amp;"-"&amp;MONTH(CurrentMtgRatesDataTable89[[#This Row],[asofdate]])</f>
        <v>2009-12</v>
      </c>
      <c r="AH71" s="6">
        <f>((CurrentMtgRatesDataTable89[[#This Row],[SeriesNumValue]]-$D$1)/$D$1+1)*100</f>
        <v>76.897702965759336</v>
      </c>
      <c r="AI71" s="6">
        <f>CurrentMtgRatesDataTable89[[#This Row],[Index]]-AH72</f>
        <v>-3.2710982053153259</v>
      </c>
      <c r="AJ71" s="6">
        <f>VLOOKUP(CurrentMtgRatesDataTable89[[#This Row],[asofdate]],G:H,2,0)</f>
        <v>76.821902013385596</v>
      </c>
      <c r="AK71" s="6">
        <f>VLOOKUP(CurrentMtgRatesDataTable89[[#This Row],[asofdate]],K:L,2,0)</f>
        <v>7.7685579809398497E-2</v>
      </c>
      <c r="AL71" s="6">
        <f>VLOOKUP(CurrentMtgRatesDataTable89[[#This Row],[asofdate]],O:P,2,0)</f>
        <v>35.1667411870623</v>
      </c>
      <c r="AM71" s="6">
        <f>VLOOKUP(CurrentMtgRatesDataTable89[[#This Row],[asofdate]],S:T,2,0)</f>
        <v>0.31475885767788397</v>
      </c>
      <c r="AN71" s="6">
        <f>VLOOKUP(CurrentMtgRatesDataTable89[[#This Row],[asofdate]],W:X,2,0)</f>
        <v>759.77843640103094</v>
      </c>
      <c r="AO71" s="6">
        <f>VLOOKUP(CurrentMtgRatesDataTable89[[#This Row],[asofdate]],AA:AB,2,0)</f>
        <v>8.4410849267763197E-2</v>
      </c>
    </row>
    <row r="72" spans="1:41" s="6" customFormat="1" ht="12.75">
      <c r="A72" s="7" t="s">
        <v>102</v>
      </c>
      <c r="B72" s="10">
        <v>1.32010277060839E-2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88.006851373892673</v>
      </c>
      <c r="G72" s="7" t="s">
        <v>102</v>
      </c>
      <c r="H72" s="10">
        <v>78.085313604041602</v>
      </c>
      <c r="I72" s="26">
        <f>VLOOKUP(CurrentMtgRatesDataTable82[[#This Row],[asofdate]],K:L,2,0)</f>
        <v>0.143349977608903</v>
      </c>
      <c r="K72" s="7" t="s">
        <v>102</v>
      </c>
      <c r="L72" s="29">
        <v>0.143349977608903</v>
      </c>
      <c r="O72" s="7" t="s">
        <v>102</v>
      </c>
      <c r="P72" s="10">
        <v>37.863287602496598</v>
      </c>
      <c r="Q72" s="29">
        <f>VLOOKUP(CurrentMtgRatesDataTable84[[#This Row],[asofdate]],S:T,2,0)</f>
        <v>0.31868336870622999</v>
      </c>
      <c r="S72" s="7" t="s">
        <v>102</v>
      </c>
      <c r="T72" s="10">
        <v>0.31868336870622999</v>
      </c>
      <c r="W72" s="7" t="s">
        <v>102</v>
      </c>
      <c r="X72" s="10">
        <v>748.91250127599301</v>
      </c>
      <c r="Y72" s="26">
        <f>VLOOKUP(CurrentMtgRatesDataTable86[[#This Row],[asofdate]],AA:AB,2,0)</f>
        <v>0.15477775916858899</v>
      </c>
      <c r="AA72" s="7" t="s">
        <v>102</v>
      </c>
      <c r="AB72" s="10">
        <v>0.15477775916858899</v>
      </c>
      <c r="AE72" s="7" t="s">
        <v>113</v>
      </c>
      <c r="AF72" s="10">
        <v>1.20253201756612E-2</v>
      </c>
      <c r="AG72" s="10" t="str">
        <f>YEAR(CurrentMtgRatesDataTable89[[#This Row],[asofdate]])&amp;"-"&amp;MONTH(CurrentMtgRatesDataTable89[[#This Row],[asofdate]])</f>
        <v>2009-11</v>
      </c>
      <c r="AH72" s="6">
        <f>((CurrentMtgRatesDataTable89[[#This Row],[SeriesNumValue]]-$D$1)/$D$1+1)*100</f>
        <v>80.168801171074662</v>
      </c>
      <c r="AI72" s="6">
        <f>CurrentMtgRatesDataTable89[[#This Row],[Index]]-AH73</f>
        <v>1.225847695927996</v>
      </c>
      <c r="AJ72" s="6">
        <f>VLOOKUP(CurrentMtgRatesDataTable89[[#This Row],[asofdate]],G:H,2,0)</f>
        <v>76.953756110094901</v>
      </c>
      <c r="AK72" s="6">
        <f>VLOOKUP(CurrentMtgRatesDataTable89[[#This Row],[asofdate]],K:L,2,0)</f>
        <v>8.0718675087613198E-2</v>
      </c>
      <c r="AL72" s="6">
        <f>VLOOKUP(CurrentMtgRatesDataTable89[[#This Row],[asofdate]],O:P,2,0)</f>
        <v>35.346324530510302</v>
      </c>
      <c r="AM72" s="6">
        <f>VLOOKUP(CurrentMtgRatesDataTable89[[#This Row],[asofdate]],S:T,2,0)</f>
        <v>0.31707955739888399</v>
      </c>
      <c r="AN72" s="6">
        <f>VLOOKUP(CurrentMtgRatesDataTable89[[#This Row],[asofdate]],W:X,2,0)</f>
        <v>759.44774185470101</v>
      </c>
      <c r="AO72" s="6">
        <f>VLOOKUP(CurrentMtgRatesDataTable89[[#This Row],[asofdate]],AA:AB,2,0)</f>
        <v>8.76909251191334E-2</v>
      </c>
    </row>
    <row r="73" spans="1:41" s="6" customFormat="1" ht="12.75">
      <c r="A73" s="7" t="s">
        <v>103</v>
      </c>
      <c r="B73" s="10">
        <v>1.7438824859294998E-2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116.25883239529999</v>
      </c>
      <c r="G73" s="7" t="s">
        <v>103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103</v>
      </c>
      <c r="L73" s="29">
        <v>0.13509696863435</v>
      </c>
      <c r="O73" s="7" t="s">
        <v>103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103</v>
      </c>
      <c r="T73" s="10">
        <v>0.33607801513818097</v>
      </c>
      <c r="W73" s="7" t="s">
        <v>103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103</v>
      </c>
      <c r="AB73" s="10">
        <v>0.16220081425273</v>
      </c>
      <c r="AE73" s="7" t="s">
        <v>112</v>
      </c>
      <c r="AF73" s="10">
        <v>1.1841443021272E-2</v>
      </c>
      <c r="AG73" s="10" t="str">
        <f>YEAR(CurrentMtgRatesDataTable89[[#This Row],[asofdate]])&amp;"-"&amp;MONTH(CurrentMtgRatesDataTable89[[#This Row],[asofdate]])</f>
        <v>2009-10</v>
      </c>
      <c r="AH73" s="6">
        <f>((CurrentMtgRatesDataTable89[[#This Row],[SeriesNumValue]]-$D$1)/$D$1+1)*100</f>
        <v>78.942953475146666</v>
      </c>
      <c r="AI73" s="6">
        <f>CurrentMtgRatesDataTable89[[#This Row],[Index]]-AH74</f>
        <v>5.214001683888668</v>
      </c>
      <c r="AJ73" s="6">
        <f>VLOOKUP(CurrentMtgRatesDataTable89[[#This Row],[asofdate]],G:H,2,0)</f>
        <v>77.094075147073795</v>
      </c>
      <c r="AK73" s="6">
        <f>VLOOKUP(CurrentMtgRatesDataTable89[[#This Row],[asofdate]],K:L,2,0)</f>
        <v>8.1594786166246894E-2</v>
      </c>
      <c r="AL73" s="6">
        <f>VLOOKUP(CurrentMtgRatesDataTable89[[#This Row],[asofdate]],O:P,2,0)</f>
        <v>35.2848405585259</v>
      </c>
      <c r="AM73" s="6">
        <f>VLOOKUP(CurrentMtgRatesDataTable89[[#This Row],[asofdate]],S:T,2,0)</f>
        <v>0.31815813113818903</v>
      </c>
      <c r="AN73" s="6">
        <f>VLOOKUP(CurrentMtgRatesDataTable89[[#This Row],[asofdate]],W:X,2,0)</f>
        <v>759.72591769650705</v>
      </c>
      <c r="AO73" s="6">
        <f>VLOOKUP(CurrentMtgRatesDataTable89[[#This Row],[asofdate]],AA:AB,2,0)</f>
        <v>8.2429595201286898E-2</v>
      </c>
    </row>
    <row r="74" spans="1:41" s="6" customFormat="1" ht="12.75">
      <c r="A74" s="7" t="s">
        <v>104</v>
      </c>
      <c r="B74" s="10">
        <v>1.5092509785066301E-2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100.61673190044201</v>
      </c>
      <c r="G74" s="7" t="s">
        <v>104</v>
      </c>
      <c r="H74" s="10">
        <v>77.790728920564703</v>
      </c>
      <c r="I74" s="26">
        <f>VLOOKUP(CurrentMtgRatesDataTable82[[#This Row],[asofdate]],K:L,2,0)</f>
        <v>0.12680040640458401</v>
      </c>
      <c r="K74" s="7" t="s">
        <v>104</v>
      </c>
      <c r="L74" s="29">
        <v>0.12680040640458401</v>
      </c>
      <c r="O74" s="7" t="s">
        <v>104</v>
      </c>
      <c r="P74" s="10">
        <v>36.704341766811801</v>
      </c>
      <c r="Q74" s="29">
        <f>VLOOKUP(CurrentMtgRatesDataTable84[[#This Row],[asofdate]],S:T,2,0)</f>
        <v>0.37065371536998298</v>
      </c>
      <c r="S74" s="7" t="s">
        <v>104</v>
      </c>
      <c r="T74" s="10">
        <v>0.37065371536998298</v>
      </c>
      <c r="W74" s="7" t="s">
        <v>104</v>
      </c>
      <c r="X74" s="10">
        <v>751.15797505422495</v>
      </c>
      <c r="Y74" s="26">
        <f>VLOOKUP(CurrentMtgRatesDataTable86[[#This Row],[asofdate]],AA:AB,2,0)</f>
        <v>0.140197330259278</v>
      </c>
      <c r="AA74" s="7" t="s">
        <v>104</v>
      </c>
      <c r="AB74" s="10">
        <v>0.140197330259278</v>
      </c>
      <c r="AE74" s="7" t="s">
        <v>111</v>
      </c>
      <c r="AF74" s="10">
        <v>1.1059342768688699E-2</v>
      </c>
      <c r="AG74" s="10" t="str">
        <f>YEAR(CurrentMtgRatesDataTable89[[#This Row],[asofdate]])&amp;"-"&amp;MONTH(CurrentMtgRatesDataTable89[[#This Row],[asofdate]])</f>
        <v>2009-9</v>
      </c>
      <c r="AH74" s="6">
        <f>((CurrentMtgRatesDataTable89[[#This Row],[SeriesNumValue]]-$D$1)/$D$1+1)*100</f>
        <v>73.728951791257998</v>
      </c>
      <c r="AI74" s="6">
        <f>CurrentMtgRatesDataTable89[[#This Row],[Index]]-AH75</f>
        <v>9.6499804682167252</v>
      </c>
      <c r="AJ74" s="6">
        <f>VLOOKUP(CurrentMtgRatesDataTable89[[#This Row],[asofdate]],G:H,2,0)</f>
        <v>76.886220859530198</v>
      </c>
      <c r="AK74" s="6">
        <f>VLOOKUP(CurrentMtgRatesDataTable89[[#This Row],[asofdate]],K:L,2,0)</f>
        <v>8.0811265930624904E-2</v>
      </c>
      <c r="AL74" s="6">
        <f>VLOOKUP(CurrentMtgRatesDataTable89[[#This Row],[asofdate]],O:P,2,0)</f>
        <v>35.062181072393599</v>
      </c>
      <c r="AM74" s="6">
        <f>VLOOKUP(CurrentMtgRatesDataTable89[[#This Row],[asofdate]],S:T,2,0)</f>
        <v>0.312415035648752</v>
      </c>
      <c r="AN74" s="6">
        <f>VLOOKUP(CurrentMtgRatesDataTable89[[#This Row],[asofdate]],W:X,2,0)</f>
        <v>760.53277686443903</v>
      </c>
      <c r="AO74" s="6">
        <f>VLOOKUP(CurrentMtgRatesDataTable89[[#This Row],[asofdate]],AA:AB,2,0)</f>
        <v>7.68331120579719E-2</v>
      </c>
    </row>
    <row r="75" spans="1:41" s="6" customFormat="1" ht="12.75">
      <c r="A75" s="7" t="s">
        <v>105</v>
      </c>
      <c r="B75" s="10">
        <v>1.19611404435372E-2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79.740936290248015</v>
      </c>
      <c r="G75" s="7" t="s">
        <v>105</v>
      </c>
      <c r="H75" s="10">
        <v>77.524155540439295</v>
      </c>
      <c r="I75" s="26">
        <f>VLOOKUP(CurrentMtgRatesDataTable82[[#This Row],[asofdate]],K:L,2,0)</f>
        <v>0.12322072048108899</v>
      </c>
      <c r="K75" s="7" t="s">
        <v>105</v>
      </c>
      <c r="L75" s="29">
        <v>0.12322072048108899</v>
      </c>
      <c r="O75" s="7" t="s">
        <v>105</v>
      </c>
      <c r="P75" s="10">
        <v>36.205808346435497</v>
      </c>
      <c r="Q75" s="29">
        <f>VLOOKUP(CurrentMtgRatesDataTable84[[#This Row],[asofdate]],S:T,2,0)</f>
        <v>0.367791267784353</v>
      </c>
      <c r="S75" s="7" t="s">
        <v>105</v>
      </c>
      <c r="T75" s="10">
        <v>0.367791267784353</v>
      </c>
      <c r="W75" s="7" t="s">
        <v>105</v>
      </c>
      <c r="X75" s="10">
        <v>753.836876819336</v>
      </c>
      <c r="Y75" s="26">
        <f>VLOOKUP(CurrentMtgRatesDataTable86[[#This Row],[asofdate]],AA:AB,2,0)</f>
        <v>0.123674269970081</v>
      </c>
      <c r="AA75" s="7" t="s">
        <v>105</v>
      </c>
      <c r="AB75" s="10">
        <v>0.123674269970081</v>
      </c>
      <c r="AE75" s="7" t="s">
        <v>110</v>
      </c>
      <c r="AF75" s="10">
        <v>9.6118456984561895E-3</v>
      </c>
      <c r="AG75" s="10" t="str">
        <f>YEAR(CurrentMtgRatesDataTable89[[#This Row],[asofdate]])&amp;"-"&amp;MONTH(CurrentMtgRatesDataTable89[[#This Row],[asofdate]])</f>
        <v>2009-8</v>
      </c>
      <c r="AH75" s="6">
        <f>((CurrentMtgRatesDataTable89[[#This Row],[SeriesNumValue]]-$D$1)/$D$1+1)*100</f>
        <v>64.078971323041273</v>
      </c>
      <c r="AI75" s="6">
        <f>CurrentMtgRatesDataTable89[[#This Row],[Index]]-AH76</f>
        <v>-0.55403082280953697</v>
      </c>
      <c r="AJ75" s="6">
        <f>VLOOKUP(CurrentMtgRatesDataTable89[[#This Row],[asofdate]],G:H,2,0)</f>
        <v>76.939201105906605</v>
      </c>
      <c r="AK75" s="6">
        <f>VLOOKUP(CurrentMtgRatesDataTable89[[#This Row],[asofdate]],K:L,2,0)</f>
        <v>8.7516530834872805E-2</v>
      </c>
      <c r="AL75" s="6">
        <f>VLOOKUP(CurrentMtgRatesDataTable89[[#This Row],[asofdate]],O:P,2,0)</f>
        <v>34.6107153733629</v>
      </c>
      <c r="AM75" s="6">
        <f>VLOOKUP(CurrentMtgRatesDataTable89[[#This Row],[asofdate]],S:T,2,0)</f>
        <v>0.301360516013709</v>
      </c>
      <c r="AN75" s="6">
        <f>VLOOKUP(CurrentMtgRatesDataTable89[[#This Row],[asofdate]],W:X,2,0)</f>
        <v>761.27193985439999</v>
      </c>
      <c r="AO75" s="6">
        <f>VLOOKUP(CurrentMtgRatesDataTable89[[#This Row],[asofdate]],AA:AB,2,0)</f>
        <v>7.5177874786257204E-2</v>
      </c>
    </row>
    <row r="76" spans="1:41" s="6" customFormat="1" ht="12.75">
      <c r="A76" s="7" t="s">
        <v>106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G76" s="7" t="s">
        <v>106</v>
      </c>
      <c r="H76" s="10">
        <v>77.7250496197925</v>
      </c>
      <c r="I76" s="26">
        <f>VLOOKUP(CurrentMtgRatesDataTable82[[#This Row],[asofdate]],K:L,2,0)</f>
        <v>0.119470963956919</v>
      </c>
      <c r="K76" s="7" t="s">
        <v>106</v>
      </c>
      <c r="L76" s="29">
        <v>0.119470963956919</v>
      </c>
      <c r="O76" s="7" t="s">
        <v>106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106</v>
      </c>
      <c r="T76" s="10">
        <v>0.35728737603095201</v>
      </c>
      <c r="W76" s="7" t="s">
        <v>106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106</v>
      </c>
      <c r="AB76" s="10">
        <v>0.108448775058114</v>
      </c>
      <c r="AE76" s="7" t="s">
        <v>109</v>
      </c>
      <c r="AF76" s="10">
        <v>9.6949503218776208E-3</v>
      </c>
      <c r="AG76" s="10" t="str">
        <f>YEAR(CurrentMtgRatesDataTable89[[#This Row],[asofdate]])&amp;"-"&amp;MONTH(CurrentMtgRatesDataTable89[[#This Row],[asofdate]])</f>
        <v>2009-7</v>
      </c>
      <c r="AH76" s="6">
        <f>((CurrentMtgRatesDataTable89[[#This Row],[SeriesNumValue]]-$D$1)/$D$1+1)*100</f>
        <v>64.63300214585081</v>
      </c>
      <c r="AI76" s="6">
        <f>CurrentMtgRatesDataTable89[[#This Row],[Index]]-AH77</f>
        <v>-11.339485664285192</v>
      </c>
      <c r="AJ76" s="6">
        <f>VLOOKUP(CurrentMtgRatesDataTable89[[#This Row],[asofdate]],G:H,2,0)</f>
        <v>77.2305024936758</v>
      </c>
      <c r="AK76" s="6">
        <f>VLOOKUP(CurrentMtgRatesDataTable89[[#This Row],[asofdate]],K:L,2,0)</f>
        <v>9.3108291880015001E-2</v>
      </c>
      <c r="AL76" s="6">
        <f>VLOOKUP(CurrentMtgRatesDataTable89[[#This Row],[asofdate]],O:P,2,0)</f>
        <v>34.3486666650331</v>
      </c>
      <c r="AM76" s="6">
        <f>VLOOKUP(CurrentMtgRatesDataTable89[[#This Row],[asofdate]],S:T,2,0)</f>
        <v>0.295070326807992</v>
      </c>
      <c r="AN76" s="6">
        <f>VLOOKUP(CurrentMtgRatesDataTable89[[#This Row],[asofdate]],W:X,2,0)</f>
        <v>760.65613459844997</v>
      </c>
      <c r="AO76" s="6">
        <f>VLOOKUP(CurrentMtgRatesDataTable89[[#This Row],[asofdate]],AA:AB,2,0)</f>
        <v>7.8300566764158197E-2</v>
      </c>
    </row>
    <row r="77" spans="1:41" s="6" customFormat="1" ht="12.75">
      <c r="A77" s="7" t="s">
        <v>107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G77" s="7" t="s">
        <v>107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107</v>
      </c>
      <c r="L77" s="29">
        <v>0.109113667052566</v>
      </c>
      <c r="O77" s="7" t="s">
        <v>107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107</v>
      </c>
      <c r="T77" s="10">
        <v>0.33881763844914597</v>
      </c>
      <c r="W77" s="7" t="s">
        <v>107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107</v>
      </c>
      <c r="AB77" s="10">
        <v>9.2145907252402806E-2</v>
      </c>
      <c r="AE77" s="7" t="s">
        <v>108</v>
      </c>
      <c r="AF77" s="10">
        <v>1.1395873171520399E-2</v>
      </c>
      <c r="AG77" s="10" t="str">
        <f>YEAR(CurrentMtgRatesDataTable89[[#This Row],[asofdate]])&amp;"-"&amp;MONTH(CurrentMtgRatesDataTable89[[#This Row],[asofdate]])</f>
        <v>2009-6</v>
      </c>
      <c r="AH77" s="6">
        <f>((CurrentMtgRatesDataTable89[[#This Row],[SeriesNumValue]]-$D$1)/$D$1+1)*100</f>
        <v>75.972487810136002</v>
      </c>
      <c r="AI77" s="6">
        <f>CurrentMtgRatesDataTable89[[#This Row],[Index]]-AH78</f>
        <v>-4.3571892203026721</v>
      </c>
      <c r="AJ77" s="6">
        <f>VLOOKUP(CurrentMtgRatesDataTable89[[#This Row],[asofdate]],G:H,2,0)</f>
        <v>77.490070785439897</v>
      </c>
      <c r="AK77" s="6">
        <f>VLOOKUP(CurrentMtgRatesDataTable89[[#This Row],[asofdate]],K:L,2,0)</f>
        <v>9.8070727394183696E-2</v>
      </c>
      <c r="AL77" s="6">
        <f>VLOOKUP(CurrentMtgRatesDataTable89[[#This Row],[asofdate]],O:P,2,0)</f>
        <v>34.719716052328401</v>
      </c>
      <c r="AM77" s="6">
        <f>VLOOKUP(CurrentMtgRatesDataTable89[[#This Row],[asofdate]],S:T,2,0)</f>
        <v>0.30665761619769899</v>
      </c>
      <c r="AN77" s="6">
        <f>VLOOKUP(CurrentMtgRatesDataTable89[[#This Row],[asofdate]],W:X,2,0)</f>
        <v>759.07286748086904</v>
      </c>
      <c r="AO77" s="6">
        <f>VLOOKUP(CurrentMtgRatesDataTable89[[#This Row],[asofdate]],AA:AB,2,0)</f>
        <v>8.7515307690631497E-2</v>
      </c>
    </row>
    <row r="78" spans="1:41" s="6" customFormat="1" ht="12.75">
      <c r="A78" s="7" t="s">
        <v>108</v>
      </c>
      <c r="B78" s="10">
        <v>1.1395873171520399E-2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75.972487810136002</v>
      </c>
      <c r="G78" s="7" t="s">
        <v>108</v>
      </c>
      <c r="H78" s="10">
        <v>77.490070785439897</v>
      </c>
      <c r="I78" s="26">
        <f>VLOOKUP(CurrentMtgRatesDataTable82[[#This Row],[asofdate]],K:L,2,0)</f>
        <v>9.8070727394183696E-2</v>
      </c>
      <c r="K78" s="7" t="s">
        <v>108</v>
      </c>
      <c r="L78" s="29">
        <v>9.8070727394183696E-2</v>
      </c>
      <c r="O78" s="7" t="s">
        <v>108</v>
      </c>
      <c r="P78" s="10">
        <v>34.719716052328401</v>
      </c>
      <c r="Q78" s="29">
        <f>VLOOKUP(CurrentMtgRatesDataTable84[[#This Row],[asofdate]],S:T,2,0)</f>
        <v>0.30665761619769899</v>
      </c>
      <c r="S78" s="7" t="s">
        <v>108</v>
      </c>
      <c r="T78" s="10">
        <v>0.30665761619769899</v>
      </c>
      <c r="W78" s="7" t="s">
        <v>108</v>
      </c>
      <c r="X78" s="10">
        <v>759.07286748086904</v>
      </c>
      <c r="Y78" s="26">
        <f>VLOOKUP(CurrentMtgRatesDataTable86[[#This Row],[asofdate]],AA:AB,2,0)</f>
        <v>8.7515307690631497E-2</v>
      </c>
      <c r="AA78" s="7" t="s">
        <v>108</v>
      </c>
      <c r="AB78" s="10">
        <v>8.7515307690631497E-2</v>
      </c>
      <c r="AE78" s="7" t="s">
        <v>107</v>
      </c>
      <c r="AF78" s="10">
        <v>1.20494515545658E-2</v>
      </c>
      <c r="AG78" s="10" t="str">
        <f>YEAR(CurrentMtgRatesDataTable89[[#This Row],[asofdate]])&amp;"-"&amp;MONTH(CurrentMtgRatesDataTable89[[#This Row],[asofdate]])</f>
        <v>2009-5</v>
      </c>
      <c r="AH78" s="6">
        <f>((CurrentMtgRatesDataTable89[[#This Row],[SeriesNumValue]]-$D$1)/$D$1+1)*100</f>
        <v>80.329677030438674</v>
      </c>
      <c r="AI78" s="6">
        <f>CurrentMtgRatesDataTable89[[#This Row],[Index]]-AH79</f>
        <v>3.6589707568853385</v>
      </c>
      <c r="AJ78" s="6">
        <f>VLOOKUP(CurrentMtgRatesDataTable89[[#This Row],[asofdate]],G:H,2,0)</f>
        <v>77.621301810220103</v>
      </c>
      <c r="AK78" s="6">
        <f>VLOOKUP(CurrentMtgRatesDataTable89[[#This Row],[asofdate]],K:L,2,0)</f>
        <v>0.109113667052566</v>
      </c>
      <c r="AL78" s="6">
        <f>VLOOKUP(CurrentMtgRatesDataTable89[[#This Row],[asofdate]],O:P,2,0)</f>
        <v>35.443374053116202</v>
      </c>
      <c r="AM78" s="6">
        <f>VLOOKUP(CurrentMtgRatesDataTable89[[#This Row],[asofdate]],S:T,2,0)</f>
        <v>0.33881763844914597</v>
      </c>
      <c r="AN78" s="6">
        <f>VLOOKUP(CurrentMtgRatesDataTable89[[#This Row],[asofdate]],W:X,2,0)</f>
        <v>757.59605432672004</v>
      </c>
      <c r="AO78" s="6">
        <f>VLOOKUP(CurrentMtgRatesDataTable89[[#This Row],[asofdate]],AA:AB,2,0)</f>
        <v>9.2145907252402806E-2</v>
      </c>
    </row>
    <row r="79" spans="1:41" s="8" customFormat="1" ht="12.75">
      <c r="A79" s="7" t="s">
        <v>109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G79" s="7" t="s">
        <v>109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109</v>
      </c>
      <c r="L79" s="29">
        <v>9.3108291880015001E-2</v>
      </c>
      <c r="O79" s="7" t="s">
        <v>109</v>
      </c>
      <c r="P79" s="10">
        <v>34.3486666650331</v>
      </c>
      <c r="Q79" s="29">
        <f>VLOOKUP(CurrentMtgRatesDataTable84[[#This Row],[asofdate]],S:T,2,0)</f>
        <v>0.295070326807992</v>
      </c>
      <c r="S79" s="7" t="s">
        <v>109</v>
      </c>
      <c r="T79" s="10">
        <v>0.295070326807992</v>
      </c>
      <c r="W79" s="7" t="s">
        <v>109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109</v>
      </c>
      <c r="AB79" s="10">
        <v>7.8300566764158197E-2</v>
      </c>
      <c r="AE79" s="7" t="s">
        <v>106</v>
      </c>
      <c r="AF79" s="10">
        <v>1.1500605941033E-2</v>
      </c>
      <c r="AG79" s="10" t="str">
        <f>YEAR(CurrentMtgRatesDataTable89[[#This Row],[asofdate]])&amp;"-"&amp;MONTH(CurrentMtgRatesDataTable89[[#This Row],[asofdate]])</f>
        <v>2009-4</v>
      </c>
      <c r="AH79" s="6">
        <f>((CurrentMtgRatesDataTable89[[#This Row],[SeriesNumValue]]-$D$1)/$D$1+1)*100</f>
        <v>76.670706273553336</v>
      </c>
      <c r="AI79" s="6">
        <f>CurrentMtgRatesDataTable89[[#This Row],[Index]]-AH80</f>
        <v>-3.0702300166946799</v>
      </c>
      <c r="AJ79" s="6">
        <f>VLOOKUP(CurrentMtgRatesDataTable89[[#This Row],[asofdate]],G:H,2,0)</f>
        <v>77.7250496197925</v>
      </c>
      <c r="AK79" s="6">
        <f>VLOOKUP(CurrentMtgRatesDataTable89[[#This Row],[asofdate]],K:L,2,0)</f>
        <v>0.119470963956919</v>
      </c>
      <c r="AL79" s="6">
        <f>VLOOKUP(CurrentMtgRatesDataTable89[[#This Row],[asofdate]],O:P,2,0)</f>
        <v>35.799246123443801</v>
      </c>
      <c r="AM79" s="6">
        <f>VLOOKUP(CurrentMtgRatesDataTable89[[#This Row],[asofdate]],S:T,2,0)</f>
        <v>0.35728737603095201</v>
      </c>
      <c r="AN79" s="6">
        <f>VLOOKUP(CurrentMtgRatesDataTable89[[#This Row],[asofdate]],W:X,2,0)</f>
        <v>755.70927973049299</v>
      </c>
      <c r="AO79" s="6">
        <f>VLOOKUP(CurrentMtgRatesDataTable89[[#This Row],[asofdate]],AA:AB,2,0)</f>
        <v>0.108448775058114</v>
      </c>
    </row>
    <row r="80" spans="1:41" s="8" customFormat="1" ht="12.75">
      <c r="A80" s="7" t="s">
        <v>110</v>
      </c>
      <c r="B80" s="10">
        <v>9.6118456984561895E-3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64.078971323041273</v>
      </c>
      <c r="E80" s="6"/>
      <c r="G80" s="7" t="s">
        <v>110</v>
      </c>
      <c r="H80" s="10">
        <v>76.939201105906605</v>
      </c>
      <c r="I80" s="26">
        <f>VLOOKUP(CurrentMtgRatesDataTable82[[#This Row],[asofdate]],K:L,2,0)</f>
        <v>8.7516530834872805E-2</v>
      </c>
      <c r="K80" s="7" t="s">
        <v>110</v>
      </c>
      <c r="L80" s="29">
        <v>8.7516530834872805E-2</v>
      </c>
      <c r="O80" s="7" t="s">
        <v>110</v>
      </c>
      <c r="P80" s="10">
        <v>34.6107153733629</v>
      </c>
      <c r="Q80" s="29">
        <f>VLOOKUP(CurrentMtgRatesDataTable84[[#This Row],[asofdate]],S:T,2,0)</f>
        <v>0.301360516013709</v>
      </c>
      <c r="S80" s="7" t="s">
        <v>110</v>
      </c>
      <c r="T80" s="10">
        <v>0.301360516013709</v>
      </c>
      <c r="W80" s="7" t="s">
        <v>110</v>
      </c>
      <c r="X80" s="10">
        <v>761.27193985439999</v>
      </c>
      <c r="Y80" s="26">
        <f>VLOOKUP(CurrentMtgRatesDataTable86[[#This Row],[asofdate]],AA:AB,2,0)</f>
        <v>7.5177874786257204E-2</v>
      </c>
      <c r="AA80" s="7" t="s">
        <v>110</v>
      </c>
      <c r="AB80" s="10">
        <v>7.5177874786257204E-2</v>
      </c>
      <c r="AE80" s="7" t="s">
        <v>105</v>
      </c>
      <c r="AF80" s="10">
        <v>1.19611404435372E-2</v>
      </c>
      <c r="AG80" s="10" t="str">
        <f>YEAR(CurrentMtgRatesDataTable89[[#This Row],[asofdate]])&amp;"-"&amp;MONTH(CurrentMtgRatesDataTable89[[#This Row],[asofdate]])</f>
        <v>2009-3</v>
      </c>
      <c r="AH80" s="6">
        <f>((CurrentMtgRatesDataTable89[[#This Row],[SeriesNumValue]]-$D$1)/$D$1+1)*100</f>
        <v>79.740936290248015</v>
      </c>
      <c r="AI80" s="6">
        <f>CurrentMtgRatesDataTable89[[#This Row],[Index]]-AH81</f>
        <v>-20.87579561019399</v>
      </c>
      <c r="AJ80" s="6">
        <f>VLOOKUP(CurrentMtgRatesDataTable89[[#This Row],[asofdate]],G:H,2,0)</f>
        <v>77.524155540439295</v>
      </c>
      <c r="AK80" s="6">
        <f>VLOOKUP(CurrentMtgRatesDataTable89[[#This Row],[asofdate]],K:L,2,0)</f>
        <v>0.12322072048108899</v>
      </c>
      <c r="AL80" s="6">
        <f>VLOOKUP(CurrentMtgRatesDataTable89[[#This Row],[asofdate]],O:P,2,0)</f>
        <v>36.205808346435497</v>
      </c>
      <c r="AM80" s="6">
        <f>VLOOKUP(CurrentMtgRatesDataTable89[[#This Row],[asofdate]],S:T,2,0)</f>
        <v>0.367791267784353</v>
      </c>
      <c r="AN80" s="6">
        <f>VLOOKUP(CurrentMtgRatesDataTable89[[#This Row],[asofdate]],W:X,2,0)</f>
        <v>753.836876819336</v>
      </c>
      <c r="AO80" s="6">
        <f>VLOOKUP(CurrentMtgRatesDataTable89[[#This Row],[asofdate]],AA:AB,2,0)</f>
        <v>0.123674269970081</v>
      </c>
    </row>
    <row r="81" spans="1:41" s="8" customFormat="1" ht="12.75">
      <c r="A81" s="7" t="s">
        <v>111</v>
      </c>
      <c r="B81" s="10">
        <v>1.1059342768688699E-2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73.728951791257998</v>
      </c>
      <c r="E81" s="6"/>
      <c r="G81" s="7" t="s">
        <v>111</v>
      </c>
      <c r="H81" s="10">
        <v>76.886220859530198</v>
      </c>
      <c r="I81" s="26">
        <f>VLOOKUP(CurrentMtgRatesDataTable82[[#This Row],[asofdate]],K:L,2,0)</f>
        <v>8.0811265930624904E-2</v>
      </c>
      <c r="K81" s="7" t="s">
        <v>111</v>
      </c>
      <c r="L81" s="29">
        <v>8.0811265930624904E-2</v>
      </c>
      <c r="O81" s="7" t="s">
        <v>111</v>
      </c>
      <c r="P81" s="10">
        <v>35.062181072393599</v>
      </c>
      <c r="Q81" s="29">
        <f>VLOOKUP(CurrentMtgRatesDataTable84[[#This Row],[asofdate]],S:T,2,0)</f>
        <v>0.312415035648752</v>
      </c>
      <c r="S81" s="7" t="s">
        <v>111</v>
      </c>
      <c r="T81" s="10">
        <v>0.312415035648752</v>
      </c>
      <c r="W81" s="7" t="s">
        <v>111</v>
      </c>
      <c r="X81" s="10">
        <v>760.53277686443903</v>
      </c>
      <c r="Y81" s="26">
        <f>VLOOKUP(CurrentMtgRatesDataTable86[[#This Row],[asofdate]],AA:AB,2,0)</f>
        <v>7.68331120579719E-2</v>
      </c>
      <c r="AA81" s="7" t="s">
        <v>111</v>
      </c>
      <c r="AB81" s="10">
        <v>7.68331120579719E-2</v>
      </c>
      <c r="AE81" s="7" t="s">
        <v>104</v>
      </c>
      <c r="AF81" s="10">
        <v>1.5092509785066301E-2</v>
      </c>
      <c r="AG81" s="10" t="str">
        <f>YEAR(CurrentMtgRatesDataTable89[[#This Row],[asofdate]])&amp;"-"&amp;MONTH(CurrentMtgRatesDataTable89[[#This Row],[asofdate]])</f>
        <v>2009-2</v>
      </c>
      <c r="AH81" s="6">
        <f>((CurrentMtgRatesDataTable89[[#This Row],[SeriesNumValue]]-$D$1)/$D$1+1)*100</f>
        <v>100.61673190044201</v>
      </c>
      <c r="AI81" s="6">
        <f>CurrentMtgRatesDataTable89[[#This Row],[Index]]-AH82</f>
        <v>-15.642100494857985</v>
      </c>
      <c r="AJ81" s="6">
        <f>VLOOKUP(CurrentMtgRatesDataTable89[[#This Row],[asofdate]],G:H,2,0)</f>
        <v>77.790728920564703</v>
      </c>
      <c r="AK81" s="6">
        <f>VLOOKUP(CurrentMtgRatesDataTable89[[#This Row],[asofdate]],K:L,2,0)</f>
        <v>0.12680040640458401</v>
      </c>
      <c r="AL81" s="6">
        <f>VLOOKUP(CurrentMtgRatesDataTable89[[#This Row],[asofdate]],O:P,2,0)</f>
        <v>36.704341766811801</v>
      </c>
      <c r="AM81" s="6">
        <f>VLOOKUP(CurrentMtgRatesDataTable89[[#This Row],[asofdate]],S:T,2,0)</f>
        <v>0.37065371536998298</v>
      </c>
      <c r="AN81" s="6">
        <f>VLOOKUP(CurrentMtgRatesDataTable89[[#This Row],[asofdate]],W:X,2,0)</f>
        <v>751.15797505422495</v>
      </c>
      <c r="AO81" s="6">
        <f>VLOOKUP(CurrentMtgRatesDataTable89[[#This Row],[asofdate]],AA:AB,2,0)</f>
        <v>0.140197330259278</v>
      </c>
    </row>
    <row r="82" spans="1:41" s="8" customFormat="1" ht="12.75">
      <c r="A82" s="7" t="s">
        <v>112</v>
      </c>
      <c r="B82" s="10">
        <v>1.1841443021272E-2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78.942953475146666</v>
      </c>
      <c r="E82" s="6"/>
      <c r="G82" s="7" t="s">
        <v>112</v>
      </c>
      <c r="H82" s="10">
        <v>77.094075147073795</v>
      </c>
      <c r="I82" s="26">
        <f>VLOOKUP(CurrentMtgRatesDataTable82[[#This Row],[asofdate]],K:L,2,0)</f>
        <v>8.1594786166246894E-2</v>
      </c>
      <c r="K82" s="7" t="s">
        <v>112</v>
      </c>
      <c r="L82" s="29">
        <v>8.1594786166246894E-2</v>
      </c>
      <c r="O82" s="7" t="s">
        <v>112</v>
      </c>
      <c r="P82" s="10">
        <v>35.2848405585259</v>
      </c>
      <c r="Q82" s="29">
        <f>VLOOKUP(CurrentMtgRatesDataTable84[[#This Row],[asofdate]],S:T,2,0)</f>
        <v>0.31815813113818903</v>
      </c>
      <c r="S82" s="7" t="s">
        <v>112</v>
      </c>
      <c r="T82" s="10">
        <v>0.31815813113818903</v>
      </c>
      <c r="W82" s="7" t="s">
        <v>112</v>
      </c>
      <c r="X82" s="10">
        <v>759.72591769650705</v>
      </c>
      <c r="Y82" s="26">
        <f>VLOOKUP(CurrentMtgRatesDataTable86[[#This Row],[asofdate]],AA:AB,2,0)</f>
        <v>8.2429595201286898E-2</v>
      </c>
      <c r="AA82" s="7" t="s">
        <v>112</v>
      </c>
      <c r="AB82" s="10">
        <v>8.2429595201286898E-2</v>
      </c>
      <c r="AE82" s="7" t="s">
        <v>103</v>
      </c>
      <c r="AF82" s="10">
        <v>1.7438824859294998E-2</v>
      </c>
      <c r="AG82" s="10" t="str">
        <f>YEAR(CurrentMtgRatesDataTable89[[#This Row],[asofdate]])&amp;"-"&amp;MONTH(CurrentMtgRatesDataTable89[[#This Row],[asofdate]])</f>
        <v>2009-1</v>
      </c>
      <c r="AH82" s="6">
        <f>((CurrentMtgRatesDataTable89[[#This Row],[SeriesNumValue]]-$D$1)/$D$1+1)*100</f>
        <v>116.25883239529999</v>
      </c>
      <c r="AI82" s="6">
        <f>CurrentMtgRatesDataTable89[[#This Row],[Index]]-AH83</f>
        <v>28.251981021407317</v>
      </c>
      <c r="AJ82" s="6">
        <f>VLOOKUP(CurrentMtgRatesDataTable89[[#This Row],[asofdate]],G:H,2,0)</f>
        <v>78.387697357956398</v>
      </c>
      <c r="AK82" s="6">
        <f>VLOOKUP(CurrentMtgRatesDataTable89[[#This Row],[asofdate]],K:L,2,0)</f>
        <v>0.13509696863435</v>
      </c>
      <c r="AL82" s="6">
        <f>VLOOKUP(CurrentMtgRatesDataTable89[[#This Row],[asofdate]],O:P,2,0)</f>
        <v>37.7564539019778</v>
      </c>
      <c r="AM82" s="6">
        <f>VLOOKUP(CurrentMtgRatesDataTable89[[#This Row],[asofdate]],S:T,2,0)</f>
        <v>0.33607801513818097</v>
      </c>
      <c r="AN82" s="6">
        <f>VLOOKUP(CurrentMtgRatesDataTable89[[#This Row],[asofdate]],W:X,2,0)</f>
        <v>747.67307981041199</v>
      </c>
      <c r="AO82" s="6">
        <f>VLOOKUP(CurrentMtgRatesDataTable89[[#This Row],[asofdate]],AA:AB,2,0)</f>
        <v>0.16220081425273</v>
      </c>
    </row>
    <row r="83" spans="1:41" s="8" customFormat="1" ht="12.75">
      <c r="A83" s="7" t="s">
        <v>113</v>
      </c>
      <c r="B83" s="10">
        <v>1.20253201756612E-2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80.168801171074662</v>
      </c>
      <c r="E83" s="6"/>
      <c r="G83" s="7" t="s">
        <v>113</v>
      </c>
      <c r="H83" s="10">
        <v>76.953756110094901</v>
      </c>
      <c r="I83" s="26">
        <f>VLOOKUP(CurrentMtgRatesDataTable82[[#This Row],[asofdate]],K:L,2,0)</f>
        <v>8.0718675087613198E-2</v>
      </c>
      <c r="K83" s="7" t="s">
        <v>113</v>
      </c>
      <c r="L83" s="29">
        <v>8.0718675087613198E-2</v>
      </c>
      <c r="O83" s="7" t="s">
        <v>113</v>
      </c>
      <c r="P83" s="10">
        <v>35.346324530510302</v>
      </c>
      <c r="Q83" s="29">
        <f>VLOOKUP(CurrentMtgRatesDataTable84[[#This Row],[asofdate]],S:T,2,0)</f>
        <v>0.31707955739888399</v>
      </c>
      <c r="S83" s="7" t="s">
        <v>113</v>
      </c>
      <c r="T83" s="10">
        <v>0.31707955739888399</v>
      </c>
      <c r="W83" s="7" t="s">
        <v>113</v>
      </c>
      <c r="X83" s="10">
        <v>759.44774185470101</v>
      </c>
      <c r="Y83" s="26">
        <f>VLOOKUP(CurrentMtgRatesDataTable86[[#This Row],[asofdate]],AA:AB,2,0)</f>
        <v>8.76909251191334E-2</v>
      </c>
      <c r="AA83" s="7" t="s">
        <v>113</v>
      </c>
      <c r="AB83" s="10">
        <v>8.76909251191334E-2</v>
      </c>
      <c r="AE83" s="7" t="s">
        <v>102</v>
      </c>
      <c r="AF83" s="10">
        <v>1.32010277060839E-2</v>
      </c>
      <c r="AG83" s="10" t="str">
        <f>YEAR(CurrentMtgRatesDataTable89[[#This Row],[asofdate]])&amp;"-"&amp;MONTH(CurrentMtgRatesDataTable89[[#This Row],[asofdate]])</f>
        <v>2008-12</v>
      </c>
      <c r="AH83" s="6">
        <f>((CurrentMtgRatesDataTable89[[#This Row],[SeriesNumValue]]-$D$1)/$D$1+1)*100</f>
        <v>88.006851373892673</v>
      </c>
      <c r="AI83" s="6">
        <f>CurrentMtgRatesDataTable89[[#This Row],[Index]]-AH84</f>
        <v>-5.787444108285996</v>
      </c>
      <c r="AJ83" s="6">
        <f>VLOOKUP(CurrentMtgRatesDataTable89[[#This Row],[asofdate]],G:H,2,0)</f>
        <v>78.085313604041602</v>
      </c>
      <c r="AK83" s="6">
        <f>VLOOKUP(CurrentMtgRatesDataTable89[[#This Row],[asofdate]],K:L,2,0)</f>
        <v>0.143349977608903</v>
      </c>
      <c r="AL83" s="6">
        <f>VLOOKUP(CurrentMtgRatesDataTable89[[#This Row],[asofdate]],O:P,2,0)</f>
        <v>37.863287602496598</v>
      </c>
      <c r="AM83" s="6">
        <f>VLOOKUP(CurrentMtgRatesDataTable89[[#This Row],[asofdate]],S:T,2,0)</f>
        <v>0.31868336870622999</v>
      </c>
      <c r="AN83" s="6">
        <f>VLOOKUP(CurrentMtgRatesDataTable89[[#This Row],[asofdate]],W:X,2,0)</f>
        <v>748.91250127599301</v>
      </c>
      <c r="AO83" s="6">
        <f>VLOOKUP(CurrentMtgRatesDataTable89[[#This Row],[asofdate]],AA:AB,2,0)</f>
        <v>0.15477775916858899</v>
      </c>
    </row>
    <row r="84" spans="1:41" s="8" customFormat="1" ht="12.75">
      <c r="A84" s="7" t="s">
        <v>114</v>
      </c>
      <c r="B84" s="10">
        <v>1.15346554448639E-2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76.897702965759336</v>
      </c>
      <c r="E84" s="6"/>
      <c r="G84" s="7" t="s">
        <v>114</v>
      </c>
      <c r="H84" s="10">
        <v>76.821902013385596</v>
      </c>
      <c r="I84" s="26">
        <f>VLOOKUP(CurrentMtgRatesDataTable82[[#This Row],[asofdate]],K:L,2,0)</f>
        <v>7.7685579809398497E-2</v>
      </c>
      <c r="K84" s="7" t="s">
        <v>114</v>
      </c>
      <c r="L84" s="29">
        <v>7.7685579809398497E-2</v>
      </c>
      <c r="O84" s="7" t="s">
        <v>114</v>
      </c>
      <c r="P84" s="10">
        <v>35.1667411870623</v>
      </c>
      <c r="Q84" s="29">
        <f>VLOOKUP(CurrentMtgRatesDataTable84[[#This Row],[asofdate]],S:T,2,0)</f>
        <v>0.31475885767788397</v>
      </c>
      <c r="S84" s="7" t="s">
        <v>114</v>
      </c>
      <c r="T84" s="10">
        <v>0.31475885767788397</v>
      </c>
      <c r="W84" s="7" t="s">
        <v>114</v>
      </c>
      <c r="X84" s="10">
        <v>759.77843640103094</v>
      </c>
      <c r="Y84" s="26">
        <f>VLOOKUP(CurrentMtgRatesDataTable86[[#This Row],[asofdate]],AA:AB,2,0)</f>
        <v>8.4410849267763197E-2</v>
      </c>
      <c r="AA84" s="7" t="s">
        <v>114</v>
      </c>
      <c r="AB84" s="10">
        <v>8.4410849267763197E-2</v>
      </c>
      <c r="AE84" s="7" t="s">
        <v>101</v>
      </c>
      <c r="AF84" s="10">
        <v>1.4069144322326799E-2</v>
      </c>
      <c r="AG84" s="10" t="str">
        <f>YEAR(CurrentMtgRatesDataTable89[[#This Row],[asofdate]])&amp;"-"&amp;MONTH(CurrentMtgRatesDataTable89[[#This Row],[asofdate]])</f>
        <v>2008-11</v>
      </c>
      <c r="AH84" s="6">
        <f>((CurrentMtgRatesDataTable89[[#This Row],[SeriesNumValue]]-$D$1)/$D$1+1)*100</f>
        <v>93.794295482178669</v>
      </c>
      <c r="AI84" s="6">
        <f>CurrentMtgRatesDataTable89[[#This Row],[Index]]-AH85</f>
        <v>-13.808424797771352</v>
      </c>
      <c r="AJ84" s="6">
        <f>VLOOKUP(CurrentMtgRatesDataTable89[[#This Row],[asofdate]],G:H,2,0)</f>
        <v>78.157742768007694</v>
      </c>
      <c r="AK84" s="6">
        <f>VLOOKUP(CurrentMtgRatesDataTable89[[#This Row],[asofdate]],K:L,2,0)</f>
        <v>0.150953438870432</v>
      </c>
      <c r="AL84" s="6">
        <f>VLOOKUP(CurrentMtgRatesDataTable89[[#This Row],[asofdate]],O:P,2,0)</f>
        <v>37.893642795120201</v>
      </c>
      <c r="AM84" s="6">
        <f>VLOOKUP(CurrentMtgRatesDataTable89[[#This Row],[asofdate]],S:T,2,0)</f>
        <v>0.32847350810014198</v>
      </c>
      <c r="AN84" s="6">
        <f>VLOOKUP(CurrentMtgRatesDataTable89[[#This Row],[asofdate]],W:X,2,0)</f>
        <v>748.10181343452996</v>
      </c>
      <c r="AO84" s="6">
        <f>VLOOKUP(CurrentMtgRatesDataTable89[[#This Row],[asofdate]],AA:AB,2,0)</f>
        <v>0.16267950338576401</v>
      </c>
    </row>
    <row r="85" spans="1:41" s="8" customFormat="1" ht="12.75">
      <c r="A85" s="7" t="s">
        <v>115</v>
      </c>
      <c r="B85" s="10">
        <v>1.15172211326015E-2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76.781474217343344</v>
      </c>
      <c r="E85" s="6"/>
      <c r="G85" s="7" t="s">
        <v>115</v>
      </c>
      <c r="H85" s="10">
        <v>77.043744815036703</v>
      </c>
      <c r="I85" s="26">
        <f>VLOOKUP(CurrentMtgRatesDataTable82[[#This Row],[asofdate]],K:L,2,0)</f>
        <v>8.0699397548875104E-2</v>
      </c>
      <c r="K85" s="7" t="s">
        <v>115</v>
      </c>
      <c r="L85" s="29">
        <v>8.0699397548875104E-2</v>
      </c>
      <c r="O85" s="7" t="s">
        <v>115</v>
      </c>
      <c r="P85" s="10">
        <v>35.096282130919299</v>
      </c>
      <c r="Q85" s="29">
        <f>VLOOKUP(CurrentMtgRatesDataTable84[[#This Row],[asofdate]],S:T,2,0)</f>
        <v>0.30945359177563603</v>
      </c>
      <c r="S85" s="7" t="s">
        <v>115</v>
      </c>
      <c r="T85" s="10">
        <v>0.30945359177563603</v>
      </c>
      <c r="W85" s="7" t="s">
        <v>115</v>
      </c>
      <c r="X85" s="10">
        <v>759.47296644487005</v>
      </c>
      <c r="Y85" s="26">
        <f>VLOOKUP(CurrentMtgRatesDataTable86[[#This Row],[asofdate]],AA:AB,2,0)</f>
        <v>8.6705418936856196E-2</v>
      </c>
      <c r="AA85" s="7" t="s">
        <v>115</v>
      </c>
      <c r="AB85" s="10">
        <v>8.6705418936856196E-2</v>
      </c>
      <c r="AE85" s="7" t="s">
        <v>100</v>
      </c>
      <c r="AF85" s="10">
        <v>1.6140408041992502E-2</v>
      </c>
      <c r="AG85" s="10" t="str">
        <f>YEAR(CurrentMtgRatesDataTable89[[#This Row],[asofdate]])&amp;"-"&amp;MONTH(CurrentMtgRatesDataTable89[[#This Row],[asofdate]])</f>
        <v>2008-10</v>
      </c>
      <c r="AH85" s="6">
        <f>((CurrentMtgRatesDataTable89[[#This Row],[SeriesNumValue]]-$D$1)/$D$1+1)*100</f>
        <v>107.60272027995002</v>
      </c>
      <c r="AI85" s="6">
        <f>CurrentMtgRatesDataTable89[[#This Row],[Index]]-AH86</f>
        <v>18.326243119952679</v>
      </c>
      <c r="AJ85" s="6">
        <f>VLOOKUP(CurrentMtgRatesDataTable89[[#This Row],[asofdate]],G:H,2,0)</f>
        <v>78.312440158411405</v>
      </c>
      <c r="AK85" s="6">
        <f>VLOOKUP(CurrentMtgRatesDataTable89[[#This Row],[asofdate]],K:L,2,0)</f>
        <v>0.16329914380448399</v>
      </c>
      <c r="AL85" s="6">
        <f>VLOOKUP(CurrentMtgRatesDataTable89[[#This Row],[asofdate]],O:P,2,0)</f>
        <v>37.988041819556599</v>
      </c>
      <c r="AM85" s="6">
        <f>VLOOKUP(CurrentMtgRatesDataTable89[[#This Row],[asofdate]],S:T,2,0)</f>
        <v>0.32142740355010901</v>
      </c>
      <c r="AN85" s="6">
        <f>VLOOKUP(CurrentMtgRatesDataTable89[[#This Row],[asofdate]],W:X,2,0)</f>
        <v>746.048226946775</v>
      </c>
      <c r="AO85" s="6">
        <f>VLOOKUP(CurrentMtgRatesDataTable89[[#This Row],[asofdate]],AA:AB,2,0)</f>
        <v>0.177445284968613</v>
      </c>
    </row>
    <row r="86" spans="1:41" s="8" customFormat="1" ht="12.75">
      <c r="A86" s="7" t="s">
        <v>116</v>
      </c>
      <c r="B86" s="10">
        <v>1.04795190808474E-2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69.863460538982665</v>
      </c>
      <c r="E86" s="6"/>
      <c r="G86" s="7" t="s">
        <v>116</v>
      </c>
      <c r="H86" s="10">
        <v>76.298254333287304</v>
      </c>
      <c r="I86" s="26">
        <f>VLOOKUP(CurrentMtgRatesDataTable82[[#This Row],[asofdate]],K:L,2,0)</f>
        <v>6.7321806524691497E-2</v>
      </c>
      <c r="K86" s="7" t="s">
        <v>116</v>
      </c>
      <c r="L86" s="29">
        <v>6.7321806524691497E-2</v>
      </c>
      <c r="O86" s="7" t="s">
        <v>116</v>
      </c>
      <c r="P86" s="10">
        <v>35.3508411911533</v>
      </c>
      <c r="Q86" s="29">
        <f>VLOOKUP(CurrentMtgRatesDataTable84[[#This Row],[asofdate]],S:T,2,0)</f>
        <v>0.32605220218625802</v>
      </c>
      <c r="S86" s="7" t="s">
        <v>116</v>
      </c>
      <c r="T86" s="10">
        <v>0.32605220218625802</v>
      </c>
      <c r="W86" s="7" t="s">
        <v>116</v>
      </c>
      <c r="X86" s="10">
        <v>759.55088579060998</v>
      </c>
      <c r="Y86" s="26">
        <f>VLOOKUP(CurrentMtgRatesDataTable86[[#This Row],[asofdate]],AA:AB,2,0)</f>
        <v>8.9067713239008597E-2</v>
      </c>
      <c r="AA86" s="7" t="s">
        <v>116</v>
      </c>
      <c r="AB86" s="10">
        <v>8.9067713239008597E-2</v>
      </c>
      <c r="AE86" s="7" t="s">
        <v>99</v>
      </c>
      <c r="AF86" s="10">
        <v>1.33914715739996E-2</v>
      </c>
      <c r="AG86" s="10" t="str">
        <f>YEAR(CurrentMtgRatesDataTable89[[#This Row],[asofdate]])&amp;"-"&amp;MONTH(CurrentMtgRatesDataTable89[[#This Row],[asofdate]])</f>
        <v>2008-9</v>
      </c>
      <c r="AH86" s="6">
        <f>((CurrentMtgRatesDataTable89[[#This Row],[SeriesNumValue]]-$D$1)/$D$1+1)*100</f>
        <v>89.276477159997341</v>
      </c>
      <c r="AI86" s="6">
        <f>CurrentMtgRatesDataTable89[[#This Row],[Index]]-AH87</f>
        <v>0.46827110984733622</v>
      </c>
      <c r="AJ86" s="6">
        <f>VLOOKUP(CurrentMtgRatesDataTable89[[#This Row],[asofdate]],G:H,2,0)</f>
        <v>78.2639911263947</v>
      </c>
      <c r="AK86" s="6">
        <f>VLOOKUP(CurrentMtgRatesDataTable89[[#This Row],[asofdate]],K:L,2,0)</f>
        <v>0.16617522330031601</v>
      </c>
      <c r="AL86" s="6">
        <f>VLOOKUP(CurrentMtgRatesDataTable89[[#This Row],[asofdate]],O:P,2,0)</f>
        <v>38.161391290982401</v>
      </c>
      <c r="AM86" s="6">
        <f>VLOOKUP(CurrentMtgRatesDataTable89[[#This Row],[asofdate]],S:T,2,0)</f>
        <v>0.34039413439216898</v>
      </c>
      <c r="AN86" s="6">
        <f>VLOOKUP(CurrentMtgRatesDataTable89[[#This Row],[asofdate]],W:X,2,0)</f>
        <v>747.62063220995401</v>
      </c>
      <c r="AO86" s="6">
        <f>VLOOKUP(CurrentMtgRatesDataTable89[[#This Row],[asofdate]],AA:AB,2,0)</f>
        <v>0.16640580356024401</v>
      </c>
    </row>
    <row r="87" spans="1:41" s="8" customFormat="1" ht="12.75">
      <c r="A87" s="7" t="s">
        <v>117</v>
      </c>
      <c r="B87" s="10">
        <v>1.0698679831133401E-2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71.324532207556018</v>
      </c>
      <c r="E87" s="6"/>
      <c r="G87" s="7" t="s">
        <v>117</v>
      </c>
      <c r="H87" s="10">
        <v>76.135228391298597</v>
      </c>
      <c r="I87" s="26">
        <f>VLOOKUP(CurrentMtgRatesDataTable82[[#This Row],[asofdate]],K:L,2,0)</f>
        <v>6.4964808605050106E-2</v>
      </c>
      <c r="K87" s="7" t="s">
        <v>117</v>
      </c>
      <c r="L87" s="29">
        <v>6.4964808605050106E-2</v>
      </c>
      <c r="O87" s="7" t="s">
        <v>117</v>
      </c>
      <c r="P87" s="10">
        <v>35.168301849716002</v>
      </c>
      <c r="Q87" s="29">
        <f>VLOOKUP(CurrentMtgRatesDataTable84[[#This Row],[asofdate]],S:T,2,0)</f>
        <v>0.32344434841451197</v>
      </c>
      <c r="S87" s="7" t="s">
        <v>117</v>
      </c>
      <c r="T87" s="10">
        <v>0.32344434841451197</v>
      </c>
      <c r="W87" s="7" t="s">
        <v>117</v>
      </c>
      <c r="X87" s="10">
        <v>759.42978397366801</v>
      </c>
      <c r="Y87" s="26">
        <f>VLOOKUP(CurrentMtgRatesDataTable86[[#This Row],[asofdate]],AA:AB,2,0)</f>
        <v>8.6689856219654499E-2</v>
      </c>
      <c r="AA87" s="7" t="s">
        <v>117</v>
      </c>
      <c r="AB87" s="10">
        <v>8.6689856219654499E-2</v>
      </c>
      <c r="AE87" s="7" t="s">
        <v>98</v>
      </c>
      <c r="AF87" s="10">
        <v>1.33212309075225E-2</v>
      </c>
      <c r="AG87" s="10" t="str">
        <f>YEAR(CurrentMtgRatesDataTable89[[#This Row],[asofdate]])&amp;"-"&amp;MONTH(CurrentMtgRatesDataTable89[[#This Row],[asofdate]])</f>
        <v>2008-8</v>
      </c>
      <c r="AH87" s="6">
        <f>((CurrentMtgRatesDataTable89[[#This Row],[SeriesNumValue]]-$D$1)/$D$1+1)*100</f>
        <v>88.808206050150005</v>
      </c>
      <c r="AI87" s="6">
        <f>CurrentMtgRatesDataTable89[[#This Row],[Index]]-AH88</f>
        <v>-3.1127674679526791</v>
      </c>
      <c r="AJ87" s="6">
        <f>VLOOKUP(CurrentMtgRatesDataTable89[[#This Row],[asofdate]],G:H,2,0)</f>
        <v>78.848083591540799</v>
      </c>
      <c r="AK87" s="6">
        <f>VLOOKUP(CurrentMtgRatesDataTable89[[#This Row],[asofdate]],K:L,2,0)</f>
        <v>0.191583558106833</v>
      </c>
      <c r="AL87" s="6">
        <f>VLOOKUP(CurrentMtgRatesDataTable89[[#This Row],[asofdate]],O:P,2,0)</f>
        <v>37.999022975700299</v>
      </c>
      <c r="AM87" s="6">
        <f>VLOOKUP(CurrentMtgRatesDataTable89[[#This Row],[asofdate]],S:T,2,0)</f>
        <v>0.32484503679139298</v>
      </c>
      <c r="AN87" s="6">
        <f>VLOOKUP(CurrentMtgRatesDataTable89[[#This Row],[asofdate]],W:X,2,0)</f>
        <v>746.24269414627599</v>
      </c>
      <c r="AO87" s="6">
        <f>VLOOKUP(CurrentMtgRatesDataTable89[[#This Row],[asofdate]],AA:AB,2,0)</f>
        <v>0.173153700247589</v>
      </c>
    </row>
    <row r="88" spans="1:41" s="8" customFormat="1" ht="12.75">
      <c r="A88" s="7" t="s">
        <v>118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G88" s="7" t="s">
        <v>118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118</v>
      </c>
      <c r="L88" s="29">
        <v>7.1784475002186002E-2</v>
      </c>
      <c r="O88" s="7" t="s">
        <v>118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118</v>
      </c>
      <c r="T88" s="10">
        <v>0.308692322041347</v>
      </c>
      <c r="W88" s="7" t="s">
        <v>118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118</v>
      </c>
      <c r="AB88" s="10">
        <v>8.7713830080208194E-2</v>
      </c>
      <c r="AE88" s="7" t="s">
        <v>97</v>
      </c>
      <c r="AF88" s="10">
        <v>1.3788146027715401E-2</v>
      </c>
      <c r="AG88" s="10" t="str">
        <f>YEAR(CurrentMtgRatesDataTable89[[#This Row],[asofdate]])&amp;"-"&amp;MONTH(CurrentMtgRatesDataTable89[[#This Row],[asofdate]])</f>
        <v>2008-7</v>
      </c>
      <c r="AH88" s="6">
        <f>((CurrentMtgRatesDataTable89[[#This Row],[SeriesNumValue]]-$D$1)/$D$1+1)*100</f>
        <v>91.920973518102684</v>
      </c>
      <c r="AI88" s="6">
        <f>CurrentMtgRatesDataTable89[[#This Row],[Index]]-AH89</f>
        <v>-15.483184301716648</v>
      </c>
      <c r="AJ88" s="6">
        <f>VLOOKUP(CurrentMtgRatesDataTable89[[#This Row],[asofdate]],G:H,2,0)</f>
        <v>79.237894218252706</v>
      </c>
      <c r="AK88" s="6">
        <f>VLOOKUP(CurrentMtgRatesDataTable89[[#This Row],[asofdate]],K:L,2,0)</f>
        <v>0.202917163501594</v>
      </c>
      <c r="AL88" s="6">
        <f>VLOOKUP(CurrentMtgRatesDataTable89[[#This Row],[asofdate]],O:P,2,0)</f>
        <v>38.341732864603699</v>
      </c>
      <c r="AM88" s="6">
        <f>VLOOKUP(CurrentMtgRatesDataTable89[[#This Row],[asofdate]],S:T,2,0)</f>
        <v>0.30721338923919</v>
      </c>
      <c r="AN88" s="6">
        <f>VLOOKUP(CurrentMtgRatesDataTable89[[#This Row],[asofdate]],W:X,2,0)</f>
        <v>744.50255708489203</v>
      </c>
      <c r="AO88" s="6">
        <f>VLOOKUP(CurrentMtgRatesDataTable89[[#This Row],[asofdate]],AA:AB,2,0)</f>
        <v>0.18323535030281299</v>
      </c>
    </row>
    <row r="89" spans="1:41" s="8" customFormat="1" ht="12.75">
      <c r="A89" s="7" t="s">
        <v>119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G89" s="7" t="s">
        <v>119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119</v>
      </c>
      <c r="L89" s="29">
        <v>8.3302521575952804E-2</v>
      </c>
      <c r="O89" s="7" t="s">
        <v>119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119</v>
      </c>
      <c r="T89" s="10">
        <v>0.29885314640147098</v>
      </c>
      <c r="W89" s="7" t="s">
        <v>119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119</v>
      </c>
      <c r="AB89" s="10">
        <v>8.5642704200612693E-2</v>
      </c>
      <c r="AE89" s="7" t="s">
        <v>96</v>
      </c>
      <c r="AF89" s="10">
        <v>1.6110623672972901E-2</v>
      </c>
      <c r="AG89" s="10" t="str">
        <f>YEAR(CurrentMtgRatesDataTable89[[#This Row],[asofdate]])&amp;"-"&amp;MONTH(CurrentMtgRatesDataTable89[[#This Row],[asofdate]])</f>
        <v>2008-6</v>
      </c>
      <c r="AH89" s="6">
        <f>((CurrentMtgRatesDataTable89[[#This Row],[SeriesNumValue]]-$D$1)/$D$1+1)*100</f>
        <v>107.40415781981933</v>
      </c>
      <c r="AI89" s="6">
        <f>CurrentMtgRatesDataTable89[[#This Row],[Index]]-AH90</f>
        <v>-24.096357713984005</v>
      </c>
      <c r="AJ89" s="6">
        <f>VLOOKUP(CurrentMtgRatesDataTable89[[#This Row],[asofdate]],G:H,2,0)</f>
        <v>80.027867651152405</v>
      </c>
      <c r="AK89" s="6">
        <f>VLOOKUP(CurrentMtgRatesDataTable89[[#This Row],[asofdate]],K:L,2,0)</f>
        <v>0.22889156479952499</v>
      </c>
      <c r="AL89" s="6">
        <f>VLOOKUP(CurrentMtgRatesDataTable89[[#This Row],[asofdate]],O:P,2,0)</f>
        <v>38.559555713699098</v>
      </c>
      <c r="AM89" s="6">
        <f>VLOOKUP(CurrentMtgRatesDataTable89[[#This Row],[asofdate]],S:T,2,0)</f>
        <v>0.31965036017869303</v>
      </c>
      <c r="AN89" s="6">
        <f>VLOOKUP(CurrentMtgRatesDataTable89[[#This Row],[asofdate]],W:X,2,0)</f>
        <v>742.222862301183</v>
      </c>
      <c r="AO89" s="6">
        <f>VLOOKUP(CurrentMtgRatesDataTable89[[#This Row],[asofdate]],AA:AB,2,0)</f>
        <v>0.20023623442105001</v>
      </c>
    </row>
    <row r="90" spans="1:41" s="8" customFormat="1" ht="12.75">
      <c r="A90" s="7" t="s">
        <v>120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G90" s="7" t="s">
        <v>120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120</v>
      </c>
      <c r="L90" s="29">
        <v>9.1166284450128102E-2</v>
      </c>
      <c r="O90" s="7" t="s">
        <v>120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120</v>
      </c>
      <c r="T90" s="10">
        <v>0.29266486570866301</v>
      </c>
      <c r="W90" s="7" t="s">
        <v>120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120</v>
      </c>
      <c r="AB90" s="10">
        <v>8.6052426459444206E-2</v>
      </c>
      <c r="AE90" s="7" t="s">
        <v>95</v>
      </c>
      <c r="AF90" s="10">
        <v>1.9725077330070499E-2</v>
      </c>
      <c r="AG90" s="10" t="str">
        <f>YEAR(CurrentMtgRatesDataTable89[[#This Row],[asofdate]])&amp;"-"&amp;MONTH(CurrentMtgRatesDataTable89[[#This Row],[asofdate]])</f>
        <v>2008-5</v>
      </c>
      <c r="AH90" s="6">
        <f>((CurrentMtgRatesDataTable89[[#This Row],[SeriesNumValue]]-$D$1)/$D$1+1)*100</f>
        <v>131.50051553380334</v>
      </c>
      <c r="AI90" s="6">
        <f>CurrentMtgRatesDataTable89[[#This Row],[Index]]-AH91</f>
        <v>1.2989153251893129</v>
      </c>
      <c r="AJ90" s="6">
        <f>VLOOKUP(CurrentMtgRatesDataTable89[[#This Row],[asofdate]],G:H,2,0)</f>
        <v>81.660205199506606</v>
      </c>
      <c r="AK90" s="6">
        <f>VLOOKUP(CurrentMtgRatesDataTable89[[#This Row],[asofdate]],K:L,2,0)</f>
        <v>0.28729317060700799</v>
      </c>
      <c r="AL90" s="6">
        <f>VLOOKUP(CurrentMtgRatesDataTable89[[#This Row],[asofdate]],O:P,2,0)</f>
        <v>38.763320523913798</v>
      </c>
      <c r="AM90" s="6">
        <f>VLOOKUP(CurrentMtgRatesDataTable89[[#This Row],[asofdate]],S:T,2,0)</f>
        <v>0.33210440565274801</v>
      </c>
      <c r="AN90" s="6">
        <f>VLOOKUP(CurrentMtgRatesDataTable89[[#This Row],[asofdate]],W:X,2,0)</f>
        <v>736.65069694176304</v>
      </c>
      <c r="AO90" s="6">
        <f>VLOOKUP(CurrentMtgRatesDataTable89[[#This Row],[asofdate]],AA:AB,2,0)</f>
        <v>0.241430128341835</v>
      </c>
    </row>
    <row r="91" spans="1:41" s="8" customFormat="1" ht="12.75">
      <c r="A91" s="7" t="s">
        <v>121</v>
      </c>
      <c r="B91" s="10">
        <v>1.25009688737162E-2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83.33979249144133</v>
      </c>
      <c r="E91" s="6"/>
      <c r="G91" s="7" t="s">
        <v>121</v>
      </c>
      <c r="H91" s="10">
        <v>77.571270057902098</v>
      </c>
      <c r="I91" s="26">
        <f>VLOOKUP(CurrentMtgRatesDataTable82[[#This Row],[asofdate]],K:L,2,0)</f>
        <v>9.792198846689E-2</v>
      </c>
      <c r="K91" s="7" t="s">
        <v>121</v>
      </c>
      <c r="L91" s="29">
        <v>9.792198846689E-2</v>
      </c>
      <c r="O91" s="7" t="s">
        <v>121</v>
      </c>
      <c r="P91" s="10">
        <v>34.135812191148297</v>
      </c>
      <c r="Q91" s="29">
        <f>VLOOKUP(CurrentMtgRatesDataTable84[[#This Row],[asofdate]],S:T,2,0)</f>
        <v>0.28832487174291599</v>
      </c>
      <c r="S91" s="7" t="s">
        <v>121</v>
      </c>
      <c r="T91" s="10">
        <v>0.28832487174291599</v>
      </c>
      <c r="W91" s="7" t="s">
        <v>121</v>
      </c>
      <c r="X91" s="10">
        <v>761.23580818420896</v>
      </c>
      <c r="Y91" s="26">
        <f>VLOOKUP(CurrentMtgRatesDataTable86[[#This Row],[asofdate]],AA:AB,2,0)</f>
        <v>8.4139494871519796E-2</v>
      </c>
      <c r="AA91" s="7" t="s">
        <v>121</v>
      </c>
      <c r="AB91" s="10">
        <v>8.4139494871519796E-2</v>
      </c>
      <c r="AE91" s="7" t="s">
        <v>94</v>
      </c>
      <c r="AF91" s="10">
        <v>1.9530240031292102E-2</v>
      </c>
      <c r="AG91" s="10" t="str">
        <f>YEAR(CurrentMtgRatesDataTable89[[#This Row],[asofdate]])&amp;"-"&amp;MONTH(CurrentMtgRatesDataTable89[[#This Row],[asofdate]])</f>
        <v>2008-4</v>
      </c>
      <c r="AH91" s="6">
        <f>((CurrentMtgRatesDataTable89[[#This Row],[SeriesNumValue]]-$D$1)/$D$1+1)*100</f>
        <v>130.20160020861402</v>
      </c>
      <c r="AI91" s="6">
        <f>CurrentMtgRatesDataTable89[[#This Row],[Index]]-AH92</f>
        <v>-23.795692002954638</v>
      </c>
      <c r="AJ91" s="6">
        <f>VLOOKUP(CurrentMtgRatesDataTable89[[#This Row],[asofdate]],G:H,2,0)</f>
        <v>82.474909378130207</v>
      </c>
      <c r="AK91" s="6">
        <f>VLOOKUP(CurrentMtgRatesDataTable89[[#This Row],[asofdate]],K:L,2,0)</f>
        <v>0.32032869665397601</v>
      </c>
      <c r="AL91" s="6">
        <f>VLOOKUP(CurrentMtgRatesDataTable89[[#This Row],[asofdate]],O:P,2,0)</f>
        <v>38.414329636092397</v>
      </c>
      <c r="AM91" s="6">
        <f>VLOOKUP(CurrentMtgRatesDataTable89[[#This Row],[asofdate]],S:T,2,0)</f>
        <v>0.300734170812334</v>
      </c>
      <c r="AN91" s="6">
        <f>VLOOKUP(CurrentMtgRatesDataTable89[[#This Row],[asofdate]],W:X,2,0)</f>
        <v>734.110298704157</v>
      </c>
      <c r="AO91" s="6">
        <f>VLOOKUP(CurrentMtgRatesDataTable89[[#This Row],[asofdate]],AA:AB,2,0)</f>
        <v>0.25889667130801303</v>
      </c>
    </row>
    <row r="92" spans="1:41" s="8" customFormat="1" ht="12.75">
      <c r="A92" s="7" t="s">
        <v>122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G92" s="7" t="s">
        <v>122</v>
      </c>
      <c r="H92" s="10">
        <v>77.233235343375298</v>
      </c>
      <c r="I92" s="26">
        <f>VLOOKUP(CurrentMtgRatesDataTable82[[#This Row],[asofdate]],K:L,2,0)</f>
        <v>0.10134986605641599</v>
      </c>
      <c r="K92" s="7" t="s">
        <v>122</v>
      </c>
      <c r="L92" s="29">
        <v>0.10134986605641599</v>
      </c>
      <c r="O92" s="7" t="s">
        <v>122</v>
      </c>
      <c r="P92" s="10">
        <v>34.011766218461197</v>
      </c>
      <c r="Q92" s="29">
        <f>VLOOKUP(CurrentMtgRatesDataTable84[[#This Row],[asofdate]],S:T,2,0)</f>
        <v>0.28355778919539698</v>
      </c>
      <c r="S92" s="7" t="s">
        <v>122</v>
      </c>
      <c r="T92" s="10">
        <v>0.28355778919539698</v>
      </c>
      <c r="W92" s="7" t="s">
        <v>122</v>
      </c>
      <c r="X92" s="10">
        <v>760.87938286905</v>
      </c>
      <c r="Y92" s="26">
        <f>VLOOKUP(CurrentMtgRatesDataTable86[[#This Row],[asofdate]],AA:AB,2,0)</f>
        <v>8.5429424015766503E-2</v>
      </c>
      <c r="AA92" s="7" t="s">
        <v>122</v>
      </c>
      <c r="AB92" s="10">
        <v>8.5429424015766503E-2</v>
      </c>
      <c r="AE92" s="7" t="s">
        <v>93</v>
      </c>
      <c r="AF92" s="10">
        <v>2.30995938317353E-2</v>
      </c>
      <c r="AG92" s="10" t="str">
        <f>YEAR(CurrentMtgRatesDataTable89[[#This Row],[asofdate]])&amp;"-"&amp;MONTH(CurrentMtgRatesDataTable89[[#This Row],[asofdate]])</f>
        <v>2008-3</v>
      </c>
      <c r="AH92" s="6">
        <f>((CurrentMtgRatesDataTable89[[#This Row],[SeriesNumValue]]-$D$1)/$D$1+1)*100</f>
        <v>153.99729221156866</v>
      </c>
      <c r="AI92" s="6">
        <f>CurrentMtgRatesDataTable89[[#This Row],[Index]]-AH93</f>
        <v>-19.345169508780657</v>
      </c>
      <c r="AJ92" s="6">
        <f>VLOOKUP(CurrentMtgRatesDataTable89[[#This Row],[asofdate]],G:H,2,0)</f>
        <v>82.917978306429703</v>
      </c>
      <c r="AK92" s="6">
        <f>VLOOKUP(CurrentMtgRatesDataTable89[[#This Row],[asofdate]],K:L,2,0)</f>
        <v>0.34182677466995598</v>
      </c>
      <c r="AL92" s="6">
        <f>VLOOKUP(CurrentMtgRatesDataTable89[[#This Row],[asofdate]],O:P,2,0)</f>
        <v>39.249087722264797</v>
      </c>
      <c r="AM92" s="6">
        <f>VLOOKUP(CurrentMtgRatesDataTable89[[#This Row],[asofdate]],S:T,2,0)</f>
        <v>0.31717378018460402</v>
      </c>
      <c r="AN92" s="6">
        <f>VLOOKUP(CurrentMtgRatesDataTable89[[#This Row],[asofdate]],W:X,2,0)</f>
        <v>730.48483560039494</v>
      </c>
      <c r="AO92" s="6">
        <f>VLOOKUP(CurrentMtgRatesDataTable89[[#This Row],[asofdate]],AA:AB,2,0)</f>
        <v>0.280579895669821</v>
      </c>
    </row>
    <row r="93" spans="1:41" s="8" customFormat="1" ht="12.75">
      <c r="A93" s="7" t="s">
        <v>123</v>
      </c>
      <c r="B93" s="10">
        <v>1.19827056148895E-2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79.884704099263331</v>
      </c>
      <c r="E93" s="6"/>
      <c r="G93" s="7" t="s">
        <v>123</v>
      </c>
      <c r="H93" s="10">
        <v>76.946955858059994</v>
      </c>
      <c r="I93" s="26">
        <f>VLOOKUP(CurrentMtgRatesDataTable82[[#This Row],[asofdate]],K:L,2,0)</f>
        <v>9.8361710433251301E-2</v>
      </c>
      <c r="K93" s="7" t="s">
        <v>123</v>
      </c>
      <c r="L93" s="29">
        <v>9.8361710433251301E-2</v>
      </c>
      <c r="O93" s="7" t="s">
        <v>123</v>
      </c>
      <c r="P93" s="10">
        <v>33.848965056113798</v>
      </c>
      <c r="Q93" s="29">
        <f>VLOOKUP(CurrentMtgRatesDataTable84[[#This Row],[asofdate]],S:T,2,0)</f>
        <v>0.28517471897831898</v>
      </c>
      <c r="S93" s="7" t="s">
        <v>123</v>
      </c>
      <c r="T93" s="10">
        <v>0.28517471897831898</v>
      </c>
      <c r="W93" s="7" t="s">
        <v>123</v>
      </c>
      <c r="X93" s="10">
        <v>761.77021296223404</v>
      </c>
      <c r="Y93" s="26">
        <f>VLOOKUP(CurrentMtgRatesDataTable86[[#This Row],[asofdate]],AA:AB,2,0)</f>
        <v>8.3655813641190901E-2</v>
      </c>
      <c r="AA93" s="7" t="s">
        <v>123</v>
      </c>
      <c r="AB93" s="10">
        <v>8.3655813641190901E-2</v>
      </c>
      <c r="AE93" s="7" t="s">
        <v>92</v>
      </c>
      <c r="AF93" s="10">
        <v>2.6001369258052399E-2</v>
      </c>
      <c r="AG93" s="10" t="str">
        <f>YEAR(CurrentMtgRatesDataTable89[[#This Row],[asofdate]])&amp;"-"&amp;MONTH(CurrentMtgRatesDataTable89[[#This Row],[asofdate]])</f>
        <v>2008-2</v>
      </c>
      <c r="AH93" s="6">
        <f>((CurrentMtgRatesDataTable89[[#This Row],[SeriesNumValue]]-$D$1)/$D$1+1)*100</f>
        <v>173.34246172034932</v>
      </c>
      <c r="AI93" s="6">
        <f>CurrentMtgRatesDataTable89[[#This Row],[Index]]-AH94</f>
        <v>-1.4884302280193538</v>
      </c>
      <c r="AJ93" s="6">
        <f>VLOOKUP(CurrentMtgRatesDataTable89[[#This Row],[asofdate]],G:H,2,0)</f>
        <v>83.407523352475593</v>
      </c>
      <c r="AK93" s="6">
        <f>VLOOKUP(CurrentMtgRatesDataTable89[[#This Row],[asofdate]],K:L,2,0)</f>
        <v>0.36096554720004298</v>
      </c>
      <c r="AL93" s="6">
        <f>VLOOKUP(CurrentMtgRatesDataTable89[[#This Row],[asofdate]],O:P,2,0)</f>
        <v>39.092016446336103</v>
      </c>
      <c r="AM93" s="6">
        <f>VLOOKUP(CurrentMtgRatesDataTable89[[#This Row],[asofdate]],S:T,2,0)</f>
        <v>0.32064750057136798</v>
      </c>
      <c r="AN93" s="6">
        <f>VLOOKUP(CurrentMtgRatesDataTable89[[#This Row],[asofdate]],W:X,2,0)</f>
        <v>728.34084731165694</v>
      </c>
      <c r="AO93" s="6">
        <f>VLOOKUP(CurrentMtgRatesDataTable89[[#This Row],[asofdate]],AA:AB,2,0)</f>
        <v>0.29981088723409199</v>
      </c>
    </row>
    <row r="94" spans="1:41" s="8" customFormat="1" ht="12.75">
      <c r="A94" s="7" t="s">
        <v>124</v>
      </c>
      <c r="B94" s="10">
        <v>1.17018832863104E-2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78.01255524206934</v>
      </c>
      <c r="E94" s="6"/>
      <c r="G94" s="7" t="s">
        <v>124</v>
      </c>
      <c r="H94" s="10">
        <v>77.156561485235699</v>
      </c>
      <c r="I94" s="26">
        <f>VLOOKUP(CurrentMtgRatesDataTable82[[#This Row],[asofdate]],K:L,2,0)</f>
        <v>0.103564704192559</v>
      </c>
      <c r="K94" s="7" t="s">
        <v>124</v>
      </c>
      <c r="L94" s="29">
        <v>0.103564704192559</v>
      </c>
      <c r="O94" s="7" t="s">
        <v>124</v>
      </c>
      <c r="P94" s="10">
        <v>33.5576122403547</v>
      </c>
      <c r="Q94" s="29">
        <f>VLOOKUP(CurrentMtgRatesDataTable84[[#This Row],[asofdate]],S:T,2,0)</f>
        <v>0.27448138184562199</v>
      </c>
      <c r="S94" s="7" t="s">
        <v>124</v>
      </c>
      <c r="T94" s="10">
        <v>0.27448138184562199</v>
      </c>
      <c r="W94" s="7" t="s">
        <v>124</v>
      </c>
      <c r="X94" s="10">
        <v>762.20978525417195</v>
      </c>
      <c r="Y94" s="26">
        <f>VLOOKUP(CurrentMtgRatesDataTable86[[#This Row],[asofdate]],AA:AB,2,0)</f>
        <v>8.2191299826441605E-2</v>
      </c>
      <c r="AA94" s="7" t="s">
        <v>124</v>
      </c>
      <c r="AB94" s="10">
        <v>8.2191299826441605E-2</v>
      </c>
      <c r="AE94" s="7" t="s">
        <v>91</v>
      </c>
      <c r="AF94" s="10">
        <v>2.62246337922553E-2</v>
      </c>
      <c r="AG94" s="10" t="str">
        <f>YEAR(CurrentMtgRatesDataTable89[[#This Row],[asofdate]])&amp;"-"&amp;MONTH(CurrentMtgRatesDataTable89[[#This Row],[asofdate]])</f>
        <v>2008-1</v>
      </c>
      <c r="AH94" s="6">
        <f>((CurrentMtgRatesDataTable89[[#This Row],[SeriesNumValue]]-$D$1)/$D$1+1)*100</f>
        <v>174.83089194836867</v>
      </c>
      <c r="AI94" s="6">
        <f>CurrentMtgRatesDataTable89[[#This Row],[Index]]-AH95</f>
        <v>1.0165276328553148</v>
      </c>
      <c r="AJ94" s="6">
        <f>VLOOKUP(CurrentMtgRatesDataTable89[[#This Row],[asofdate]],G:H,2,0)</f>
        <v>83.855086421359104</v>
      </c>
      <c r="AK94" s="6">
        <f>VLOOKUP(CurrentMtgRatesDataTable89[[#This Row],[asofdate]],K:L,2,0)</f>
        <v>0.38125244038721101</v>
      </c>
      <c r="AL94" s="6">
        <f>VLOOKUP(CurrentMtgRatesDataTable89[[#This Row],[asofdate]],O:P,2,0)</f>
        <v>39.489770337798902</v>
      </c>
      <c r="AM94" s="6">
        <f>VLOOKUP(CurrentMtgRatesDataTable89[[#This Row],[asofdate]],S:T,2,0)</f>
        <v>0.32344256668514099</v>
      </c>
      <c r="AN94" s="6">
        <f>VLOOKUP(CurrentMtgRatesDataTable89[[#This Row],[asofdate]],W:X,2,0)</f>
        <v>725.61509622047595</v>
      </c>
      <c r="AO94" s="6">
        <f>VLOOKUP(CurrentMtgRatesDataTable89[[#This Row],[asofdate]],AA:AB,2,0)</f>
        <v>0.31873641481570802</v>
      </c>
    </row>
    <row r="95" spans="1:41" s="8" customFormat="1" ht="12.75">
      <c r="A95" s="7" t="s">
        <v>125</v>
      </c>
      <c r="B95" s="10">
        <v>1.1645271805036999E-2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77.635145366913335</v>
      </c>
      <c r="E95" s="6"/>
      <c r="G95" s="7" t="s">
        <v>125</v>
      </c>
      <c r="H95" s="10">
        <v>77.508572841074596</v>
      </c>
      <c r="I95" s="26">
        <f>VLOOKUP(CurrentMtgRatesDataTable82[[#This Row],[asofdate]],K:L,2,0)</f>
        <v>0.109595310123141</v>
      </c>
      <c r="K95" s="7" t="s">
        <v>125</v>
      </c>
      <c r="L95" s="29">
        <v>0.109595310123141</v>
      </c>
      <c r="O95" s="7" t="s">
        <v>125</v>
      </c>
      <c r="P95" s="10">
        <v>33.446969337891602</v>
      </c>
      <c r="Q95" s="29">
        <f>VLOOKUP(CurrentMtgRatesDataTable84[[#This Row],[asofdate]],S:T,2,0)</f>
        <v>0.271344279061353</v>
      </c>
      <c r="S95" s="7" t="s">
        <v>125</v>
      </c>
      <c r="T95" s="10">
        <v>0.271344279061353</v>
      </c>
      <c r="W95" s="7" t="s">
        <v>125</v>
      </c>
      <c r="X95" s="10">
        <v>762.31989803796102</v>
      </c>
      <c r="Y95" s="26">
        <f>VLOOKUP(CurrentMtgRatesDataTable86[[#This Row],[asofdate]],AA:AB,2,0)</f>
        <v>7.9307129121269804E-2</v>
      </c>
      <c r="AA95" s="7" t="s">
        <v>125</v>
      </c>
      <c r="AB95" s="10">
        <v>7.9307129121269804E-2</v>
      </c>
      <c r="AE95" s="7" t="s">
        <v>90</v>
      </c>
      <c r="AF95" s="10">
        <v>2.6072154647327001E-2</v>
      </c>
      <c r="AG95" s="10" t="str">
        <f>YEAR(CurrentMtgRatesDataTable89[[#This Row],[asofdate]])&amp;"-"&amp;MONTH(CurrentMtgRatesDataTable89[[#This Row],[asofdate]])</f>
        <v>2007-12</v>
      </c>
      <c r="AH95" s="6">
        <f>((CurrentMtgRatesDataTable89[[#This Row],[SeriesNumValue]]-$D$1)/$D$1+1)*100</f>
        <v>173.81436431551336</v>
      </c>
      <c r="AI95" s="6">
        <f>CurrentMtgRatesDataTable89[[#This Row],[Index]]-AH96</f>
        <v>1.4924642601760354</v>
      </c>
      <c r="AJ95" s="6">
        <f>VLOOKUP(CurrentMtgRatesDataTable89[[#This Row],[asofdate]],G:H,2,0)</f>
        <v>83.554435871280404</v>
      </c>
      <c r="AK95" s="6">
        <f>VLOOKUP(CurrentMtgRatesDataTable89[[#This Row],[asofdate]],K:L,2,0)</f>
        <v>0.37328154108915901</v>
      </c>
      <c r="AL95" s="6">
        <f>VLOOKUP(CurrentMtgRatesDataTable89[[#This Row],[asofdate]],O:P,2,0)</f>
        <v>39.579908349099497</v>
      </c>
      <c r="AM95" s="6">
        <f>VLOOKUP(CurrentMtgRatesDataTable89[[#This Row],[asofdate]],S:T,2,0)</f>
        <v>0.32737388737458001</v>
      </c>
      <c r="AN95" s="6">
        <f>VLOOKUP(CurrentMtgRatesDataTable89[[#This Row],[asofdate]],W:X,2,0)</f>
        <v>724.93962095695599</v>
      </c>
      <c r="AO95" s="6">
        <f>VLOOKUP(CurrentMtgRatesDataTable89[[#This Row],[asofdate]],AA:AB,2,0)</f>
        <v>0.32191401029786698</v>
      </c>
    </row>
    <row r="96" spans="1:41" s="8" customFormat="1" ht="12.75">
      <c r="A96" s="7" t="s">
        <v>126</v>
      </c>
      <c r="B96" s="10">
        <v>1.15830001231689E-2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77.220000821126007</v>
      </c>
      <c r="E96" s="6"/>
      <c r="G96" s="7" t="s">
        <v>126</v>
      </c>
      <c r="H96" s="10">
        <v>77.837797594412805</v>
      </c>
      <c r="I96" s="26">
        <f>VLOOKUP(CurrentMtgRatesDataTable82[[#This Row],[asofdate]],K:L,2,0)</f>
        <v>0.110103631507</v>
      </c>
      <c r="K96" s="7" t="s">
        <v>126</v>
      </c>
      <c r="L96" s="29">
        <v>0.110103631507</v>
      </c>
      <c r="O96" s="7" t="s">
        <v>126</v>
      </c>
      <c r="P96" s="10">
        <v>33.559075656695398</v>
      </c>
      <c r="Q96" s="29">
        <f>VLOOKUP(CurrentMtgRatesDataTable84[[#This Row],[asofdate]],S:T,2,0)</f>
        <v>0.27858044460794301</v>
      </c>
      <c r="S96" s="7" t="s">
        <v>126</v>
      </c>
      <c r="T96" s="10">
        <v>0.27858044460794301</v>
      </c>
      <c r="W96" s="7" t="s">
        <v>126</v>
      </c>
      <c r="X96" s="10">
        <v>762.664513090382</v>
      </c>
      <c r="Y96" s="26">
        <f>VLOOKUP(CurrentMtgRatesDataTable86[[#This Row],[asofdate]],AA:AB,2,0)</f>
        <v>7.6552959238073204E-2</v>
      </c>
      <c r="AA96" s="7" t="s">
        <v>126</v>
      </c>
      <c r="AB96" s="10">
        <v>7.6552959238073204E-2</v>
      </c>
      <c r="AE96" s="7" t="s">
        <v>89</v>
      </c>
      <c r="AF96" s="10">
        <v>2.5848285008300598E-2</v>
      </c>
      <c r="AG96" s="10" t="str">
        <f>YEAR(CurrentMtgRatesDataTable89[[#This Row],[asofdate]])&amp;"-"&amp;MONTH(CurrentMtgRatesDataTable89[[#This Row],[asofdate]])</f>
        <v>2007-11</v>
      </c>
      <c r="AH96" s="6">
        <f>((CurrentMtgRatesDataTable89[[#This Row],[SeriesNumValue]]-$D$1)/$D$1+1)*100</f>
        <v>172.32190005533732</v>
      </c>
      <c r="AI96" s="6">
        <f>CurrentMtgRatesDataTable89[[#This Row],[Index]]-AH97</f>
        <v>2.9919293852200042</v>
      </c>
      <c r="AJ96" s="6">
        <f>VLOOKUP(CurrentMtgRatesDataTable89[[#This Row],[asofdate]],G:H,2,0)</f>
        <v>83.598180227379302</v>
      </c>
      <c r="AK96" s="6">
        <f>VLOOKUP(CurrentMtgRatesDataTable89[[#This Row],[asofdate]],K:L,2,0)</f>
        <v>0.37325443173169698</v>
      </c>
      <c r="AL96" s="6">
        <f>VLOOKUP(CurrentMtgRatesDataTable89[[#This Row],[asofdate]],O:P,2,0)</f>
        <v>39.641727438885503</v>
      </c>
      <c r="AM96" s="6">
        <f>VLOOKUP(CurrentMtgRatesDataTable89[[#This Row],[asofdate]],S:T,2,0)</f>
        <v>0.33257685736857001</v>
      </c>
      <c r="AN96" s="6">
        <f>VLOOKUP(CurrentMtgRatesDataTable89[[#This Row],[asofdate]],W:X,2,0)</f>
        <v>724.06936828744904</v>
      </c>
      <c r="AO96" s="6">
        <f>VLOOKUP(CurrentMtgRatesDataTable89[[#This Row],[asofdate]],AA:AB,2,0)</f>
        <v>0.33276857859813502</v>
      </c>
    </row>
    <row r="97" spans="1:41" s="8" customFormat="1" ht="12.75">
      <c r="A97" s="7" t="s">
        <v>127</v>
      </c>
      <c r="B97" s="10">
        <v>1.0420431594149401E-2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69.469543960996006</v>
      </c>
      <c r="E97" s="6"/>
      <c r="G97" s="7" t="s">
        <v>127</v>
      </c>
      <c r="H97" s="10">
        <v>77.942430425924101</v>
      </c>
      <c r="I97" s="26">
        <f>VLOOKUP(CurrentMtgRatesDataTable82[[#This Row],[asofdate]],K:L,2,0)</f>
        <v>0.118005260788832</v>
      </c>
      <c r="K97" s="7" t="s">
        <v>127</v>
      </c>
      <c r="L97" s="29">
        <v>0.118005260788832</v>
      </c>
      <c r="O97" s="7" t="s">
        <v>127</v>
      </c>
      <c r="P97" s="10">
        <v>33.487827800598602</v>
      </c>
      <c r="Q97" s="29">
        <f>VLOOKUP(CurrentMtgRatesDataTable84[[#This Row],[asofdate]],S:T,2,0)</f>
        <v>0.27239662139969401</v>
      </c>
      <c r="S97" s="7" t="s">
        <v>127</v>
      </c>
      <c r="T97" s="10">
        <v>0.27239662139969401</v>
      </c>
      <c r="W97" s="7" t="s">
        <v>127</v>
      </c>
      <c r="X97" s="10">
        <v>762.74176259389799</v>
      </c>
      <c r="Y97" s="26">
        <f>VLOOKUP(CurrentMtgRatesDataTable86[[#This Row],[asofdate]],AA:AB,2,0)</f>
        <v>7.5971479839057096E-2</v>
      </c>
      <c r="AA97" s="7" t="s">
        <v>127</v>
      </c>
      <c r="AB97" s="10">
        <v>7.5971479839057096E-2</v>
      </c>
      <c r="AE97" s="7" t="s">
        <v>88</v>
      </c>
      <c r="AF97" s="10">
        <v>2.5399495600517599E-2</v>
      </c>
      <c r="AG97" s="10" t="str">
        <f>YEAR(CurrentMtgRatesDataTable89[[#This Row],[asofdate]])&amp;"-"&amp;MONTH(CurrentMtgRatesDataTable89[[#This Row],[asofdate]])</f>
        <v>2007-10</v>
      </c>
      <c r="AH97" s="6">
        <f>((CurrentMtgRatesDataTable89[[#This Row],[SeriesNumValue]]-$D$1)/$D$1+1)*100</f>
        <v>169.32997067011732</v>
      </c>
      <c r="AI97" s="6">
        <f>CurrentMtgRatesDataTable89[[#This Row],[Index]]-AH98</f>
        <v>14.006319173959298</v>
      </c>
      <c r="AJ97" s="6">
        <f>VLOOKUP(CurrentMtgRatesDataTable89[[#This Row],[asofdate]],G:H,2,0)</f>
        <v>83.087890003817094</v>
      </c>
      <c r="AK97" s="6">
        <f>VLOOKUP(CurrentMtgRatesDataTable89[[#This Row],[asofdate]],K:L,2,0)</f>
        <v>0.35608216752946897</v>
      </c>
      <c r="AL97" s="6">
        <f>VLOOKUP(CurrentMtgRatesDataTable89[[#This Row],[asofdate]],O:P,2,0)</f>
        <v>39.155855037278897</v>
      </c>
      <c r="AM97" s="6">
        <f>VLOOKUP(CurrentMtgRatesDataTable89[[#This Row],[asofdate]],S:T,2,0)</f>
        <v>0.31485195273809702</v>
      </c>
      <c r="AN97" s="6">
        <f>VLOOKUP(CurrentMtgRatesDataTable89[[#This Row],[asofdate]],W:X,2,0)</f>
        <v>725.21978804700802</v>
      </c>
      <c r="AO97" s="6">
        <f>VLOOKUP(CurrentMtgRatesDataTable89[[#This Row],[asofdate]],AA:AB,2,0)</f>
        <v>0.32561141745214001</v>
      </c>
    </row>
    <row r="98" spans="1:41" s="8" customFormat="1" ht="12.75">
      <c r="A98" s="7" t="s">
        <v>128</v>
      </c>
      <c r="B98" s="10">
        <v>1.0116969240074099E-2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67.446461600494004</v>
      </c>
      <c r="E98" s="6"/>
      <c r="G98" s="7" t="s">
        <v>128</v>
      </c>
      <c r="H98" s="10">
        <v>77.808361246858993</v>
      </c>
      <c r="I98" s="26">
        <f>VLOOKUP(CurrentMtgRatesDataTable82[[#This Row],[asofdate]],K:L,2,0)</f>
        <v>0.120701096401822</v>
      </c>
      <c r="K98" s="7" t="s">
        <v>128</v>
      </c>
      <c r="L98" s="29">
        <v>0.120701096401822</v>
      </c>
      <c r="O98" s="7" t="s">
        <v>128</v>
      </c>
      <c r="P98" s="10">
        <v>33.8951357753784</v>
      </c>
      <c r="Q98" s="29">
        <f>VLOOKUP(CurrentMtgRatesDataTable84[[#This Row],[asofdate]],S:T,2,0)</f>
        <v>0.28762591004458499</v>
      </c>
      <c r="S98" s="7" t="s">
        <v>128</v>
      </c>
      <c r="T98" s="10">
        <v>0.28762591004458499</v>
      </c>
      <c r="W98" s="7" t="s">
        <v>128</v>
      </c>
      <c r="X98" s="10">
        <v>761.89350586452201</v>
      </c>
      <c r="Y98" s="26">
        <f>VLOOKUP(CurrentMtgRatesDataTable86[[#This Row],[asofdate]],AA:AB,2,0)</f>
        <v>8.1437592939799103E-2</v>
      </c>
      <c r="AA98" s="7" t="s">
        <v>128</v>
      </c>
      <c r="AB98" s="10">
        <v>8.1437592939799103E-2</v>
      </c>
      <c r="AE98" s="7" t="s">
        <v>87</v>
      </c>
      <c r="AF98" s="10">
        <v>2.3298547724423701E-2</v>
      </c>
      <c r="AG98" s="10" t="str">
        <f>YEAR(CurrentMtgRatesDataTable89[[#This Row],[asofdate]])&amp;"-"&amp;MONTH(CurrentMtgRatesDataTable89[[#This Row],[asofdate]])</f>
        <v>2007-9</v>
      </c>
      <c r="AH98" s="6">
        <f>((CurrentMtgRatesDataTable89[[#This Row],[SeriesNumValue]]-$D$1)/$D$1+1)*100</f>
        <v>155.32365149615802</v>
      </c>
      <c r="AI98" s="6">
        <f>CurrentMtgRatesDataTable89[[#This Row],[Index]]-AH99</f>
        <v>17.229269371458031</v>
      </c>
      <c r="AJ98" s="6">
        <f>VLOOKUP(CurrentMtgRatesDataTable89[[#This Row],[asofdate]],G:H,2,0)</f>
        <v>82.874350662137303</v>
      </c>
      <c r="AK98" s="6">
        <f>VLOOKUP(CurrentMtgRatesDataTable89[[#This Row],[asofdate]],K:L,2,0)</f>
        <v>0.33002145591068499</v>
      </c>
      <c r="AL98" s="6">
        <f>VLOOKUP(CurrentMtgRatesDataTable89[[#This Row],[asofdate]],O:P,2,0)</f>
        <v>39.279520130665098</v>
      </c>
      <c r="AM98" s="6">
        <f>VLOOKUP(CurrentMtgRatesDataTable89[[#This Row],[asofdate]],S:T,2,0)</f>
        <v>0.31798180334842602</v>
      </c>
      <c r="AN98" s="6">
        <f>VLOOKUP(CurrentMtgRatesDataTable89[[#This Row],[asofdate]],W:X,2,0)</f>
        <v>725.50573707449803</v>
      </c>
      <c r="AO98" s="6">
        <f>VLOOKUP(CurrentMtgRatesDataTable89[[#This Row],[asofdate]],AA:AB,2,0)</f>
        <v>0.32240974299630598</v>
      </c>
    </row>
    <row r="99" spans="1:41" s="8" customFormat="1" ht="12.75">
      <c r="A99" s="7" t="s">
        <v>129</v>
      </c>
      <c r="B99" s="10">
        <v>1.10522354400369E-2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73.681569600245993</v>
      </c>
      <c r="E99" s="6"/>
      <c r="G99" s="7" t="s">
        <v>129</v>
      </c>
      <c r="H99" s="10">
        <v>77.638128652132593</v>
      </c>
      <c r="I99" s="26">
        <f>VLOOKUP(CurrentMtgRatesDataTable82[[#This Row],[asofdate]],K:L,2,0)</f>
        <v>0.117193907205183</v>
      </c>
      <c r="K99" s="7" t="s">
        <v>129</v>
      </c>
      <c r="L99" s="29">
        <v>0.117193907205183</v>
      </c>
      <c r="O99" s="7" t="s">
        <v>129</v>
      </c>
      <c r="P99" s="10">
        <v>34.494816098160101</v>
      </c>
      <c r="Q99" s="29">
        <f>VLOOKUP(CurrentMtgRatesDataTable84[[#This Row],[asofdate]],S:T,2,0)</f>
        <v>0.31326019116319598</v>
      </c>
      <c r="S99" s="7" t="s">
        <v>129</v>
      </c>
      <c r="T99" s="10">
        <v>0.31326019116319598</v>
      </c>
      <c r="W99" s="7" t="s">
        <v>129</v>
      </c>
      <c r="X99" s="10">
        <v>760.60832650649604</v>
      </c>
      <c r="Y99" s="26">
        <f>VLOOKUP(CurrentMtgRatesDataTable86[[#This Row],[asofdate]],AA:AB,2,0)</f>
        <v>8.6058253104911206E-2</v>
      </c>
      <c r="AA99" s="7" t="s">
        <v>129</v>
      </c>
      <c r="AB99" s="10">
        <v>8.6058253104911206E-2</v>
      </c>
      <c r="AE99" s="7" t="s">
        <v>86</v>
      </c>
      <c r="AF99" s="10">
        <v>2.0714157318705E-2</v>
      </c>
      <c r="AG99" s="10" t="str">
        <f>YEAR(CurrentMtgRatesDataTable89[[#This Row],[asofdate]])&amp;"-"&amp;MONTH(CurrentMtgRatesDataTable89[[#This Row],[asofdate]])</f>
        <v>2007-8</v>
      </c>
      <c r="AH99" s="6">
        <f>((CurrentMtgRatesDataTable89[[#This Row],[SeriesNumValue]]-$D$1)/$D$1+1)*100</f>
        <v>138.09438212469999</v>
      </c>
      <c r="AI99" s="6">
        <f>CurrentMtgRatesDataTable89[[#This Row],[Index]]-AH100</f>
        <v>5.232125973888003</v>
      </c>
      <c r="AJ99" s="6">
        <f>VLOOKUP(CurrentMtgRatesDataTable89[[#This Row],[asofdate]],G:H,2,0)</f>
        <v>82.723748146625795</v>
      </c>
      <c r="AK99" s="6">
        <f>VLOOKUP(CurrentMtgRatesDataTable89[[#This Row],[asofdate]],K:L,2,0)</f>
        <v>0.32255308239293201</v>
      </c>
      <c r="AL99" s="6">
        <f>VLOOKUP(CurrentMtgRatesDataTable89[[#This Row],[asofdate]],O:P,2,0)</f>
        <v>39.121730682626499</v>
      </c>
      <c r="AM99" s="6">
        <f>VLOOKUP(CurrentMtgRatesDataTable89[[#This Row],[asofdate]],S:T,2,0)</f>
        <v>0.31732347013787598</v>
      </c>
      <c r="AN99" s="6">
        <f>VLOOKUP(CurrentMtgRatesDataTable89[[#This Row],[asofdate]],W:X,2,0)</f>
        <v>724.80771850866597</v>
      </c>
      <c r="AO99" s="6">
        <f>VLOOKUP(CurrentMtgRatesDataTable89[[#This Row],[asofdate]],AA:AB,2,0)</f>
        <v>0.32695996607863698</v>
      </c>
    </row>
    <row r="100" spans="1:41" s="8" customFormat="1" ht="12.75">
      <c r="A100" s="7" t="s">
        <v>130</v>
      </c>
      <c r="B100" s="10">
        <v>1.1525630062838001E-2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76.837533752253336</v>
      </c>
      <c r="E100" s="6"/>
      <c r="G100" s="7" t="s">
        <v>130</v>
      </c>
      <c r="H100" s="10">
        <v>77.553566680433306</v>
      </c>
      <c r="I100" s="26">
        <f>VLOOKUP(CurrentMtgRatesDataTable82[[#This Row],[asofdate]],K:L,2,0)</f>
        <v>0.122647089650309</v>
      </c>
      <c r="K100" s="7" t="s">
        <v>130</v>
      </c>
      <c r="L100" s="29">
        <v>0.122647089650309</v>
      </c>
      <c r="O100" s="7" t="s">
        <v>130</v>
      </c>
      <c r="P100" s="10">
        <v>34.640563307089003</v>
      </c>
      <c r="Q100" s="29">
        <f>VLOOKUP(CurrentMtgRatesDataTable84[[#This Row],[asofdate]],S:T,2,0)</f>
        <v>0.319872427731487</v>
      </c>
      <c r="S100" s="7" t="s">
        <v>130</v>
      </c>
      <c r="T100" s="10">
        <v>0.319872427731487</v>
      </c>
      <c r="W100" s="7" t="s">
        <v>130</v>
      </c>
      <c r="X100" s="10">
        <v>759.50569560703002</v>
      </c>
      <c r="Y100" s="26">
        <f>VLOOKUP(CurrentMtgRatesDataTable86[[#This Row],[asofdate]],AA:AB,2,0)</f>
        <v>9.3031068029574907E-2</v>
      </c>
      <c r="AA100" s="7" t="s">
        <v>130</v>
      </c>
      <c r="AB100" s="10">
        <v>9.3031068029574907E-2</v>
      </c>
      <c r="AE100" s="7" t="s">
        <v>85</v>
      </c>
      <c r="AF100" s="10">
        <v>1.99293384226218E-2</v>
      </c>
      <c r="AG100" s="10" t="str">
        <f>YEAR(CurrentMtgRatesDataTable89[[#This Row],[asofdate]])&amp;"-"&amp;MONTH(CurrentMtgRatesDataTable89[[#This Row],[asofdate]])</f>
        <v>2007-7</v>
      </c>
      <c r="AH100" s="6">
        <f>((CurrentMtgRatesDataTable89[[#This Row],[SeriesNumValue]]-$D$1)/$D$1+1)*100</f>
        <v>132.86225615081199</v>
      </c>
      <c r="AI100" s="6">
        <f>CurrentMtgRatesDataTable89[[#This Row],[Index]]-AH101</f>
        <v>-4.9538596782773254</v>
      </c>
      <c r="AJ100" s="6">
        <f>VLOOKUP(CurrentMtgRatesDataTable89[[#This Row],[asofdate]],G:H,2,0)</f>
        <v>82.390008866534302</v>
      </c>
      <c r="AK100" s="6">
        <f>VLOOKUP(CurrentMtgRatesDataTable89[[#This Row],[asofdate]],K:L,2,0)</f>
        <v>0.307490238269997</v>
      </c>
      <c r="AL100" s="6">
        <f>VLOOKUP(CurrentMtgRatesDataTable89[[#This Row],[asofdate]],O:P,2,0)</f>
        <v>38.352053831064303</v>
      </c>
      <c r="AM100" s="6">
        <f>VLOOKUP(CurrentMtgRatesDataTable89[[#This Row],[asofdate]],S:T,2,0)</f>
        <v>0.30018736627776699</v>
      </c>
      <c r="AN100" s="6">
        <f>VLOOKUP(CurrentMtgRatesDataTable89[[#This Row],[asofdate]],W:X,2,0)</f>
        <v>724.46347829876504</v>
      </c>
      <c r="AO100" s="6">
        <f>VLOOKUP(CurrentMtgRatesDataTable89[[#This Row],[asofdate]],AA:AB,2,0)</f>
        <v>0.32994997846275098</v>
      </c>
    </row>
    <row r="101" spans="1:41" s="8" customFormat="1" ht="12.75">
      <c r="A101" s="7" t="s">
        <v>131</v>
      </c>
      <c r="B101" s="10">
        <v>1.24224279881445E-2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82.81618658763</v>
      </c>
      <c r="E101" s="6"/>
      <c r="G101" s="7" t="s">
        <v>131</v>
      </c>
      <c r="H101" s="10">
        <v>77.980703572003705</v>
      </c>
      <c r="I101" s="26">
        <f>VLOOKUP(CurrentMtgRatesDataTable82[[#This Row],[asofdate]],K:L,2,0)</f>
        <v>0.12673284323842701</v>
      </c>
      <c r="K101" s="7" t="s">
        <v>131</v>
      </c>
      <c r="L101" s="29">
        <v>0.12673284323842701</v>
      </c>
      <c r="O101" s="7" t="s">
        <v>131</v>
      </c>
      <c r="P101" s="10">
        <v>34.674479233867103</v>
      </c>
      <c r="Q101" s="29">
        <f>VLOOKUP(CurrentMtgRatesDataTable84[[#This Row],[asofdate]],S:T,2,0)</f>
        <v>0.32151789622334498</v>
      </c>
      <c r="S101" s="7" t="s">
        <v>131</v>
      </c>
      <c r="T101" s="10">
        <v>0.32151789622334498</v>
      </c>
      <c r="W101" s="7" t="s">
        <v>131</v>
      </c>
      <c r="X101" s="10">
        <v>759.975962803107</v>
      </c>
      <c r="Y101" s="26">
        <f>VLOOKUP(CurrentMtgRatesDataTable86[[#This Row],[asofdate]],AA:AB,2,0)</f>
        <v>9.1089972624073604E-2</v>
      </c>
      <c r="AA101" s="7" t="s">
        <v>131</v>
      </c>
      <c r="AB101" s="10">
        <v>9.1089972624073604E-2</v>
      </c>
      <c r="AE101" s="7" t="s">
        <v>84</v>
      </c>
      <c r="AF101" s="10">
        <v>2.06724173743634E-2</v>
      </c>
      <c r="AG101" s="10" t="str">
        <f>YEAR(CurrentMtgRatesDataTable89[[#This Row],[asofdate]])&amp;"-"&amp;MONTH(CurrentMtgRatesDataTable89[[#This Row],[asofdate]])</f>
        <v>2007-6</v>
      </c>
      <c r="AH101" s="6">
        <f>((CurrentMtgRatesDataTable89[[#This Row],[SeriesNumValue]]-$D$1)/$D$1+1)*100</f>
        <v>137.81611582908931</v>
      </c>
      <c r="AI101" s="6">
        <f>CurrentMtgRatesDataTable89[[#This Row],[Index]]-AH102</f>
        <v>2.5831409511312984</v>
      </c>
      <c r="AJ101" s="6">
        <f>VLOOKUP(CurrentMtgRatesDataTable89[[#This Row],[asofdate]],G:H,2,0)</f>
        <v>81.6388720816486</v>
      </c>
      <c r="AK101" s="6">
        <f>VLOOKUP(CurrentMtgRatesDataTable89[[#This Row],[asofdate]],K:L,2,0)</f>
        <v>0.27467964165207298</v>
      </c>
      <c r="AL101" s="6">
        <f>VLOOKUP(CurrentMtgRatesDataTable89[[#This Row],[asofdate]],O:P,2,0)</f>
        <v>37.926114853981097</v>
      </c>
      <c r="AM101" s="6">
        <f>VLOOKUP(CurrentMtgRatesDataTable89[[#This Row],[asofdate]],S:T,2,0)</f>
        <v>0.29479974602203601</v>
      </c>
      <c r="AN101" s="6">
        <f>VLOOKUP(CurrentMtgRatesDataTable89[[#This Row],[asofdate]],W:X,2,0)</f>
        <v>726.03782382293798</v>
      </c>
      <c r="AO101" s="6">
        <f>VLOOKUP(CurrentMtgRatesDataTable89[[#This Row],[asofdate]],AA:AB,2,0)</f>
        <v>0.31736322727135702</v>
      </c>
    </row>
    <row r="102" spans="1:41" s="8" customFormat="1" ht="12.75">
      <c r="A102" s="7" t="s">
        <v>132</v>
      </c>
      <c r="B102" s="10">
        <v>1.2827935077817499E-2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85.519567185450001</v>
      </c>
      <c r="E102" s="6"/>
      <c r="G102" s="7" t="s">
        <v>132</v>
      </c>
      <c r="H102" s="10">
        <v>78.4121920195076</v>
      </c>
      <c r="I102" s="26">
        <f>VLOOKUP(CurrentMtgRatesDataTable82[[#This Row],[asofdate]],K:L,2,0)</f>
        <v>0.142133100786937</v>
      </c>
      <c r="K102" s="7" t="s">
        <v>132</v>
      </c>
      <c r="L102" s="29">
        <v>0.142133100786937</v>
      </c>
      <c r="O102" s="7" t="s">
        <v>132</v>
      </c>
      <c r="P102" s="10">
        <v>34.252139111142597</v>
      </c>
      <c r="Q102" s="29">
        <f>VLOOKUP(CurrentMtgRatesDataTable84[[#This Row],[asofdate]],S:T,2,0)</f>
        <v>0.29764988347825</v>
      </c>
      <c r="S102" s="7" t="s">
        <v>132</v>
      </c>
      <c r="T102" s="10">
        <v>0.29764988347825</v>
      </c>
      <c r="W102" s="7" t="s">
        <v>132</v>
      </c>
      <c r="X102" s="10">
        <v>760.82402569153601</v>
      </c>
      <c r="Y102" s="26">
        <f>VLOOKUP(CurrentMtgRatesDataTable86[[#This Row],[asofdate]],AA:AB,2,0)</f>
        <v>8.66192531494651E-2</v>
      </c>
      <c r="AA102" s="7" t="s">
        <v>132</v>
      </c>
      <c r="AB102" s="10">
        <v>8.66192531494651E-2</v>
      </c>
      <c r="AE102" s="7" t="s">
        <v>83</v>
      </c>
      <c r="AF102" s="10">
        <v>2.0284946231693701E-2</v>
      </c>
      <c r="AG102" s="10" t="str">
        <f>YEAR(CurrentMtgRatesDataTable89[[#This Row],[asofdate]])&amp;"-"&amp;MONTH(CurrentMtgRatesDataTable89[[#This Row],[asofdate]])</f>
        <v>2007-5</v>
      </c>
      <c r="AH102" s="6">
        <f>((CurrentMtgRatesDataTable89[[#This Row],[SeriesNumValue]]-$D$1)/$D$1+1)*100</f>
        <v>135.23297487795801</v>
      </c>
      <c r="AI102" s="6">
        <f>CurrentMtgRatesDataTable89[[#This Row],[Index]]-AH103</f>
        <v>3.0647218881340166</v>
      </c>
      <c r="AJ102" s="6">
        <f>VLOOKUP(CurrentMtgRatesDataTable89[[#This Row],[asofdate]],G:H,2,0)</f>
        <v>81.029584931334</v>
      </c>
      <c r="AK102" s="6">
        <f>VLOOKUP(CurrentMtgRatesDataTable89[[#This Row],[asofdate]],K:L,2,0)</f>
        <v>0.25075487270087099</v>
      </c>
      <c r="AL102" s="6">
        <f>VLOOKUP(CurrentMtgRatesDataTable89[[#This Row],[asofdate]],O:P,2,0)</f>
        <v>37.941075227250401</v>
      </c>
      <c r="AM102" s="6">
        <f>VLOOKUP(CurrentMtgRatesDataTable89[[#This Row],[asofdate]],S:T,2,0)</f>
        <v>0.29044045878201202</v>
      </c>
      <c r="AN102" s="6">
        <f>VLOOKUP(CurrentMtgRatesDataTable89[[#This Row],[asofdate]],W:X,2,0)</f>
        <v>726.66837558813302</v>
      </c>
      <c r="AO102" s="6">
        <f>VLOOKUP(CurrentMtgRatesDataTable89[[#This Row],[asofdate]],AA:AB,2,0)</f>
        <v>0.31243119456729701</v>
      </c>
    </row>
    <row r="103" spans="1:41" s="8" customFormat="1" ht="12.75">
      <c r="A103" s="7" t="s">
        <v>133</v>
      </c>
      <c r="B103" s="10">
        <v>1.39433040492957E-2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92.955360328638008</v>
      </c>
      <c r="E103" s="6"/>
      <c r="G103" s="7" t="s">
        <v>133</v>
      </c>
      <c r="H103" s="10">
        <v>79.091934077567899</v>
      </c>
      <c r="I103" s="26">
        <f>VLOOKUP(CurrentMtgRatesDataTable82[[#This Row],[asofdate]],K:L,2,0)</f>
        <v>0.163140877283213</v>
      </c>
      <c r="K103" s="7" t="s">
        <v>133</v>
      </c>
      <c r="L103" s="29">
        <v>0.163140877283213</v>
      </c>
      <c r="O103" s="7" t="s">
        <v>133</v>
      </c>
      <c r="P103" s="10">
        <v>34.045091137562203</v>
      </c>
      <c r="Q103" s="29">
        <f>VLOOKUP(CurrentMtgRatesDataTable84[[#This Row],[asofdate]],S:T,2,0)</f>
        <v>0.287501640949613</v>
      </c>
      <c r="S103" s="7" t="s">
        <v>133</v>
      </c>
      <c r="T103" s="10">
        <v>0.287501640949613</v>
      </c>
      <c r="W103" s="7" t="s">
        <v>133</v>
      </c>
      <c r="X103" s="10">
        <v>760.10416700261203</v>
      </c>
      <c r="Y103" s="26">
        <f>VLOOKUP(CurrentMtgRatesDataTable86[[#This Row],[asofdate]],AA:AB,2,0)</f>
        <v>9.1407920331609702E-2</v>
      </c>
      <c r="AA103" s="7" t="s">
        <v>133</v>
      </c>
      <c r="AB103" s="10">
        <v>9.1407920331609702E-2</v>
      </c>
      <c r="AE103" s="7" t="s">
        <v>82</v>
      </c>
      <c r="AF103" s="10">
        <v>1.9825237948473601E-2</v>
      </c>
      <c r="AG103" s="10" t="str">
        <f>YEAR(CurrentMtgRatesDataTable89[[#This Row],[asofdate]])&amp;"-"&amp;MONTH(CurrentMtgRatesDataTable89[[#This Row],[asofdate]])</f>
        <v>2007-4</v>
      </c>
      <c r="AH103" s="6">
        <f>((CurrentMtgRatesDataTable89[[#This Row],[SeriesNumValue]]-$D$1)/$D$1+1)*100</f>
        <v>132.168252989824</v>
      </c>
      <c r="AI103" s="6">
        <f>CurrentMtgRatesDataTable89[[#This Row],[Index]]-AH104</f>
        <v>10.989575304721996</v>
      </c>
      <c r="AJ103" s="6">
        <f>VLOOKUP(CurrentMtgRatesDataTable89[[#This Row],[asofdate]],G:H,2,0)</f>
        <v>80.627500828568799</v>
      </c>
      <c r="AK103" s="6">
        <f>VLOOKUP(CurrentMtgRatesDataTable89[[#This Row],[asofdate]],K:L,2,0)</f>
        <v>0.23336175068755199</v>
      </c>
      <c r="AL103" s="6">
        <f>VLOOKUP(CurrentMtgRatesDataTable89[[#This Row],[asofdate]],O:P,2,0)</f>
        <v>37.946752928057499</v>
      </c>
      <c r="AM103" s="6">
        <f>VLOOKUP(CurrentMtgRatesDataTable89[[#This Row],[asofdate]],S:T,2,0)</f>
        <v>0.27418324865767502</v>
      </c>
      <c r="AN103" s="6">
        <f>VLOOKUP(CurrentMtgRatesDataTable89[[#This Row],[asofdate]],W:X,2,0)</f>
        <v>728.07226394657005</v>
      </c>
      <c r="AO103" s="6">
        <f>VLOOKUP(CurrentMtgRatesDataTable89[[#This Row],[asofdate]],AA:AB,2,0)</f>
        <v>0.30117036754250298</v>
      </c>
    </row>
    <row r="104" spans="1:41" s="8" customFormat="1" ht="12.75">
      <c r="A104" s="7" t="s">
        <v>134</v>
      </c>
      <c r="B104" s="10">
        <v>1.3444073540001201E-2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89.62715693334134</v>
      </c>
      <c r="E104" s="6"/>
      <c r="G104" s="7" t="s">
        <v>134</v>
      </c>
      <c r="H104" s="10">
        <v>79.4086037178091</v>
      </c>
      <c r="I104" s="26">
        <f>VLOOKUP(CurrentMtgRatesDataTable82[[#This Row],[asofdate]],K:L,2,0)</f>
        <v>0.17193051390476799</v>
      </c>
      <c r="K104" s="7" t="s">
        <v>134</v>
      </c>
      <c r="L104" s="29">
        <v>0.17193051390476799</v>
      </c>
      <c r="O104" s="7" t="s">
        <v>134</v>
      </c>
      <c r="P104" s="10">
        <v>33.867489591730902</v>
      </c>
      <c r="Q104" s="29">
        <f>VLOOKUP(CurrentMtgRatesDataTable84[[#This Row],[asofdate]],S:T,2,0)</f>
        <v>0.27887427708074303</v>
      </c>
      <c r="S104" s="7" t="s">
        <v>134</v>
      </c>
      <c r="T104" s="10">
        <v>0.27887427708074303</v>
      </c>
      <c r="W104" s="7" t="s">
        <v>134</v>
      </c>
      <c r="X104" s="10">
        <v>760.11089092925397</v>
      </c>
      <c r="Y104" s="26">
        <f>VLOOKUP(CurrentMtgRatesDataTable86[[#This Row],[asofdate]],AA:AB,2,0)</f>
        <v>9.1604255359206105E-2</v>
      </c>
      <c r="AA104" s="7" t="s">
        <v>134</v>
      </c>
      <c r="AB104" s="10">
        <v>9.1604255359206105E-2</v>
      </c>
      <c r="AE104" s="7" t="s">
        <v>81</v>
      </c>
      <c r="AF104" s="10">
        <v>1.81768016527653E-2</v>
      </c>
      <c r="AG104" s="10" t="str">
        <f>YEAR(CurrentMtgRatesDataTable89[[#This Row],[asofdate]])&amp;"-"&amp;MONTH(CurrentMtgRatesDataTable89[[#This Row],[asofdate]])</f>
        <v>2007-3</v>
      </c>
      <c r="AH104" s="6">
        <f>((CurrentMtgRatesDataTable89[[#This Row],[SeriesNumValue]]-$D$1)/$D$1+1)*100</f>
        <v>121.178677685102</v>
      </c>
      <c r="AI104" s="6">
        <f>CurrentMtgRatesDataTable89[[#This Row],[Index]]-AH105</f>
        <v>2.735946589965323</v>
      </c>
      <c r="AJ104" s="6">
        <f>VLOOKUP(CurrentMtgRatesDataTable89[[#This Row],[asofdate]],G:H,2,0)</f>
        <v>80.020235794904707</v>
      </c>
      <c r="AK104" s="6">
        <f>VLOOKUP(CurrentMtgRatesDataTable89[[#This Row],[asofdate]],K:L,2,0)</f>
        <v>0.21711470398919</v>
      </c>
      <c r="AL104" s="6">
        <f>VLOOKUP(CurrentMtgRatesDataTable89[[#This Row],[asofdate]],O:P,2,0)</f>
        <v>37.728098878721802</v>
      </c>
      <c r="AM104" s="6">
        <f>VLOOKUP(CurrentMtgRatesDataTable89[[#This Row],[asofdate]],S:T,2,0)</f>
        <v>0.28268064836849399</v>
      </c>
      <c r="AN104" s="6">
        <f>VLOOKUP(CurrentMtgRatesDataTable89[[#This Row],[asofdate]],W:X,2,0)</f>
        <v>728.76678623201099</v>
      </c>
      <c r="AO104" s="6">
        <f>VLOOKUP(CurrentMtgRatesDataTable89[[#This Row],[asofdate]],AA:AB,2,0)</f>
        <v>0.29421874120147201</v>
      </c>
    </row>
    <row r="105" spans="1:41" s="8" customFormat="1" ht="12.75">
      <c r="A105" s="7" t="s">
        <v>135</v>
      </c>
      <c r="B105" s="10">
        <v>1.4110134110573699E-2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94.06756073715799</v>
      </c>
      <c r="E105" s="6"/>
      <c r="G105" s="7" t="s">
        <v>135</v>
      </c>
      <c r="H105" s="10">
        <v>79.893276473820805</v>
      </c>
      <c r="I105" s="26">
        <f>VLOOKUP(CurrentMtgRatesDataTable82[[#This Row],[asofdate]],K:L,2,0)</f>
        <v>0.18285657379937501</v>
      </c>
      <c r="K105" s="7" t="s">
        <v>135</v>
      </c>
      <c r="L105" s="29">
        <v>0.18285657379937501</v>
      </c>
      <c r="O105" s="7" t="s">
        <v>135</v>
      </c>
      <c r="P105" s="10">
        <v>33.923728827793703</v>
      </c>
      <c r="Q105" s="29">
        <f>VLOOKUP(CurrentMtgRatesDataTable84[[#This Row],[asofdate]],S:T,2,0)</f>
        <v>0.28110698657093303</v>
      </c>
      <c r="S105" s="7" t="s">
        <v>135</v>
      </c>
      <c r="T105" s="10">
        <v>0.28110698657093303</v>
      </c>
      <c r="W105" s="7" t="s">
        <v>135</v>
      </c>
      <c r="X105" s="10">
        <v>759.68574303527498</v>
      </c>
      <c r="Y105" s="26">
        <f>VLOOKUP(CurrentMtgRatesDataTable86[[#This Row],[asofdate]],AA:AB,2,0)</f>
        <v>9.44189309015048E-2</v>
      </c>
      <c r="AA105" s="7" t="s">
        <v>135</v>
      </c>
      <c r="AB105" s="10">
        <v>9.44189309015048E-2</v>
      </c>
      <c r="AE105" s="7" t="s">
        <v>80</v>
      </c>
      <c r="AF105" s="10">
        <v>1.77664096642705E-2</v>
      </c>
      <c r="AG105" s="10" t="str">
        <f>YEAR(CurrentMtgRatesDataTable89[[#This Row],[asofdate]])&amp;"-"&amp;MONTH(CurrentMtgRatesDataTable89[[#This Row],[asofdate]])</f>
        <v>2007-2</v>
      </c>
      <c r="AH105" s="6">
        <f>((CurrentMtgRatesDataTable89[[#This Row],[SeriesNumValue]]-$D$1)/$D$1+1)*100</f>
        <v>118.44273109513668</v>
      </c>
      <c r="AI105" s="6">
        <f>CurrentMtgRatesDataTable89[[#This Row],[Index]]-AH106</f>
        <v>-6.9222655681259795</v>
      </c>
      <c r="AJ105" s="6">
        <f>VLOOKUP(CurrentMtgRatesDataTable89[[#This Row],[asofdate]],G:H,2,0)</f>
        <v>79.719160694476898</v>
      </c>
      <c r="AK105" s="6">
        <f>VLOOKUP(CurrentMtgRatesDataTable89[[#This Row],[asofdate]],K:L,2,0)</f>
        <v>0.20262390105173</v>
      </c>
      <c r="AL105" s="6">
        <f>VLOOKUP(CurrentMtgRatesDataTable89[[#This Row],[asofdate]],O:P,2,0)</f>
        <v>37.816267865963702</v>
      </c>
      <c r="AM105" s="6">
        <f>VLOOKUP(CurrentMtgRatesDataTable89[[#This Row],[asofdate]],S:T,2,0)</f>
        <v>0.28314346572504001</v>
      </c>
      <c r="AN105" s="6">
        <f>VLOOKUP(CurrentMtgRatesDataTable89[[#This Row],[asofdate]],W:X,2,0)</f>
        <v>729.67566684049098</v>
      </c>
      <c r="AO105" s="6">
        <f>VLOOKUP(CurrentMtgRatesDataTable89[[#This Row],[asofdate]],AA:AB,2,0)</f>
        <v>0.28970756977075302</v>
      </c>
    </row>
    <row r="106" spans="1:41" s="8" customFormat="1" ht="12.75">
      <c r="A106" s="7" t="s">
        <v>136</v>
      </c>
      <c r="B106" s="10">
        <v>1.5066927241569101E-2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100.44618161046068</v>
      </c>
      <c r="E106" s="6"/>
      <c r="G106" s="7" t="s">
        <v>136</v>
      </c>
      <c r="H106" s="10">
        <v>79.997549920383307</v>
      </c>
      <c r="I106" s="26">
        <f>VLOOKUP(CurrentMtgRatesDataTable82[[#This Row],[asofdate]],K:L,2,0)</f>
        <v>0.19121615344839399</v>
      </c>
      <c r="K106" s="7" t="s">
        <v>136</v>
      </c>
      <c r="L106" s="29">
        <v>0.19121615344839399</v>
      </c>
      <c r="O106" s="7" t="s">
        <v>136</v>
      </c>
      <c r="P106" s="10">
        <v>33.813525149721997</v>
      </c>
      <c r="Q106" s="29">
        <f>VLOOKUP(CurrentMtgRatesDataTable84[[#This Row],[asofdate]],S:T,2,0)</f>
        <v>0.28079551834164501</v>
      </c>
      <c r="S106" s="7" t="s">
        <v>136</v>
      </c>
      <c r="T106" s="10">
        <v>0.28079551834164501</v>
      </c>
      <c r="W106" s="7" t="s">
        <v>136</v>
      </c>
      <c r="X106" s="10">
        <v>759.31136265639805</v>
      </c>
      <c r="Y106" s="26">
        <f>VLOOKUP(CurrentMtgRatesDataTable86[[#This Row],[asofdate]],AA:AB,2,0)</f>
        <v>9.5262443071944702E-2</v>
      </c>
      <c r="AA106" s="7" t="s">
        <v>136</v>
      </c>
      <c r="AB106" s="10">
        <v>9.5262443071944702E-2</v>
      </c>
      <c r="AE106" s="7" t="s">
        <v>79</v>
      </c>
      <c r="AF106" s="10">
        <v>1.88047494994894E-2</v>
      </c>
      <c r="AG106" s="10" t="str">
        <f>YEAR(CurrentMtgRatesDataTable89[[#This Row],[asofdate]])&amp;"-"&amp;MONTH(CurrentMtgRatesDataTable89[[#This Row],[asofdate]])</f>
        <v>2007-1</v>
      </c>
      <c r="AH106" s="6">
        <f>((CurrentMtgRatesDataTable89[[#This Row],[SeriesNumValue]]-$D$1)/$D$1+1)*100</f>
        <v>125.36499666326266</v>
      </c>
      <c r="AI106" s="6">
        <f>CurrentMtgRatesDataTable89[[#This Row],[Index]]-AH107</f>
        <v>4.1692596981820031</v>
      </c>
      <c r="AJ106" s="6">
        <f>VLOOKUP(CurrentMtgRatesDataTable89[[#This Row],[asofdate]],G:H,2,0)</f>
        <v>79.416723299241198</v>
      </c>
      <c r="AK106" s="6">
        <f>VLOOKUP(CurrentMtgRatesDataTable89[[#This Row],[asofdate]],K:L,2,0)</f>
        <v>0.193846076998824</v>
      </c>
      <c r="AL106" s="6">
        <f>VLOOKUP(CurrentMtgRatesDataTable89[[#This Row],[asofdate]],O:P,2,0)</f>
        <v>37.718187826882101</v>
      </c>
      <c r="AM106" s="6">
        <f>VLOOKUP(CurrentMtgRatesDataTable89[[#This Row],[asofdate]],S:T,2,0)</f>
        <v>0.27954850970586498</v>
      </c>
      <c r="AN106" s="6">
        <f>VLOOKUP(CurrentMtgRatesDataTable89[[#This Row],[asofdate]],W:X,2,0)</f>
        <v>730.47782131374504</v>
      </c>
      <c r="AO106" s="6">
        <f>VLOOKUP(CurrentMtgRatesDataTable89[[#This Row],[asofdate]],AA:AB,2,0)</f>
        <v>0.28267583421654802</v>
      </c>
    </row>
    <row r="107" spans="1:41" s="8" customFormat="1" ht="12.75">
      <c r="A107" s="7" t="s">
        <v>137</v>
      </c>
      <c r="B107" s="10">
        <v>1.4173085111542199E-2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94.487234076947999</v>
      </c>
      <c r="E107" s="6"/>
      <c r="G107" s="7" t="s">
        <v>137</v>
      </c>
      <c r="H107" s="10">
        <v>79.994322427847806</v>
      </c>
      <c r="I107" s="26">
        <f>VLOOKUP(CurrentMtgRatesDataTable82[[#This Row],[asofdate]],K:L,2,0)</f>
        <v>0.19691770674556899</v>
      </c>
      <c r="K107" s="7" t="s">
        <v>137</v>
      </c>
      <c r="L107" s="29">
        <v>0.19691770674556899</v>
      </c>
      <c r="O107" s="7" t="s">
        <v>137</v>
      </c>
      <c r="P107" s="10">
        <v>33.733487916258603</v>
      </c>
      <c r="Q107" s="29">
        <f>VLOOKUP(CurrentMtgRatesDataTable84[[#This Row],[asofdate]],S:T,2,0)</f>
        <v>0.27287221464637801</v>
      </c>
      <c r="S107" s="7" t="s">
        <v>137</v>
      </c>
      <c r="T107" s="10">
        <v>0.27287221464637801</v>
      </c>
      <c r="W107" s="7" t="s">
        <v>137</v>
      </c>
      <c r="X107" s="10">
        <v>760.11994455534398</v>
      </c>
      <c r="Y107" s="26">
        <f>VLOOKUP(CurrentMtgRatesDataTable86[[#This Row],[asofdate]],AA:AB,2,0)</f>
        <v>9.1581517813900795E-2</v>
      </c>
      <c r="AA107" s="7" t="s">
        <v>137</v>
      </c>
      <c r="AB107" s="10">
        <v>9.1581517813900795E-2</v>
      </c>
      <c r="AE107" s="7" t="s">
        <v>78</v>
      </c>
      <c r="AF107" s="10">
        <v>1.8179360544762099E-2</v>
      </c>
      <c r="AG107" s="10" t="str">
        <f>YEAR(CurrentMtgRatesDataTable89[[#This Row],[asofdate]])&amp;"-"&amp;MONTH(CurrentMtgRatesDataTable89[[#This Row],[asofdate]])</f>
        <v>2006-12</v>
      </c>
      <c r="AH107" s="6">
        <f>((CurrentMtgRatesDataTable89[[#This Row],[SeriesNumValue]]-$D$1)/$D$1+1)*100</f>
        <v>121.19573696508066</v>
      </c>
      <c r="AI107" s="6">
        <f>CurrentMtgRatesDataTable89[[#This Row],[Index]]-AH108</f>
        <v>-1.0654120242080296</v>
      </c>
      <c r="AJ107" s="6">
        <f>VLOOKUP(CurrentMtgRatesDataTable89[[#This Row],[asofdate]],G:H,2,0)</f>
        <v>79.313843638726098</v>
      </c>
      <c r="AK107" s="6">
        <f>VLOOKUP(CurrentMtgRatesDataTable89[[#This Row],[asofdate]],K:L,2,0)</f>
        <v>0.189376854241877</v>
      </c>
      <c r="AL107" s="6">
        <f>VLOOKUP(CurrentMtgRatesDataTable89[[#This Row],[asofdate]],O:P,2,0)</f>
        <v>37.784328278355098</v>
      </c>
      <c r="AM107" s="6">
        <f>VLOOKUP(CurrentMtgRatesDataTable89[[#This Row],[asofdate]],S:T,2,0)</f>
        <v>0.28453753894657102</v>
      </c>
      <c r="AN107" s="6">
        <f>VLOOKUP(CurrentMtgRatesDataTable89[[#This Row],[asofdate]],W:X,2,0)</f>
        <v>730.60265144365599</v>
      </c>
      <c r="AO107" s="6">
        <f>VLOOKUP(CurrentMtgRatesDataTable89[[#This Row],[asofdate]],AA:AB,2,0)</f>
        <v>0.28244071580254698</v>
      </c>
    </row>
    <row r="108" spans="1:41" s="8" customFormat="1" ht="12.75">
      <c r="A108" s="7" t="s">
        <v>138</v>
      </c>
      <c r="B108" s="10">
        <v>1.3532864878476601E-2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90.219099189844016</v>
      </c>
      <c r="E108" s="6"/>
      <c r="G108" s="7" t="s">
        <v>138</v>
      </c>
      <c r="H108" s="10">
        <v>79.987561933911195</v>
      </c>
      <c r="I108" s="26">
        <f>VLOOKUP(CurrentMtgRatesDataTable82[[#This Row],[asofdate]],K:L,2,0)</f>
        <v>0.19909240626705399</v>
      </c>
      <c r="K108" s="7" t="s">
        <v>138</v>
      </c>
      <c r="L108" s="29">
        <v>0.19909240626705399</v>
      </c>
      <c r="O108" s="7" t="s">
        <v>138</v>
      </c>
      <c r="P108" s="10">
        <v>33.656871711463303</v>
      </c>
      <c r="Q108" s="29">
        <f>VLOOKUP(CurrentMtgRatesDataTable84[[#This Row],[asofdate]],S:T,2,0)</f>
        <v>0.275249862195238</v>
      </c>
      <c r="S108" s="7" t="s">
        <v>138</v>
      </c>
      <c r="T108" s="10">
        <v>0.275249862195238</v>
      </c>
      <c r="W108" s="7" t="s">
        <v>138</v>
      </c>
      <c r="X108" s="10">
        <v>760.09068987419801</v>
      </c>
      <c r="Y108" s="26">
        <f>VLOOKUP(CurrentMtgRatesDataTable86[[#This Row],[asofdate]],AA:AB,2,0)</f>
        <v>9.2082831485556599E-2</v>
      </c>
      <c r="AA108" s="7" t="s">
        <v>138</v>
      </c>
      <c r="AB108" s="10">
        <v>9.2082831485556599E-2</v>
      </c>
      <c r="AE108" s="7" t="s">
        <v>77</v>
      </c>
      <c r="AF108" s="10">
        <v>1.8339172348393301E-2</v>
      </c>
      <c r="AG108" s="10" t="str">
        <f>YEAR(CurrentMtgRatesDataTable89[[#This Row],[asofdate]])&amp;"-"&amp;MONTH(CurrentMtgRatesDataTable89[[#This Row],[asofdate]])</f>
        <v>2006-11</v>
      </c>
      <c r="AH108" s="6">
        <f>((CurrentMtgRatesDataTable89[[#This Row],[SeriesNumValue]]-$D$1)/$D$1+1)*100</f>
        <v>122.26114898928869</v>
      </c>
      <c r="AI108" s="6">
        <f>CurrentMtgRatesDataTable89[[#This Row],[Index]]-AH109</f>
        <v>-3.2907798786333302</v>
      </c>
      <c r="AJ108" s="6">
        <f>VLOOKUP(CurrentMtgRatesDataTable89[[#This Row],[asofdate]],G:H,2,0)</f>
        <v>79.427172495690101</v>
      </c>
      <c r="AK108" s="6">
        <f>VLOOKUP(CurrentMtgRatesDataTable89[[#This Row],[asofdate]],K:L,2,0)</f>
        <v>0.19239457049420899</v>
      </c>
      <c r="AL108" s="6">
        <f>VLOOKUP(CurrentMtgRatesDataTable89[[#This Row],[asofdate]],O:P,2,0)</f>
        <v>37.885607199262502</v>
      </c>
      <c r="AM108" s="6">
        <f>VLOOKUP(CurrentMtgRatesDataTable89[[#This Row],[asofdate]],S:T,2,0)</f>
        <v>0.27141833470725502</v>
      </c>
      <c r="AN108" s="6">
        <f>VLOOKUP(CurrentMtgRatesDataTable89[[#This Row],[asofdate]],W:X,2,0)</f>
        <v>730.386657340532</v>
      </c>
      <c r="AO108" s="6">
        <f>VLOOKUP(CurrentMtgRatesDataTable89[[#This Row],[asofdate]],AA:AB,2,0)</f>
        <v>0.28214362863015702</v>
      </c>
    </row>
    <row r="109" spans="1:41" s="8" customFormat="1" ht="12.75">
      <c r="A109" s="7" t="s">
        <v>139</v>
      </c>
      <c r="B109" s="10">
        <v>1.3651959305954401E-2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91.01306203969601</v>
      </c>
      <c r="E109" s="6"/>
      <c r="G109" s="7" t="s">
        <v>139</v>
      </c>
      <c r="H109" s="10">
        <v>79.742942474085694</v>
      </c>
      <c r="I109" s="26">
        <f>VLOOKUP(CurrentMtgRatesDataTable82[[#This Row],[asofdate]],K:L,2,0)</f>
        <v>0.19485876227794</v>
      </c>
      <c r="K109" s="7" t="s">
        <v>139</v>
      </c>
      <c r="L109" s="29">
        <v>0.19485876227794</v>
      </c>
      <c r="O109" s="7" t="s">
        <v>139</v>
      </c>
      <c r="P109" s="10">
        <v>33.655157879528304</v>
      </c>
      <c r="Q109" s="29">
        <f>VLOOKUP(CurrentMtgRatesDataTable84[[#This Row],[asofdate]],S:T,2,0)</f>
        <v>0.27064716125585703</v>
      </c>
      <c r="S109" s="7" t="s">
        <v>139</v>
      </c>
      <c r="T109" s="10">
        <v>0.27064716125585703</v>
      </c>
      <c r="W109" s="7" t="s">
        <v>139</v>
      </c>
      <c r="X109" s="10">
        <v>760.81334271789297</v>
      </c>
      <c r="Y109" s="26">
        <f>VLOOKUP(CurrentMtgRatesDataTable86[[#This Row],[asofdate]],AA:AB,2,0)</f>
        <v>8.7313625509359505E-2</v>
      </c>
      <c r="AA109" s="7" t="s">
        <v>139</v>
      </c>
      <c r="AB109" s="10">
        <v>8.7313625509359505E-2</v>
      </c>
      <c r="AE109" s="7" t="s">
        <v>76</v>
      </c>
      <c r="AF109" s="10">
        <v>1.8832789330188299E-2</v>
      </c>
      <c r="AG109" s="10" t="str">
        <f>YEAR(CurrentMtgRatesDataTable89[[#This Row],[asofdate]])&amp;"-"&amp;MONTH(CurrentMtgRatesDataTable89[[#This Row],[asofdate]])</f>
        <v>2006-10</v>
      </c>
      <c r="AH109" s="6">
        <f>((CurrentMtgRatesDataTable89[[#This Row],[SeriesNumValue]]-$D$1)/$D$1+1)*100</f>
        <v>125.55192886792202</v>
      </c>
      <c r="AI109" s="6">
        <f>CurrentMtgRatesDataTable89[[#This Row],[Index]]-AH110</f>
        <v>6.3473075516740067</v>
      </c>
      <c r="AJ109" s="6">
        <f>VLOOKUP(CurrentMtgRatesDataTable89[[#This Row],[asofdate]],G:H,2,0)</f>
        <v>79.136143909953105</v>
      </c>
      <c r="AK109" s="6">
        <f>VLOOKUP(CurrentMtgRatesDataTable89[[#This Row],[asofdate]],K:L,2,0)</f>
        <v>0.18540217986062499</v>
      </c>
      <c r="AL109" s="6">
        <f>VLOOKUP(CurrentMtgRatesDataTable89[[#This Row],[asofdate]],O:P,2,0)</f>
        <v>38.014001892969098</v>
      </c>
      <c r="AM109" s="6">
        <f>VLOOKUP(CurrentMtgRatesDataTable89[[#This Row],[asofdate]],S:T,2,0)</f>
        <v>0.25886862133549099</v>
      </c>
      <c r="AN109" s="6">
        <f>VLOOKUP(CurrentMtgRatesDataTable89[[#This Row],[asofdate]],W:X,2,0)</f>
        <v>731.03366702624498</v>
      </c>
      <c r="AO109" s="6">
        <f>VLOOKUP(CurrentMtgRatesDataTable89[[#This Row],[asofdate]],AA:AB,2,0)</f>
        <v>0.27921966823928501</v>
      </c>
    </row>
    <row r="110" spans="1:41" s="8" customFormat="1" ht="12.75">
      <c r="A110" s="7" t="s">
        <v>140</v>
      </c>
      <c r="B110" s="10">
        <v>1.34742530569689E-2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89.828353713126006</v>
      </c>
      <c r="E110" s="6"/>
      <c r="G110" s="7" t="s">
        <v>140</v>
      </c>
      <c r="H110" s="10">
        <v>79.577067279672804</v>
      </c>
      <c r="I110" s="26">
        <f>VLOOKUP(CurrentMtgRatesDataTable82[[#This Row],[asofdate]],K:L,2,0)</f>
        <v>0.18964437882075599</v>
      </c>
      <c r="K110" s="7" t="s">
        <v>140</v>
      </c>
      <c r="L110" s="29">
        <v>0.18964437882075599</v>
      </c>
      <c r="O110" s="7" t="s">
        <v>140</v>
      </c>
      <c r="P110" s="10">
        <v>33.616764795031301</v>
      </c>
      <c r="Q110" s="29">
        <f>VLOOKUP(CurrentMtgRatesDataTable84[[#This Row],[asofdate]],S:T,2,0)</f>
        <v>0.26105925719805601</v>
      </c>
      <c r="S110" s="7" t="s">
        <v>140</v>
      </c>
      <c r="T110" s="10">
        <v>0.26105925719805601</v>
      </c>
      <c r="W110" s="7" t="s">
        <v>140</v>
      </c>
      <c r="X110" s="10">
        <v>761.11114239602796</v>
      </c>
      <c r="Y110" s="26">
        <f>VLOOKUP(CurrentMtgRatesDataTable86[[#This Row],[asofdate]],AA:AB,2,0)</f>
        <v>8.6151049782676598E-2</v>
      </c>
      <c r="AA110" s="7" t="s">
        <v>140</v>
      </c>
      <c r="AB110" s="10">
        <v>8.6151049782676598E-2</v>
      </c>
      <c r="AE110" s="7" t="s">
        <v>75</v>
      </c>
      <c r="AF110" s="10">
        <v>1.7880693197437202E-2</v>
      </c>
      <c r="AG110" s="10" t="str">
        <f>YEAR(CurrentMtgRatesDataTable89[[#This Row],[asofdate]])&amp;"-"&amp;MONTH(CurrentMtgRatesDataTable89[[#This Row],[asofdate]])</f>
        <v>2006-9</v>
      </c>
      <c r="AH110" s="6">
        <f>((CurrentMtgRatesDataTable89[[#This Row],[SeriesNumValue]]-$D$1)/$D$1+1)*100</f>
        <v>119.20462131624801</v>
      </c>
      <c r="AI110" s="6">
        <f>CurrentMtgRatesDataTable89[[#This Row],[Index]]-AH111</f>
        <v>16.978521375645997</v>
      </c>
      <c r="AJ110" s="6">
        <f>VLOOKUP(CurrentMtgRatesDataTable89[[#This Row],[asofdate]],G:H,2,0)</f>
        <v>78.908848830602196</v>
      </c>
      <c r="AK110" s="6">
        <f>VLOOKUP(CurrentMtgRatesDataTable89[[#This Row],[asofdate]],K:L,2,0)</f>
        <v>0.17600200529424101</v>
      </c>
      <c r="AL110" s="6">
        <f>VLOOKUP(CurrentMtgRatesDataTable89[[#This Row],[asofdate]],O:P,2,0)</f>
        <v>37.944023424215104</v>
      </c>
      <c r="AM110" s="6">
        <f>VLOOKUP(CurrentMtgRatesDataTable89[[#This Row],[asofdate]],S:T,2,0)</f>
        <v>0.25571090777241101</v>
      </c>
      <c r="AN110" s="6">
        <f>VLOOKUP(CurrentMtgRatesDataTable89[[#This Row],[asofdate]],W:X,2,0)</f>
        <v>732.49601929884</v>
      </c>
      <c r="AO110" s="6">
        <f>VLOOKUP(CurrentMtgRatesDataTable89[[#This Row],[asofdate]],AA:AB,2,0)</f>
        <v>0.26931987091908599</v>
      </c>
    </row>
    <row r="111" spans="1:41" s="8" customFormat="1" ht="12.75">
      <c r="A111" s="7" t="s">
        <v>141</v>
      </c>
      <c r="B111" s="10">
        <v>1.3439293239663599E-2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89.595288264423999</v>
      </c>
      <c r="E111" s="6"/>
      <c r="G111" s="7" t="s">
        <v>141</v>
      </c>
      <c r="H111" s="10">
        <v>79.622576352334605</v>
      </c>
      <c r="I111" s="26">
        <f>VLOOKUP(CurrentMtgRatesDataTable82[[#This Row],[asofdate]],K:L,2,0)</f>
        <v>0.18875936195045501</v>
      </c>
      <c r="K111" s="7" t="s">
        <v>141</v>
      </c>
      <c r="L111" s="29">
        <v>0.18875936195045501</v>
      </c>
      <c r="O111" s="7" t="s">
        <v>141</v>
      </c>
      <c r="P111" s="10">
        <v>33.679289577888902</v>
      </c>
      <c r="Q111" s="29">
        <f>VLOOKUP(CurrentMtgRatesDataTable84[[#This Row],[asofdate]],S:T,2,0)</f>
        <v>0.26732894786611999</v>
      </c>
      <c r="S111" s="7" t="s">
        <v>141</v>
      </c>
      <c r="T111" s="10">
        <v>0.26732894786611999</v>
      </c>
      <c r="W111" s="7" t="s">
        <v>141</v>
      </c>
      <c r="X111" s="10">
        <v>760.52328958127202</v>
      </c>
      <c r="Y111" s="26">
        <f>VLOOKUP(CurrentMtgRatesDataTable86[[#This Row],[asofdate]],AA:AB,2,0)</f>
        <v>8.5781845087441896E-2</v>
      </c>
      <c r="AA111" s="7" t="s">
        <v>141</v>
      </c>
      <c r="AB111" s="10">
        <v>8.5781845087441896E-2</v>
      </c>
      <c r="AE111" s="7" t="s">
        <v>74</v>
      </c>
      <c r="AF111" s="10">
        <v>1.5333914991090301E-2</v>
      </c>
      <c r="AG111" s="10" t="str">
        <f>YEAR(CurrentMtgRatesDataTable89[[#This Row],[asofdate]])&amp;"-"&amp;MONTH(CurrentMtgRatesDataTable89[[#This Row],[asofdate]])</f>
        <v>2006-8</v>
      </c>
      <c r="AH111" s="6">
        <f>((CurrentMtgRatesDataTable89[[#This Row],[SeriesNumValue]]-$D$1)/$D$1+1)*100</f>
        <v>102.22609994060201</v>
      </c>
      <c r="AI111" s="6">
        <f>CurrentMtgRatesDataTable89[[#This Row],[Index]]-AH112</f>
        <v>-1.0088372025119838</v>
      </c>
      <c r="AJ111" s="6">
        <f>VLOOKUP(CurrentMtgRatesDataTable89[[#This Row],[asofdate]],G:H,2,0)</f>
        <v>78.636667015447799</v>
      </c>
      <c r="AK111" s="6">
        <f>VLOOKUP(CurrentMtgRatesDataTable89[[#This Row],[asofdate]],K:L,2,0)</f>
        <v>0.16483333011769599</v>
      </c>
      <c r="AL111" s="6">
        <f>VLOOKUP(CurrentMtgRatesDataTable89[[#This Row],[asofdate]],O:P,2,0)</f>
        <v>37.652579877335498</v>
      </c>
      <c r="AM111" s="6">
        <f>VLOOKUP(CurrentMtgRatesDataTable89[[#This Row],[asofdate]],S:T,2,0)</f>
        <v>0.259163903970826</v>
      </c>
      <c r="AN111" s="6">
        <f>VLOOKUP(CurrentMtgRatesDataTable89[[#This Row],[asofdate]],W:X,2,0)</f>
        <v>733.55251588227702</v>
      </c>
      <c r="AO111" s="6">
        <f>VLOOKUP(CurrentMtgRatesDataTable89[[#This Row],[asofdate]],AA:AB,2,0)</f>
        <v>0.26015553383897599</v>
      </c>
    </row>
    <row r="112" spans="1:41" s="8" customFormat="1" ht="12.75">
      <c r="A112" s="7" t="s">
        <v>142</v>
      </c>
      <c r="B112" s="10">
        <v>1.32322961419661E-2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88.215307613107328</v>
      </c>
      <c r="E112" s="6"/>
      <c r="G112" s="7" t="s">
        <v>142</v>
      </c>
      <c r="H112" s="10">
        <v>79.930262705068301</v>
      </c>
      <c r="I112" s="26">
        <f>VLOOKUP(CurrentMtgRatesDataTable82[[#This Row],[asofdate]],K:L,2,0)</f>
        <v>0.19845527362620699</v>
      </c>
      <c r="K112" s="7" t="s">
        <v>142</v>
      </c>
      <c r="L112" s="29">
        <v>0.19845527362620699</v>
      </c>
      <c r="O112" s="7" t="s">
        <v>142</v>
      </c>
      <c r="P112" s="10">
        <v>33.517464455945003</v>
      </c>
      <c r="Q112" s="29">
        <f>VLOOKUP(CurrentMtgRatesDataTable84[[#This Row],[asofdate]],S:T,2,0)</f>
        <v>0.26157806679984102</v>
      </c>
      <c r="S112" s="7" t="s">
        <v>142</v>
      </c>
      <c r="T112" s="10">
        <v>0.26157806679984102</v>
      </c>
      <c r="W112" s="7" t="s">
        <v>142</v>
      </c>
      <c r="X112" s="10">
        <v>760.69826911231303</v>
      </c>
      <c r="Y112" s="26">
        <f>VLOOKUP(CurrentMtgRatesDataTable86[[#This Row],[asofdate]],AA:AB,2,0)</f>
        <v>8.36630802928469E-2</v>
      </c>
      <c r="AA112" s="7" t="s">
        <v>142</v>
      </c>
      <c r="AB112" s="10">
        <v>8.36630802928469E-2</v>
      </c>
      <c r="AE112" s="7" t="s">
        <v>73</v>
      </c>
      <c r="AF112" s="10">
        <v>1.54852405714671E-2</v>
      </c>
      <c r="AG112" s="10" t="str">
        <f>YEAR(CurrentMtgRatesDataTable89[[#This Row],[asofdate]])&amp;"-"&amp;MONTH(CurrentMtgRatesDataTable89[[#This Row],[asofdate]])</f>
        <v>2006-7</v>
      </c>
      <c r="AH112" s="6">
        <f>((CurrentMtgRatesDataTable89[[#This Row],[SeriesNumValue]]-$D$1)/$D$1+1)*100</f>
        <v>103.234937143114</v>
      </c>
      <c r="AI112" s="6">
        <f>CurrentMtgRatesDataTable89[[#This Row],[Index]]-AH113</f>
        <v>1.5206343493393319</v>
      </c>
      <c r="AJ112" s="6">
        <f>VLOOKUP(CurrentMtgRatesDataTable89[[#This Row],[asofdate]],G:H,2,0)</f>
        <v>78.765290924066704</v>
      </c>
      <c r="AK112" s="6">
        <f>VLOOKUP(CurrentMtgRatesDataTable89[[#This Row],[asofdate]],K:L,2,0)</f>
        <v>0.16509874727797</v>
      </c>
      <c r="AL112" s="6">
        <f>VLOOKUP(CurrentMtgRatesDataTable89[[#This Row],[asofdate]],O:P,2,0)</f>
        <v>37.630284650424002</v>
      </c>
      <c r="AM112" s="6">
        <f>VLOOKUP(CurrentMtgRatesDataTable89[[#This Row],[asofdate]],S:T,2,0)</f>
        <v>0.25385801090037102</v>
      </c>
      <c r="AN112" s="6">
        <f>VLOOKUP(CurrentMtgRatesDataTable89[[#This Row],[asofdate]],W:X,2,0)</f>
        <v>732.98461213720498</v>
      </c>
      <c r="AO112" s="6">
        <f>VLOOKUP(CurrentMtgRatesDataTable89[[#This Row],[asofdate]],AA:AB,2,0)</f>
        <v>0.26404056393812197</v>
      </c>
    </row>
    <row r="113" spans="1:41" s="8" customFormat="1" ht="12.75">
      <c r="A113" s="7" t="s">
        <v>9</v>
      </c>
      <c r="B113" s="10">
        <v>1.29605822511889E-2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86.403881674592668</v>
      </c>
      <c r="E113" s="6"/>
      <c r="G113" s="7" t="s">
        <v>9</v>
      </c>
      <c r="H113" s="10">
        <v>80.041285343988605</v>
      </c>
      <c r="I113" s="26">
        <f>VLOOKUP(CurrentMtgRatesDataTable82[[#This Row],[asofdate]],K:L,2,0)</f>
        <v>0.20666487767317901</v>
      </c>
      <c r="K113" s="7" t="s">
        <v>9</v>
      </c>
      <c r="L113" s="29">
        <v>0.20666487767317901</v>
      </c>
      <c r="O113" s="7" t="s">
        <v>9</v>
      </c>
      <c r="P113" s="10">
        <v>33.383530018783603</v>
      </c>
      <c r="Q113" s="29">
        <f>VLOOKUP(CurrentMtgRatesDataTable84[[#This Row],[asofdate]],S:T,2,0)</f>
        <v>0.25390844569801402</v>
      </c>
      <c r="S113" s="7" t="s">
        <v>9</v>
      </c>
      <c r="T113" s="10">
        <v>0.25390844569801402</v>
      </c>
      <c r="W113" s="7" t="s">
        <v>9</v>
      </c>
      <c r="X113" s="10">
        <v>761.22105616828799</v>
      </c>
      <c r="Y113" s="26">
        <f>VLOOKUP(CurrentMtgRatesDataTable86[[#This Row],[asofdate]],AA:AB,2,0)</f>
        <v>8.2484010965590507E-2</v>
      </c>
      <c r="AA113" s="7" t="s">
        <v>9</v>
      </c>
      <c r="AB113" s="10">
        <v>8.2484010965590507E-2</v>
      </c>
      <c r="AE113" s="7" t="s">
        <v>72</v>
      </c>
      <c r="AF113" s="10">
        <v>1.52571454190662E-2</v>
      </c>
      <c r="AG113" s="10" t="str">
        <f>YEAR(CurrentMtgRatesDataTable89[[#This Row],[asofdate]])&amp;"-"&amp;MONTH(CurrentMtgRatesDataTable89[[#This Row],[asofdate]])</f>
        <v>2006-6</v>
      </c>
      <c r="AH113" s="6">
        <f>((CurrentMtgRatesDataTable89[[#This Row],[SeriesNumValue]]-$D$1)/$D$1+1)*100</f>
        <v>101.71430279377466</v>
      </c>
      <c r="AI113" s="6">
        <f>CurrentMtgRatesDataTable89[[#This Row],[Index]]-AH114</f>
        <v>0.89733289491599066</v>
      </c>
      <c r="AJ113" s="6">
        <f>VLOOKUP(CurrentMtgRatesDataTable89[[#This Row],[asofdate]],G:H,2,0)</f>
        <v>78.735532502303599</v>
      </c>
      <c r="AK113" s="6">
        <f>VLOOKUP(CurrentMtgRatesDataTable89[[#This Row],[asofdate]],K:L,2,0)</f>
        <v>0.166487927243791</v>
      </c>
      <c r="AL113" s="6">
        <f>VLOOKUP(CurrentMtgRatesDataTable89[[#This Row],[asofdate]],O:P,2,0)</f>
        <v>37.284968784457597</v>
      </c>
      <c r="AM113" s="6">
        <f>VLOOKUP(CurrentMtgRatesDataTable89[[#This Row],[asofdate]],S:T,2,0)</f>
        <v>0.250967229847814</v>
      </c>
      <c r="AN113" s="6">
        <f>VLOOKUP(CurrentMtgRatesDataTable89[[#This Row],[asofdate]],W:X,2,0)</f>
        <v>732.29576439030302</v>
      </c>
      <c r="AO113" s="6">
        <f>VLOOKUP(CurrentMtgRatesDataTable89[[#This Row],[asofdate]],AA:AB,2,0)</f>
        <v>0.26924096627271599</v>
      </c>
    </row>
    <row r="114" spans="1:41" s="8" customFormat="1" ht="12.75">
      <c r="A114" s="7" t="s">
        <v>17</v>
      </c>
      <c r="B114" s="10">
        <v>1.3683447388531399E-2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91.222982590209341</v>
      </c>
      <c r="E114" s="6"/>
      <c r="G114" s="7" t="s">
        <v>17</v>
      </c>
      <c r="H114" s="10">
        <v>80.206562302162695</v>
      </c>
      <c r="I114" s="26">
        <f>VLOOKUP(CurrentMtgRatesDataTable82[[#This Row],[asofdate]],K:L,2,0)</f>
        <v>0.21270819961904999</v>
      </c>
      <c r="K114" s="7" t="s">
        <v>17</v>
      </c>
      <c r="L114" s="29">
        <v>0.21270819961904999</v>
      </c>
      <c r="O114" s="7" t="s">
        <v>17</v>
      </c>
      <c r="P114" s="10">
        <v>33.320969301989898</v>
      </c>
      <c r="Q114" s="29">
        <f>VLOOKUP(CurrentMtgRatesDataTable84[[#This Row],[asofdate]],S:T,2,0)</f>
        <v>0.25766637668109099</v>
      </c>
      <c r="S114" s="7" t="s">
        <v>17</v>
      </c>
      <c r="T114" s="10">
        <v>0.25766637668109099</v>
      </c>
      <c r="W114" s="7" t="s">
        <v>17</v>
      </c>
      <c r="X114" s="10">
        <v>761.68214700317503</v>
      </c>
      <c r="Y114" s="26">
        <f>VLOOKUP(CurrentMtgRatesDataTable86[[#This Row],[asofdate]],AA:AB,2,0)</f>
        <v>8.1952917281064297E-2</v>
      </c>
      <c r="AA114" s="7" t="s">
        <v>17</v>
      </c>
      <c r="AB114" s="10">
        <v>8.1952917281064297E-2</v>
      </c>
      <c r="AE114" s="7" t="s">
        <v>71</v>
      </c>
      <c r="AF114" s="10">
        <v>1.51225454848288E-2</v>
      </c>
      <c r="AG114" s="10" t="str">
        <f>YEAR(CurrentMtgRatesDataTable89[[#This Row],[asofdate]])&amp;"-"&amp;MONTH(CurrentMtgRatesDataTable89[[#This Row],[asofdate]])</f>
        <v>2006-5</v>
      </c>
      <c r="AH114" s="6">
        <f>((CurrentMtgRatesDataTable89[[#This Row],[SeriesNumValue]]-$D$1)/$D$1+1)*100</f>
        <v>100.81696989885867</v>
      </c>
      <c r="AI114" s="6">
        <f>CurrentMtgRatesDataTable89[[#This Row],[Index]]-AH115</f>
        <v>-4.8568161930513298</v>
      </c>
      <c r="AJ114" s="6">
        <f>VLOOKUP(CurrentMtgRatesDataTable89[[#This Row],[asofdate]],G:H,2,0)</f>
        <v>78.594347051939593</v>
      </c>
      <c r="AK114" s="6">
        <f>VLOOKUP(CurrentMtgRatesDataTable89[[#This Row],[asofdate]],K:L,2,0)</f>
        <v>0.16247581027591801</v>
      </c>
      <c r="AL114" s="6">
        <f>VLOOKUP(CurrentMtgRatesDataTable89[[#This Row],[asofdate]],O:P,2,0)</f>
        <v>37.455662044979697</v>
      </c>
      <c r="AM114" s="6">
        <f>VLOOKUP(CurrentMtgRatesDataTable89[[#This Row],[asofdate]],S:T,2,0)</f>
        <v>0.25530695689293598</v>
      </c>
      <c r="AN114" s="6">
        <f>VLOOKUP(CurrentMtgRatesDataTable89[[#This Row],[asofdate]],W:X,2,0)</f>
        <v>732.220369288553</v>
      </c>
      <c r="AO114" s="6">
        <f>VLOOKUP(CurrentMtgRatesDataTable89[[#This Row],[asofdate]],AA:AB,2,0)</f>
        <v>0.269545751649933</v>
      </c>
    </row>
    <row r="115" spans="1:41" s="8" customFormat="1" ht="12.75">
      <c r="A115" s="7" t="s">
        <v>143</v>
      </c>
      <c r="B115" s="10">
        <v>1.4191245153265201E-2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94.608301021768</v>
      </c>
      <c r="E115" s="6"/>
      <c r="G115" s="7" t="s">
        <v>143</v>
      </c>
      <c r="H115" s="10">
        <v>80.425984157691204</v>
      </c>
      <c r="I115" s="26">
        <f>VLOOKUP(CurrentMtgRatesDataTable82[[#This Row],[asofdate]],K:L,2,0)</f>
        <v>0.224617863342048</v>
      </c>
      <c r="K115" s="7" t="s">
        <v>143</v>
      </c>
      <c r="L115" s="29">
        <v>0.224617863342048</v>
      </c>
      <c r="O115" s="7" t="s">
        <v>143</v>
      </c>
      <c r="P115" s="10">
        <v>33.121501266058502</v>
      </c>
      <c r="Q115" s="29">
        <f>VLOOKUP(CurrentMtgRatesDataTable84[[#This Row],[asofdate]],S:T,2,0)</f>
        <v>0.25448423881191201</v>
      </c>
      <c r="S115" s="7" t="s">
        <v>143</v>
      </c>
      <c r="T115" s="10">
        <v>0.25448423881191201</v>
      </c>
      <c r="W115" s="7" t="s">
        <v>143</v>
      </c>
      <c r="X115" s="10">
        <v>761.328024759296</v>
      </c>
      <c r="Y115" s="26">
        <f>VLOOKUP(CurrentMtgRatesDataTable86[[#This Row],[asofdate]],AA:AB,2,0)</f>
        <v>8.4442892037218498E-2</v>
      </c>
      <c r="AA115" s="7" t="s">
        <v>143</v>
      </c>
      <c r="AB115" s="10">
        <v>8.4442892037218498E-2</v>
      </c>
      <c r="AE115" s="7" t="s">
        <v>70</v>
      </c>
      <c r="AF115" s="10">
        <v>1.5851067913786501E-2</v>
      </c>
      <c r="AG115" s="10" t="str">
        <f>YEAR(CurrentMtgRatesDataTable89[[#This Row],[asofdate]])&amp;"-"&amp;MONTH(CurrentMtgRatesDataTable89[[#This Row],[asofdate]])</f>
        <v>2006-4</v>
      </c>
      <c r="AH115" s="6">
        <f>((CurrentMtgRatesDataTable89[[#This Row],[SeriesNumValue]]-$D$1)/$D$1+1)*100</f>
        <v>105.67378609191</v>
      </c>
      <c r="AI115" s="6">
        <f>CurrentMtgRatesDataTable89[[#This Row],[Index]]-AH116</f>
        <v>-2.2260070397053511</v>
      </c>
      <c r="AJ115" s="6">
        <f>VLOOKUP(CurrentMtgRatesDataTable89[[#This Row],[asofdate]],G:H,2,0)</f>
        <v>78.671898299829707</v>
      </c>
      <c r="AK115" s="6">
        <f>VLOOKUP(CurrentMtgRatesDataTable89[[#This Row],[asofdate]],K:L,2,0)</f>
        <v>0.163030939666403</v>
      </c>
      <c r="AL115" s="6">
        <f>VLOOKUP(CurrentMtgRatesDataTable89[[#This Row],[asofdate]],O:P,2,0)</f>
        <v>37.352589752049496</v>
      </c>
      <c r="AM115" s="6">
        <f>VLOOKUP(CurrentMtgRatesDataTable89[[#This Row],[asofdate]],S:T,2,0)</f>
        <v>0.25720646817190801</v>
      </c>
      <c r="AN115" s="6">
        <f>VLOOKUP(CurrentMtgRatesDataTable89[[#This Row],[asofdate]],W:X,2,0)</f>
        <v>731.37187888597202</v>
      </c>
      <c r="AO115" s="6">
        <f>VLOOKUP(CurrentMtgRatesDataTable89[[#This Row],[asofdate]],AA:AB,2,0)</f>
        <v>0.27172244359806702</v>
      </c>
    </row>
    <row r="116" spans="1:41" s="8" customFormat="1" ht="12.75">
      <c r="A116" s="7" t="s">
        <v>6</v>
      </c>
      <c r="B116" s="10">
        <v>1.4252805269820999E-2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95.018701798806674</v>
      </c>
      <c r="E116" s="6"/>
      <c r="G116" s="7" t="s">
        <v>6</v>
      </c>
      <c r="H116" s="10">
        <v>80.5202763349739</v>
      </c>
      <c r="I116" s="26">
        <f>VLOOKUP(CurrentMtgRatesDataTable82[[#This Row],[asofdate]],K:L,2,0)</f>
        <v>0.23041099227119</v>
      </c>
      <c r="K116" s="7" t="s">
        <v>6</v>
      </c>
      <c r="L116" s="29">
        <v>0.23041099227119</v>
      </c>
      <c r="O116" s="7" t="s">
        <v>6</v>
      </c>
      <c r="P116" s="10">
        <v>32.914894096552899</v>
      </c>
      <c r="Q116" s="29">
        <f>VLOOKUP(CurrentMtgRatesDataTable84[[#This Row],[asofdate]],S:T,2,0)</f>
        <v>0.24575199886231799</v>
      </c>
      <c r="S116" s="7" t="s">
        <v>6</v>
      </c>
      <c r="T116" s="10">
        <v>0.24575199886231799</v>
      </c>
      <c r="W116" s="7" t="s">
        <v>6</v>
      </c>
      <c r="X116" s="10">
        <v>761.209296502906</v>
      </c>
      <c r="Y116" s="26">
        <f>VLOOKUP(CurrentMtgRatesDataTable86[[#This Row],[asofdate]],AA:AB,2,0)</f>
        <v>8.3411421784346601E-2</v>
      </c>
      <c r="AA116" s="7" t="s">
        <v>6</v>
      </c>
      <c r="AB116" s="10">
        <v>8.3411421784346601E-2</v>
      </c>
      <c r="AE116" s="7" t="s">
        <v>69</v>
      </c>
      <c r="AF116" s="10">
        <v>1.6184968969742301E-2</v>
      </c>
      <c r="AG116" s="10" t="str">
        <f>YEAR(CurrentMtgRatesDataTable89[[#This Row],[asofdate]])&amp;"-"&amp;MONTH(CurrentMtgRatesDataTable89[[#This Row],[asofdate]])</f>
        <v>2006-3</v>
      </c>
      <c r="AH116" s="6">
        <f>((CurrentMtgRatesDataTable89[[#This Row],[SeriesNumValue]]-$D$1)/$D$1+1)*100</f>
        <v>107.89979313161535</v>
      </c>
      <c r="AI116" s="6">
        <f>CurrentMtgRatesDataTable89[[#This Row],[Index]]-AH117</f>
        <v>-4.3553874221579889</v>
      </c>
      <c r="AJ116" s="6">
        <f>VLOOKUP(CurrentMtgRatesDataTable89[[#This Row],[asofdate]],G:H,2,0)</f>
        <v>78.229708672132205</v>
      </c>
      <c r="AK116" s="6">
        <f>VLOOKUP(CurrentMtgRatesDataTable89[[#This Row],[asofdate]],K:L,2,0)</f>
        <v>0.15991961797697701</v>
      </c>
      <c r="AL116" s="6">
        <f>VLOOKUP(CurrentMtgRatesDataTable89[[#This Row],[asofdate]],O:P,2,0)</f>
        <v>37.377683504176403</v>
      </c>
      <c r="AM116" s="6">
        <f>VLOOKUP(CurrentMtgRatesDataTable89[[#This Row],[asofdate]],S:T,2,0)</f>
        <v>0.25876564659608398</v>
      </c>
      <c r="AN116" s="6">
        <f>VLOOKUP(CurrentMtgRatesDataTable89[[#This Row],[asofdate]],W:X,2,0)</f>
        <v>731.463093282675</v>
      </c>
      <c r="AO116" s="6">
        <f>VLOOKUP(CurrentMtgRatesDataTable89[[#This Row],[asofdate]],AA:AB,2,0)</f>
        <v>0.27099622377881499</v>
      </c>
    </row>
    <row r="117" spans="1:41" s="8" customFormat="1" ht="12.75">
      <c r="A117" s="7" t="s">
        <v>144</v>
      </c>
      <c r="B117" s="10">
        <v>1.43316823474701E-2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95.544548983134007</v>
      </c>
      <c r="E117" s="6"/>
      <c r="G117" s="7" t="s">
        <v>144</v>
      </c>
      <c r="H117" s="10">
        <v>80.774218340001596</v>
      </c>
      <c r="I117" s="26">
        <f>VLOOKUP(CurrentMtgRatesDataTable82[[#This Row],[asofdate]],K:L,2,0)</f>
        <v>0.24201218386033299</v>
      </c>
      <c r="K117" s="7" t="s">
        <v>144</v>
      </c>
      <c r="L117" s="29">
        <v>0.24201218386033299</v>
      </c>
      <c r="O117" s="7" t="s">
        <v>144</v>
      </c>
      <c r="P117" s="10">
        <v>32.835058548279001</v>
      </c>
      <c r="Q117" s="29">
        <f>VLOOKUP(CurrentMtgRatesDataTable84[[#This Row],[asofdate]],S:T,2,0)</f>
        <v>0.24307617004430199</v>
      </c>
      <c r="S117" s="7" t="s">
        <v>144</v>
      </c>
      <c r="T117" s="10">
        <v>0.24307617004430199</v>
      </c>
      <c r="W117" s="7" t="s">
        <v>144</v>
      </c>
      <c r="X117" s="10">
        <v>760.56704735831397</v>
      </c>
      <c r="Y117" s="26">
        <f>VLOOKUP(CurrentMtgRatesDataTable86[[#This Row],[asofdate]],AA:AB,2,0)</f>
        <v>8.9158109260444401E-2</v>
      </c>
      <c r="AA117" s="7" t="s">
        <v>144</v>
      </c>
      <c r="AB117" s="10">
        <v>8.9158109260444401E-2</v>
      </c>
      <c r="AE117" s="7" t="s">
        <v>68</v>
      </c>
      <c r="AF117" s="10">
        <v>1.6838277083066001E-2</v>
      </c>
      <c r="AG117" s="10" t="str">
        <f>YEAR(CurrentMtgRatesDataTable89[[#This Row],[asofdate]])&amp;"-"&amp;MONTH(CurrentMtgRatesDataTable89[[#This Row],[asofdate]])</f>
        <v>2006-2</v>
      </c>
      <c r="AH117" s="6">
        <f>((CurrentMtgRatesDataTable89[[#This Row],[SeriesNumValue]]-$D$1)/$D$1+1)*100</f>
        <v>112.25518055377334</v>
      </c>
      <c r="AI117" s="6">
        <f>CurrentMtgRatesDataTable89[[#This Row],[Index]]-AH118</f>
        <v>11.682677294790665</v>
      </c>
      <c r="AJ117" s="6">
        <f>VLOOKUP(CurrentMtgRatesDataTable89[[#This Row],[asofdate]],G:H,2,0)</f>
        <v>78.311389246586302</v>
      </c>
      <c r="AK117" s="6">
        <f>VLOOKUP(CurrentMtgRatesDataTable89[[#This Row],[asofdate]],K:L,2,0)</f>
        <v>0.15960930893653599</v>
      </c>
      <c r="AL117" s="6">
        <f>VLOOKUP(CurrentMtgRatesDataTable89[[#This Row],[asofdate]],O:P,2,0)</f>
        <v>37.501602262048998</v>
      </c>
      <c r="AM117" s="6">
        <f>VLOOKUP(CurrentMtgRatesDataTable89[[#This Row],[asofdate]],S:T,2,0)</f>
        <v>0.25604208841456999</v>
      </c>
      <c r="AN117" s="6">
        <f>VLOOKUP(CurrentMtgRatesDataTable89[[#This Row],[asofdate]],W:X,2,0)</f>
        <v>730.87369541317798</v>
      </c>
      <c r="AO117" s="6">
        <f>VLOOKUP(CurrentMtgRatesDataTable89[[#This Row],[asofdate]],AA:AB,2,0)</f>
        <v>0.27543160169902903</v>
      </c>
    </row>
    <row r="118" spans="1:41" s="8" customFormat="1" ht="12.75">
      <c r="A118" s="7" t="s">
        <v>14</v>
      </c>
      <c r="B118" s="10">
        <v>1.3919009013555601E-2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92.793393423704003</v>
      </c>
      <c r="E118" s="6"/>
      <c r="G118" s="7" t="s">
        <v>14</v>
      </c>
      <c r="H118" s="10">
        <v>80.705110616952894</v>
      </c>
      <c r="I118" s="26">
        <f>VLOOKUP(CurrentMtgRatesDataTable82[[#This Row],[asofdate]],K:L,2,0)</f>
        <v>0.23845473096648101</v>
      </c>
      <c r="K118" s="7" t="s">
        <v>14</v>
      </c>
      <c r="L118" s="29">
        <v>0.23845473096648101</v>
      </c>
      <c r="O118" s="7" t="s">
        <v>14</v>
      </c>
      <c r="P118" s="10">
        <v>32.877390032993198</v>
      </c>
      <c r="Q118" s="29">
        <f>VLOOKUP(CurrentMtgRatesDataTable84[[#This Row],[asofdate]],S:T,2,0)</f>
        <v>0.24584655238150399</v>
      </c>
      <c r="S118" s="7" t="s">
        <v>14</v>
      </c>
      <c r="T118" s="10">
        <v>0.24584655238150399</v>
      </c>
      <c r="W118" s="7" t="s">
        <v>14</v>
      </c>
      <c r="X118" s="10">
        <v>760.08884618930597</v>
      </c>
      <c r="Y118" s="26">
        <f>VLOOKUP(CurrentMtgRatesDataTable86[[#This Row],[asofdate]],AA:AB,2,0)</f>
        <v>8.8541904484275194E-2</v>
      </c>
      <c r="AA118" s="7" t="s">
        <v>14</v>
      </c>
      <c r="AB118" s="10">
        <v>8.8541904484275194E-2</v>
      </c>
      <c r="AE118" s="7" t="s">
        <v>67</v>
      </c>
      <c r="AF118" s="10">
        <v>1.50858754888474E-2</v>
      </c>
      <c r="AG118" s="10" t="str">
        <f>YEAR(CurrentMtgRatesDataTable89[[#This Row],[asofdate]])&amp;"-"&amp;MONTH(CurrentMtgRatesDataTable89[[#This Row],[asofdate]])</f>
        <v>2006-1</v>
      </c>
      <c r="AH118" s="6">
        <f>((CurrentMtgRatesDataTable89[[#This Row],[SeriesNumValue]]-$D$1)/$D$1+1)*100</f>
        <v>100.57250325898268</v>
      </c>
      <c r="AI118" s="6">
        <f>CurrentMtgRatesDataTable89[[#This Row],[Index]]-AH119</f>
        <v>-0.79516469480398655</v>
      </c>
      <c r="AJ118" s="6">
        <f>VLOOKUP(CurrentMtgRatesDataTable89[[#This Row],[asofdate]],G:H,2,0)</f>
        <v>78.128194732343104</v>
      </c>
      <c r="AK118" s="6">
        <f>VLOOKUP(CurrentMtgRatesDataTable89[[#This Row],[asofdate]],K:L,2,0)</f>
        <v>0.159637174596993</v>
      </c>
      <c r="AL118" s="6">
        <f>VLOOKUP(CurrentMtgRatesDataTable89[[#This Row],[asofdate]],O:P,2,0)</f>
        <v>37.352959429809502</v>
      </c>
      <c r="AM118" s="6">
        <f>VLOOKUP(CurrentMtgRatesDataTable89[[#This Row],[asofdate]],S:T,2,0)</f>
        <v>0.25185729465780399</v>
      </c>
      <c r="AN118" s="6">
        <f>VLOOKUP(CurrentMtgRatesDataTable89[[#This Row],[asofdate]],W:X,2,0)</f>
        <v>731.84119056548502</v>
      </c>
      <c r="AO118" s="6">
        <f>VLOOKUP(CurrentMtgRatesDataTable89[[#This Row],[asofdate]],AA:AB,2,0)</f>
        <v>0.27252886688316702</v>
      </c>
    </row>
    <row r="119" spans="1:41" s="8" customFormat="1" ht="12.75">
      <c r="A119" s="7" t="s">
        <v>22</v>
      </c>
      <c r="B119" s="10">
        <v>1.46602395152221E-2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97.734930101480671</v>
      </c>
      <c r="E119" s="6"/>
      <c r="G119" s="7" t="s">
        <v>22</v>
      </c>
      <c r="H119" s="10">
        <v>80.843606386272</v>
      </c>
      <c r="I119" s="26">
        <f>VLOOKUP(CurrentMtgRatesDataTable82[[#This Row],[asofdate]],K:L,2,0)</f>
        <v>0.24251385239543</v>
      </c>
      <c r="K119" s="7" t="s">
        <v>22</v>
      </c>
      <c r="L119" s="29">
        <v>0.24251385239543</v>
      </c>
      <c r="O119" s="7" t="s">
        <v>22</v>
      </c>
      <c r="P119" s="10">
        <v>33.068171385250899</v>
      </c>
      <c r="Q119" s="29">
        <f>VLOOKUP(CurrentMtgRatesDataTable84[[#This Row],[asofdate]],S:T,2,0)</f>
        <v>0.25383414809773602</v>
      </c>
      <c r="S119" s="7" t="s">
        <v>22</v>
      </c>
      <c r="T119" s="10">
        <v>0.25383414809773602</v>
      </c>
      <c r="W119" s="7" t="s">
        <v>22</v>
      </c>
      <c r="X119" s="10">
        <v>760.12747000458296</v>
      </c>
      <c r="Y119" s="26">
        <f>VLOOKUP(CurrentMtgRatesDataTable86[[#This Row],[asofdate]],AA:AB,2,0)</f>
        <v>8.6895177059962594E-2</v>
      </c>
      <c r="AA119" s="7" t="s">
        <v>22</v>
      </c>
      <c r="AB119" s="10">
        <v>8.6895177059962594E-2</v>
      </c>
      <c r="AE119" s="7" t="s">
        <v>66</v>
      </c>
      <c r="AF119" s="10">
        <v>1.5205150193068E-2</v>
      </c>
      <c r="AG119" s="10" t="str">
        <f>YEAR(CurrentMtgRatesDataTable89[[#This Row],[asofdate]])&amp;"-"&amp;MONTH(CurrentMtgRatesDataTable89[[#This Row],[asofdate]])</f>
        <v>2005-12</v>
      </c>
      <c r="AH119" s="6">
        <f>((CurrentMtgRatesDataTable89[[#This Row],[SeriesNumValue]]-$D$1)/$D$1+1)*100</f>
        <v>101.36766795378666</v>
      </c>
      <c r="AI119" s="6">
        <f>CurrentMtgRatesDataTable89[[#This Row],[Index]]-AH120</f>
        <v>-19.915191230685352</v>
      </c>
      <c r="AJ119" s="6">
        <f>VLOOKUP(CurrentMtgRatesDataTable89[[#This Row],[asofdate]],G:H,2,0)</f>
        <v>78.7208769661856</v>
      </c>
      <c r="AK119" s="6">
        <f>VLOOKUP(CurrentMtgRatesDataTable89[[#This Row],[asofdate]],K:L,2,0)</f>
        <v>0.174025887847987</v>
      </c>
      <c r="AL119" s="6">
        <f>VLOOKUP(CurrentMtgRatesDataTable89[[#This Row],[asofdate]],O:P,2,0)</f>
        <v>37.331752401609997</v>
      </c>
      <c r="AM119" s="6">
        <f>VLOOKUP(CurrentMtgRatesDataTable89[[#This Row],[asofdate]],S:T,2,0)</f>
        <v>0.20745068367851</v>
      </c>
      <c r="AN119" s="6">
        <f>VLOOKUP(CurrentMtgRatesDataTable89[[#This Row],[asofdate]],W:X,2,0)</f>
        <v>730.26522367447501</v>
      </c>
      <c r="AO119" s="6">
        <f>VLOOKUP(CurrentMtgRatesDataTable89[[#This Row],[asofdate]],AA:AB,2,0)</f>
        <v>0.28542044215849499</v>
      </c>
    </row>
    <row r="120" spans="1:41" s="8" customFormat="1" ht="12.75">
      <c r="A120" s="7" t="s">
        <v>145</v>
      </c>
      <c r="B120" s="10">
        <v>1.45416452507139E-2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96.944301671426004</v>
      </c>
      <c r="E120" s="6"/>
      <c r="G120" s="7" t="s">
        <v>145</v>
      </c>
      <c r="H120" s="10">
        <v>80.866112462807195</v>
      </c>
      <c r="I120" s="26">
        <f>VLOOKUP(CurrentMtgRatesDataTable82[[#This Row],[asofdate]],K:L,2,0)</f>
        <v>0.24565562899712601</v>
      </c>
      <c r="K120" s="7" t="s">
        <v>145</v>
      </c>
      <c r="L120" s="29">
        <v>0.24565562899712601</v>
      </c>
      <c r="O120" s="7" t="s">
        <v>145</v>
      </c>
      <c r="P120" s="10">
        <v>33.0765463497358</v>
      </c>
      <c r="Q120" s="29">
        <f>VLOOKUP(CurrentMtgRatesDataTable84[[#This Row],[asofdate]],S:T,2,0)</f>
        <v>0.25544920449144998</v>
      </c>
      <c r="S120" s="7" t="s">
        <v>145</v>
      </c>
      <c r="T120" s="10">
        <v>0.25544920449144998</v>
      </c>
      <c r="W120" s="7" t="s">
        <v>145</v>
      </c>
      <c r="X120" s="10">
        <v>759.90551704346296</v>
      </c>
      <c r="Y120" s="26">
        <f>VLOOKUP(CurrentMtgRatesDataTable86[[#This Row],[asofdate]],AA:AB,2,0)</f>
        <v>8.9198353639291697E-2</v>
      </c>
      <c r="AA120" s="7" t="s">
        <v>145</v>
      </c>
      <c r="AB120" s="10">
        <v>8.9198353639291697E-2</v>
      </c>
      <c r="AE120" s="7" t="s">
        <v>65</v>
      </c>
      <c r="AF120" s="10">
        <v>1.8192428877670801E-2</v>
      </c>
      <c r="AG120" s="10" t="str">
        <f>YEAR(CurrentMtgRatesDataTable89[[#This Row],[asofdate]])&amp;"-"&amp;MONTH(CurrentMtgRatesDataTable89[[#This Row],[asofdate]])</f>
        <v>2005-11</v>
      </c>
      <c r="AH120" s="6">
        <f>((CurrentMtgRatesDataTable89[[#This Row],[SeriesNumValue]]-$D$1)/$D$1+1)*100</f>
        <v>121.28285918447202</v>
      </c>
      <c r="AI120" s="6">
        <f>CurrentMtgRatesDataTable89[[#This Row],[Index]]-AH121</f>
        <v>-5.2736780293620029</v>
      </c>
      <c r="AJ120" s="6">
        <f>VLOOKUP(CurrentMtgRatesDataTable89[[#This Row],[asofdate]],G:H,2,0)</f>
        <v>79.707877334763694</v>
      </c>
      <c r="AK120" s="6">
        <f>VLOOKUP(CurrentMtgRatesDataTable89[[#This Row],[asofdate]],K:L,2,0)</f>
        <v>0.20403530410173701</v>
      </c>
      <c r="AL120" s="6">
        <f>VLOOKUP(CurrentMtgRatesDataTable89[[#This Row],[asofdate]],O:P,2,0)</f>
        <v>37.292560707621398</v>
      </c>
      <c r="AM120" s="6">
        <f>VLOOKUP(CurrentMtgRatesDataTable89[[#This Row],[asofdate]],S:T,2,0)</f>
        <v>9.4940112137955404E-2</v>
      </c>
      <c r="AN120" s="6">
        <f>VLOOKUP(CurrentMtgRatesDataTable89[[#This Row],[asofdate]],W:X,2,0)</f>
        <v>728.31425128392505</v>
      </c>
      <c r="AO120" s="6">
        <f>VLOOKUP(CurrentMtgRatesDataTable89[[#This Row],[asofdate]],AA:AB,2,0)</f>
        <v>0.29282399528074898</v>
      </c>
    </row>
    <row r="121" spans="1:41" s="8" customFormat="1" ht="12.75">
      <c r="A121" s="7" t="s">
        <v>146</v>
      </c>
      <c r="B121" s="10">
        <v>1.43351722277784E-2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95.567814851855999</v>
      </c>
      <c r="E121" s="6"/>
      <c r="G121" s="7" t="s">
        <v>146</v>
      </c>
      <c r="H121" s="10">
        <v>80.925553814734698</v>
      </c>
      <c r="I121" s="26">
        <f>VLOOKUP(CurrentMtgRatesDataTable82[[#This Row],[asofdate]],K:L,2,0)</f>
        <v>0.24751650752262899</v>
      </c>
      <c r="K121" s="7" t="s">
        <v>146</v>
      </c>
      <c r="L121" s="29">
        <v>0.24751650752262899</v>
      </c>
      <c r="O121" s="7" t="s">
        <v>146</v>
      </c>
      <c r="P121" s="10">
        <v>33.1249472170026</v>
      </c>
      <c r="Q121" s="29">
        <f>VLOOKUP(CurrentMtgRatesDataTable84[[#This Row],[asofdate]],S:T,2,0)</f>
        <v>0.25560995908197398</v>
      </c>
      <c r="S121" s="7" t="s">
        <v>146</v>
      </c>
      <c r="T121" s="10">
        <v>0.25560995908197398</v>
      </c>
      <c r="W121" s="7" t="s">
        <v>146</v>
      </c>
      <c r="X121" s="10">
        <v>759.65100694832404</v>
      </c>
      <c r="Y121" s="26">
        <f>VLOOKUP(CurrentMtgRatesDataTable86[[#This Row],[asofdate]],AA:AB,2,0)</f>
        <v>8.7854049336442502E-2</v>
      </c>
      <c r="AA121" s="7" t="s">
        <v>146</v>
      </c>
      <c r="AB121" s="10">
        <v>8.7854049336442502E-2</v>
      </c>
      <c r="AE121" s="7" t="s">
        <v>64</v>
      </c>
      <c r="AF121" s="10">
        <v>1.89834805820751E-2</v>
      </c>
      <c r="AG121" s="10" t="str">
        <f>YEAR(CurrentMtgRatesDataTable89[[#This Row],[asofdate]])&amp;"-"&amp;MONTH(CurrentMtgRatesDataTable89[[#This Row],[asofdate]])</f>
        <v>2005-10</v>
      </c>
      <c r="AH121" s="6">
        <f>((CurrentMtgRatesDataTable89[[#This Row],[SeriesNumValue]]-$D$1)/$D$1+1)*100</f>
        <v>126.55653721383402</v>
      </c>
      <c r="AI121" s="6">
        <f>CurrentMtgRatesDataTable89[[#This Row],[Index]]-AH122</f>
        <v>4.2854099531940193</v>
      </c>
      <c r="AJ121" s="6">
        <f>VLOOKUP(CurrentMtgRatesDataTable89[[#This Row],[asofdate]],G:H,2,0)</f>
        <v>79.923493325865195</v>
      </c>
      <c r="AK121" s="6">
        <f>VLOOKUP(CurrentMtgRatesDataTable89[[#This Row],[asofdate]],K:L,2,0)</f>
        <v>0.21644067259883701</v>
      </c>
      <c r="AL121" s="6">
        <f>VLOOKUP(CurrentMtgRatesDataTable89[[#This Row],[asofdate]],O:P,2,0)</f>
        <v>36.383653975406801</v>
      </c>
      <c r="AM121" s="6">
        <f>VLOOKUP(CurrentMtgRatesDataTable89[[#This Row],[asofdate]],S:T,2,0)</f>
        <v>4.7987353312741503E-2</v>
      </c>
      <c r="AN121" s="6">
        <f>VLOOKUP(CurrentMtgRatesDataTable89[[#This Row],[asofdate]],W:X,2,0)</f>
        <v>726.92812366023202</v>
      </c>
      <c r="AO121" s="6">
        <f>VLOOKUP(CurrentMtgRatesDataTable89[[#This Row],[asofdate]],AA:AB,2,0)</f>
        <v>0.307866686997112</v>
      </c>
    </row>
    <row r="122" spans="1:41" s="8" customFormat="1" ht="12.75">
      <c r="A122" s="7" t="s">
        <v>18</v>
      </c>
      <c r="B122" s="10">
        <v>1.4131214864229099E-2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94.208099094860671</v>
      </c>
      <c r="E122" s="6"/>
      <c r="G122" s="7" t="s">
        <v>18</v>
      </c>
      <c r="H122" s="10">
        <v>80.800375314434206</v>
      </c>
      <c r="I122" s="26">
        <f>VLOOKUP(CurrentMtgRatesDataTable82[[#This Row],[asofdate]],K:L,2,0)</f>
        <v>0.24834391419848201</v>
      </c>
      <c r="K122" s="7" t="s">
        <v>18</v>
      </c>
      <c r="L122" s="29">
        <v>0.24834391419848201</v>
      </c>
      <c r="O122" s="7" t="s">
        <v>18</v>
      </c>
      <c r="P122" s="10">
        <v>33.236666006629001</v>
      </c>
      <c r="Q122" s="29">
        <f>VLOOKUP(CurrentMtgRatesDataTable84[[#This Row],[asofdate]],S:T,2,0)</f>
        <v>0.26462376759609502</v>
      </c>
      <c r="S122" s="7" t="s">
        <v>18</v>
      </c>
      <c r="T122" s="10">
        <v>0.26462376759609502</v>
      </c>
      <c r="W122" s="7" t="s">
        <v>18</v>
      </c>
      <c r="X122" s="10">
        <v>758.83265866612305</v>
      </c>
      <c r="Y122" s="26">
        <f>VLOOKUP(CurrentMtgRatesDataTable86[[#This Row],[asofdate]],AA:AB,2,0)</f>
        <v>9.5032351596639697E-2</v>
      </c>
      <c r="AA122" s="7" t="s">
        <v>18</v>
      </c>
      <c r="AB122" s="10">
        <v>9.5032351596639697E-2</v>
      </c>
      <c r="AE122" s="7" t="s">
        <v>63</v>
      </c>
      <c r="AF122" s="10">
        <v>1.8340669089095998E-2</v>
      </c>
      <c r="AG122" s="10" t="str">
        <f>YEAR(CurrentMtgRatesDataTable89[[#This Row],[asofdate]])&amp;"-"&amp;MONTH(CurrentMtgRatesDataTable89[[#This Row],[asofdate]])</f>
        <v>2005-9</v>
      </c>
      <c r="AH122" s="6">
        <f>((CurrentMtgRatesDataTable89[[#This Row],[SeriesNumValue]]-$D$1)/$D$1+1)*100</f>
        <v>122.27112726064</v>
      </c>
      <c r="AI122" s="6">
        <f>CurrentMtgRatesDataTable89[[#This Row],[Index]]-AH123</f>
        <v>-8.6953758685266536</v>
      </c>
      <c r="AJ122" s="6">
        <f>VLOOKUP(CurrentMtgRatesDataTable89[[#This Row],[asofdate]],G:H,2,0)</f>
        <v>79.800293185781797</v>
      </c>
      <c r="AK122" s="6">
        <f>VLOOKUP(CurrentMtgRatesDataTable89[[#This Row],[asofdate]],K:L,2,0)</f>
        <v>0.20902100522637301</v>
      </c>
      <c r="AL122" s="6">
        <f>VLOOKUP(CurrentMtgRatesDataTable89[[#This Row],[asofdate]],O:P,2,0)</f>
        <v>35.147215732380403</v>
      </c>
      <c r="AM122" s="6">
        <f>VLOOKUP(CurrentMtgRatesDataTable89[[#This Row],[asofdate]],S:T,2,0)</f>
        <v>2.6840486999244E-2</v>
      </c>
      <c r="AN122" s="6">
        <f>VLOOKUP(CurrentMtgRatesDataTable89[[#This Row],[asofdate]],W:X,2,0)</f>
        <v>728.11822863875295</v>
      </c>
      <c r="AO122" s="6">
        <f>VLOOKUP(CurrentMtgRatesDataTable89[[#This Row],[asofdate]],AA:AB,2,0)</f>
        <v>0.29227003191516798</v>
      </c>
    </row>
    <row r="123" spans="1:41" s="8" customFormat="1" ht="12.75">
      <c r="A123" s="7" t="s">
        <v>19</v>
      </c>
      <c r="B123" s="10">
        <v>1.3987392900068099E-2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93.249286000454006</v>
      </c>
      <c r="E123" s="6"/>
      <c r="G123" s="7" t="s">
        <v>19</v>
      </c>
      <c r="H123" s="10">
        <v>81.043826873856403</v>
      </c>
      <c r="I123" s="26">
        <f>VLOOKUP(CurrentMtgRatesDataTable82[[#This Row],[asofdate]],K:L,2,0)</f>
        <v>0.24921385952558001</v>
      </c>
      <c r="K123" s="7" t="s">
        <v>19</v>
      </c>
      <c r="L123" s="29">
        <v>0.24921385952558001</v>
      </c>
      <c r="O123" s="7" t="s">
        <v>19</v>
      </c>
      <c r="P123" s="10">
        <v>33.429044897728502</v>
      </c>
      <c r="Q123" s="29">
        <f>VLOOKUP(CurrentMtgRatesDataTable84[[#This Row],[asofdate]],S:T,2,0)</f>
        <v>0.267770092509233</v>
      </c>
      <c r="S123" s="7" t="s">
        <v>19</v>
      </c>
      <c r="T123" s="10">
        <v>0.267770092509233</v>
      </c>
      <c r="W123" s="7" t="s">
        <v>19</v>
      </c>
      <c r="X123" s="10">
        <v>758.31040860104099</v>
      </c>
      <c r="Y123" s="26">
        <f>VLOOKUP(CurrentMtgRatesDataTable86[[#This Row],[asofdate]],AA:AB,2,0)</f>
        <v>9.6986521429274206E-2</v>
      </c>
      <c r="AA123" s="7" t="s">
        <v>19</v>
      </c>
      <c r="AB123" s="10">
        <v>9.6986521429274206E-2</v>
      </c>
      <c r="AE123" s="7" t="s">
        <v>62</v>
      </c>
      <c r="AF123" s="10">
        <v>1.9644975469374999E-2</v>
      </c>
      <c r="AG123" s="10" t="str">
        <f>YEAR(CurrentMtgRatesDataTable89[[#This Row],[asofdate]])&amp;"-"&amp;MONTH(CurrentMtgRatesDataTable89[[#This Row],[asofdate]])</f>
        <v>2005-8</v>
      </c>
      <c r="AH123" s="6">
        <f>((CurrentMtgRatesDataTable89[[#This Row],[SeriesNumValue]]-$D$1)/$D$1+1)*100</f>
        <v>130.96650312916665</v>
      </c>
      <c r="AI123" s="6">
        <f>CurrentMtgRatesDataTable89[[#This Row],[Index]]-AH124</f>
        <v>-11.07818132897134</v>
      </c>
      <c r="AJ123" s="6">
        <f>VLOOKUP(CurrentMtgRatesDataTable89[[#This Row],[asofdate]],G:H,2,0)</f>
        <v>79.862643010011894</v>
      </c>
      <c r="AK123" s="6">
        <f>VLOOKUP(CurrentMtgRatesDataTable89[[#This Row],[asofdate]],K:L,2,0)</f>
        <v>0.21466661143927501</v>
      </c>
      <c r="AL123" s="6">
        <f>VLOOKUP(CurrentMtgRatesDataTable89[[#This Row],[asofdate]],O:P,2,0)</f>
        <v>35.075540490054998</v>
      </c>
      <c r="AM123" s="6">
        <f>VLOOKUP(CurrentMtgRatesDataTable89[[#This Row],[asofdate]],S:T,2,0)</f>
        <v>2.0742036604422101E-2</v>
      </c>
      <c r="AN123" s="6">
        <f>VLOOKUP(CurrentMtgRatesDataTable89[[#This Row],[asofdate]],W:X,2,0)</f>
        <v>727.32851128836899</v>
      </c>
      <c r="AO123" s="6">
        <f>VLOOKUP(CurrentMtgRatesDataTable89[[#This Row],[asofdate]],AA:AB,2,0)</f>
        <v>0.30538804890256599</v>
      </c>
    </row>
    <row r="124" spans="1:41" s="8" customFormat="1" ht="12.75">
      <c r="A124" s="7" t="s">
        <v>15</v>
      </c>
      <c r="B124" s="10">
        <v>1.40817858019612E-2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93.878572013074674</v>
      </c>
      <c r="E124" s="6"/>
      <c r="G124" s="7" t="s">
        <v>15</v>
      </c>
      <c r="H124" s="10">
        <v>81.200489208425694</v>
      </c>
      <c r="I124" s="26">
        <f>VLOOKUP(CurrentMtgRatesDataTable82[[#This Row],[asofdate]],K:L,2,0)</f>
        <v>0.25704056507600498</v>
      </c>
      <c r="K124" s="7" t="s">
        <v>15</v>
      </c>
      <c r="L124" s="29">
        <v>0.25704056507600498</v>
      </c>
      <c r="O124" s="7" t="s">
        <v>15</v>
      </c>
      <c r="P124" s="10">
        <v>33.479233755489297</v>
      </c>
      <c r="Q124" s="29">
        <f>VLOOKUP(CurrentMtgRatesDataTable84[[#This Row],[asofdate]],S:T,2,0)</f>
        <v>0.26710168753772401</v>
      </c>
      <c r="S124" s="7" t="s">
        <v>15</v>
      </c>
      <c r="T124" s="10">
        <v>0.26710168753772401</v>
      </c>
      <c r="W124" s="7" t="s">
        <v>15</v>
      </c>
      <c r="X124" s="10">
        <v>758.50138413694401</v>
      </c>
      <c r="Y124" s="26">
        <f>VLOOKUP(CurrentMtgRatesDataTable86[[#This Row],[asofdate]],AA:AB,2,0)</f>
        <v>9.1589233896697805E-2</v>
      </c>
      <c r="AA124" s="7" t="s">
        <v>15</v>
      </c>
      <c r="AB124" s="10">
        <v>9.1589233896697805E-2</v>
      </c>
      <c r="AE124" s="7" t="s">
        <v>61</v>
      </c>
      <c r="AF124" s="10">
        <v>2.1306702668720701E-2</v>
      </c>
      <c r="AG124" s="10" t="str">
        <f>YEAR(CurrentMtgRatesDataTable89[[#This Row],[asofdate]])&amp;"-"&amp;MONTH(CurrentMtgRatesDataTable89[[#This Row],[asofdate]])</f>
        <v>2005-7</v>
      </c>
      <c r="AH124" s="6">
        <f>((CurrentMtgRatesDataTable89[[#This Row],[SeriesNumValue]]-$D$1)/$D$1+1)*100</f>
        <v>142.04468445813799</v>
      </c>
      <c r="AI124" s="6">
        <f>CurrentMtgRatesDataTable89[[#This Row],[Index]]-AH125</f>
        <v>3.1640990923659729</v>
      </c>
      <c r="AJ124" s="6">
        <f>VLOOKUP(CurrentMtgRatesDataTable89[[#This Row],[asofdate]],G:H,2,0)</f>
        <v>80.923921130237204</v>
      </c>
      <c r="AK124" s="6">
        <f>VLOOKUP(CurrentMtgRatesDataTable89[[#This Row],[asofdate]],K:L,2,0)</f>
        <v>0.23498727813374801</v>
      </c>
      <c r="AL124" s="6">
        <f>VLOOKUP(CurrentMtgRatesDataTable89[[#This Row],[asofdate]],O:P,2,0)</f>
        <v>35.633553387060303</v>
      </c>
      <c r="AM124" s="6">
        <f>VLOOKUP(CurrentMtgRatesDataTable89[[#This Row],[asofdate]],S:T,2,0)</f>
        <v>2.3978880843192399E-2</v>
      </c>
      <c r="AN124" s="6">
        <f>VLOOKUP(CurrentMtgRatesDataTable89[[#This Row],[asofdate]],W:X,2,0)</f>
        <v>725.24416475674298</v>
      </c>
      <c r="AO124" s="6">
        <f>VLOOKUP(CurrentMtgRatesDataTable89[[#This Row],[asofdate]],AA:AB,2,0)</f>
        <v>0.31631796100141901</v>
      </c>
    </row>
    <row r="125" spans="1:41" s="8" customFormat="1" ht="12.75">
      <c r="A125" s="7" t="s">
        <v>7</v>
      </c>
      <c r="B125" s="10">
        <v>1.4837017133146699E-2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98.913447554311333</v>
      </c>
      <c r="E125" s="6"/>
      <c r="G125" s="7" t="s">
        <v>7</v>
      </c>
      <c r="H125" s="10">
        <v>81.325702438075396</v>
      </c>
      <c r="I125" s="26">
        <f>VLOOKUP(CurrentMtgRatesDataTable82[[#This Row],[asofdate]],K:L,2,0)</f>
        <v>0.26283671665637698</v>
      </c>
      <c r="K125" s="7" t="s">
        <v>7</v>
      </c>
      <c r="L125" s="29">
        <v>0.26283671665637698</v>
      </c>
      <c r="O125" s="7" t="s">
        <v>7</v>
      </c>
      <c r="P125" s="10">
        <v>33.556560873923601</v>
      </c>
      <c r="Q125" s="29">
        <f>VLOOKUP(CurrentMtgRatesDataTable84[[#This Row],[asofdate]],S:T,2,0)</f>
        <v>0.26794073060632401</v>
      </c>
      <c r="S125" s="7" t="s">
        <v>7</v>
      </c>
      <c r="T125" s="10">
        <v>0.26794073060632401</v>
      </c>
      <c r="W125" s="7" t="s">
        <v>7</v>
      </c>
      <c r="X125" s="10">
        <v>758.42267716896799</v>
      </c>
      <c r="Y125" s="26">
        <f>VLOOKUP(CurrentMtgRatesDataTable86[[#This Row],[asofdate]],AA:AB,2,0)</f>
        <v>9.3299125345115905E-2</v>
      </c>
      <c r="AA125" s="7" t="s">
        <v>7</v>
      </c>
      <c r="AB125" s="10">
        <v>9.3299125345115905E-2</v>
      </c>
      <c r="AE125" s="7" t="s">
        <v>60</v>
      </c>
      <c r="AF125" s="10">
        <v>2.0832087804865802E-2</v>
      </c>
      <c r="AG125" s="10" t="str">
        <f>YEAR(CurrentMtgRatesDataTable89[[#This Row],[asofdate]])&amp;"-"&amp;MONTH(CurrentMtgRatesDataTable89[[#This Row],[asofdate]])</f>
        <v>2005-6</v>
      </c>
      <c r="AH125" s="6">
        <f>((CurrentMtgRatesDataTable89[[#This Row],[SeriesNumValue]]-$D$1)/$D$1+1)*100</f>
        <v>138.88058536577202</v>
      </c>
      <c r="AI125" s="6">
        <f>CurrentMtgRatesDataTable89[[#This Row],[Index]]-AH126</f>
        <v>16.904326977374012</v>
      </c>
      <c r="AJ125" s="6">
        <f>VLOOKUP(CurrentMtgRatesDataTable89[[#This Row],[asofdate]],G:H,2,0)</f>
        <v>80.948951507975195</v>
      </c>
      <c r="AK125" s="6">
        <f>VLOOKUP(CurrentMtgRatesDataTable89[[#This Row],[asofdate]],K:L,2,0)</f>
        <v>0.24199028870644701</v>
      </c>
      <c r="AL125" s="6">
        <f>VLOOKUP(CurrentMtgRatesDataTable89[[#This Row],[asofdate]],O:P,2,0)</f>
        <v>36.1993382197549</v>
      </c>
      <c r="AM125" s="6">
        <f>VLOOKUP(CurrentMtgRatesDataTable89[[#This Row],[asofdate]],S:T,2,0)</f>
        <v>2.4888563661056001E-2</v>
      </c>
      <c r="AN125" s="6">
        <f>VLOOKUP(CurrentMtgRatesDataTable89[[#This Row],[asofdate]],W:X,2,0)</f>
        <v>724.54450005986598</v>
      </c>
      <c r="AO125" s="6">
        <f>VLOOKUP(CurrentMtgRatesDataTable89[[#This Row],[asofdate]],AA:AB,2,0)</f>
        <v>0.31915669681855002</v>
      </c>
    </row>
    <row r="126" spans="1:41" s="8" customFormat="1" ht="12.75">
      <c r="A126" s="7" t="s">
        <v>147</v>
      </c>
      <c r="B126" s="10">
        <v>1.5413618670020701E-2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102.75745780013801</v>
      </c>
      <c r="E126" s="6"/>
      <c r="G126" s="7" t="s">
        <v>147</v>
      </c>
      <c r="H126" s="10">
        <v>81.5612670845737</v>
      </c>
      <c r="I126" s="26">
        <f>VLOOKUP(CurrentMtgRatesDataTable82[[#This Row],[asofdate]],K:L,2,0)</f>
        <v>0.27246872233055902</v>
      </c>
      <c r="K126" s="7" t="s">
        <v>147</v>
      </c>
      <c r="L126" s="29">
        <v>0.27246872233055902</v>
      </c>
      <c r="O126" s="7" t="s">
        <v>147</v>
      </c>
      <c r="P126" s="10">
        <v>33.442949942350502</v>
      </c>
      <c r="Q126" s="29">
        <f>VLOOKUP(CurrentMtgRatesDataTable84[[#This Row],[asofdate]],S:T,2,0)</f>
        <v>0.26164794287106502</v>
      </c>
      <c r="S126" s="7" t="s">
        <v>147</v>
      </c>
      <c r="T126" s="10">
        <v>0.26164794287106502</v>
      </c>
      <c r="W126" s="7" t="s">
        <v>147</v>
      </c>
      <c r="X126" s="10">
        <v>758.39517424014696</v>
      </c>
      <c r="Y126" s="26">
        <f>VLOOKUP(CurrentMtgRatesDataTable86[[#This Row],[asofdate]],AA:AB,2,0)</f>
        <v>9.4256092593603E-2</v>
      </c>
      <c r="AA126" s="7" t="s">
        <v>147</v>
      </c>
      <c r="AB126" s="10">
        <v>9.4256092593603E-2</v>
      </c>
      <c r="AE126" s="7" t="s">
        <v>59</v>
      </c>
      <c r="AF126" s="10">
        <v>1.82964387582597E-2</v>
      </c>
      <c r="AG126" s="10" t="str">
        <f>YEAR(CurrentMtgRatesDataTable89[[#This Row],[asofdate]])&amp;"-"&amp;MONTH(CurrentMtgRatesDataTable89[[#This Row],[asofdate]])</f>
        <v>2005-5</v>
      </c>
      <c r="AH126" s="6">
        <f>((CurrentMtgRatesDataTable89[[#This Row],[SeriesNumValue]]-$D$1)/$D$1+1)*100</f>
        <v>121.97625838839801</v>
      </c>
      <c r="AI126" s="6">
        <f>CurrentMtgRatesDataTable89[[#This Row],[Index]]-AH127</f>
        <v>-10.868404793401993</v>
      </c>
      <c r="AJ126" s="6">
        <f>VLOOKUP(CurrentMtgRatesDataTable89[[#This Row],[asofdate]],G:H,2,0)</f>
        <v>80.691453386703202</v>
      </c>
      <c r="AK126" s="6">
        <f>VLOOKUP(CurrentMtgRatesDataTable89[[#This Row],[asofdate]],K:L,2,0)</f>
        <v>0.23428916188033899</v>
      </c>
      <c r="AL126" s="6">
        <f>VLOOKUP(CurrentMtgRatesDataTable89[[#This Row],[asofdate]],O:P,2,0)</f>
        <v>36.327186002251203</v>
      </c>
      <c r="AM126" s="6">
        <f>VLOOKUP(CurrentMtgRatesDataTable89[[#This Row],[asofdate]],S:T,2,0)</f>
        <v>2.0220548051852201E-2</v>
      </c>
      <c r="AN126" s="6">
        <f>VLOOKUP(CurrentMtgRatesDataTable89[[#This Row],[asofdate]],W:X,2,0)</f>
        <v>725.45443780722496</v>
      </c>
      <c r="AO126" s="6">
        <f>VLOOKUP(CurrentMtgRatesDataTable89[[#This Row],[asofdate]],AA:AB,2,0)</f>
        <v>0.31192531307344201</v>
      </c>
    </row>
    <row r="127" spans="1:41" s="8" customFormat="1" ht="12.75">
      <c r="A127" s="7" t="s">
        <v>10</v>
      </c>
      <c r="B127" s="10">
        <v>1.3647960450387501E-2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90.986403002583344</v>
      </c>
      <c r="E127" s="6"/>
      <c r="G127" s="7" t="s">
        <v>10</v>
      </c>
      <c r="H127" s="10">
        <v>81.7888289703358</v>
      </c>
      <c r="I127" s="26">
        <f>VLOOKUP(CurrentMtgRatesDataTable82[[#This Row],[asofdate]],K:L,2,0)</f>
        <v>0.28536396189055402</v>
      </c>
      <c r="K127" s="7" t="s">
        <v>10</v>
      </c>
      <c r="L127" s="29">
        <v>0.28536396189055402</v>
      </c>
      <c r="O127" s="7" t="s">
        <v>10</v>
      </c>
      <c r="P127" s="10">
        <v>33.228836462083102</v>
      </c>
      <c r="Q127" s="29">
        <f>VLOOKUP(CurrentMtgRatesDataTable84[[#This Row],[asofdate]],S:T,2,0)</f>
        <v>0.25208186650608</v>
      </c>
      <c r="S127" s="7" t="s">
        <v>10</v>
      </c>
      <c r="T127" s="10">
        <v>0.25208186650608</v>
      </c>
      <c r="W127" s="7" t="s">
        <v>10</v>
      </c>
      <c r="X127" s="10">
        <v>758.28635665856098</v>
      </c>
      <c r="Y127" s="26">
        <f>VLOOKUP(CurrentMtgRatesDataTable86[[#This Row],[asofdate]],AA:AB,2,0)</f>
        <v>9.6571858683146397E-2</v>
      </c>
      <c r="AA127" s="7" t="s">
        <v>10</v>
      </c>
      <c r="AB127" s="10">
        <v>9.6571858683146397E-2</v>
      </c>
      <c r="AE127" s="7" t="s">
        <v>58</v>
      </c>
      <c r="AF127" s="10">
        <v>1.992669947727E-2</v>
      </c>
      <c r="AG127" s="10" t="str">
        <f>YEAR(CurrentMtgRatesDataTable89[[#This Row],[asofdate]])&amp;"-"&amp;MONTH(CurrentMtgRatesDataTable89[[#This Row],[asofdate]])</f>
        <v>2005-4</v>
      </c>
      <c r="AH127" s="6">
        <f>((CurrentMtgRatesDataTable89[[#This Row],[SeriesNumValue]]-$D$1)/$D$1+1)*100</f>
        <v>132.8446631818</v>
      </c>
      <c r="AI127" s="6">
        <f>CurrentMtgRatesDataTable89[[#This Row],[Index]]-AH128</f>
        <v>-4.116227768065329</v>
      </c>
      <c r="AJ127" s="6">
        <f>VLOOKUP(CurrentMtgRatesDataTable89[[#This Row],[asofdate]],G:H,2,0)</f>
        <v>80.895125662890706</v>
      </c>
      <c r="AK127" s="6">
        <f>VLOOKUP(CurrentMtgRatesDataTable89[[#This Row],[asofdate]],K:L,2,0)</f>
        <v>0.245931688961815</v>
      </c>
      <c r="AL127" s="6">
        <f>VLOOKUP(CurrentMtgRatesDataTable89[[#This Row],[asofdate]],O:P,2,0)</f>
        <v>36.597130219793101</v>
      </c>
      <c r="AM127" s="6">
        <f>VLOOKUP(CurrentMtgRatesDataTable89[[#This Row],[asofdate]],S:T,2,0)</f>
        <v>2.0414171190781299E-2</v>
      </c>
      <c r="AN127" s="6">
        <f>VLOOKUP(CurrentMtgRatesDataTable89[[#This Row],[asofdate]],W:X,2,0)</f>
        <v>725.25839259543602</v>
      </c>
      <c r="AO127" s="6">
        <f>VLOOKUP(CurrentMtgRatesDataTable89[[#This Row],[asofdate]],AA:AB,2,0)</f>
        <v>0.31175809732214199</v>
      </c>
    </row>
    <row r="128" spans="1:41" s="8" customFormat="1" ht="12.75">
      <c r="A128" s="7" t="s">
        <v>23</v>
      </c>
      <c r="B128" s="10">
        <v>1.2470132643022099E-2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83.134217620147339</v>
      </c>
      <c r="E128" s="6"/>
      <c r="G128" s="7" t="s">
        <v>23</v>
      </c>
      <c r="H128" s="10">
        <v>81.827851463146402</v>
      </c>
      <c r="I128" s="26">
        <f>VLOOKUP(CurrentMtgRatesDataTable82[[#This Row],[asofdate]],K:L,2,0)</f>
        <v>0.284639199478668</v>
      </c>
      <c r="K128" s="7" t="s">
        <v>23</v>
      </c>
      <c r="L128" s="29">
        <v>0.284639199478668</v>
      </c>
      <c r="O128" s="7" t="s">
        <v>23</v>
      </c>
      <c r="P128" s="10">
        <v>33.415347228067603</v>
      </c>
      <c r="Q128" s="29">
        <f>VLOOKUP(CurrentMtgRatesDataTable84[[#This Row],[asofdate]],S:T,2,0)</f>
        <v>0.26111241421832199</v>
      </c>
      <c r="S128" s="7" t="s">
        <v>23</v>
      </c>
      <c r="T128" s="10">
        <v>0.26111241421832199</v>
      </c>
      <c r="W128" s="7" t="s">
        <v>23</v>
      </c>
      <c r="X128" s="10">
        <v>757.91742361522199</v>
      </c>
      <c r="Y128" s="26">
        <f>VLOOKUP(CurrentMtgRatesDataTable86[[#This Row],[asofdate]],AA:AB,2,0)</f>
        <v>9.7422158776019799E-2</v>
      </c>
      <c r="AA128" s="7" t="s">
        <v>23</v>
      </c>
      <c r="AB128" s="10">
        <v>9.7422158776019799E-2</v>
      </c>
      <c r="AE128" s="7" t="s">
        <v>57</v>
      </c>
      <c r="AF128" s="10">
        <v>2.0544133642479801E-2</v>
      </c>
      <c r="AG128" s="10" t="str">
        <f>YEAR(CurrentMtgRatesDataTable89[[#This Row],[asofdate]])&amp;"-"&amp;MONTH(CurrentMtgRatesDataTable89[[#This Row],[asofdate]])</f>
        <v>2005-3</v>
      </c>
      <c r="AH128" s="6">
        <f>((CurrentMtgRatesDataTable89[[#This Row],[SeriesNumValue]]-$D$1)/$D$1+1)*100</f>
        <v>136.96089094986533</v>
      </c>
      <c r="AI128" s="6">
        <f>CurrentMtgRatesDataTable89[[#This Row],[Index]]-AH129</f>
        <v>-1.5190388128993391</v>
      </c>
      <c r="AJ128" s="6">
        <f>VLOOKUP(CurrentMtgRatesDataTable89[[#This Row],[asofdate]],G:H,2,0)</f>
        <v>80.935490519379599</v>
      </c>
      <c r="AK128" s="6">
        <f>VLOOKUP(CurrentMtgRatesDataTable89[[#This Row],[asofdate]],K:L,2,0)</f>
        <v>0.249185537915113</v>
      </c>
      <c r="AL128" s="6">
        <f>VLOOKUP(CurrentMtgRatesDataTable89[[#This Row],[asofdate]],O:P,2,0)</f>
        <v>36.5639802821904</v>
      </c>
      <c r="AM128" s="6">
        <f>VLOOKUP(CurrentMtgRatesDataTable89[[#This Row],[asofdate]],S:T,2,0)</f>
        <v>2.27896209751474E-2</v>
      </c>
      <c r="AN128" s="6">
        <f>VLOOKUP(CurrentMtgRatesDataTable89[[#This Row],[asofdate]],W:X,2,0)</f>
        <v>723.637747969624</v>
      </c>
      <c r="AO128" s="6">
        <f>VLOOKUP(CurrentMtgRatesDataTable89[[#This Row],[asofdate]],AA:AB,2,0)</f>
        <v>0.32539461336384001</v>
      </c>
    </row>
    <row r="129" spans="1:41" s="8" customFormat="1" ht="12.75">
      <c r="A129" s="7" t="s">
        <v>148</v>
      </c>
      <c r="B129" s="10">
        <v>1.37692172040781E-2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91.794781360520673</v>
      </c>
      <c r="E129" s="6"/>
      <c r="G129" s="7" t="s">
        <v>148</v>
      </c>
      <c r="H129" s="10">
        <v>81.9190328003167</v>
      </c>
      <c r="I129" s="26">
        <f>VLOOKUP(CurrentMtgRatesDataTable82[[#This Row],[asofdate]],K:L,2,0)</f>
        <v>0.29035960588757298</v>
      </c>
      <c r="K129" s="7" t="s">
        <v>148</v>
      </c>
      <c r="L129" s="29">
        <v>0.29035960588757298</v>
      </c>
      <c r="O129" s="7" t="s">
        <v>148</v>
      </c>
      <c r="P129" s="10">
        <v>34.0414134834745</v>
      </c>
      <c r="Q129" s="29">
        <f>VLOOKUP(CurrentMtgRatesDataTable84[[#This Row],[asofdate]],S:T,2,0)</f>
        <v>0.28424451003106099</v>
      </c>
      <c r="S129" s="7" t="s">
        <v>148</v>
      </c>
      <c r="T129" s="10">
        <v>0.28424451003106099</v>
      </c>
      <c r="W129" s="7" t="s">
        <v>148</v>
      </c>
      <c r="X129" s="10">
        <v>756.65309096524095</v>
      </c>
      <c r="Y129" s="26">
        <f>VLOOKUP(CurrentMtgRatesDataTable86[[#This Row],[asofdate]],AA:AB,2,0)</f>
        <v>0.10240669631997799</v>
      </c>
      <c r="AA129" s="7" t="s">
        <v>148</v>
      </c>
      <c r="AB129" s="10">
        <v>0.10240669631997799</v>
      </c>
      <c r="AE129" s="7" t="s">
        <v>56</v>
      </c>
      <c r="AF129" s="10">
        <v>2.0771989464414699E-2</v>
      </c>
      <c r="AG129" s="10" t="str">
        <f>YEAR(CurrentMtgRatesDataTable89[[#This Row],[asofdate]])&amp;"-"&amp;MONTH(CurrentMtgRatesDataTable89[[#This Row],[asofdate]])</f>
        <v>2005-2</v>
      </c>
      <c r="AH129" s="6">
        <f>((CurrentMtgRatesDataTable89[[#This Row],[SeriesNumValue]]-$D$1)/$D$1+1)*100</f>
        <v>138.47992976276467</v>
      </c>
      <c r="AI129" s="6">
        <f>CurrentMtgRatesDataTable89[[#This Row],[Index]]-AH130</f>
        <v>-1.8273430075033161</v>
      </c>
      <c r="AJ129" s="6">
        <f>VLOOKUP(CurrentMtgRatesDataTable89[[#This Row],[asofdate]],G:H,2,0)</f>
        <v>80.988234268140602</v>
      </c>
      <c r="AK129" s="6">
        <f>VLOOKUP(CurrentMtgRatesDataTable89[[#This Row],[asofdate]],K:L,2,0)</f>
        <v>0.26359078536765701</v>
      </c>
      <c r="AL129" s="6">
        <f>VLOOKUP(CurrentMtgRatesDataTable89[[#This Row],[asofdate]],O:P,2,0)</f>
        <v>36.021234313297398</v>
      </c>
      <c r="AM129" s="6">
        <f>VLOOKUP(CurrentMtgRatesDataTable89[[#This Row],[asofdate]],S:T,2,0)</f>
        <v>2.15048269951971E-2</v>
      </c>
      <c r="AN129" s="6">
        <f>VLOOKUP(CurrentMtgRatesDataTable89[[#This Row],[asofdate]],W:X,2,0)</f>
        <v>721.85201991281099</v>
      </c>
      <c r="AO129" s="6">
        <f>VLOOKUP(CurrentMtgRatesDataTable89[[#This Row],[asofdate]],AA:AB,2,0)</f>
        <v>0.33234768002944598</v>
      </c>
    </row>
    <row r="130" spans="1:41" s="8" customFormat="1" ht="12.75">
      <c r="A130" s="7" t="s">
        <v>11</v>
      </c>
      <c r="B130" s="10">
        <v>1.51606870991071E-2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101.07124732738066</v>
      </c>
      <c r="E130" s="6"/>
      <c r="G130" s="7" t="s">
        <v>11</v>
      </c>
      <c r="H130" s="10">
        <v>81.931329359342499</v>
      </c>
      <c r="I130" s="26">
        <f>VLOOKUP(CurrentMtgRatesDataTable82[[#This Row],[asofdate]],K:L,2,0)</f>
        <v>0.29271684918984597</v>
      </c>
      <c r="K130" s="7" t="s">
        <v>11</v>
      </c>
      <c r="L130" s="29">
        <v>0.29271684918984597</v>
      </c>
      <c r="O130" s="7" t="s">
        <v>11</v>
      </c>
      <c r="P130" s="10">
        <v>34.358023343400497</v>
      </c>
      <c r="Q130" s="29">
        <f>VLOOKUP(CurrentMtgRatesDataTable84[[#This Row],[asofdate]],S:T,2,0)</f>
        <v>0.29331220050253898</v>
      </c>
      <c r="S130" s="7" t="s">
        <v>11</v>
      </c>
      <c r="T130" s="10">
        <v>0.29331220050253898</v>
      </c>
      <c r="W130" s="7" t="s">
        <v>11</v>
      </c>
      <c r="X130" s="10">
        <v>755.17990223477602</v>
      </c>
      <c r="Y130" s="26">
        <f>VLOOKUP(CurrentMtgRatesDataTable86[[#This Row],[asofdate]],AA:AB,2,0)</f>
        <v>0.11166350322123</v>
      </c>
      <c r="AA130" s="7" t="s">
        <v>11</v>
      </c>
      <c r="AB130" s="10">
        <v>0.11166350322123</v>
      </c>
      <c r="AE130" s="7" t="s">
        <v>55</v>
      </c>
      <c r="AF130" s="10">
        <v>2.1046090915540199E-2</v>
      </c>
      <c r="AG130" s="10" t="str">
        <f>YEAR(CurrentMtgRatesDataTable89[[#This Row],[asofdate]])&amp;"-"&amp;MONTH(CurrentMtgRatesDataTable89[[#This Row],[asofdate]])</f>
        <v>2005-1</v>
      </c>
      <c r="AH130" s="6">
        <f>((CurrentMtgRatesDataTable89[[#This Row],[SeriesNumValue]]-$D$1)/$D$1+1)*100</f>
        <v>140.30727277026799</v>
      </c>
      <c r="AI130" s="6">
        <f>CurrentMtgRatesDataTable89[[#This Row],[Index]]-AH131</f>
        <v>-0.84402962014067384</v>
      </c>
      <c r="AJ130" s="6">
        <f>VLOOKUP(CurrentMtgRatesDataTable89[[#This Row],[asofdate]],G:H,2,0)</f>
        <v>81.184090206536396</v>
      </c>
      <c r="AK130" s="6">
        <f>VLOOKUP(CurrentMtgRatesDataTable89[[#This Row],[asofdate]],K:L,2,0)</f>
        <v>0.27546927529221299</v>
      </c>
      <c r="AL130" s="6">
        <f>VLOOKUP(CurrentMtgRatesDataTable89[[#This Row],[asofdate]],O:P,2,0)</f>
        <v>36.113002367630003</v>
      </c>
      <c r="AM130" s="6">
        <f>VLOOKUP(CurrentMtgRatesDataTable89[[#This Row],[asofdate]],S:T,2,0)</f>
        <v>2.1384716547729901E-2</v>
      </c>
      <c r="AN130" s="6">
        <f>VLOOKUP(CurrentMtgRatesDataTable89[[#This Row],[asofdate]],W:X,2,0)</f>
        <v>721.96599739441297</v>
      </c>
      <c r="AO130" s="6">
        <f>VLOOKUP(CurrentMtgRatesDataTable89[[#This Row],[asofdate]],AA:AB,2,0)</f>
        <v>0.32923258254458498</v>
      </c>
    </row>
    <row r="131" spans="1:41" s="8" customFormat="1" ht="12.75">
      <c r="A131" s="7" t="s">
        <v>20</v>
      </c>
      <c r="B131" s="10">
        <v>1.66078966045363E-2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110.71931069690868</v>
      </c>
      <c r="E131" s="6"/>
      <c r="G131" s="7" t="s">
        <v>20</v>
      </c>
      <c r="H131" s="10">
        <v>82.001865069591801</v>
      </c>
      <c r="I131" s="26">
        <f>VLOOKUP(CurrentMtgRatesDataTable82[[#This Row],[asofdate]],K:L,2,0)</f>
        <v>0.29878094038042202</v>
      </c>
      <c r="K131" s="7" t="s">
        <v>20</v>
      </c>
      <c r="L131" s="29">
        <v>0.29878094038042202</v>
      </c>
      <c r="O131" s="7" t="s">
        <v>20</v>
      </c>
      <c r="P131" s="10">
        <v>34.648006233967998</v>
      </c>
      <c r="Q131" s="29">
        <f>VLOOKUP(CurrentMtgRatesDataTable84[[#This Row],[asofdate]],S:T,2,0)</f>
        <v>0.304715372991815</v>
      </c>
      <c r="S131" s="7" t="s">
        <v>20</v>
      </c>
      <c r="T131" s="10">
        <v>0.304715372991815</v>
      </c>
      <c r="W131" s="7" t="s">
        <v>20</v>
      </c>
      <c r="X131" s="10">
        <v>754.17844059723097</v>
      </c>
      <c r="Y131" s="26">
        <f>VLOOKUP(CurrentMtgRatesDataTable86[[#This Row],[asofdate]],AA:AB,2,0)</f>
        <v>0.118117013085428</v>
      </c>
      <c r="AA131" s="7" t="s">
        <v>20</v>
      </c>
      <c r="AB131" s="10">
        <v>0.118117013085428</v>
      </c>
      <c r="AE131" s="7" t="s">
        <v>54</v>
      </c>
      <c r="AF131" s="10">
        <v>2.11726953585613E-2</v>
      </c>
      <c r="AG131" s="10" t="str">
        <f>YEAR(CurrentMtgRatesDataTable89[[#This Row],[asofdate]])&amp;"-"&amp;MONTH(CurrentMtgRatesDataTable89[[#This Row],[asofdate]])</f>
        <v>2004-12</v>
      </c>
      <c r="AH131" s="6">
        <f>((CurrentMtgRatesDataTable89[[#This Row],[SeriesNumValue]]-$D$1)/$D$1+1)*100</f>
        <v>141.15130239040866</v>
      </c>
      <c r="AI131" s="6">
        <f>CurrentMtgRatesDataTable89[[#This Row],[Index]]-AH132</f>
        <v>-4.8121102030293628</v>
      </c>
      <c r="AJ131" s="6">
        <f>VLOOKUP(CurrentMtgRatesDataTable89[[#This Row],[asofdate]],G:H,2,0)</f>
        <v>80.785488014978796</v>
      </c>
      <c r="AK131" s="6">
        <f>VLOOKUP(CurrentMtgRatesDataTable89[[#This Row],[asofdate]],K:L,2,0)</f>
        <v>0.25927423449241599</v>
      </c>
      <c r="AL131" s="6">
        <f>VLOOKUP(CurrentMtgRatesDataTable89[[#This Row],[asofdate]],O:P,2,0)</f>
        <v>36.111274732319899</v>
      </c>
      <c r="AM131" s="6">
        <f>VLOOKUP(CurrentMtgRatesDataTable89[[#This Row],[asofdate]],S:T,2,0)</f>
        <v>2.0322416607770299E-2</v>
      </c>
      <c r="AN131" s="6">
        <f>VLOOKUP(CurrentMtgRatesDataTable89[[#This Row],[asofdate]],W:X,2,0)</f>
        <v>721.50859125420595</v>
      </c>
      <c r="AO131" s="6">
        <f>VLOOKUP(CurrentMtgRatesDataTable89[[#This Row],[asofdate]],AA:AB,2,0)</f>
        <v>0.33226636417420502</v>
      </c>
    </row>
    <row r="132" spans="1:41" s="8" customFormat="1" ht="12.75">
      <c r="A132" s="7" t="s">
        <v>149</v>
      </c>
      <c r="B132" s="10">
        <v>1.74087092301668E-2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116.05806153444533</v>
      </c>
      <c r="E132" s="6"/>
      <c r="G132" s="7" t="s">
        <v>149</v>
      </c>
      <c r="H132" s="10">
        <v>81.893171597205495</v>
      </c>
      <c r="I132" s="26">
        <f>VLOOKUP(CurrentMtgRatesDataTable82[[#This Row],[asofdate]],K:L,2,0)</f>
        <v>0.29695425947809301</v>
      </c>
      <c r="K132" s="7" t="s">
        <v>149</v>
      </c>
      <c r="L132" s="29">
        <v>0.29695425947809301</v>
      </c>
      <c r="O132" s="7" t="s">
        <v>149</v>
      </c>
      <c r="P132" s="10">
        <v>34.628107319458202</v>
      </c>
      <c r="Q132" s="29">
        <f>VLOOKUP(CurrentMtgRatesDataTable84[[#This Row],[asofdate]],S:T,2,0)</f>
        <v>0.30501204150837602</v>
      </c>
      <c r="S132" s="7" t="s">
        <v>149</v>
      </c>
      <c r="T132" s="10">
        <v>0.30501204150837602</v>
      </c>
      <c r="W132" s="7" t="s">
        <v>149</v>
      </c>
      <c r="X132" s="10">
        <v>753.46744924726704</v>
      </c>
      <c r="Y132" s="26">
        <f>VLOOKUP(CurrentMtgRatesDataTable86[[#This Row],[asofdate]],AA:AB,2,0)</f>
        <v>0.122631934366872</v>
      </c>
      <c r="AA132" s="7" t="s">
        <v>149</v>
      </c>
      <c r="AB132" s="10">
        <v>0.122631934366872</v>
      </c>
      <c r="AE132" s="7" t="s">
        <v>53</v>
      </c>
      <c r="AF132" s="10">
        <v>2.18945118890157E-2</v>
      </c>
      <c r="AG132" s="10" t="str">
        <f>YEAR(CurrentMtgRatesDataTable89[[#This Row],[asofdate]])&amp;"-"&amp;MONTH(CurrentMtgRatesDataTable89[[#This Row],[asofdate]])</f>
        <v>2004-11</v>
      </c>
      <c r="AH132" s="6">
        <f>((CurrentMtgRatesDataTable89[[#This Row],[SeriesNumValue]]-$D$1)/$D$1+1)*100</f>
        <v>145.96341259343802</v>
      </c>
      <c r="AI132" s="6">
        <f>CurrentMtgRatesDataTable89[[#This Row],[Index]]-AH133</f>
        <v>-4.2525002316533005</v>
      </c>
      <c r="AJ132" s="6">
        <f>VLOOKUP(CurrentMtgRatesDataTable89[[#This Row],[asofdate]],G:H,2,0)</f>
        <v>81.059375355118405</v>
      </c>
      <c r="AK132" s="6">
        <f>VLOOKUP(CurrentMtgRatesDataTable89[[#This Row],[asofdate]],K:L,2,0)</f>
        <v>0.27010544272213999</v>
      </c>
      <c r="AL132" s="6">
        <f>VLOOKUP(CurrentMtgRatesDataTable89[[#This Row],[asofdate]],O:P,2,0)</f>
        <v>36.037229832655903</v>
      </c>
      <c r="AM132" s="6">
        <f>VLOOKUP(CurrentMtgRatesDataTable89[[#This Row],[asofdate]],S:T,2,0)</f>
        <v>2.3836089043189498E-2</v>
      </c>
      <c r="AN132" s="6">
        <f>VLOOKUP(CurrentMtgRatesDataTable89[[#This Row],[asofdate]],W:X,2,0)</f>
        <v>720.95368415043401</v>
      </c>
      <c r="AO132" s="6">
        <f>VLOOKUP(CurrentMtgRatesDataTable89[[#This Row],[asofdate]],AA:AB,2,0)</f>
        <v>0.341747031945347</v>
      </c>
    </row>
    <row r="133" spans="1:41" s="8" customFormat="1" ht="12.75">
      <c r="A133" s="7" t="s">
        <v>150</v>
      </c>
      <c r="B133" s="10">
        <v>1.5699221119095198E-2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104.66147412730133</v>
      </c>
      <c r="E133" s="6"/>
      <c r="G133" s="7" t="s">
        <v>150</v>
      </c>
      <c r="H133" s="10">
        <v>81.983618645150898</v>
      </c>
      <c r="I133" s="26">
        <f>VLOOKUP(CurrentMtgRatesDataTable82[[#This Row],[asofdate]],K:L,2,0)</f>
        <v>0.29927596061024597</v>
      </c>
      <c r="K133" s="7" t="s">
        <v>150</v>
      </c>
      <c r="L133" s="29">
        <v>0.29927596061024597</v>
      </c>
      <c r="O133" s="7" t="s">
        <v>150</v>
      </c>
      <c r="P133" s="10">
        <v>34.5666116045888</v>
      </c>
      <c r="Q133" s="29">
        <f>VLOOKUP(CurrentMtgRatesDataTable84[[#This Row],[asofdate]],S:T,2,0)</f>
        <v>0.30212770635860797</v>
      </c>
      <c r="S133" s="7" t="s">
        <v>150</v>
      </c>
      <c r="T133" s="10">
        <v>0.30212770635860797</v>
      </c>
      <c r="W133" s="7" t="s">
        <v>150</v>
      </c>
      <c r="X133" s="10">
        <v>753.533586442206</v>
      </c>
      <c r="Y133" s="26">
        <f>VLOOKUP(CurrentMtgRatesDataTable86[[#This Row],[asofdate]],AA:AB,2,0)</f>
        <v>0.12337351423576701</v>
      </c>
      <c r="AA133" s="7" t="s">
        <v>150</v>
      </c>
      <c r="AB133" s="10">
        <v>0.12337351423576701</v>
      </c>
      <c r="AE133" s="7" t="s">
        <v>52</v>
      </c>
      <c r="AF133" s="10">
        <v>2.2532386923763699E-2</v>
      </c>
      <c r="AG133" s="10" t="str">
        <f>YEAR(CurrentMtgRatesDataTable89[[#This Row],[asofdate]])&amp;"-"&amp;MONTH(CurrentMtgRatesDataTable89[[#This Row],[asofdate]])</f>
        <v>2004-10</v>
      </c>
      <c r="AH133" s="6">
        <f>((CurrentMtgRatesDataTable89[[#This Row],[SeriesNumValue]]-$D$1)/$D$1+1)*100</f>
        <v>150.21591282509132</v>
      </c>
      <c r="AI133" s="6">
        <f>CurrentMtgRatesDataTable89[[#This Row],[Index]]-AH134</f>
        <v>-4.5799634034400185</v>
      </c>
      <c r="AJ133" s="6">
        <f>VLOOKUP(CurrentMtgRatesDataTable89[[#This Row],[asofdate]],G:H,2,0)</f>
        <v>81.278008182824607</v>
      </c>
      <c r="AK133" s="6">
        <f>VLOOKUP(CurrentMtgRatesDataTable89[[#This Row],[asofdate]],K:L,2,0)</f>
        <v>0.27666714373101298</v>
      </c>
      <c r="AL133" s="6">
        <f>VLOOKUP(CurrentMtgRatesDataTable89[[#This Row],[asofdate]],O:P,2,0)</f>
        <v>36.157033768122801</v>
      </c>
      <c r="AM133" s="6">
        <f>VLOOKUP(CurrentMtgRatesDataTable89[[#This Row],[asofdate]],S:T,2,0)</f>
        <v>2.27030172996712E-2</v>
      </c>
      <c r="AN133" s="6">
        <f>VLOOKUP(CurrentMtgRatesDataTable89[[#This Row],[asofdate]],W:X,2,0)</f>
        <v>720.92881207466598</v>
      </c>
      <c r="AO133" s="6">
        <f>VLOOKUP(CurrentMtgRatesDataTable89[[#This Row],[asofdate]],AA:AB,2,0)</f>
        <v>0.337279657049117</v>
      </c>
    </row>
    <row r="134" spans="1:41" s="8" customFormat="1" ht="12.75">
      <c r="A134" s="7" t="s">
        <v>151</v>
      </c>
      <c r="B134" s="10">
        <v>1.55190115837895E-2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103.46007722526333</v>
      </c>
      <c r="E134" s="6"/>
      <c r="G134" s="7" t="s">
        <v>151</v>
      </c>
      <c r="H134" s="10">
        <v>82.058164103671999</v>
      </c>
      <c r="I134" s="26">
        <f>VLOOKUP(CurrentMtgRatesDataTable82[[#This Row],[asofdate]],K:L,2,0)</f>
        <v>0.297453418401049</v>
      </c>
      <c r="K134" s="7" t="s">
        <v>151</v>
      </c>
      <c r="L134" s="29">
        <v>0.297453418401049</v>
      </c>
      <c r="O134" s="7" t="s">
        <v>151</v>
      </c>
      <c r="P134" s="10">
        <v>34.760092377593502</v>
      </c>
      <c r="Q134" s="29">
        <f>VLOOKUP(CurrentMtgRatesDataTable84[[#This Row],[asofdate]],S:T,2,0)</f>
        <v>0.31111711432241701</v>
      </c>
      <c r="S134" s="7" t="s">
        <v>151</v>
      </c>
      <c r="T134" s="10">
        <v>0.31111711432241701</v>
      </c>
      <c r="W134" s="7" t="s">
        <v>151</v>
      </c>
      <c r="X134" s="10">
        <v>752.81585049342698</v>
      </c>
      <c r="Y134" s="26">
        <f>VLOOKUP(CurrentMtgRatesDataTable86[[#This Row],[asofdate]],AA:AB,2,0)</f>
        <v>0.12805661972827001</v>
      </c>
      <c r="AA134" s="7" t="s">
        <v>151</v>
      </c>
      <c r="AB134" s="10">
        <v>0.12805661972827001</v>
      </c>
      <c r="AE134" s="7" t="s">
        <v>51</v>
      </c>
      <c r="AF134" s="10">
        <v>2.32193814342797E-2</v>
      </c>
      <c r="AG134" s="10" t="str">
        <f>YEAR(CurrentMtgRatesDataTable89[[#This Row],[asofdate]])&amp;"-"&amp;MONTH(CurrentMtgRatesDataTable89[[#This Row],[asofdate]])</f>
        <v>2004-9</v>
      </c>
      <c r="AH134" s="6">
        <f>((CurrentMtgRatesDataTable89[[#This Row],[SeriesNumValue]]-$D$1)/$D$1+1)*100</f>
        <v>154.79587622853134</v>
      </c>
      <c r="AI134" s="6">
        <f>CurrentMtgRatesDataTable89[[#This Row],[Index]]-AH135</f>
        <v>15.719050065293999</v>
      </c>
      <c r="AJ134" s="6">
        <f>VLOOKUP(CurrentMtgRatesDataTable89[[#This Row],[asofdate]],G:H,2,0)</f>
        <v>81.576108267439906</v>
      </c>
      <c r="AK134" s="6">
        <f>VLOOKUP(CurrentMtgRatesDataTable89[[#This Row],[asofdate]],K:L,2,0)</f>
        <v>0.283527943042998</v>
      </c>
      <c r="AL134" s="6">
        <f>VLOOKUP(CurrentMtgRatesDataTable89[[#This Row],[asofdate]],O:P,2,0)</f>
        <v>36.725576191617002</v>
      </c>
      <c r="AM134" s="6">
        <f>VLOOKUP(CurrentMtgRatesDataTable89[[#This Row],[asofdate]],S:T,2,0)</f>
        <v>2.4365254472032302E-2</v>
      </c>
      <c r="AN134" s="6">
        <f>VLOOKUP(CurrentMtgRatesDataTable89[[#This Row],[asofdate]],W:X,2,0)</f>
        <v>719.797868102076</v>
      </c>
      <c r="AO134" s="6">
        <f>VLOOKUP(CurrentMtgRatesDataTable89[[#This Row],[asofdate]],AA:AB,2,0)</f>
        <v>0.34856829980590698</v>
      </c>
    </row>
    <row r="135" spans="1:41" s="8" customFormat="1" ht="12.75">
      <c r="A135" s="7" t="s">
        <v>152</v>
      </c>
      <c r="B135" s="10">
        <v>1.6890891704215299E-2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112.60594469476865</v>
      </c>
      <c r="E135" s="6"/>
      <c r="G135" s="7" t="s">
        <v>152</v>
      </c>
      <c r="H135" s="10">
        <v>81.856233579535996</v>
      </c>
      <c r="I135" s="26">
        <f>VLOOKUP(CurrentMtgRatesDataTable82[[#This Row],[asofdate]],K:L,2,0)</f>
        <v>0.29276029694175298</v>
      </c>
      <c r="K135" s="7" t="s">
        <v>152</v>
      </c>
      <c r="L135" s="29">
        <v>0.29276029694175298</v>
      </c>
      <c r="O135" s="7" t="s">
        <v>152</v>
      </c>
      <c r="P135" s="10">
        <v>35.099450367876898</v>
      </c>
      <c r="Q135" s="29">
        <f>VLOOKUP(CurrentMtgRatesDataTable84[[#This Row],[asofdate]],S:T,2,0)</f>
        <v>0.326066586661303</v>
      </c>
      <c r="S135" s="7" t="s">
        <v>152</v>
      </c>
      <c r="T135" s="10">
        <v>0.326066586661303</v>
      </c>
      <c r="W135" s="7" t="s">
        <v>152</v>
      </c>
      <c r="X135" s="10">
        <v>752.01802300598297</v>
      </c>
      <c r="Y135" s="26">
        <f>VLOOKUP(CurrentMtgRatesDataTable86[[#This Row],[asofdate]],AA:AB,2,0)</f>
        <v>0.133940209650801</v>
      </c>
      <c r="AA135" s="7" t="s">
        <v>152</v>
      </c>
      <c r="AB135" s="10">
        <v>0.133940209650801</v>
      </c>
      <c r="AE135" s="7" t="s">
        <v>50</v>
      </c>
      <c r="AF135" s="10">
        <v>2.0861523924485599E-2</v>
      </c>
      <c r="AG135" s="10" t="str">
        <f>YEAR(CurrentMtgRatesDataTable89[[#This Row],[asofdate]])&amp;"-"&amp;MONTH(CurrentMtgRatesDataTable89[[#This Row],[asofdate]])</f>
        <v>2004-8</v>
      </c>
      <c r="AH135" s="6">
        <f>((CurrentMtgRatesDataTable89[[#This Row],[SeriesNumValue]]-$D$1)/$D$1+1)*100</f>
        <v>139.07682616323734</v>
      </c>
      <c r="AI135" s="6">
        <f>CurrentMtgRatesDataTable89[[#This Row],[Index]]-AH136</f>
        <v>23.840522008917347</v>
      </c>
      <c r="AJ135" s="6">
        <f>VLOOKUP(CurrentMtgRatesDataTable89[[#This Row],[asofdate]],G:H,2,0)</f>
        <v>81.369180558242803</v>
      </c>
      <c r="AK135" s="6">
        <f>VLOOKUP(CurrentMtgRatesDataTable89[[#This Row],[asofdate]],K:L,2,0)</f>
        <v>0.28327487287095598</v>
      </c>
      <c r="AL135" s="6">
        <f>VLOOKUP(CurrentMtgRatesDataTable89[[#This Row],[asofdate]],O:P,2,0)</f>
        <v>36.220778947235601</v>
      </c>
      <c r="AM135" s="6">
        <f>VLOOKUP(CurrentMtgRatesDataTable89[[#This Row],[asofdate]],S:T,2,0)</f>
        <v>2.66878218720141E-2</v>
      </c>
      <c r="AN135" s="6">
        <f>VLOOKUP(CurrentMtgRatesDataTable89[[#This Row],[asofdate]],W:X,2,0)</f>
        <v>720.05720457238999</v>
      </c>
      <c r="AO135" s="6">
        <f>VLOOKUP(CurrentMtgRatesDataTable89[[#This Row],[asofdate]],AA:AB,2,0)</f>
        <v>0.34685847478755499</v>
      </c>
    </row>
    <row r="136" spans="1:41" s="8" customFormat="1" ht="12.75">
      <c r="A136" s="7" t="s">
        <v>12</v>
      </c>
      <c r="B136" s="10">
        <v>1.7381180889312401E-2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115.87453926208269</v>
      </c>
      <c r="E136" s="6"/>
      <c r="G136" s="7" t="s">
        <v>12</v>
      </c>
      <c r="H136" s="10">
        <v>82.226218839418294</v>
      </c>
      <c r="I136" s="26">
        <f>VLOOKUP(CurrentMtgRatesDataTable82[[#This Row],[asofdate]],K:L,2,0)</f>
        <v>0.30242604280597202</v>
      </c>
      <c r="K136" s="7" t="s">
        <v>12</v>
      </c>
      <c r="L136" s="29">
        <v>0.30242604280597202</v>
      </c>
      <c r="O136" s="7" t="s">
        <v>12</v>
      </c>
      <c r="P136" s="10">
        <v>34.816657466332202</v>
      </c>
      <c r="Q136" s="29">
        <f>VLOOKUP(CurrentMtgRatesDataTable84[[#This Row],[asofdate]],S:T,2,0)</f>
        <v>0.30842172890368003</v>
      </c>
      <c r="S136" s="7" t="s">
        <v>12</v>
      </c>
      <c r="T136" s="10">
        <v>0.30842172890368003</v>
      </c>
      <c r="W136" s="7" t="s">
        <v>12</v>
      </c>
      <c r="X136" s="10">
        <v>751.46145428432101</v>
      </c>
      <c r="Y136" s="26">
        <f>VLOOKUP(CurrentMtgRatesDataTable86[[#This Row],[asofdate]],AA:AB,2,0)</f>
        <v>0.136849264796784</v>
      </c>
      <c r="AA136" s="7" t="s">
        <v>12</v>
      </c>
      <c r="AB136" s="10">
        <v>0.136849264796784</v>
      </c>
      <c r="AE136" s="7" t="s">
        <v>49</v>
      </c>
      <c r="AF136" s="10">
        <v>1.7285445623147998E-2</v>
      </c>
      <c r="AG136" s="10" t="str">
        <f>YEAR(CurrentMtgRatesDataTable89[[#This Row],[asofdate]])&amp;"-"&amp;MONTH(CurrentMtgRatesDataTable89[[#This Row],[asofdate]])</f>
        <v>2004-7</v>
      </c>
      <c r="AH136" s="6">
        <f>((CurrentMtgRatesDataTable89[[#This Row],[SeriesNumValue]]-$D$1)/$D$1+1)*100</f>
        <v>115.23630415432</v>
      </c>
      <c r="AI136" s="6">
        <f>CurrentMtgRatesDataTable89[[#This Row],[Index]]-AH137</f>
        <v>-0.36736713077468153</v>
      </c>
      <c r="AJ136" s="6">
        <f>VLOOKUP(CurrentMtgRatesDataTable89[[#This Row],[asofdate]],G:H,2,0)</f>
        <v>80.929303128497196</v>
      </c>
      <c r="AK136" s="6">
        <f>VLOOKUP(CurrentMtgRatesDataTable89[[#This Row],[asofdate]],K:L,2,0)</f>
        <v>0.26660741442841002</v>
      </c>
      <c r="AL136" s="6">
        <f>VLOOKUP(CurrentMtgRatesDataTable89[[#This Row],[asofdate]],O:P,2,0)</f>
        <v>34.992796676142099</v>
      </c>
      <c r="AM136" s="6">
        <f>VLOOKUP(CurrentMtgRatesDataTable89[[#This Row],[asofdate]],S:T,2,0)</f>
        <v>1.9712869514707201E-2</v>
      </c>
      <c r="AN136" s="6">
        <f>VLOOKUP(CurrentMtgRatesDataTable89[[#This Row],[asofdate]],W:X,2,0)</f>
        <v>722.99316837448498</v>
      </c>
      <c r="AO136" s="6">
        <f>VLOOKUP(CurrentMtgRatesDataTable89[[#This Row],[asofdate]],AA:AB,2,0)</f>
        <v>0.32135414932178502</v>
      </c>
    </row>
    <row r="137" spans="1:41" s="8" customFormat="1" ht="12.75">
      <c r="A137" s="7" t="s">
        <v>24</v>
      </c>
      <c r="B137" s="10">
        <v>1.7114930102801001E-2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114.09953401867334</v>
      </c>
      <c r="E137" s="6"/>
      <c r="G137" s="7" t="s">
        <v>24</v>
      </c>
      <c r="H137" s="10">
        <v>82.451741134251506</v>
      </c>
      <c r="I137" s="26">
        <f>VLOOKUP(CurrentMtgRatesDataTable82[[#This Row],[asofdate]],K:L,2,0)</f>
        <v>0.308421338294318</v>
      </c>
      <c r="K137" s="7" t="s">
        <v>24</v>
      </c>
      <c r="L137" s="29">
        <v>0.308421338294318</v>
      </c>
      <c r="O137" s="7" t="s">
        <v>24</v>
      </c>
      <c r="P137" s="10">
        <v>34.675936119585899</v>
      </c>
      <c r="Q137" s="29">
        <f>VLOOKUP(CurrentMtgRatesDataTable84[[#This Row],[asofdate]],S:T,2,0)</f>
        <v>0.29977074297467998</v>
      </c>
      <c r="S137" s="7" t="s">
        <v>24</v>
      </c>
      <c r="T137" s="10">
        <v>0.29977074297467998</v>
      </c>
      <c r="W137" s="7" t="s">
        <v>24</v>
      </c>
      <c r="X137" s="10">
        <v>751.61544232733797</v>
      </c>
      <c r="Y137" s="26">
        <f>VLOOKUP(CurrentMtgRatesDataTable86[[#This Row],[asofdate]],AA:AB,2,0)</f>
        <v>0.137807709955651</v>
      </c>
      <c r="AA137" s="7" t="s">
        <v>24</v>
      </c>
      <c r="AB137" s="10">
        <v>0.137807709955651</v>
      </c>
      <c r="AE137" s="7" t="s">
        <v>48</v>
      </c>
      <c r="AF137" s="10">
        <v>1.73405506927642E-2</v>
      </c>
      <c r="AG137" s="10" t="str">
        <f>YEAR(CurrentMtgRatesDataTable89[[#This Row],[asofdate]])&amp;"-"&amp;MONTH(CurrentMtgRatesDataTable89[[#This Row],[asofdate]])</f>
        <v>2004-6</v>
      </c>
      <c r="AH137" s="6">
        <f>((CurrentMtgRatesDataTable89[[#This Row],[SeriesNumValue]]-$D$1)/$D$1+1)*100</f>
        <v>115.60367128509468</v>
      </c>
      <c r="AI137" s="6">
        <f>CurrentMtgRatesDataTable89[[#This Row],[Index]]-AH138</f>
        <v>-26.190605448935329</v>
      </c>
      <c r="AJ137" s="6">
        <f>VLOOKUP(CurrentMtgRatesDataTable89[[#This Row],[asofdate]],G:H,2,0)</f>
        <v>80.962812814278394</v>
      </c>
      <c r="AK137" s="6">
        <f>VLOOKUP(CurrentMtgRatesDataTable89[[#This Row],[asofdate]],K:L,2,0)</f>
        <v>0.259842747796937</v>
      </c>
      <c r="AL137" s="6">
        <f>VLOOKUP(CurrentMtgRatesDataTable89[[#This Row],[asofdate]],O:P,2,0)</f>
        <v>35.526911453853302</v>
      </c>
      <c r="AM137" s="6">
        <f>VLOOKUP(CurrentMtgRatesDataTable89[[#This Row],[asofdate]],S:T,2,0)</f>
        <v>1.89317302664378E-2</v>
      </c>
      <c r="AN137" s="6">
        <f>VLOOKUP(CurrentMtgRatesDataTable89[[#This Row],[asofdate]],W:X,2,0)</f>
        <v>724.09011428757503</v>
      </c>
      <c r="AO137" s="6">
        <f>VLOOKUP(CurrentMtgRatesDataTable89[[#This Row],[asofdate]],AA:AB,2,0)</f>
        <v>0.31188618870316498</v>
      </c>
    </row>
    <row r="138" spans="1:41" s="8" customFormat="1" ht="12.75">
      <c r="A138" s="7" t="s">
        <v>153</v>
      </c>
      <c r="B138" s="10">
        <v>1.80872234722145E-2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120.58148981476333</v>
      </c>
      <c r="E138" s="6"/>
      <c r="G138" s="7" t="s">
        <v>153</v>
      </c>
      <c r="H138" s="10">
        <v>82.679845207781995</v>
      </c>
      <c r="I138" s="26">
        <f>VLOOKUP(CurrentMtgRatesDataTable82[[#This Row],[asofdate]],K:L,2,0)</f>
        <v>0.31553423156886901</v>
      </c>
      <c r="K138" s="7" t="s">
        <v>153</v>
      </c>
      <c r="L138" s="29">
        <v>0.31553423156886901</v>
      </c>
      <c r="O138" s="7" t="s">
        <v>153</v>
      </c>
      <c r="P138" s="10">
        <v>34.661162842672901</v>
      </c>
      <c r="Q138" s="29">
        <f>VLOOKUP(CurrentMtgRatesDataTable84[[#This Row],[asofdate]],S:T,2,0)</f>
        <v>0.29884259120715101</v>
      </c>
      <c r="S138" s="7" t="s">
        <v>153</v>
      </c>
      <c r="T138" s="10">
        <v>0.29884259120715101</v>
      </c>
      <c r="W138" s="7" t="s">
        <v>153</v>
      </c>
      <c r="X138" s="10">
        <v>751.34573772027397</v>
      </c>
      <c r="Y138" s="26">
        <f>VLOOKUP(CurrentMtgRatesDataTable86[[#This Row],[asofdate]],AA:AB,2,0)</f>
        <v>0.14051454639572</v>
      </c>
      <c r="AA138" s="7" t="s">
        <v>153</v>
      </c>
      <c r="AB138" s="10">
        <v>0.14051454639572</v>
      </c>
      <c r="AE138" s="7" t="s">
        <v>47</v>
      </c>
      <c r="AF138" s="10">
        <v>2.1269141510104499E-2</v>
      </c>
      <c r="AG138" s="10" t="str">
        <f>YEAR(CurrentMtgRatesDataTable89[[#This Row],[asofdate]])&amp;"-"&amp;MONTH(CurrentMtgRatesDataTable89[[#This Row],[asofdate]])</f>
        <v>2004-5</v>
      </c>
      <c r="AH138" s="6">
        <f>((CurrentMtgRatesDataTable89[[#This Row],[SeriesNumValue]]-$D$1)/$D$1+1)*100</f>
        <v>141.79427673403001</v>
      </c>
      <c r="AI138" s="6">
        <f>CurrentMtgRatesDataTable89[[#This Row],[Index]]-AH139</f>
        <v>-2.5521945610580019</v>
      </c>
      <c r="AJ138" s="6">
        <f>VLOOKUP(CurrentMtgRatesDataTable89[[#This Row],[asofdate]],G:H,2,0)</f>
        <v>81.176434819561706</v>
      </c>
      <c r="AK138" s="6">
        <f>VLOOKUP(CurrentMtgRatesDataTable89[[#This Row],[asofdate]],K:L,2,0)</f>
        <v>0.27051249930375898</v>
      </c>
      <c r="AL138" s="6">
        <f>VLOOKUP(CurrentMtgRatesDataTable89[[#This Row],[asofdate]],O:P,2,0)</f>
        <v>35.983860754805796</v>
      </c>
      <c r="AM138" s="6">
        <f>VLOOKUP(CurrentMtgRatesDataTable89[[#This Row],[asofdate]],S:T,2,0)</f>
        <v>2.0473067086164198E-2</v>
      </c>
      <c r="AN138" s="6">
        <f>VLOOKUP(CurrentMtgRatesDataTable89[[#This Row],[asofdate]],W:X,2,0)</f>
        <v>723.07301547125496</v>
      </c>
      <c r="AO138" s="6">
        <f>VLOOKUP(CurrentMtgRatesDataTable89[[#This Row],[asofdate]],AA:AB,2,0)</f>
        <v>0.31650083814304297</v>
      </c>
    </row>
    <row r="139" spans="1:41" s="8" customFormat="1" ht="12.75">
      <c r="A139" s="7" t="s">
        <v>13</v>
      </c>
      <c r="B139" s="10">
        <v>1.8590606145387802E-2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123.93737430258535</v>
      </c>
      <c r="E139" s="6"/>
      <c r="G139" s="7" t="s">
        <v>13</v>
      </c>
      <c r="H139" s="10">
        <v>82.825596264816795</v>
      </c>
      <c r="I139" s="26">
        <f>VLOOKUP(CurrentMtgRatesDataTable82[[#This Row],[asofdate]],K:L,2,0)</f>
        <v>0.31911152651525598</v>
      </c>
      <c r="K139" s="7" t="s">
        <v>13</v>
      </c>
      <c r="L139" s="29">
        <v>0.31911152651525598</v>
      </c>
      <c r="O139" s="7" t="s">
        <v>13</v>
      </c>
      <c r="P139" s="10">
        <v>34.469118698589199</v>
      </c>
      <c r="Q139" s="29">
        <f>VLOOKUP(CurrentMtgRatesDataTable84[[#This Row],[asofdate]],S:T,2,0)</f>
        <v>0.292372068977993</v>
      </c>
      <c r="S139" s="7" t="s">
        <v>13</v>
      </c>
      <c r="T139" s="10">
        <v>0.292372068977993</v>
      </c>
      <c r="W139" s="7" t="s">
        <v>13</v>
      </c>
      <c r="X139" s="10">
        <v>751.34658083025101</v>
      </c>
      <c r="Y139" s="26">
        <f>VLOOKUP(CurrentMtgRatesDataTable86[[#This Row],[asofdate]],AA:AB,2,0)</f>
        <v>0.142896947192278</v>
      </c>
      <c r="AA139" s="7" t="s">
        <v>13</v>
      </c>
      <c r="AB139" s="10">
        <v>0.142896947192278</v>
      </c>
      <c r="AE139" s="7" t="s">
        <v>46</v>
      </c>
      <c r="AF139" s="10">
        <v>2.1651970694263199E-2</v>
      </c>
      <c r="AG139" s="10" t="str">
        <f>YEAR(CurrentMtgRatesDataTable89[[#This Row],[asofdate]])&amp;"-"&amp;MONTH(CurrentMtgRatesDataTable89[[#This Row],[asofdate]])</f>
        <v>2004-4</v>
      </c>
      <c r="AH139" s="6">
        <f>((CurrentMtgRatesDataTable89[[#This Row],[SeriesNumValue]]-$D$1)/$D$1+1)*100</f>
        <v>144.34647129508801</v>
      </c>
      <c r="AI139" s="6">
        <f>CurrentMtgRatesDataTable89[[#This Row],[Index]]-AH140</f>
        <v>5.2523631565193512</v>
      </c>
      <c r="AJ139" s="6">
        <f>VLOOKUP(CurrentMtgRatesDataTable89[[#This Row],[asofdate]],G:H,2,0)</f>
        <v>81.282382582521706</v>
      </c>
      <c r="AK139" s="6">
        <f>VLOOKUP(CurrentMtgRatesDataTable89[[#This Row],[asofdate]],K:L,2,0)</f>
        <v>0.27540534836233099</v>
      </c>
      <c r="AL139" s="6">
        <f>VLOOKUP(CurrentMtgRatesDataTable89[[#This Row],[asofdate]],O:P,2,0)</f>
        <v>35.6489678872315</v>
      </c>
      <c r="AM139" s="6">
        <f>VLOOKUP(CurrentMtgRatesDataTable89[[#This Row],[asofdate]],S:T,2,0)</f>
        <v>2.1384091785982801E-2</v>
      </c>
      <c r="AN139" s="6">
        <f>VLOOKUP(CurrentMtgRatesDataTable89[[#This Row],[asofdate]],W:X,2,0)</f>
        <v>721.56281309935798</v>
      </c>
      <c r="AO139" s="6">
        <f>VLOOKUP(CurrentMtgRatesDataTable89[[#This Row],[asofdate]],AA:AB,2,0)</f>
        <v>0.32413504500143903</v>
      </c>
    </row>
    <row r="140" spans="1:41" s="8" customFormat="1" ht="12.75">
      <c r="A140" s="7" t="s">
        <v>21</v>
      </c>
      <c r="B140" s="10">
        <v>1.7829097543687202E-2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118.86065029124802</v>
      </c>
      <c r="E140" s="6"/>
      <c r="G140" s="7" t="s">
        <v>21</v>
      </c>
      <c r="H140" s="10">
        <v>82.760809880115303</v>
      </c>
      <c r="I140" s="26">
        <f>VLOOKUP(CurrentMtgRatesDataTable82[[#This Row],[asofdate]],K:L,2,0)</f>
        <v>0.31724681597179999</v>
      </c>
      <c r="K140" s="7" t="s">
        <v>21</v>
      </c>
      <c r="L140" s="29">
        <v>0.31724681597179999</v>
      </c>
      <c r="O140" s="7" t="s">
        <v>21</v>
      </c>
      <c r="P140" s="10">
        <v>34.322668964414902</v>
      </c>
      <c r="Q140" s="29">
        <f>VLOOKUP(CurrentMtgRatesDataTable84[[#This Row],[asofdate]],S:T,2,0)</f>
        <v>0.28912803306412299</v>
      </c>
      <c r="S140" s="7" t="s">
        <v>21</v>
      </c>
      <c r="T140" s="10">
        <v>0.28912803306412299</v>
      </c>
      <c r="W140" s="7" t="s">
        <v>21</v>
      </c>
      <c r="X140" s="10">
        <v>751.49916793197099</v>
      </c>
      <c r="Y140" s="26">
        <f>VLOOKUP(CurrentMtgRatesDataTable86[[#This Row],[asofdate]],AA:AB,2,0)</f>
        <v>0.14214393533160299</v>
      </c>
      <c r="AA140" s="7" t="s">
        <v>21</v>
      </c>
      <c r="AB140" s="10">
        <v>0.14214393533160299</v>
      </c>
      <c r="AE140" s="7" t="s">
        <v>45</v>
      </c>
      <c r="AF140" s="10">
        <v>2.0864116220785298E-2</v>
      </c>
      <c r="AG140" s="10" t="str">
        <f>YEAR(CurrentMtgRatesDataTable89[[#This Row],[asofdate]])&amp;"-"&amp;MONTH(CurrentMtgRatesDataTable89[[#This Row],[asofdate]])</f>
        <v>2004-3</v>
      </c>
      <c r="AH140" s="6">
        <f>((CurrentMtgRatesDataTable89[[#This Row],[SeriesNumValue]]-$D$1)/$D$1+1)*100</f>
        <v>139.09410813856866</v>
      </c>
      <c r="AI140" s="6">
        <f>CurrentMtgRatesDataTable89[[#This Row],[Index]]-AH141</f>
        <v>0.9470668245772913</v>
      </c>
      <c r="AJ140" s="6">
        <f>VLOOKUP(CurrentMtgRatesDataTable89[[#This Row],[asofdate]],G:H,2,0)</f>
        <v>80.826462677668502</v>
      </c>
      <c r="AK140" s="6">
        <f>VLOOKUP(CurrentMtgRatesDataTable89[[#This Row],[asofdate]],K:L,2,0)</f>
        <v>0.26366024772207802</v>
      </c>
      <c r="AL140" s="6">
        <f>VLOOKUP(CurrentMtgRatesDataTable89[[#This Row],[asofdate]],O:P,2,0)</f>
        <v>33.128991607908802</v>
      </c>
      <c r="AM140" s="6">
        <f>VLOOKUP(CurrentMtgRatesDataTable89[[#This Row],[asofdate]],S:T,2,0)</f>
        <v>2.4328764311436001E-2</v>
      </c>
      <c r="AN140" s="6">
        <f>VLOOKUP(CurrentMtgRatesDataTable89[[#This Row],[asofdate]],W:X,2,0)</f>
        <v>722.9204500907</v>
      </c>
      <c r="AO140" s="6">
        <f>VLOOKUP(CurrentMtgRatesDataTable89[[#This Row],[asofdate]],AA:AB,2,0)</f>
        <v>0.32020990049907999</v>
      </c>
    </row>
    <row r="141" spans="1:41" s="8" customFormat="1" ht="12.75">
      <c r="A141" s="7" t="s">
        <v>154</v>
      </c>
      <c r="B141" s="10">
        <v>1.7814996587016099E-2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118.76664391344067</v>
      </c>
      <c r="E141" s="6"/>
      <c r="G141" s="7" t="s">
        <v>154</v>
      </c>
      <c r="H141" s="10">
        <v>82.698876298661204</v>
      </c>
      <c r="I141" s="26">
        <f>VLOOKUP(CurrentMtgRatesDataTable82[[#This Row],[asofdate]],K:L,2,0)</f>
        <v>0.31248163926657901</v>
      </c>
      <c r="K141" s="7" t="s">
        <v>154</v>
      </c>
      <c r="L141" s="29">
        <v>0.31248163926657901</v>
      </c>
      <c r="O141" s="7" t="s">
        <v>154</v>
      </c>
      <c r="P141" s="10">
        <v>34.445658086161799</v>
      </c>
      <c r="Q141" s="29">
        <f>VLOOKUP(CurrentMtgRatesDataTable84[[#This Row],[asofdate]],S:T,2,0)</f>
        <v>0.292572300486659</v>
      </c>
      <c r="S141" s="7" t="s">
        <v>154</v>
      </c>
      <c r="T141" s="10">
        <v>0.292572300486659</v>
      </c>
      <c r="W141" s="7" t="s">
        <v>154</v>
      </c>
      <c r="X141" s="10">
        <v>750.90629465641405</v>
      </c>
      <c r="Y141" s="26">
        <f>VLOOKUP(CurrentMtgRatesDataTable86[[#This Row],[asofdate]],AA:AB,2,0)</f>
        <v>0.146716544232804</v>
      </c>
      <c r="AA141" s="7" t="s">
        <v>154</v>
      </c>
      <c r="AB141" s="10">
        <v>0.146716544232804</v>
      </c>
      <c r="AE141" s="7" t="s">
        <v>44</v>
      </c>
      <c r="AF141" s="10">
        <v>2.0722056197098701E-2</v>
      </c>
      <c r="AG141" s="10" t="str">
        <f>YEAR(CurrentMtgRatesDataTable89[[#This Row],[asofdate]])&amp;"-"&amp;MONTH(CurrentMtgRatesDataTable89[[#This Row],[asofdate]])</f>
        <v>2004-2</v>
      </c>
      <c r="AH141" s="6">
        <f>((CurrentMtgRatesDataTable89[[#This Row],[SeriesNumValue]]-$D$1)/$D$1+1)*100</f>
        <v>138.14704131399137</v>
      </c>
      <c r="AI141" s="6">
        <f>CurrentMtgRatesDataTable89[[#This Row],[Index]]-AH142</f>
        <v>-4.6609955109479699</v>
      </c>
      <c r="AJ141" s="6">
        <f>VLOOKUP(CurrentMtgRatesDataTable89[[#This Row],[asofdate]],G:H,2,0)</f>
        <v>81.113652198567294</v>
      </c>
      <c r="AK141" s="6">
        <f>VLOOKUP(CurrentMtgRatesDataTable89[[#This Row],[asofdate]],K:L,2,0)</f>
        <v>0.279273746865356</v>
      </c>
      <c r="AL141" s="6">
        <f>VLOOKUP(CurrentMtgRatesDataTable89[[#This Row],[asofdate]],O:P,2,0)</f>
        <v>34.270437676693597</v>
      </c>
      <c r="AM141" s="6">
        <f>VLOOKUP(CurrentMtgRatesDataTable89[[#This Row],[asofdate]],S:T,2,0)</f>
        <v>2.56930597823848E-2</v>
      </c>
      <c r="AN141" s="6">
        <f>VLOOKUP(CurrentMtgRatesDataTable89[[#This Row],[asofdate]],W:X,2,0)</f>
        <v>721.12735756326401</v>
      </c>
      <c r="AO141" s="6">
        <f>VLOOKUP(CurrentMtgRatesDataTable89[[#This Row],[asofdate]],AA:AB,2,0)</f>
        <v>0.33004652003424001</v>
      </c>
    </row>
    <row r="142" spans="1:41" s="8" customFormat="1" ht="12.75">
      <c r="A142" s="7" t="s">
        <v>8</v>
      </c>
      <c r="B142" s="10">
        <v>1.78858014397584E-2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119.238676265056</v>
      </c>
      <c r="E142" s="6"/>
      <c r="G142" s="7" t="s">
        <v>8</v>
      </c>
      <c r="H142" s="10">
        <v>82.725027620560496</v>
      </c>
      <c r="I142" s="26">
        <f>VLOOKUP(CurrentMtgRatesDataTable82[[#This Row],[asofdate]],K:L,2,0)</f>
        <v>0.31578210572313697</v>
      </c>
      <c r="K142" s="7" t="s">
        <v>8</v>
      </c>
      <c r="L142" s="29">
        <v>0.31578210572313697</v>
      </c>
      <c r="O142" s="7" t="s">
        <v>8</v>
      </c>
      <c r="P142" s="10">
        <v>34.610194558743203</v>
      </c>
      <c r="Q142" s="29">
        <f>VLOOKUP(CurrentMtgRatesDataTable84[[#This Row],[asofdate]],S:T,2,0)</f>
        <v>0.30133477473338999</v>
      </c>
      <c r="S142" s="7" t="s">
        <v>8</v>
      </c>
      <c r="T142" s="10">
        <v>0.30133477473338999</v>
      </c>
      <c r="W142" s="7" t="s">
        <v>8</v>
      </c>
      <c r="X142" s="10">
        <v>750.89041693345405</v>
      </c>
      <c r="Y142" s="26">
        <f>VLOOKUP(CurrentMtgRatesDataTable86[[#This Row],[asofdate]],AA:AB,2,0)</f>
        <v>0.14744949602653001</v>
      </c>
      <c r="AA142" s="7" t="s">
        <v>8</v>
      </c>
      <c r="AB142" s="10">
        <v>0.14744949602653001</v>
      </c>
      <c r="AE142" s="7" t="s">
        <v>43</v>
      </c>
      <c r="AF142" s="10">
        <v>2.14212055237409E-2</v>
      </c>
      <c r="AG142" s="10" t="str">
        <f>YEAR(CurrentMtgRatesDataTable89[[#This Row],[asofdate]])&amp;"-"&amp;MONTH(CurrentMtgRatesDataTable89[[#This Row],[asofdate]])</f>
        <v>2004-1</v>
      </c>
      <c r="AH142" s="6">
        <f>((CurrentMtgRatesDataTable89[[#This Row],[SeriesNumValue]]-$D$1)/$D$1+1)*100</f>
        <v>142.80803682493934</v>
      </c>
      <c r="AI142" s="6">
        <f>CurrentMtgRatesDataTable89[[#This Row],[Index]]-AH143</f>
        <v>-2.7415918669846633</v>
      </c>
      <c r="AJ142" s="6">
        <f>VLOOKUP(CurrentMtgRatesDataTable89[[#This Row],[asofdate]],G:H,2,0)</f>
        <v>81.566299959188299</v>
      </c>
      <c r="AK142" s="6">
        <f>VLOOKUP(CurrentMtgRatesDataTable89[[#This Row],[asofdate]],K:L,2,0)</f>
        <v>0.29070058027366003</v>
      </c>
      <c r="AL142" s="6">
        <f>VLOOKUP(CurrentMtgRatesDataTable89[[#This Row],[asofdate]],O:P,2,0)</f>
        <v>36.105752730096498</v>
      </c>
      <c r="AM142" s="6">
        <f>VLOOKUP(CurrentMtgRatesDataTable89[[#This Row],[asofdate]],S:T,2,0)</f>
        <v>2.07685482202341E-2</v>
      </c>
      <c r="AN142" s="6">
        <f>VLOOKUP(CurrentMtgRatesDataTable89[[#This Row],[asofdate]],W:X,2,0)</f>
        <v>720.53281333500604</v>
      </c>
      <c r="AO142" s="6">
        <f>VLOOKUP(CurrentMtgRatesDataTable89[[#This Row],[asofdate]],AA:AB,2,0)</f>
        <v>0.33824400161048002</v>
      </c>
    </row>
    <row r="143" spans="1:41" s="8" customFormat="1" ht="12.75">
      <c r="A143" s="7" t="s">
        <v>155</v>
      </c>
      <c r="B143" s="10">
        <v>1.8452568086269602E-2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123.01712057513068</v>
      </c>
      <c r="E143" s="6"/>
      <c r="G143" s="7" t="s">
        <v>155</v>
      </c>
      <c r="H143" s="10">
        <v>82.806025021635705</v>
      </c>
      <c r="I143" s="26">
        <f>VLOOKUP(CurrentMtgRatesDataTable82[[#This Row],[asofdate]],K:L,2,0)</f>
        <v>0.32260658064910602</v>
      </c>
      <c r="K143" s="7" t="s">
        <v>155</v>
      </c>
      <c r="L143" s="29">
        <v>0.32260658064910602</v>
      </c>
      <c r="O143" s="7" t="s">
        <v>155</v>
      </c>
      <c r="P143" s="10">
        <v>34.799602284529101</v>
      </c>
      <c r="Q143" s="29">
        <f>VLOOKUP(CurrentMtgRatesDataTable84[[#This Row],[asofdate]],S:T,2,0)</f>
        <v>0.30946150188699401</v>
      </c>
      <c r="S143" s="7" t="s">
        <v>155</v>
      </c>
      <c r="T143" s="10">
        <v>0.30946150188699401</v>
      </c>
      <c r="W143" s="7" t="s">
        <v>155</v>
      </c>
      <c r="X143" s="10">
        <v>749.74175563471795</v>
      </c>
      <c r="Y143" s="26">
        <f>VLOOKUP(CurrentMtgRatesDataTable86[[#This Row],[asofdate]],AA:AB,2,0)</f>
        <v>0.15614999525418599</v>
      </c>
      <c r="AA143" s="7" t="s">
        <v>155</v>
      </c>
      <c r="AB143" s="10">
        <v>0.15614999525418599</v>
      </c>
      <c r="AE143" s="7" t="s">
        <v>42</v>
      </c>
      <c r="AF143" s="10">
        <v>2.1832444303788601E-2</v>
      </c>
      <c r="AG143" s="10" t="str">
        <f>YEAR(CurrentMtgRatesDataTable89[[#This Row],[asofdate]])&amp;"-"&amp;MONTH(CurrentMtgRatesDataTable89[[#This Row],[asofdate]])</f>
        <v>2003-12</v>
      </c>
      <c r="AH143" s="6">
        <f>((CurrentMtgRatesDataTable89[[#This Row],[SeriesNumValue]]-$D$1)/$D$1+1)*100</f>
        <v>145.549628691924</v>
      </c>
      <c r="AI143" s="6">
        <f>CurrentMtgRatesDataTable89[[#This Row],[Index]]-AH144</f>
        <v>1.7222167685779937</v>
      </c>
      <c r="AJ143" s="6">
        <f>VLOOKUP(CurrentMtgRatesDataTable89[[#This Row],[asofdate]],G:H,2,0)</f>
        <v>81.864675439973595</v>
      </c>
      <c r="AK143" s="6">
        <f>VLOOKUP(CurrentMtgRatesDataTable89[[#This Row],[asofdate]],K:L,2,0)</f>
        <v>0.296114091848449</v>
      </c>
      <c r="AL143" s="6">
        <f>VLOOKUP(CurrentMtgRatesDataTable89[[#This Row],[asofdate]],O:P,2,0)</f>
        <v>36.512469501669301</v>
      </c>
      <c r="AM143" s="6">
        <f>VLOOKUP(CurrentMtgRatesDataTable89[[#This Row],[asofdate]],S:T,2,0)</f>
        <v>2.16059765998683E-2</v>
      </c>
      <c r="AN143" s="6">
        <f>VLOOKUP(CurrentMtgRatesDataTable89[[#This Row],[asofdate]],W:X,2,0)</f>
        <v>720.40606203129505</v>
      </c>
      <c r="AO143" s="6">
        <f>VLOOKUP(CurrentMtgRatesDataTable89[[#This Row],[asofdate]],AA:AB,2,0)</f>
        <v>0.339664978186758</v>
      </c>
    </row>
    <row r="144" spans="1:41" s="8" customFormat="1" ht="12.75">
      <c r="A144" s="7" t="s">
        <v>16</v>
      </c>
      <c r="B144" s="10">
        <v>1.8848572964578099E-2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125.65715309718732</v>
      </c>
      <c r="E144" s="6"/>
      <c r="G144" s="7" t="s">
        <v>16</v>
      </c>
      <c r="H144" s="10">
        <v>82.648682475903897</v>
      </c>
      <c r="I144" s="26">
        <f>VLOOKUP(CurrentMtgRatesDataTable82[[#This Row],[asofdate]],K:L,2,0)</f>
        <v>0.3182637424325</v>
      </c>
      <c r="K144" s="7" t="s">
        <v>16</v>
      </c>
      <c r="L144" s="29">
        <v>0.3182637424325</v>
      </c>
      <c r="O144" s="7" t="s">
        <v>16</v>
      </c>
      <c r="P144" s="10">
        <v>34.846411519785804</v>
      </c>
      <c r="Q144" s="29">
        <f>VLOOKUP(CurrentMtgRatesDataTable84[[#This Row],[asofdate]],S:T,2,0)</f>
        <v>0.312501649272727</v>
      </c>
      <c r="S144" s="7" t="s">
        <v>16</v>
      </c>
      <c r="T144" s="10">
        <v>0.312501649272727</v>
      </c>
      <c r="W144" s="7" t="s">
        <v>16</v>
      </c>
      <c r="X144" s="10">
        <v>749.85098239753597</v>
      </c>
      <c r="Y144" s="26">
        <f>VLOOKUP(CurrentMtgRatesDataTable86[[#This Row],[asofdate]],AA:AB,2,0)</f>
        <v>0.15472556611875801</v>
      </c>
      <c r="AA144" s="7" t="s">
        <v>16</v>
      </c>
      <c r="AB144" s="10">
        <v>0.15472556611875801</v>
      </c>
      <c r="AE144" s="7" t="s">
        <v>41</v>
      </c>
      <c r="AF144" s="10">
        <v>2.1574111788501899E-2</v>
      </c>
      <c r="AG144" s="10" t="str">
        <f>YEAR(CurrentMtgRatesDataTable89[[#This Row],[asofdate]])&amp;"-"&amp;MONTH(CurrentMtgRatesDataTable89[[#This Row],[asofdate]])</f>
        <v>2003-11</v>
      </c>
      <c r="AH144" s="6">
        <f>((CurrentMtgRatesDataTable89[[#This Row],[SeriesNumValue]]-$D$1)/$D$1+1)*100</f>
        <v>143.82741192334601</v>
      </c>
      <c r="AI144" s="6">
        <f>CurrentMtgRatesDataTable89[[#This Row],[Index]]-AH145</f>
        <v>33.168529294459333</v>
      </c>
      <c r="AJ144" s="6">
        <f>VLOOKUP(CurrentMtgRatesDataTable89[[#This Row],[asofdate]],G:H,2,0)</f>
        <v>81.964228940536998</v>
      </c>
      <c r="AK144" s="6">
        <f>VLOOKUP(CurrentMtgRatesDataTable89[[#This Row],[asofdate]],K:L,2,0)</f>
        <v>0.30202605452215497</v>
      </c>
      <c r="AL144" s="6">
        <f>VLOOKUP(CurrentMtgRatesDataTable89[[#This Row],[asofdate]],O:P,2,0)</f>
        <v>35.411302149846499</v>
      </c>
      <c r="AM144" s="6">
        <f>VLOOKUP(CurrentMtgRatesDataTable89[[#This Row],[asofdate]],S:T,2,0)</f>
        <v>2.1167569446924599E-2</v>
      </c>
      <c r="AN144" s="6">
        <f>VLOOKUP(CurrentMtgRatesDataTable89[[#This Row],[asofdate]],W:X,2,0)</f>
        <v>719.09071003198596</v>
      </c>
      <c r="AO144" s="6">
        <f>VLOOKUP(CurrentMtgRatesDataTable89[[#This Row],[asofdate]],AA:AB,2,0)</f>
        <v>0.34444111149615098</v>
      </c>
    </row>
    <row r="145" spans="1:41" s="8" customFormat="1" ht="12.75">
      <c r="A145" s="7" t="s">
        <v>156</v>
      </c>
      <c r="B145" s="10">
        <v>1.8666523784168401E-2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124.443491894456</v>
      </c>
      <c r="E145" s="6"/>
      <c r="G145" s="7" t="s">
        <v>156</v>
      </c>
      <c r="H145" s="10">
        <v>82.726894845049003</v>
      </c>
      <c r="I145" s="26">
        <f>VLOOKUP(CurrentMtgRatesDataTable82[[#This Row],[asofdate]],K:L,2,0)</f>
        <v>0.32030669927441502</v>
      </c>
      <c r="K145" s="7" t="s">
        <v>156</v>
      </c>
      <c r="L145" s="29">
        <v>0.32030669927441502</v>
      </c>
      <c r="O145" s="7" t="s">
        <v>156</v>
      </c>
      <c r="P145" s="10">
        <v>34.825549801776098</v>
      </c>
      <c r="Q145" s="29">
        <f>VLOOKUP(CurrentMtgRatesDataTable84[[#This Row],[asofdate]],S:T,2,0)</f>
        <v>0.31225215513724403</v>
      </c>
      <c r="S145" s="7" t="s">
        <v>156</v>
      </c>
      <c r="T145" s="10">
        <v>0.31225215513724403</v>
      </c>
      <c r="W145" s="7" t="s">
        <v>156</v>
      </c>
      <c r="X145" s="10">
        <v>749.70818030748501</v>
      </c>
      <c r="Y145" s="26">
        <f>VLOOKUP(CurrentMtgRatesDataTable86[[#This Row],[asofdate]],AA:AB,2,0)</f>
        <v>0.155627447967319</v>
      </c>
      <c r="AA145" s="7" t="s">
        <v>156</v>
      </c>
      <c r="AB145" s="10">
        <v>0.155627447967319</v>
      </c>
      <c r="AE145" s="7" t="s">
        <v>40</v>
      </c>
      <c r="AF145" s="10">
        <v>1.6598832394333001E-2</v>
      </c>
      <c r="AG145" s="10" t="str">
        <f>YEAR(CurrentMtgRatesDataTable89[[#This Row],[asofdate]])&amp;"-"&amp;MONTH(CurrentMtgRatesDataTable89[[#This Row],[asofdate]])</f>
        <v>2003-10</v>
      </c>
      <c r="AH145" s="6">
        <f>((CurrentMtgRatesDataTable89[[#This Row],[SeriesNumValue]]-$D$1)/$D$1+1)*100</f>
        <v>110.65888262888667</v>
      </c>
      <c r="AI145" s="6">
        <f>CurrentMtgRatesDataTable89[[#This Row],[Index]]-AH146</f>
        <v>-6.1628657668746598</v>
      </c>
      <c r="AJ145" s="6">
        <f>VLOOKUP(CurrentMtgRatesDataTable89[[#This Row],[asofdate]],G:H,2,0)</f>
        <v>81.319665374729297</v>
      </c>
      <c r="AK145" s="6">
        <f>VLOOKUP(CurrentMtgRatesDataTable89[[#This Row],[asofdate]],K:L,2,0)</f>
        <v>0.27721460761591599</v>
      </c>
      <c r="AL145" s="6">
        <f>VLOOKUP(CurrentMtgRatesDataTable89[[#This Row],[asofdate]],O:P,2,0)</f>
        <v>34.340700588560999</v>
      </c>
      <c r="AM145" s="6">
        <f>VLOOKUP(CurrentMtgRatesDataTable89[[#This Row],[asofdate]],S:T,2,0)</f>
        <v>1.6059974401441201E-2</v>
      </c>
      <c r="AN145" s="6">
        <f>VLOOKUP(CurrentMtgRatesDataTable89[[#This Row],[asofdate]],W:X,2,0)</f>
        <v>722.36494109535602</v>
      </c>
      <c r="AO145" s="6">
        <f>VLOOKUP(CurrentMtgRatesDataTable89[[#This Row],[asofdate]],AA:AB,2,0)</f>
        <v>0.325559155206814</v>
      </c>
    </row>
    <row r="146" spans="1:41" s="8" customFormat="1" ht="12.75">
      <c r="A146" s="7" t="s">
        <v>157</v>
      </c>
      <c r="B146" s="10">
        <v>1.9505423932527199E-2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130.03615955018134</v>
      </c>
      <c r="E146" s="6"/>
      <c r="G146" s="7" t="s">
        <v>157</v>
      </c>
      <c r="H146" s="10">
        <v>82.799999029380501</v>
      </c>
      <c r="I146" s="26">
        <f>VLOOKUP(CurrentMtgRatesDataTable82[[#This Row],[asofdate]],K:L,2,0)</f>
        <v>0.326527942114888</v>
      </c>
      <c r="K146" s="7" t="s">
        <v>157</v>
      </c>
      <c r="L146" s="29">
        <v>0.326527942114888</v>
      </c>
      <c r="O146" s="7" t="s">
        <v>157</v>
      </c>
      <c r="P146" s="10">
        <v>34.979534284843602</v>
      </c>
      <c r="Q146" s="29">
        <f>VLOOKUP(CurrentMtgRatesDataTable84[[#This Row],[asofdate]],S:T,2,0)</f>
        <v>0.31902548887329202</v>
      </c>
      <c r="S146" s="7" t="s">
        <v>157</v>
      </c>
      <c r="T146" s="10">
        <v>0.31902548887329202</v>
      </c>
      <c r="W146" s="7" t="s">
        <v>157</v>
      </c>
      <c r="X146" s="10">
        <v>749.18624317874605</v>
      </c>
      <c r="Y146" s="26">
        <f>VLOOKUP(CurrentMtgRatesDataTable86[[#This Row],[asofdate]],AA:AB,2,0)</f>
        <v>0.15830472899411399</v>
      </c>
      <c r="AA146" s="7" t="s">
        <v>157</v>
      </c>
      <c r="AB146" s="10">
        <v>0.15830472899411399</v>
      </c>
      <c r="AE146" s="7" t="s">
        <v>39</v>
      </c>
      <c r="AF146" s="10">
        <v>1.7523262259364202E-2</v>
      </c>
      <c r="AG146" s="10" t="str">
        <f>YEAR(CurrentMtgRatesDataTable89[[#This Row],[asofdate]])&amp;"-"&amp;MONTH(CurrentMtgRatesDataTable89[[#This Row],[asofdate]])</f>
        <v>2003-9</v>
      </c>
      <c r="AH146" s="6">
        <f>((CurrentMtgRatesDataTable89[[#This Row],[SeriesNumValue]]-$D$1)/$D$1+1)*100</f>
        <v>116.82174839576133</v>
      </c>
      <c r="AI146" s="6">
        <f>CurrentMtgRatesDataTable89[[#This Row],[Index]]-AH147</f>
        <v>-26.986446334063331</v>
      </c>
      <c r="AJ146" s="6">
        <f>VLOOKUP(CurrentMtgRatesDataTable89[[#This Row],[asofdate]],G:H,2,0)</f>
        <v>81.227783424263805</v>
      </c>
      <c r="AK146" s="6">
        <f>VLOOKUP(CurrentMtgRatesDataTable89[[#This Row],[asofdate]],K:L,2,0)</f>
        <v>0.26229302441941998</v>
      </c>
      <c r="AL146" s="6">
        <f>VLOOKUP(CurrentMtgRatesDataTable89[[#This Row],[asofdate]],O:P,2,0)</f>
        <v>33.485657077991299</v>
      </c>
      <c r="AM146" s="6">
        <f>VLOOKUP(CurrentMtgRatesDataTable89[[#This Row],[asofdate]],S:T,2,0)</f>
        <v>1.39964446794712E-2</v>
      </c>
      <c r="AN146" s="6">
        <f>VLOOKUP(CurrentMtgRatesDataTable89[[#This Row],[asofdate]],W:X,2,0)</f>
        <v>724.69001272811101</v>
      </c>
      <c r="AO146" s="6">
        <f>VLOOKUP(CurrentMtgRatesDataTable89[[#This Row],[asofdate]],AA:AB,2,0)</f>
        <v>0.30673000001085399</v>
      </c>
    </row>
    <row r="147" spans="1:41" s="8" customFormat="1" ht="12.75">
      <c r="A147" s="7" t="s">
        <v>158</v>
      </c>
      <c r="B147" s="10">
        <v>1.9354565036011202E-2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129.03043357340803</v>
      </c>
      <c r="E147" s="6"/>
      <c r="G147" s="7" t="s">
        <v>158</v>
      </c>
      <c r="H147" s="10">
        <v>82.6718498563298</v>
      </c>
      <c r="I147" s="26">
        <f>VLOOKUP(CurrentMtgRatesDataTable82[[#This Row],[asofdate]],K:L,2,0)</f>
        <v>0.31949128373865499</v>
      </c>
      <c r="K147" s="7" t="s">
        <v>158</v>
      </c>
      <c r="L147" s="29">
        <v>0.31949128373865499</v>
      </c>
      <c r="O147" s="7" t="s">
        <v>158</v>
      </c>
      <c r="P147" s="10">
        <v>35.030265771356703</v>
      </c>
      <c r="Q147" s="29">
        <f>VLOOKUP(CurrentMtgRatesDataTable84[[#This Row],[asofdate]],S:T,2,0)</f>
        <v>0.32254502946695401</v>
      </c>
      <c r="S147" s="7" t="s">
        <v>158</v>
      </c>
      <c r="T147" s="10">
        <v>0.32254502946695401</v>
      </c>
      <c r="W147" s="7" t="s">
        <v>158</v>
      </c>
      <c r="X147" s="10">
        <v>749.12037373042301</v>
      </c>
      <c r="Y147" s="26">
        <f>VLOOKUP(CurrentMtgRatesDataTable86[[#This Row],[asofdate]],AA:AB,2,0)</f>
        <v>0.160868404347313</v>
      </c>
      <c r="AA147" s="7" t="s">
        <v>158</v>
      </c>
      <c r="AB147" s="10">
        <v>0.160868404347313</v>
      </c>
      <c r="AE147" s="7" t="s">
        <v>38</v>
      </c>
      <c r="AF147" s="10">
        <v>2.15712292094737E-2</v>
      </c>
      <c r="AG147" s="10" t="str">
        <f>YEAR(CurrentMtgRatesDataTable89[[#This Row],[asofdate]])&amp;"-"&amp;MONTH(CurrentMtgRatesDataTable89[[#This Row],[asofdate]])</f>
        <v>2003-8</v>
      </c>
      <c r="AH147" s="6">
        <f>((CurrentMtgRatesDataTable89[[#This Row],[SeriesNumValue]]-$D$1)/$D$1+1)*100</f>
        <v>143.80819472982466</v>
      </c>
      <c r="AI147" s="6">
        <f>CurrentMtgRatesDataTable89[[#This Row],[Index]]-AH148</f>
        <v>-7.0850499080066811</v>
      </c>
      <c r="AJ147" s="6">
        <f>VLOOKUP(CurrentMtgRatesDataTable89[[#This Row],[asofdate]],G:H,2,0)</f>
        <v>81.295959132137398</v>
      </c>
      <c r="AK147" s="6">
        <f>VLOOKUP(CurrentMtgRatesDataTable89[[#This Row],[asofdate]],K:L,2,0)</f>
        <v>0.26156705672942099</v>
      </c>
      <c r="AL147" s="6">
        <f>VLOOKUP(CurrentMtgRatesDataTable89[[#This Row],[asofdate]],O:P,2,0)</f>
        <v>33.498398894729299</v>
      </c>
      <c r="AM147" s="6">
        <f>VLOOKUP(CurrentMtgRatesDataTable89[[#This Row],[asofdate]],S:T,2,0)</f>
        <v>1.3217082179037699E-2</v>
      </c>
      <c r="AN147" s="6">
        <f>VLOOKUP(CurrentMtgRatesDataTable89[[#This Row],[asofdate]],W:X,2,0)</f>
        <v>724.13043049769794</v>
      </c>
      <c r="AO147" s="6">
        <f>VLOOKUP(CurrentMtgRatesDataTable89[[#This Row],[asofdate]],AA:AB,2,0)</f>
        <v>0.31012537854220201</v>
      </c>
    </row>
    <row r="148" spans="1:41" s="8" customFormat="1" ht="12.75">
      <c r="A148" s="7" t="s">
        <v>29</v>
      </c>
      <c r="B148" s="10">
        <v>1.7729586925098999E-2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118.19724616732668</v>
      </c>
      <c r="E148" s="6"/>
      <c r="G148" s="7" t="s">
        <v>29</v>
      </c>
      <c r="H148" s="10">
        <v>82.950060225010503</v>
      </c>
      <c r="I148" s="26">
        <f>VLOOKUP(CurrentMtgRatesDataTable82[[#This Row],[asofdate]],K:L,2,0)</f>
        <v>0.32984190450163098</v>
      </c>
      <c r="K148" s="7" t="s">
        <v>29</v>
      </c>
      <c r="L148" s="29">
        <v>0.32984190450163098</v>
      </c>
      <c r="O148" s="7" t="s">
        <v>29</v>
      </c>
      <c r="P148" s="10">
        <v>34.588396942070901</v>
      </c>
      <c r="Q148" s="29">
        <f>VLOOKUP(CurrentMtgRatesDataTable84[[#This Row],[asofdate]],S:T,2,0)</f>
        <v>0.30203236660688898</v>
      </c>
      <c r="S148" s="7" t="s">
        <v>29</v>
      </c>
      <c r="T148" s="10">
        <v>0.30203236660688898</v>
      </c>
      <c r="W148" s="7" t="s">
        <v>29</v>
      </c>
      <c r="X148" s="10">
        <v>750.56998764591503</v>
      </c>
      <c r="Y148" s="26">
        <f>VLOOKUP(CurrentMtgRatesDataTable86[[#This Row],[asofdate]],AA:AB,2,0)</f>
        <v>0.14691246628329799</v>
      </c>
      <c r="AA148" s="7" t="s">
        <v>29</v>
      </c>
      <c r="AB148" s="10">
        <v>0.14691246628329799</v>
      </c>
      <c r="AE148" s="7" t="s">
        <v>37</v>
      </c>
      <c r="AF148" s="10">
        <v>2.26339866956747E-2</v>
      </c>
      <c r="AG148" s="10" t="str">
        <f>YEAR(CurrentMtgRatesDataTable89[[#This Row],[asofdate]])&amp;"-"&amp;MONTH(CurrentMtgRatesDataTable89[[#This Row],[asofdate]])</f>
        <v>2003-7</v>
      </c>
      <c r="AH148" s="6">
        <f>((CurrentMtgRatesDataTable89[[#This Row],[SeriesNumValue]]-$D$1)/$D$1+1)*100</f>
        <v>150.89324463783134</v>
      </c>
      <c r="AI148" s="6">
        <f>CurrentMtgRatesDataTable89[[#This Row],[Index]]-AH149</f>
        <v>10.809844395352002</v>
      </c>
      <c r="AJ148" s="6">
        <f>VLOOKUP(CurrentMtgRatesDataTable89[[#This Row],[asofdate]],G:H,2,0)</f>
        <v>81.559567738559593</v>
      </c>
      <c r="AK148" s="6">
        <f>VLOOKUP(CurrentMtgRatesDataTable89[[#This Row],[asofdate]],K:L,2,0)</f>
        <v>0.27193035338169502</v>
      </c>
      <c r="AL148" s="6">
        <f>VLOOKUP(CurrentMtgRatesDataTable89[[#This Row],[asofdate]],O:P,2,0)</f>
        <v>34.146724560705401</v>
      </c>
      <c r="AM148" s="6">
        <f>VLOOKUP(CurrentMtgRatesDataTable89[[#This Row],[asofdate]],S:T,2,0)</f>
        <v>1.2644025438160299E-2</v>
      </c>
      <c r="AN148" s="6">
        <f>VLOOKUP(CurrentMtgRatesDataTable89[[#This Row],[asofdate]],W:X,2,0)</f>
        <v>722.25565515955498</v>
      </c>
      <c r="AO148" s="6">
        <f>VLOOKUP(CurrentMtgRatesDataTable89[[#This Row],[asofdate]],AA:AB,2,0)</f>
        <v>0.32366346376695998</v>
      </c>
    </row>
    <row r="149" spans="1:41" s="8" customFormat="1" ht="12.75">
      <c r="A149" s="7" t="s">
        <v>30</v>
      </c>
      <c r="B149" s="10">
        <v>1.7934286666295499E-2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119.56191110863665</v>
      </c>
      <c r="E149" s="6"/>
      <c r="G149" s="7" t="s">
        <v>30</v>
      </c>
      <c r="H149" s="10">
        <v>82.946143202331896</v>
      </c>
      <c r="I149" s="26">
        <f>VLOOKUP(CurrentMtgRatesDataTable82[[#This Row],[asofdate]],K:L,2,0)</f>
        <v>0.33042720377120399</v>
      </c>
      <c r="K149" s="7" t="s">
        <v>30</v>
      </c>
      <c r="L149" s="29">
        <v>0.33042720377120399</v>
      </c>
      <c r="O149" s="7" t="s">
        <v>30</v>
      </c>
      <c r="P149" s="10">
        <v>34.589627076095397</v>
      </c>
      <c r="Q149" s="29">
        <f>VLOOKUP(CurrentMtgRatesDataTable84[[#This Row],[asofdate]],S:T,2,0)</f>
        <v>0.30077326622622502</v>
      </c>
      <c r="S149" s="7" t="s">
        <v>30</v>
      </c>
      <c r="T149" s="10">
        <v>0.30077326622622502</v>
      </c>
      <c r="W149" s="7" t="s">
        <v>30</v>
      </c>
      <c r="X149" s="10">
        <v>751.39344332595499</v>
      </c>
      <c r="Y149" s="26">
        <f>VLOOKUP(CurrentMtgRatesDataTable86[[#This Row],[asofdate]],AA:AB,2,0)</f>
        <v>0.142311552894924</v>
      </c>
      <c r="AA149" s="7" t="s">
        <v>30</v>
      </c>
      <c r="AB149" s="10">
        <v>0.142311552894924</v>
      </c>
      <c r="AE149" s="7" t="s">
        <v>36</v>
      </c>
      <c r="AF149" s="10">
        <v>2.10125100363719E-2</v>
      </c>
      <c r="AG149" s="10" t="str">
        <f>YEAR(CurrentMtgRatesDataTable89[[#This Row],[asofdate]])&amp;"-"&amp;MONTH(CurrentMtgRatesDataTable89[[#This Row],[asofdate]])</f>
        <v>2003-6</v>
      </c>
      <c r="AH149" s="6">
        <f>((CurrentMtgRatesDataTable89[[#This Row],[SeriesNumValue]]-$D$1)/$D$1+1)*100</f>
        <v>140.08340024247934</v>
      </c>
      <c r="AI149" s="6">
        <f>CurrentMtgRatesDataTable89[[#This Row],[Index]]-AH150</f>
        <v>-3.2699586747666558</v>
      </c>
      <c r="AJ149" s="6">
        <f>VLOOKUP(CurrentMtgRatesDataTable89[[#This Row],[asofdate]],G:H,2,0)</f>
        <v>81.618643707083294</v>
      </c>
      <c r="AK149" s="6">
        <f>VLOOKUP(CurrentMtgRatesDataTable89[[#This Row],[asofdate]],K:L,2,0)</f>
        <v>0.268197775375631</v>
      </c>
      <c r="AL149" s="6">
        <f>VLOOKUP(CurrentMtgRatesDataTable89[[#This Row],[asofdate]],O:P,2,0)</f>
        <v>33.7182309791107</v>
      </c>
      <c r="AM149" s="6">
        <f>VLOOKUP(CurrentMtgRatesDataTable89[[#This Row],[asofdate]],S:T,2,0)</f>
        <v>1.1153200110278301E-2</v>
      </c>
      <c r="AN149" s="6">
        <f>VLOOKUP(CurrentMtgRatesDataTable89[[#This Row],[asofdate]],W:X,2,0)</f>
        <v>722.77500565149899</v>
      </c>
      <c r="AO149" s="6">
        <f>VLOOKUP(CurrentMtgRatesDataTable89[[#This Row],[asofdate]],AA:AB,2,0)</f>
        <v>0.31736980921803998</v>
      </c>
    </row>
    <row r="150" spans="1:41" s="8" customFormat="1" ht="12.75">
      <c r="A150" s="7" t="s">
        <v>31</v>
      </c>
      <c r="B150" s="10">
        <v>1.78251595734213E-2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118.83439715614202</v>
      </c>
      <c r="E150" s="6"/>
      <c r="G150" s="7" t="s">
        <v>31</v>
      </c>
      <c r="H150" s="10">
        <v>82.961320951046801</v>
      </c>
      <c r="I150" s="26">
        <f>VLOOKUP(CurrentMtgRatesDataTable82[[#This Row],[asofdate]],K:L,2,0)</f>
        <v>0.32819322175534099</v>
      </c>
      <c r="K150" s="7" t="s">
        <v>31</v>
      </c>
      <c r="L150" s="29">
        <v>0.32819322175534099</v>
      </c>
      <c r="O150" s="7" t="s">
        <v>31</v>
      </c>
      <c r="P150" s="10">
        <v>34.455525298530901</v>
      </c>
      <c r="Q150" s="29">
        <f>VLOOKUP(CurrentMtgRatesDataTable84[[#This Row],[asofdate]],S:T,2,0)</f>
        <v>0.29594927973713903</v>
      </c>
      <c r="S150" s="7" t="s">
        <v>31</v>
      </c>
      <c r="T150" s="10">
        <v>0.29594927973713903</v>
      </c>
      <c r="W150" s="7" t="s">
        <v>31</v>
      </c>
      <c r="X150" s="10">
        <v>751.75185833983403</v>
      </c>
      <c r="Y150" s="26">
        <f>VLOOKUP(CurrentMtgRatesDataTable86[[#This Row],[asofdate]],AA:AB,2,0)</f>
        <v>0.14240539660943999</v>
      </c>
      <c r="AA150" s="7" t="s">
        <v>31</v>
      </c>
      <c r="AB150" s="10">
        <v>0.14240539660943999</v>
      </c>
      <c r="AE150" s="7" t="s">
        <v>34</v>
      </c>
      <c r="AF150" s="10">
        <v>2.1503003837586899E-2</v>
      </c>
      <c r="AG150" s="10" t="str">
        <f>YEAR(CurrentMtgRatesDataTable89[[#This Row],[asofdate]])&amp;"-"&amp;MONTH(CurrentMtgRatesDataTable89[[#This Row],[asofdate]])</f>
        <v>2003-5</v>
      </c>
      <c r="AH150" s="6">
        <f>((CurrentMtgRatesDataTable89[[#This Row],[SeriesNumValue]]-$D$1)/$D$1+1)*100</f>
        <v>143.353358917246</v>
      </c>
      <c r="AI150" s="6">
        <f>CurrentMtgRatesDataTable89[[#This Row],[Index]]-AH151</f>
        <v>143.353358917246</v>
      </c>
      <c r="AJ150" s="6">
        <f>VLOOKUP(CurrentMtgRatesDataTable89[[#This Row],[asofdate]],G:H,2,0)</f>
        <v>81.539035520498601</v>
      </c>
      <c r="AK150" s="6">
        <f>VLOOKUP(CurrentMtgRatesDataTable89[[#This Row],[asofdate]],K:L,2,0)</f>
        <v>0.273773110302937</v>
      </c>
      <c r="AL150" s="6">
        <f>VLOOKUP(CurrentMtgRatesDataTable89[[#This Row],[asofdate]],O:P,2,0)</f>
        <v>33.494897247675397</v>
      </c>
      <c r="AM150" s="6">
        <f>VLOOKUP(CurrentMtgRatesDataTable89[[#This Row],[asofdate]],S:T,2,0)</f>
        <v>1.3214033853566599E-2</v>
      </c>
      <c r="AN150" s="6">
        <f>VLOOKUP(CurrentMtgRatesDataTable89[[#This Row],[asofdate]],W:X,2,0)</f>
        <v>721.82095826598299</v>
      </c>
      <c r="AO150" s="6">
        <f>VLOOKUP(CurrentMtgRatesDataTable89[[#This Row],[asofdate]],AA:AB,2,0)</f>
        <v>0.32552540334650598</v>
      </c>
    </row>
    <row r="151" spans="1:41" s="8" customFormat="1">
      <c r="A151" s="6"/>
      <c r="B151" s="6"/>
      <c r="C151" s="6"/>
      <c r="D151" s="6"/>
      <c r="E151" s="6"/>
      <c r="G151" s="5"/>
      <c r="H151" s="5"/>
      <c r="I151" s="27"/>
      <c r="K151" s="5"/>
      <c r="L151" s="26"/>
      <c r="O151" s="5"/>
      <c r="P151" s="5"/>
      <c r="Q151" s="30"/>
      <c r="S151" s="5"/>
      <c r="T151" s="5"/>
      <c r="W151" s="5"/>
      <c r="X151" s="5"/>
      <c r="Y151" s="27"/>
      <c r="AA151" s="5"/>
      <c r="AB151" s="5"/>
      <c r="AE151" s="5"/>
      <c r="AF151" s="5"/>
      <c r="AG151" s="5"/>
      <c r="AH151" s="5"/>
      <c r="AI151" s="5"/>
    </row>
    <row r="152" spans="1:41">
      <c r="A152" s="6"/>
      <c r="B152" s="6"/>
      <c r="C152" s="6"/>
      <c r="D152" s="6"/>
      <c r="E152" s="6"/>
    </row>
    <row r="153" spans="1:41">
      <c r="A153" s="6"/>
      <c r="B153" s="6"/>
      <c r="C153" s="6"/>
      <c r="D153" s="6"/>
      <c r="E153" s="6"/>
    </row>
    <row r="154" spans="1:41">
      <c r="A154" s="6"/>
      <c r="B154" s="6"/>
      <c r="C154" s="6"/>
      <c r="D154" s="6"/>
      <c r="E154" s="6"/>
    </row>
    <row r="155" spans="1:41">
      <c r="A155" s="6"/>
      <c r="B155" s="6"/>
      <c r="C155" s="6"/>
      <c r="D155" s="6"/>
      <c r="E155" s="6"/>
    </row>
    <row r="156" spans="1:41">
      <c r="A156" s="6"/>
      <c r="B156" s="6"/>
      <c r="C156" s="6"/>
      <c r="D156" s="6"/>
      <c r="E156" s="6"/>
    </row>
    <row r="157" spans="1:41">
      <c r="A157" s="6"/>
      <c r="B157" s="6"/>
      <c r="C157" s="6"/>
      <c r="D157" s="6"/>
      <c r="E157" s="6"/>
    </row>
    <row r="158" spans="1:41">
      <c r="A158" s="6"/>
      <c r="B158" s="6"/>
      <c r="C158" s="6"/>
      <c r="D158" s="6"/>
      <c r="E158" s="6"/>
    </row>
    <row r="159" spans="1:41">
      <c r="A159" s="6"/>
      <c r="B159" s="6"/>
      <c r="C159" s="6"/>
      <c r="D159" s="6"/>
      <c r="E159" s="6"/>
    </row>
    <row r="160" spans="1:41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8"/>
      <c r="B190" s="8"/>
      <c r="C190" s="8"/>
      <c r="D190" s="8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E263" s="8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Report</vt:lpstr>
      <vt:lpstr>Report (2)</vt:lpstr>
      <vt:lpstr>Time Series Query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2015-07-24T21:51:32Z</cp:lastPrinted>
  <dcterms:created xsi:type="dcterms:W3CDTF">2013-04-04T19:42:48Z</dcterms:created>
  <dcterms:modified xsi:type="dcterms:W3CDTF">2015-07-27T17:29:00Z</dcterms:modified>
</cp:coreProperties>
</file>