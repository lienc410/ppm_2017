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4240" windowHeight="15390"/>
  </bookViews>
  <sheets>
    <sheet name="Report" sheetId="4" r:id="rId1"/>
    <sheet name="Report (2)" sheetId="14" r:id="rId2"/>
    <sheet name="Time Series Query" sheetId="5" state="hidden" r:id="rId3"/>
  </sheets>
  <functionGroups builtInGroupCount="17"/>
  <definedNames>
    <definedName name="CurrentCloseDate" localSheetId="1">'Report (2)'!$T$2</definedName>
    <definedName name="CurrentCloseDate">Report!$X$2</definedName>
    <definedName name="DatabaseEnv" localSheetId="1">'Report (2)'!$T$1</definedName>
    <definedName name="DatabaseEnv">Report!$X$1</definedName>
    <definedName name="LastAvailableDate" localSheetId="1">'Report (2)'!$T$9</definedName>
    <definedName name="LastAvailableDate">Report!$X$9</definedName>
    <definedName name="LastMonth" localSheetId="1">'Report (2)'!$T$11</definedName>
    <definedName name="LastMonth">Report!$X$11</definedName>
    <definedName name="LastSurveyDate" localSheetId="1">'Report (2)'!$T$8</definedName>
    <definedName name="LastSurveyDate">Report!$X$8</definedName>
    <definedName name="newDataPoint" localSheetId="1">#REF!</definedName>
    <definedName name="newDataPoint">#REF!</definedName>
    <definedName name="PDFReportDir" localSheetId="1">'Report (2)'!$T$3</definedName>
    <definedName name="PDFReportDir">Report!$X$3</definedName>
    <definedName name="PDFReportName" localSheetId="1">'Report (2)'!$T$4</definedName>
    <definedName name="PDFReportName">Report!$X$4</definedName>
    <definedName name="_xlnm.Print_Area" localSheetId="0">Report!$B$7:$T$64</definedName>
    <definedName name="_xlnm.Print_Area" localSheetId="1">'Report (2)'!$D$7:$Q$66</definedName>
    <definedName name="Query_from_Agency" localSheetId="2" hidden="1">'Time Series Query'!#REF!</definedName>
    <definedName name="Query_from_Agency_1" localSheetId="2" hidden="1">'Time Series Query'!#REF!</definedName>
    <definedName name="Query_from_Agency_10" localSheetId="2" hidden="1">'Time Series Query'!$S$4:$T$151</definedName>
    <definedName name="Query_from_Agency_11" localSheetId="2" hidden="1">'Time Series Query'!$W$4:$X$151</definedName>
    <definedName name="Query_from_Agency_12" localSheetId="2" hidden="1">'Time Series Query'!$AA$4:$AB$151</definedName>
    <definedName name="Query_from_Agency_13" localSheetId="2" hidden="1">'Time Series Query'!$AE$4:$AF$151</definedName>
    <definedName name="Query_from_Agency_2" localSheetId="2" hidden="1">'Time Series Query'!#REF!</definedName>
    <definedName name="Query_from_Agency_3" localSheetId="2" hidden="1">'Time Series Query'!#REF!</definedName>
    <definedName name="Query_from_Agency_4" localSheetId="2" hidden="1">'Time Series Query'!#REF!</definedName>
    <definedName name="Query_from_Agency_5" localSheetId="2" hidden="1">'Time Series Query'!#REF!</definedName>
    <definedName name="Query_from_Agency_6" localSheetId="2" hidden="1">'Time Series Query'!$A$4:$B$151</definedName>
    <definedName name="Query_from_Agency_7" localSheetId="2" hidden="1">'Time Series Query'!$G$4:$H$151</definedName>
    <definedName name="Query_from_Agency_8" localSheetId="2" hidden="1">'Time Series Query'!$K$4:$L$151</definedName>
    <definedName name="Query_from_Agency_9" localSheetId="2" hidden="1">'Time Series Query'!$O$4:$P$151</definedName>
    <definedName name="SaveRatesToDB" localSheetId="1">'Report (2)'!$V$1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AG5" i="5" l="1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H5" i="5"/>
  <c r="AH6" i="5"/>
  <c r="AH7" i="5"/>
  <c r="AH8" i="5"/>
  <c r="AI7" i="5" s="1"/>
  <c r="AH9" i="5"/>
  <c r="AI8" i="5" s="1"/>
  <c r="AH10" i="5"/>
  <c r="AH11" i="5"/>
  <c r="AI10" i="5" s="1"/>
  <c r="AH12" i="5"/>
  <c r="AH13" i="5"/>
  <c r="AH14" i="5"/>
  <c r="AH15" i="5"/>
  <c r="AH16" i="5"/>
  <c r="AI15" i="5" s="1"/>
  <c r="AH17" i="5"/>
  <c r="AI16" i="5" s="1"/>
  <c r="AH18" i="5"/>
  <c r="AH19" i="5"/>
  <c r="AI18" i="5" s="1"/>
  <c r="AH20" i="5"/>
  <c r="AH21" i="5"/>
  <c r="AH22" i="5"/>
  <c r="AH23" i="5"/>
  <c r="AH24" i="5"/>
  <c r="AI23" i="5" s="1"/>
  <c r="AH25" i="5"/>
  <c r="AI24" i="5" s="1"/>
  <c r="AH26" i="5"/>
  <c r="AH27" i="5"/>
  <c r="AI26" i="5" s="1"/>
  <c r="AH28" i="5"/>
  <c r="AH29" i="5"/>
  <c r="AH30" i="5"/>
  <c r="AH31" i="5"/>
  <c r="AH32" i="5"/>
  <c r="AI31" i="5" s="1"/>
  <c r="AH33" i="5"/>
  <c r="AI32" i="5" s="1"/>
  <c r="AH34" i="5"/>
  <c r="AH35" i="5"/>
  <c r="AI34" i="5" s="1"/>
  <c r="AH36" i="5"/>
  <c r="AH37" i="5"/>
  <c r="AH38" i="5"/>
  <c r="AH39" i="5"/>
  <c r="AH40" i="5"/>
  <c r="AI39" i="5" s="1"/>
  <c r="AH41" i="5"/>
  <c r="AI40" i="5" s="1"/>
  <c r="AH42" i="5"/>
  <c r="AH43" i="5"/>
  <c r="AI42" i="5" s="1"/>
  <c r="AH44" i="5"/>
  <c r="AH45" i="5"/>
  <c r="AH46" i="5"/>
  <c r="AH47" i="5"/>
  <c r="AH48" i="5"/>
  <c r="AI47" i="5" s="1"/>
  <c r="AH49" i="5"/>
  <c r="AI48" i="5" s="1"/>
  <c r="AH50" i="5"/>
  <c r="AH51" i="5"/>
  <c r="AI50" i="5" s="1"/>
  <c r="AH52" i="5"/>
  <c r="AH53" i="5"/>
  <c r="AH54" i="5"/>
  <c r="AH55" i="5"/>
  <c r="AH56" i="5"/>
  <c r="AI55" i="5" s="1"/>
  <c r="AH57" i="5"/>
  <c r="AI56" i="5" s="1"/>
  <c r="AH58" i="5"/>
  <c r="AH59" i="5"/>
  <c r="AI58" i="5" s="1"/>
  <c r="AH60" i="5"/>
  <c r="AH61" i="5"/>
  <c r="AH62" i="5"/>
  <c r="AH63" i="5"/>
  <c r="AH64" i="5"/>
  <c r="AI63" i="5" s="1"/>
  <c r="AH65" i="5"/>
  <c r="AI64" i="5" s="1"/>
  <c r="AH66" i="5"/>
  <c r="AH67" i="5"/>
  <c r="AI66" i="5" s="1"/>
  <c r="AH68" i="5"/>
  <c r="AH69" i="5"/>
  <c r="AH70" i="5"/>
  <c r="AH71" i="5"/>
  <c r="AH72" i="5"/>
  <c r="AI71" i="5" s="1"/>
  <c r="AH73" i="5"/>
  <c r="AI72" i="5" s="1"/>
  <c r="AH74" i="5"/>
  <c r="AH75" i="5"/>
  <c r="AI74" i="5" s="1"/>
  <c r="AH76" i="5"/>
  <c r="AH77" i="5"/>
  <c r="AH78" i="5"/>
  <c r="AH79" i="5"/>
  <c r="AH80" i="5"/>
  <c r="AI79" i="5" s="1"/>
  <c r="AH81" i="5"/>
  <c r="AI80" i="5" s="1"/>
  <c r="AH82" i="5"/>
  <c r="AH83" i="5"/>
  <c r="AI82" i="5" s="1"/>
  <c r="AH84" i="5"/>
  <c r="AH85" i="5"/>
  <c r="AH86" i="5"/>
  <c r="AH87" i="5"/>
  <c r="AH88" i="5"/>
  <c r="AI87" i="5" s="1"/>
  <c r="AH89" i="5"/>
  <c r="AI88" i="5" s="1"/>
  <c r="AH90" i="5"/>
  <c r="AH91" i="5"/>
  <c r="AI90" i="5" s="1"/>
  <c r="AH92" i="5"/>
  <c r="AH93" i="5"/>
  <c r="AH94" i="5"/>
  <c r="AH95" i="5"/>
  <c r="AH96" i="5"/>
  <c r="AI95" i="5" s="1"/>
  <c r="AH97" i="5"/>
  <c r="AI96" i="5" s="1"/>
  <c r="AH98" i="5"/>
  <c r="AH99" i="5"/>
  <c r="AI98" i="5" s="1"/>
  <c r="AH100" i="5"/>
  <c r="AH101" i="5"/>
  <c r="AH102" i="5"/>
  <c r="AH103" i="5"/>
  <c r="AH104" i="5"/>
  <c r="AI103" i="5" s="1"/>
  <c r="AH105" i="5"/>
  <c r="AI104" i="5" s="1"/>
  <c r="AH106" i="5"/>
  <c r="AH107" i="5"/>
  <c r="AI106" i="5" s="1"/>
  <c r="AH108" i="5"/>
  <c r="AH109" i="5"/>
  <c r="AH110" i="5"/>
  <c r="AH111" i="5"/>
  <c r="AH112" i="5"/>
  <c r="AI111" i="5" s="1"/>
  <c r="AH113" i="5"/>
  <c r="AI112" i="5" s="1"/>
  <c r="AH114" i="5"/>
  <c r="AH115" i="5"/>
  <c r="AI114" i="5" s="1"/>
  <c r="AH116" i="5"/>
  <c r="AH117" i="5"/>
  <c r="AH118" i="5"/>
  <c r="AH119" i="5"/>
  <c r="AH120" i="5"/>
  <c r="AI119" i="5" s="1"/>
  <c r="AH121" i="5"/>
  <c r="AI120" i="5" s="1"/>
  <c r="AH122" i="5"/>
  <c r="AH123" i="5"/>
  <c r="AI122" i="5" s="1"/>
  <c r="AH124" i="5"/>
  <c r="AH125" i="5"/>
  <c r="AH126" i="5"/>
  <c r="AH127" i="5"/>
  <c r="AH128" i="5"/>
  <c r="AI127" i="5" s="1"/>
  <c r="AH129" i="5"/>
  <c r="AI128" i="5" s="1"/>
  <c r="AH130" i="5"/>
  <c r="AH131" i="5"/>
  <c r="AI130" i="5" s="1"/>
  <c r="AH132" i="5"/>
  <c r="AH133" i="5"/>
  <c r="AH134" i="5"/>
  <c r="AH135" i="5"/>
  <c r="AH136" i="5"/>
  <c r="AI135" i="5" s="1"/>
  <c r="AH137" i="5"/>
  <c r="AI136" i="5" s="1"/>
  <c r="AH138" i="5"/>
  <c r="AH139" i="5"/>
  <c r="AI138" i="5" s="1"/>
  <c r="AH140" i="5"/>
  <c r="AH141" i="5"/>
  <c r="AH142" i="5"/>
  <c r="AH143" i="5"/>
  <c r="AH144" i="5"/>
  <c r="AI143" i="5" s="1"/>
  <c r="AH145" i="5"/>
  <c r="AI144" i="5" s="1"/>
  <c r="AH146" i="5"/>
  <c r="AH147" i="5"/>
  <c r="AI146" i="5" s="1"/>
  <c r="AH148" i="5"/>
  <c r="AH149" i="5"/>
  <c r="AH150" i="5"/>
  <c r="AH151" i="5"/>
  <c r="AI151" i="5" s="1"/>
  <c r="AI5" i="5"/>
  <c r="AI6" i="5"/>
  <c r="AI11" i="5"/>
  <c r="AI12" i="5"/>
  <c r="AI13" i="5"/>
  <c r="AI14" i="5"/>
  <c r="AI19" i="5"/>
  <c r="AI20" i="5"/>
  <c r="AI21" i="5"/>
  <c r="AI22" i="5"/>
  <c r="AI27" i="5"/>
  <c r="AI28" i="5"/>
  <c r="AI29" i="5"/>
  <c r="AI30" i="5"/>
  <c r="AI35" i="5"/>
  <c r="AI36" i="5"/>
  <c r="AI37" i="5"/>
  <c r="AI38" i="5"/>
  <c r="AI43" i="5"/>
  <c r="AI44" i="5"/>
  <c r="AI45" i="5"/>
  <c r="AI46" i="5"/>
  <c r="AI51" i="5"/>
  <c r="AI52" i="5"/>
  <c r="AI53" i="5"/>
  <c r="AI54" i="5"/>
  <c r="AI59" i="5"/>
  <c r="AI60" i="5"/>
  <c r="AI61" i="5"/>
  <c r="AI62" i="5"/>
  <c r="AI67" i="5"/>
  <c r="AI68" i="5"/>
  <c r="AI69" i="5"/>
  <c r="AI70" i="5"/>
  <c r="AI75" i="5"/>
  <c r="AI76" i="5"/>
  <c r="AI77" i="5"/>
  <c r="AI78" i="5"/>
  <c r="AI83" i="5"/>
  <c r="AI84" i="5"/>
  <c r="AI85" i="5"/>
  <c r="AI86" i="5"/>
  <c r="AI91" i="5"/>
  <c r="AI92" i="5"/>
  <c r="AI93" i="5"/>
  <c r="AI94" i="5"/>
  <c r="AI99" i="5"/>
  <c r="AI100" i="5"/>
  <c r="AI101" i="5"/>
  <c r="AI102" i="5"/>
  <c r="AI107" i="5"/>
  <c r="AI108" i="5"/>
  <c r="AI109" i="5"/>
  <c r="AI110" i="5"/>
  <c r="AI115" i="5"/>
  <c r="AI116" i="5"/>
  <c r="AI117" i="5"/>
  <c r="AI118" i="5"/>
  <c r="AI123" i="5"/>
  <c r="AI124" i="5"/>
  <c r="AI125" i="5"/>
  <c r="AI126" i="5"/>
  <c r="AI131" i="5"/>
  <c r="AI132" i="5"/>
  <c r="AI133" i="5"/>
  <c r="AI134" i="5"/>
  <c r="AI139" i="5"/>
  <c r="AI140" i="5"/>
  <c r="AI141" i="5"/>
  <c r="AI142" i="5"/>
  <c r="AI147" i="5"/>
  <c r="AI148" i="5"/>
  <c r="AI149" i="5"/>
  <c r="AI150" i="5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J151" i="5"/>
  <c r="AK5" i="5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M5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15" i="5"/>
  <c r="AM116" i="5"/>
  <c r="AM117" i="5"/>
  <c r="AM118" i="5"/>
  <c r="AM119" i="5"/>
  <c r="AM120" i="5"/>
  <c r="AM121" i="5"/>
  <c r="AM122" i="5"/>
  <c r="AM123" i="5"/>
  <c r="AM124" i="5"/>
  <c r="AM125" i="5"/>
  <c r="AM126" i="5"/>
  <c r="AM127" i="5"/>
  <c r="AM128" i="5"/>
  <c r="AM129" i="5"/>
  <c r="AM130" i="5"/>
  <c r="AM131" i="5"/>
  <c r="AM132" i="5"/>
  <c r="AM133" i="5"/>
  <c r="AM134" i="5"/>
  <c r="AM135" i="5"/>
  <c r="AM136" i="5"/>
  <c r="AM137" i="5"/>
  <c r="AM138" i="5"/>
  <c r="AM139" i="5"/>
  <c r="AM140" i="5"/>
  <c r="AM141" i="5"/>
  <c r="AM142" i="5"/>
  <c r="AM143" i="5"/>
  <c r="AM144" i="5"/>
  <c r="AM145" i="5"/>
  <c r="AM146" i="5"/>
  <c r="AM147" i="5"/>
  <c r="AM148" i="5"/>
  <c r="AM149" i="5"/>
  <c r="AM150" i="5"/>
  <c r="AM151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X11" i="4"/>
  <c r="AI145" i="5" l="1"/>
  <c r="AI137" i="5"/>
  <c r="AI129" i="5"/>
  <c r="AI121" i="5"/>
  <c r="AI113" i="5"/>
  <c r="AI105" i="5"/>
  <c r="AI97" i="5"/>
  <c r="AI89" i="5"/>
  <c r="AI81" i="5"/>
  <c r="AI73" i="5"/>
  <c r="AI65" i="5"/>
  <c r="AI57" i="5"/>
  <c r="AI49" i="5"/>
  <c r="AI41" i="5"/>
  <c r="AI33" i="5"/>
  <c r="AI25" i="5"/>
  <c r="AI17" i="5"/>
  <c r="AI9" i="5"/>
  <c r="X13" i="4"/>
  <c r="X12" i="4" l="1"/>
  <c r="M55" i="4" l="1"/>
  <c r="C50" i="4"/>
  <c r="L50" i="4" s="1"/>
  <c r="C53" i="4"/>
  <c r="L53" i="4" s="1"/>
  <c r="C58" i="4"/>
  <c r="L58" i="4" s="1"/>
  <c r="C61" i="4"/>
  <c r="L61" i="4" s="1"/>
  <c r="M53" i="4"/>
  <c r="N52" i="4"/>
  <c r="E55" i="4"/>
  <c r="E60" i="4"/>
  <c r="F50" i="4"/>
  <c r="F54" i="4"/>
  <c r="F62" i="4"/>
  <c r="G51" i="4"/>
  <c r="G60" i="4"/>
  <c r="H52" i="4"/>
  <c r="H57" i="4"/>
  <c r="I50" i="4"/>
  <c r="R52" i="4"/>
  <c r="I56" i="4"/>
  <c r="I58" i="4"/>
  <c r="R60" i="4"/>
  <c r="R62" i="4"/>
  <c r="J53" i="4"/>
  <c r="J54" i="4"/>
  <c r="S56" i="4"/>
  <c r="J58" i="4"/>
  <c r="J62" i="4"/>
  <c r="X4" i="4"/>
  <c r="S49" i="4"/>
  <c r="R49" i="4"/>
  <c r="Q49" i="4"/>
  <c r="P49" i="4"/>
  <c r="O49" i="4"/>
  <c r="N49" i="4"/>
  <c r="D51" i="4"/>
  <c r="J49" i="4"/>
  <c r="I49" i="4"/>
  <c r="H49" i="4"/>
  <c r="G49" i="4"/>
  <c r="F49" i="4"/>
  <c r="E49" i="4"/>
  <c r="J51" i="4"/>
  <c r="J52" i="4"/>
  <c r="J55" i="4"/>
  <c r="J60" i="4"/>
  <c r="J61" i="4"/>
  <c r="R54" i="4"/>
  <c r="I57" i="4"/>
  <c r="H50" i="4"/>
  <c r="Q51" i="4"/>
  <c r="H55" i="4"/>
  <c r="H59" i="4"/>
  <c r="H60" i="4"/>
  <c r="G52" i="4"/>
  <c r="G53" i="4"/>
  <c r="G57" i="4"/>
  <c r="G59" i="4"/>
  <c r="G61" i="4"/>
  <c r="F51" i="4"/>
  <c r="F55" i="4"/>
  <c r="F57" i="4"/>
  <c r="F58" i="4"/>
  <c r="F59" i="4"/>
  <c r="E54" i="4"/>
  <c r="E58" i="4"/>
  <c r="E62" i="4"/>
  <c r="C51" i="4"/>
  <c r="L51" i="4" s="1"/>
  <c r="C52" i="4"/>
  <c r="L52" i="4" s="1"/>
  <c r="C54" i="4"/>
  <c r="L54" i="4" s="1"/>
  <c r="C55" i="4"/>
  <c r="L55" i="4" s="1"/>
  <c r="C56" i="4"/>
  <c r="L56" i="4" s="1"/>
  <c r="C57" i="4"/>
  <c r="L57" i="4" s="1"/>
  <c r="C59" i="4"/>
  <c r="L59" i="4" s="1"/>
  <c r="C60" i="4"/>
  <c r="L60" i="4" s="1"/>
  <c r="C62" i="4"/>
  <c r="L62" i="4" s="1"/>
  <c r="D50" i="4"/>
  <c r="D52" i="4"/>
  <c r="D53" i="4"/>
  <c r="D57" i="4"/>
  <c r="D58" i="4"/>
  <c r="D60" i="4"/>
  <c r="D61" i="4"/>
  <c r="D62" i="4"/>
  <c r="J57" i="4" l="1"/>
  <c r="D59" i="4"/>
  <c r="J56" i="4"/>
  <c r="R61" i="4"/>
  <c r="R53" i="4"/>
  <c r="I53" i="4"/>
  <c r="Q55" i="4"/>
  <c r="Q58" i="4"/>
  <c r="P51" i="4"/>
  <c r="P56" i="4"/>
  <c r="O51" i="4"/>
  <c r="Q61" i="4"/>
  <c r="Q53" i="4"/>
  <c r="R55" i="4"/>
  <c r="N56" i="4"/>
  <c r="Q62" i="4"/>
  <c r="R56" i="4"/>
  <c r="S50" i="4"/>
  <c r="O56" i="4"/>
  <c r="P58" i="4"/>
  <c r="P50" i="4"/>
  <c r="H61" i="4"/>
  <c r="F52" i="4"/>
  <c r="S60" i="4"/>
  <c r="O58" i="4"/>
  <c r="Q54" i="4"/>
  <c r="Q60" i="4"/>
  <c r="M54" i="4"/>
  <c r="N58" i="4"/>
  <c r="N55" i="4"/>
  <c r="O61" i="4"/>
  <c r="P55" i="4"/>
  <c r="N50" i="4"/>
  <c r="N57" i="4"/>
  <c r="P61" i="4"/>
  <c r="P53" i="4"/>
  <c r="S59" i="4"/>
  <c r="S51" i="4"/>
  <c r="J59" i="4"/>
  <c r="G55" i="4"/>
  <c r="H51" i="4"/>
  <c r="P59" i="4"/>
  <c r="N54" i="4"/>
  <c r="N51" i="4"/>
  <c r="R51" i="4"/>
  <c r="P54" i="4"/>
  <c r="Q59" i="4"/>
  <c r="G50" i="4"/>
  <c r="R50" i="4"/>
  <c r="O53" i="4"/>
  <c r="R59" i="4"/>
  <c r="O55" i="4"/>
  <c r="O60" i="4"/>
  <c r="P62" i="4"/>
  <c r="Q56" i="4"/>
  <c r="F60" i="4"/>
  <c r="G58" i="4"/>
  <c r="I54" i="4"/>
  <c r="S57" i="4"/>
  <c r="S52" i="4"/>
  <c r="I62" i="4"/>
  <c r="N62" i="4"/>
  <c r="Q52" i="4"/>
  <c r="N61" i="4"/>
  <c r="N53" i="4"/>
  <c r="S55" i="4"/>
  <c r="I61" i="4"/>
  <c r="H53" i="4"/>
  <c r="E52" i="4"/>
  <c r="H58" i="4"/>
  <c r="O62" i="4"/>
  <c r="E51" i="4"/>
  <c r="Q50" i="4"/>
  <c r="H56" i="4"/>
  <c r="O59" i="4"/>
  <c r="D56" i="4"/>
  <c r="E57" i="4"/>
  <c r="F61" i="4"/>
  <c r="G56" i="4"/>
  <c r="F53" i="4"/>
  <c r="O50" i="4"/>
  <c r="P60" i="4"/>
  <c r="N59" i="4"/>
  <c r="R57" i="4"/>
  <c r="P52" i="4"/>
  <c r="D54" i="4"/>
  <c r="D55" i="4"/>
  <c r="E56" i="4"/>
  <c r="H62" i="4"/>
  <c r="F56" i="4"/>
  <c r="H54" i="4"/>
  <c r="S62" i="4"/>
  <c r="S58" i="4"/>
  <c r="Q57" i="4"/>
  <c r="S54" i="4"/>
  <c r="O52" i="4"/>
  <c r="I59" i="4"/>
  <c r="I51" i="4"/>
  <c r="S61" i="4"/>
  <c r="E50" i="4"/>
  <c r="G62" i="4"/>
  <c r="I60" i="4"/>
  <c r="G54" i="4"/>
  <c r="I52" i="4"/>
  <c r="N60" i="4"/>
  <c r="R58" i="4"/>
  <c r="P57" i="4"/>
  <c r="O54" i="4"/>
  <c r="E59" i="4"/>
  <c r="I55" i="4"/>
  <c r="J50" i="4"/>
  <c r="O57" i="4"/>
  <c r="S53" i="4"/>
  <c r="E61" i="4"/>
  <c r="E53" i="4"/>
  <c r="M60" i="4"/>
  <c r="M52" i="4"/>
  <c r="M57" i="4"/>
  <c r="M61" i="4"/>
  <c r="M62" i="4"/>
  <c r="M58" i="4"/>
  <c r="M50" i="4"/>
  <c r="M59" i="4"/>
  <c r="M51" i="4"/>
  <c r="M56" i="4"/>
  <c r="X8" i="4" l="1"/>
  <c r="X9" i="4" l="1"/>
</calcChain>
</file>

<file path=xl/connections.xml><?xml version="1.0" encoding="utf-8"?>
<connections xmlns="http://schemas.openxmlformats.org/spreadsheetml/2006/main">
  <connection id="1" name="CLTVDist9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Dist90' and D.asofdate &lt;= '2015-07-01' order by d.AsOfDate"/>
  </connection>
  <connection id="2" name="CLTV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Mean' and D.asofdate &lt;= '2015-07-01' order by d.AsOfDate"/>
  </connection>
  <connection id="3" name="DTIDist4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Dist40' and D.asofdate &lt;= '2015-07-01' order by d.AsOfDate"/>
  </connection>
  <connection id="4" name="DTI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Mean' and D.asofdate &lt;= '2015-07-01' order by d.AsOfDate"/>
  </connection>
  <connection id="5" name="FICODist70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Dist700' and D.asofdate &lt;= '2015-07-01' order by d.AsOfDate"/>
  </connection>
  <connection id="6" name="FICO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Mean' and D.asofdate &lt;= '2015-07-01' order by d.AsOfDate"/>
  </connection>
  <connection id="7" name="Index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"/>
  </connection>
  <connection id="8" name="IndexQuery1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 desc"/>
  </connection>
</connections>
</file>

<file path=xl/sharedStrings.xml><?xml version="1.0" encoding="utf-8"?>
<sst xmlns="http://schemas.openxmlformats.org/spreadsheetml/2006/main" count="1231" uniqueCount="180">
  <si>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</si>
  <si>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</si>
  <si>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</si>
  <si>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</si>
  <si>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</si>
  <si>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</si>
  <si>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</si>
  <si>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</si>
  <si>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</si>
  <si>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</si>
  <si>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</si>
  <si>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</si>
  <si>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</si>
  <si>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</si>
  <si>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</si>
  <si>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</si>
  <si>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</si>
  <si>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</si>
  <si>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</si>
  <si>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</si>
  <si>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</si>
  <si>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</si>
  <si>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</si>
  <si>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</si>
  <si>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</si>
  <si>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</si>
  <si>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</si>
  <si>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</si>
  <si>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</si>
  <si>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</si>
  <si>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</si>
  <si>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</si>
  <si>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</si>
  <si>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</si>
  <si>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30YrCreditAvailabilityIndex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</si>
  <si>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</si>
  <si>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</si>
  <si>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</si>
  <si>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</si>
  <si>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</si>
  <si>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</si>
  <si>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</si>
  <si>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</si>
  <si>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</si>
  <si>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</si>
  <si>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</si>
  <si>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</si>
  <si>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</si>
  <si>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</si>
  <si>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</si>
  <si>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</si>
  <si>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</si>
  <si>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</si>
  <si>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</si>
  <si>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</si>
  <si>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</si>
  <si>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</si>
  <si>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</si>
  <si>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</si>
  <si>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</si>
  <si>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</si>
  <si>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</si>
  <si>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</si>
  <si>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</si>
  <si>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</si>
  <si>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</si>
  <si>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</si>
  <si>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</si>
  <si>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</si>
  <si>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</si>
  <si>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</si>
  <si>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</si>
  <si>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</si>
  <si>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</si>
  <si>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</si>
  <si>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</si>
  <si>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</si>
  <si>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</si>
  <si>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</si>
  <si>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</si>
  <si>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</si>
  <si>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</si>
  <si>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</si>
  <si>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</si>
  <si>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</si>
  <si>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</si>
  <si>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</si>
  <si>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</si>
  <si>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</si>
  <si>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</si>
  <si>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</si>
  <si>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</si>
  <si>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</si>
  <si>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</si>
  <si>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</si>
  <si>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</si>
  <si>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</si>
  <si>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</si>
  <si>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</si>
  <si>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</si>
  <si>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</si>
  <si>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</si>
  <si>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</si>
  <si>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</si>
  <si>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</si>
  <si>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</si>
  <si>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</si>
  <si>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</si>
  <si>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</si>
  <si>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</si>
  <si>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</si>
  <si>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</si>
  <si>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</si>
  <si>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</si>
  <si>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</si>
  <si>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</si>
  <si>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</si>
  <si>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</si>
  <si>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</si>
  <si>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</si>
  <si>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</si>
  <si>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</si>
  <si>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</si>
  <si>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</si>
  <si>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</si>
  <si>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</si>
  <si>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</si>
  <si>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</si>
  <si>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</si>
  <si>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</si>
  <si>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</si>
  <si>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</si>
  <si>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</si>
  <si>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</si>
  <si>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</si>
  <si>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</si>
  <si>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</si>
  <si>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</si>
  <si>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</si>
  <si>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</si>
  <si>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</si>
  <si>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</si>
  <si>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</si>
  <si>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</si>
  <si>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</si>
  <si>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</si>
  <si>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</si>
  <si>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</si>
  <si>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</si>
  <si>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</si>
  <si>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</si>
  <si>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</si>
  <si>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</si>
  <si>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</si>
  <si>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</si>
  <si>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</si>
  <si>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</si>
  <si>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</si>
  <si>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</si>
  <si>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DTIMean</t>
  </si>
  <si>
    <t>DTIDist40</t>
  </si>
  <si>
    <t>FICOMean</t>
  </si>
  <si>
    <t>FICODist700</t>
  </si>
  <si>
    <t>Month</t>
  </si>
  <si>
    <t>CreditAvailabilityIndex Changes</t>
  </si>
  <si>
    <t>Changes</t>
  </si>
  <si>
    <t>Benchmanrk</t>
  </si>
  <si>
    <t>DTI Mean</t>
  </si>
  <si>
    <t>FICO Mean</t>
  </si>
  <si>
    <t>% FICO &lt; 700</t>
  </si>
  <si>
    <t>% DTI &gt; 40</t>
  </si>
  <si>
    <t>Dark color means looser Underwriting Criteria</t>
  </si>
  <si>
    <t>Value</t>
  </si>
  <si>
    <t>One Month Changes</t>
  </si>
  <si>
    <t>OLTVDist90</t>
  </si>
  <si>
    <t>OLTVMean</t>
  </si>
  <si>
    <t>% OLTV &gt; 90</t>
  </si>
  <si>
    <t>OLTV Mean</t>
  </si>
  <si>
    <t>PROD</t>
  </si>
  <si>
    <t>2015-07-01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</si>
</sst>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35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31" fillId="52" borderId="0" xfId="350" applyFont="1" applyFill="1" applyAlignment="1">
      <alignment horizontal="center"/>
    </xf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127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3" borderId="0" xfId="350" applyNumberFormat="1" applyFont="1" applyFill="1"/>
    <xf numFmtId="0" fontId="6" fillId="53" borderId="0" xfId="0" applyFont="1" applyFill="1"/>
    <xf numFmtId="0" fontId="6" fillId="0" borderId="0" xfId="0" applyNumberFormat="1" applyFont="1"/>
    <xf numFmtId="9" fontId="6" fillId="53" borderId="0" xfId="1" applyFont="1" applyFill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9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B7A76"/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Month Changes - Recent 1 Year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'Time Series Query'!$AI$4</c:f>
              <c:strCache>
                <c:ptCount val="1"/>
                <c:pt idx="0">
                  <c:v>Changes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'Time Series Query'!$AG$5:$AG$16</c:f>
              <c:strCache>
                <c:ptCount val="12"/>
                <c:pt idx="0">
                  <c:v>2015-7</c:v>
                </c:pt>
                <c:pt idx="1">
                  <c:v>2015-6</c:v>
                </c:pt>
                <c:pt idx="2">
                  <c:v>2015-5</c:v>
                </c:pt>
                <c:pt idx="3">
                  <c:v>2015-4</c:v>
                </c:pt>
                <c:pt idx="4">
                  <c:v>2015-3</c:v>
                </c:pt>
                <c:pt idx="5">
                  <c:v>2015-2</c:v>
                </c:pt>
                <c:pt idx="6">
                  <c:v>2015-1</c:v>
                </c:pt>
                <c:pt idx="7">
                  <c:v>2014-12</c:v>
                </c:pt>
                <c:pt idx="8">
                  <c:v>2014-11</c:v>
                </c:pt>
                <c:pt idx="9">
                  <c:v>2014-10</c:v>
                </c:pt>
                <c:pt idx="10">
                  <c:v>2014-9</c:v>
                </c:pt>
                <c:pt idx="11">
                  <c:v>2014-8</c:v>
                </c:pt>
              </c:strCache>
            </c:strRef>
          </c:cat>
          <c:val>
            <c:numRef>
              <c:f>'Time Series Query'!$AI$5:$AI$16</c:f>
              <c:numCache>
                <c:formatCode>General</c:formatCode>
                <c:ptCount val="12"/>
                <c:pt idx="0">
                  <c:v>-9.237159696622669</c:v>
                </c:pt>
                <c:pt idx="1">
                  <c:v>-0.44259907693866296</c:v>
                </c:pt>
                <c:pt idx="2">
                  <c:v>1.1986894263626766</c:v>
                </c:pt>
                <c:pt idx="3">
                  <c:v>-10.819160289196006</c:v>
                </c:pt>
                <c:pt idx="4">
                  <c:v>-0.99549242061868881</c:v>
                </c:pt>
                <c:pt idx="5">
                  <c:v>5.5776888994633396</c:v>
                </c:pt>
                <c:pt idx="6">
                  <c:v>-1.2149666502266712</c:v>
                </c:pt>
                <c:pt idx="7">
                  <c:v>2.6500484790566645</c:v>
                </c:pt>
                <c:pt idx="8">
                  <c:v>3.7901319208433364</c:v>
                </c:pt>
                <c:pt idx="9">
                  <c:v>0.49197567056067726</c:v>
                </c:pt>
                <c:pt idx="10">
                  <c:v>-0.11322836864734143</c:v>
                </c:pt>
                <c:pt idx="11">
                  <c:v>-5.0739057982933389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570432"/>
        <c:axId val="171925888"/>
      </c:barChart>
      <c:catAx>
        <c:axId val="165570432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171925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71925888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Cradit Availability Changes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557043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'Time Series Query'!$D$4</c:f>
              <c:strCache>
                <c:ptCount val="1"/>
                <c:pt idx="0">
                  <c:v>Index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Query'!$C$5:$C$151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Query'!$D$5:$D$151</c:f>
              <c:numCache>
                <c:formatCode>General</c:formatCode>
                <c:ptCount val="147"/>
                <c:pt idx="0">
                  <c:v>143.35573884832468</c:v>
                </c:pt>
                <c:pt idx="1">
                  <c:v>140.09512058954002</c:v>
                </c:pt>
                <c:pt idx="2">
                  <c:v>150.86831626282199</c:v>
                </c:pt>
                <c:pt idx="3">
                  <c:v>143.81583761581001</c:v>
                </c:pt>
                <c:pt idx="4">
                  <c:v>116.81119400965065</c:v>
                </c:pt>
                <c:pt idx="5">
                  <c:v>110.66264200035867</c:v>
                </c:pt>
                <c:pt idx="6">
                  <c:v>143.82741192334666</c:v>
                </c:pt>
                <c:pt idx="7">
                  <c:v>145.53414836434203</c:v>
                </c:pt>
                <c:pt idx="8">
                  <c:v>142.80803682493934</c:v>
                </c:pt>
                <c:pt idx="9">
                  <c:v>138.14704131399137</c:v>
                </c:pt>
                <c:pt idx="10">
                  <c:v>139.09410813856866</c:v>
                </c:pt>
                <c:pt idx="11">
                  <c:v>144.33647869724535</c:v>
                </c:pt>
                <c:pt idx="12">
                  <c:v>141.79427673403001</c:v>
                </c:pt>
                <c:pt idx="13">
                  <c:v>115.59050366253933</c:v>
                </c:pt>
                <c:pt idx="14">
                  <c:v>115.22182718629401</c:v>
                </c:pt>
                <c:pt idx="15">
                  <c:v>139.07300704499002</c:v>
                </c:pt>
                <c:pt idx="16">
                  <c:v>154.79746040082131</c:v>
                </c:pt>
                <c:pt idx="17">
                  <c:v>150.20618079754868</c:v>
                </c:pt>
                <c:pt idx="18">
                  <c:v>145.96341259343802</c:v>
                </c:pt>
                <c:pt idx="19">
                  <c:v>141.15130239040866</c:v>
                </c:pt>
                <c:pt idx="20">
                  <c:v>140.30727277026867</c:v>
                </c:pt>
                <c:pt idx="21">
                  <c:v>138.47992976276467</c:v>
                </c:pt>
                <c:pt idx="22">
                  <c:v>136.93939422200202</c:v>
                </c:pt>
                <c:pt idx="23">
                  <c:v>132.8446631818</c:v>
                </c:pt>
                <c:pt idx="24">
                  <c:v>121.97785596813534</c:v>
                </c:pt>
                <c:pt idx="25">
                  <c:v>138.88058536577202</c:v>
                </c:pt>
                <c:pt idx="26">
                  <c:v>142.03504618120201</c:v>
                </c:pt>
                <c:pt idx="27">
                  <c:v>130.96186415939067</c:v>
                </c:pt>
                <c:pt idx="28">
                  <c:v>122.26847187898333</c:v>
                </c:pt>
                <c:pt idx="29">
                  <c:v>126.55653721383402</c:v>
                </c:pt>
                <c:pt idx="30">
                  <c:v>121.28285918447202</c:v>
                </c:pt>
                <c:pt idx="31">
                  <c:v>101.36766795378666</c:v>
                </c:pt>
                <c:pt idx="32">
                  <c:v>100.57250325898268</c:v>
                </c:pt>
                <c:pt idx="33">
                  <c:v>112.254392714358</c:v>
                </c:pt>
                <c:pt idx="34">
                  <c:v>107.89979313161535</c:v>
                </c:pt>
                <c:pt idx="35">
                  <c:v>105.67378609191</c:v>
                </c:pt>
                <c:pt idx="36">
                  <c:v>100.81696989885867</c:v>
                </c:pt>
                <c:pt idx="37">
                  <c:v>101.71430279377466</c:v>
                </c:pt>
                <c:pt idx="38">
                  <c:v>103.234937143114</c:v>
                </c:pt>
                <c:pt idx="39">
                  <c:v>102.22609994060201</c:v>
                </c:pt>
                <c:pt idx="40">
                  <c:v>119.20338390801668</c:v>
                </c:pt>
                <c:pt idx="41">
                  <c:v>125.55192886792202</c:v>
                </c:pt>
                <c:pt idx="42">
                  <c:v>122.26114898928869</c:v>
                </c:pt>
                <c:pt idx="43">
                  <c:v>121.19513815615734</c:v>
                </c:pt>
                <c:pt idx="44">
                  <c:v>125.36421119760068</c:v>
                </c:pt>
                <c:pt idx="45">
                  <c:v>118.44273109513668</c:v>
                </c:pt>
                <c:pt idx="46">
                  <c:v>121.178677685102</c:v>
                </c:pt>
                <c:pt idx="47">
                  <c:v>132.168252989824</c:v>
                </c:pt>
                <c:pt idx="48">
                  <c:v>135.23297487795801</c:v>
                </c:pt>
                <c:pt idx="49">
                  <c:v>137.81518866614334</c:v>
                </c:pt>
                <c:pt idx="50">
                  <c:v>132.86132694468336</c:v>
                </c:pt>
                <c:pt idx="51">
                  <c:v>138.09438212469999</c:v>
                </c:pt>
                <c:pt idx="52">
                  <c:v>155.32365149615802</c:v>
                </c:pt>
                <c:pt idx="53">
                  <c:v>169.331404530426</c:v>
                </c:pt>
                <c:pt idx="54">
                  <c:v>172.32190005533732</c:v>
                </c:pt>
                <c:pt idx="55">
                  <c:v>173.81436431551336</c:v>
                </c:pt>
                <c:pt idx="56">
                  <c:v>174.82966187855135</c:v>
                </c:pt>
                <c:pt idx="57">
                  <c:v>173.34246172034932</c:v>
                </c:pt>
                <c:pt idx="58">
                  <c:v>153.99729221156866</c:v>
                </c:pt>
                <c:pt idx="59">
                  <c:v>130.20160020861402</c:v>
                </c:pt>
                <c:pt idx="60">
                  <c:v>131.49943976838534</c:v>
                </c:pt>
                <c:pt idx="61">
                  <c:v>107.40415781982003</c:v>
                </c:pt>
                <c:pt idx="62">
                  <c:v>91.920085188785336</c:v>
                </c:pt>
                <c:pt idx="63">
                  <c:v>88.807624905461338</c:v>
                </c:pt>
                <c:pt idx="64">
                  <c:v>89.276477159997341</c:v>
                </c:pt>
                <c:pt idx="65">
                  <c:v>107.60177223641867</c:v>
                </c:pt>
                <c:pt idx="66">
                  <c:v>93.794295482178669</c:v>
                </c:pt>
                <c:pt idx="67">
                  <c:v>88.006321492820661</c:v>
                </c:pt>
                <c:pt idx="68">
                  <c:v>116.25883239530133</c:v>
                </c:pt>
                <c:pt idx="69">
                  <c:v>100.61595428259467</c:v>
                </c:pt>
                <c:pt idx="70">
                  <c:v>79.738824970863334</c:v>
                </c:pt>
                <c:pt idx="71">
                  <c:v>76.670706273553336</c:v>
                </c:pt>
                <c:pt idx="72">
                  <c:v>80.329677030438674</c:v>
                </c:pt>
                <c:pt idx="73">
                  <c:v>75.97125345109265</c:v>
                </c:pt>
                <c:pt idx="74">
                  <c:v>64.63300214585081</c:v>
                </c:pt>
                <c:pt idx="75">
                  <c:v>64.077194552650468</c:v>
                </c:pt>
                <c:pt idx="76">
                  <c:v>73.731078259611337</c:v>
                </c:pt>
                <c:pt idx="77">
                  <c:v>78.942686293846009</c:v>
                </c:pt>
                <c:pt idx="78">
                  <c:v>80.170954510401998</c:v>
                </c:pt>
                <c:pt idx="79">
                  <c:v>76.89830836361466</c:v>
                </c:pt>
                <c:pt idx="80">
                  <c:v>76.779071117423342</c:v>
                </c:pt>
                <c:pt idx="81">
                  <c:v>69.86373300763799</c:v>
                </c:pt>
                <c:pt idx="82">
                  <c:v>71.324250184381327</c:v>
                </c:pt>
                <c:pt idx="83">
                  <c:v>73.409480861707337</c:v>
                </c:pt>
                <c:pt idx="84">
                  <c:v>73.315173031920679</c:v>
                </c:pt>
                <c:pt idx="85">
                  <c:v>75.889739017543334</c:v>
                </c:pt>
                <c:pt idx="86">
                  <c:v>83.33869122326</c:v>
                </c:pt>
                <c:pt idx="87">
                  <c:v>82.980652510072659</c:v>
                </c:pt>
                <c:pt idx="88">
                  <c:v>79.878420053078003</c:v>
                </c:pt>
                <c:pt idx="89">
                  <c:v>77.979717035450008</c:v>
                </c:pt>
                <c:pt idx="90">
                  <c:v>77.602553320816668</c:v>
                </c:pt>
                <c:pt idx="91">
                  <c:v>77.214005535855335</c:v>
                </c:pt>
                <c:pt idx="92">
                  <c:v>69.455418578424002</c:v>
                </c:pt>
                <c:pt idx="93">
                  <c:v>67.445309401821333</c:v>
                </c:pt>
                <c:pt idx="94">
                  <c:v>73.676930876814666</c:v>
                </c:pt>
                <c:pt idx="95">
                  <c:v>76.830980605371352</c:v>
                </c:pt>
                <c:pt idx="96">
                  <c:v>82.815410346674668</c:v>
                </c:pt>
                <c:pt idx="97">
                  <c:v>85.505234994137339</c:v>
                </c:pt>
                <c:pt idx="98">
                  <c:v>92.935506321287349</c:v>
                </c:pt>
                <c:pt idx="99">
                  <c:v>89.607690704104002</c:v>
                </c:pt>
                <c:pt idx="100">
                  <c:v>94.047896167927334</c:v>
                </c:pt>
                <c:pt idx="101">
                  <c:v>100.42321260285267</c:v>
                </c:pt>
                <c:pt idx="102">
                  <c:v>94.465127244592665</c:v>
                </c:pt>
                <c:pt idx="103">
                  <c:v>90.184638608431342</c:v>
                </c:pt>
                <c:pt idx="104">
                  <c:v>91.006815130531322</c:v>
                </c:pt>
                <c:pt idx="105">
                  <c:v>89.821262032243325</c:v>
                </c:pt>
                <c:pt idx="106">
                  <c:v>89.588055605596679</c:v>
                </c:pt>
                <c:pt idx="107">
                  <c:v>88.207712612866004</c:v>
                </c:pt>
                <c:pt idx="108">
                  <c:v>86.395526369552684</c:v>
                </c:pt>
                <c:pt idx="109">
                  <c:v>91.214547254206664</c:v>
                </c:pt>
                <c:pt idx="110">
                  <c:v>94.605522683989335</c:v>
                </c:pt>
                <c:pt idx="111">
                  <c:v>95.017316705703337</c:v>
                </c:pt>
                <c:pt idx="112">
                  <c:v>95.541241237618678</c:v>
                </c:pt>
                <c:pt idx="113">
                  <c:v>92.793325419672001</c:v>
                </c:pt>
                <c:pt idx="114">
                  <c:v>97.733261398078</c:v>
                </c:pt>
                <c:pt idx="115">
                  <c:v>96.944795637633348</c:v>
                </c:pt>
                <c:pt idx="116">
                  <c:v>95.567684397638004</c:v>
                </c:pt>
                <c:pt idx="117">
                  <c:v>94.209298256365997</c:v>
                </c:pt>
                <c:pt idx="118">
                  <c:v>93.249310528408017</c:v>
                </c:pt>
                <c:pt idx="119">
                  <c:v>93.875643929005335</c:v>
                </c:pt>
                <c:pt idx="120">
                  <c:v>98.911323556058008</c:v>
                </c:pt>
                <c:pt idx="121">
                  <c:v>102.75804387825733</c:v>
                </c:pt>
                <c:pt idx="122">
                  <c:v>90.983751261809999</c:v>
                </c:pt>
                <c:pt idx="123">
                  <c:v>83.132801566099346</c:v>
                </c:pt>
                <c:pt idx="124">
                  <c:v>91.789744827140012</c:v>
                </c:pt>
                <c:pt idx="125">
                  <c:v>101.0422697317</c:v>
                </c:pt>
                <c:pt idx="126">
                  <c:v>110.67964213365467</c:v>
                </c:pt>
                <c:pt idx="127">
                  <c:v>116.03520622914067</c:v>
                </c:pt>
                <c:pt idx="128">
                  <c:v>104.65457152151936</c:v>
                </c:pt>
                <c:pt idx="129">
                  <c:v>103.443008255088</c:v>
                </c:pt>
                <c:pt idx="130">
                  <c:v>112.56509487375732</c:v>
                </c:pt>
                <c:pt idx="131">
                  <c:v>115.83966956351601</c:v>
                </c:pt>
                <c:pt idx="132">
                  <c:v>114.0551020892207</c:v>
                </c:pt>
                <c:pt idx="133">
                  <c:v>120.550482038596</c:v>
                </c:pt>
                <c:pt idx="134">
                  <c:v>123.90837721749735</c:v>
                </c:pt>
                <c:pt idx="135">
                  <c:v>118.83447141920401</c:v>
                </c:pt>
                <c:pt idx="136">
                  <c:v>118.72124305055667</c:v>
                </c:pt>
                <c:pt idx="137">
                  <c:v>119.21321872111734</c:v>
                </c:pt>
                <c:pt idx="138">
                  <c:v>123.00335064196068</c:v>
                </c:pt>
                <c:pt idx="139">
                  <c:v>125.65339912101734</c:v>
                </c:pt>
                <c:pt idx="140">
                  <c:v>124.43843247079067</c:v>
                </c:pt>
                <c:pt idx="141">
                  <c:v>130.01612137025401</c:v>
                </c:pt>
                <c:pt idx="142">
                  <c:v>129.02062894963532</c:v>
                </c:pt>
                <c:pt idx="143">
                  <c:v>118.20146866043932</c:v>
                </c:pt>
                <c:pt idx="144">
                  <c:v>119.40015808680199</c:v>
                </c:pt>
                <c:pt idx="145">
                  <c:v>118.95755900986333</c:v>
                </c:pt>
                <c:pt idx="146">
                  <c:v>109.72039931324066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604352"/>
        <c:axId val="230758656"/>
      </c:lineChart>
      <c:catAx>
        <c:axId val="227604352"/>
        <c:scaling>
          <c:orientation val="minMax"/>
        </c:scaling>
        <c:delete val="0"/>
        <c:axPos val="b"/>
        <c:majorTickMark val="out"/>
        <c:minorTickMark val="none"/>
        <c:tickLblPos val="nextTo"/>
        <c:crossAx val="23075865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30758656"/>
        <c:scaling>
          <c:orientation val="minMax"/>
          <c:min val="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043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Query'!$I$4</c:f>
              <c:strCache>
                <c:ptCount val="1"/>
                <c:pt idx="0">
                  <c:v>% OLTV &gt; 90</c:v>
                </c:pt>
              </c:strCache>
            </c:strRef>
          </c:tx>
          <c:spPr>
            <a:solidFill>
              <a:srgbClr val="2E398A">
                <a:alpha val="20000"/>
              </a:srgbClr>
            </a:solidFill>
          </c:spPr>
          <c:invertIfNegative val="0"/>
          <c:cat>
            <c:strRef>
              <c:f>'Time Series Query'!$G$5:$G$151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Query'!$I$5:$I$151</c:f>
              <c:numCache>
                <c:formatCode>0%</c:formatCode>
                <c:ptCount val="147"/>
                <c:pt idx="0">
                  <c:v>0.27376208038861399</c:v>
                </c:pt>
                <c:pt idx="1">
                  <c:v>0.26817431712256601</c:v>
                </c:pt>
                <c:pt idx="2">
                  <c:v>0.271915360199874</c:v>
                </c:pt>
                <c:pt idx="3">
                  <c:v>0.26159531298609601</c:v>
                </c:pt>
                <c:pt idx="4">
                  <c:v>0.26227784163185702</c:v>
                </c:pt>
                <c:pt idx="5">
                  <c:v>0.277259359255842</c:v>
                </c:pt>
                <c:pt idx="6">
                  <c:v>0.30202605452215497</c:v>
                </c:pt>
                <c:pt idx="7">
                  <c:v>0.29608287862933402</c:v>
                </c:pt>
                <c:pt idx="8">
                  <c:v>0.29070058027366003</c:v>
                </c:pt>
                <c:pt idx="9">
                  <c:v>0.279273746865356</c:v>
                </c:pt>
                <c:pt idx="10">
                  <c:v>0.26366024772207802</c:v>
                </c:pt>
                <c:pt idx="11">
                  <c:v>0.27539401933822999</c:v>
                </c:pt>
                <c:pt idx="12">
                  <c:v>0.27051249930375898</c:v>
                </c:pt>
                <c:pt idx="13">
                  <c:v>0.25982658462066799</c:v>
                </c:pt>
                <c:pt idx="14">
                  <c:v>0.26657924381296499</c:v>
                </c:pt>
                <c:pt idx="15">
                  <c:v>0.28323862382710902</c:v>
                </c:pt>
                <c:pt idx="16">
                  <c:v>0.28350793370687299</c:v>
                </c:pt>
                <c:pt idx="17">
                  <c:v>0.276682221848848</c:v>
                </c:pt>
                <c:pt idx="18">
                  <c:v>0.27010544272213999</c:v>
                </c:pt>
                <c:pt idx="19">
                  <c:v>0.25927423449241599</c:v>
                </c:pt>
                <c:pt idx="20">
                  <c:v>0.27546927529221299</c:v>
                </c:pt>
                <c:pt idx="21">
                  <c:v>0.26359078536765701</c:v>
                </c:pt>
                <c:pt idx="22">
                  <c:v>0.249163412035458</c:v>
                </c:pt>
                <c:pt idx="23">
                  <c:v>0.245931688961815</c:v>
                </c:pt>
                <c:pt idx="24">
                  <c:v>0.234305230431572</c:v>
                </c:pt>
                <c:pt idx="25">
                  <c:v>0.24199028870644701</c:v>
                </c:pt>
                <c:pt idx="26">
                  <c:v>0.234948394132272</c:v>
                </c:pt>
                <c:pt idx="27">
                  <c:v>0.214649589433586</c:v>
                </c:pt>
                <c:pt idx="28">
                  <c:v>0.20901707282761001</c:v>
                </c:pt>
                <c:pt idx="29">
                  <c:v>0.21644067259883701</c:v>
                </c:pt>
                <c:pt idx="30">
                  <c:v>0.20403530410173701</c:v>
                </c:pt>
                <c:pt idx="31">
                  <c:v>0.174025887847987</c:v>
                </c:pt>
                <c:pt idx="32">
                  <c:v>0.159637174596993</c:v>
                </c:pt>
                <c:pt idx="33">
                  <c:v>0.159607300246077</c:v>
                </c:pt>
                <c:pt idx="34">
                  <c:v>0.15991961797697701</c:v>
                </c:pt>
                <c:pt idx="35">
                  <c:v>0.163030939666403</c:v>
                </c:pt>
                <c:pt idx="36">
                  <c:v>0.16247581027591801</c:v>
                </c:pt>
                <c:pt idx="37">
                  <c:v>0.166487927243791</c:v>
                </c:pt>
                <c:pt idx="38">
                  <c:v>0.16509874727797</c:v>
                </c:pt>
                <c:pt idx="39">
                  <c:v>0.16483333011769599</c:v>
                </c:pt>
                <c:pt idx="40">
                  <c:v>0.17599985174605701</c:v>
                </c:pt>
                <c:pt idx="41">
                  <c:v>0.18540217986062499</c:v>
                </c:pt>
                <c:pt idx="42">
                  <c:v>0.19239457049420899</c:v>
                </c:pt>
                <c:pt idx="43">
                  <c:v>0.18937465803638501</c:v>
                </c:pt>
                <c:pt idx="44">
                  <c:v>0.19384333429729</c:v>
                </c:pt>
                <c:pt idx="45">
                  <c:v>0.20262390105173</c:v>
                </c:pt>
                <c:pt idx="46">
                  <c:v>0.21711470398919</c:v>
                </c:pt>
                <c:pt idx="47">
                  <c:v>0.23336175068755199</c:v>
                </c:pt>
                <c:pt idx="48">
                  <c:v>0.25075487270087099</c:v>
                </c:pt>
                <c:pt idx="49">
                  <c:v>0.27467745596276899</c:v>
                </c:pt>
                <c:pt idx="50">
                  <c:v>0.307488257472122</c:v>
                </c:pt>
                <c:pt idx="51">
                  <c:v>0.32255308239293201</c:v>
                </c:pt>
                <c:pt idx="52">
                  <c:v>0.33002145591068499</c:v>
                </c:pt>
                <c:pt idx="53">
                  <c:v>0.356078874246821</c:v>
                </c:pt>
                <c:pt idx="54">
                  <c:v>0.37325443173169698</c:v>
                </c:pt>
                <c:pt idx="55">
                  <c:v>0.37328154108915901</c:v>
                </c:pt>
                <c:pt idx="56">
                  <c:v>0.38124492460114701</c:v>
                </c:pt>
                <c:pt idx="57">
                  <c:v>0.36096554720004298</c:v>
                </c:pt>
                <c:pt idx="58">
                  <c:v>0.34182677466995598</c:v>
                </c:pt>
                <c:pt idx="59">
                  <c:v>0.32032869665397601</c:v>
                </c:pt>
                <c:pt idx="60">
                  <c:v>0.287291706181595</c:v>
                </c:pt>
                <c:pt idx="61">
                  <c:v>0.22889156479952499</c:v>
                </c:pt>
                <c:pt idx="62">
                  <c:v>0.20291547901804699</c:v>
                </c:pt>
                <c:pt idx="63">
                  <c:v>0.19158124136652299</c:v>
                </c:pt>
                <c:pt idx="64">
                  <c:v>0.16617522330031601</c:v>
                </c:pt>
                <c:pt idx="65">
                  <c:v>0.163296777165823</c:v>
                </c:pt>
                <c:pt idx="66">
                  <c:v>0.150953438870432</c:v>
                </c:pt>
                <c:pt idx="67">
                  <c:v>0.14334661911517199</c:v>
                </c:pt>
                <c:pt idx="68">
                  <c:v>0.13509696863435</c:v>
                </c:pt>
                <c:pt idx="69">
                  <c:v>0.12680743640067399</c:v>
                </c:pt>
                <c:pt idx="70">
                  <c:v>0.123219438030904</c:v>
                </c:pt>
                <c:pt idx="71">
                  <c:v>0.119470963956919</c:v>
                </c:pt>
                <c:pt idx="72">
                  <c:v>0.109113667052566</c:v>
                </c:pt>
                <c:pt idx="73">
                  <c:v>9.8068528914975306E-2</c:v>
                </c:pt>
                <c:pt idx="74">
                  <c:v>9.3108291880015001E-2</c:v>
                </c:pt>
                <c:pt idx="75">
                  <c:v>8.7512741345424597E-2</c:v>
                </c:pt>
                <c:pt idx="76">
                  <c:v>8.0808845487819705E-2</c:v>
                </c:pt>
                <c:pt idx="77">
                  <c:v>8.1590229627374694E-2</c:v>
                </c:pt>
                <c:pt idx="78">
                  <c:v>8.0716616689524998E-2</c:v>
                </c:pt>
                <c:pt idx="79">
                  <c:v>7.7684258479736798E-2</c:v>
                </c:pt>
                <c:pt idx="80">
                  <c:v>8.0692732250494503E-2</c:v>
                </c:pt>
                <c:pt idx="81">
                  <c:v>6.7321302893014606E-2</c:v>
                </c:pt>
                <c:pt idx="82">
                  <c:v>6.4960577538630798E-2</c:v>
                </c:pt>
                <c:pt idx="83">
                  <c:v>7.1784475002186002E-2</c:v>
                </c:pt>
                <c:pt idx="84">
                  <c:v>8.3302521575952804E-2</c:v>
                </c:pt>
                <c:pt idx="85">
                  <c:v>9.1166284450128102E-2</c:v>
                </c:pt>
                <c:pt idx="86">
                  <c:v>9.7919000165780895E-2</c:v>
                </c:pt>
                <c:pt idx="87">
                  <c:v>0.10134986605641599</c:v>
                </c:pt>
                <c:pt idx="88">
                  <c:v>9.8316403570714805E-2</c:v>
                </c:pt>
                <c:pt idx="89">
                  <c:v>0.103362864069172</c:v>
                </c:pt>
                <c:pt idx="90">
                  <c:v>0.109452054433236</c:v>
                </c:pt>
                <c:pt idx="91">
                  <c:v>0.110069099887995</c:v>
                </c:pt>
                <c:pt idx="92">
                  <c:v>0.11795265673854601</c:v>
                </c:pt>
                <c:pt idx="93">
                  <c:v>0.120694975345314</c:v>
                </c:pt>
                <c:pt idx="94">
                  <c:v>0.11718407456528999</c:v>
                </c:pt>
                <c:pt idx="95">
                  <c:v>0.122639368656911</c:v>
                </c:pt>
                <c:pt idx="96">
                  <c:v>0.12673005781397301</c:v>
                </c:pt>
                <c:pt idx="97">
                  <c:v>0.142076177959504</c:v>
                </c:pt>
                <c:pt idx="98">
                  <c:v>0.16308984472221</c:v>
                </c:pt>
                <c:pt idx="99">
                  <c:v>0.17186683030413899</c:v>
                </c:pt>
                <c:pt idx="100">
                  <c:v>0.182786101755845</c:v>
                </c:pt>
                <c:pt idx="101">
                  <c:v>0.19113361076392199</c:v>
                </c:pt>
                <c:pt idx="102">
                  <c:v>0.19682779655410601</c:v>
                </c:pt>
                <c:pt idx="103">
                  <c:v>0.19888714369615601</c:v>
                </c:pt>
                <c:pt idx="104">
                  <c:v>0.19475828223912001</c:v>
                </c:pt>
                <c:pt idx="105">
                  <c:v>0.189625458590022</c:v>
                </c:pt>
                <c:pt idx="106">
                  <c:v>0.188680020444463</c:v>
                </c:pt>
                <c:pt idx="107">
                  <c:v>0.19832864817753501</c:v>
                </c:pt>
                <c:pt idx="108">
                  <c:v>0.20659910837783499</c:v>
                </c:pt>
                <c:pt idx="109">
                  <c:v>0.21265774870120199</c:v>
                </c:pt>
                <c:pt idx="110">
                  <c:v>0.22455297260877299</c:v>
                </c:pt>
                <c:pt idx="111">
                  <c:v>0.230359293851325</c:v>
                </c:pt>
                <c:pt idx="112">
                  <c:v>0.241996859508816</c:v>
                </c:pt>
                <c:pt idx="113">
                  <c:v>0.238438717743543</c:v>
                </c:pt>
                <c:pt idx="114">
                  <c:v>0.24248385553367199</c:v>
                </c:pt>
                <c:pt idx="115">
                  <c:v>0.245636407958499</c:v>
                </c:pt>
                <c:pt idx="116">
                  <c:v>0.24750843494761501</c:v>
                </c:pt>
                <c:pt idx="117">
                  <c:v>0.248337726838911</c:v>
                </c:pt>
                <c:pt idx="118">
                  <c:v>0.24920567214137601</c:v>
                </c:pt>
                <c:pt idx="119">
                  <c:v>0.25702421178178703</c:v>
                </c:pt>
                <c:pt idx="120">
                  <c:v>0.262825288107358</c:v>
                </c:pt>
                <c:pt idx="121">
                  <c:v>0.27245016612395301</c:v>
                </c:pt>
                <c:pt idx="122">
                  <c:v>0.28535356918134203</c:v>
                </c:pt>
                <c:pt idx="123">
                  <c:v>0.28462114980755299</c:v>
                </c:pt>
                <c:pt idx="124">
                  <c:v>0.29030501171380202</c:v>
                </c:pt>
                <c:pt idx="125">
                  <c:v>0.29249498292353099</c:v>
                </c:pt>
                <c:pt idx="126">
                  <c:v>0.29852906705149401</c:v>
                </c:pt>
                <c:pt idx="127">
                  <c:v>0.29679403380057001</c:v>
                </c:pt>
                <c:pt idx="128">
                  <c:v>0.299194151155105</c:v>
                </c:pt>
                <c:pt idx="129">
                  <c:v>0.29731849479854999</c:v>
                </c:pt>
                <c:pt idx="130">
                  <c:v>0.29247281839506201</c:v>
                </c:pt>
                <c:pt idx="131">
                  <c:v>0.302228602571813</c:v>
                </c:pt>
                <c:pt idx="132">
                  <c:v>0.30811744878997599</c:v>
                </c:pt>
                <c:pt idx="133">
                  <c:v>0.31529051664060898</c:v>
                </c:pt>
                <c:pt idx="134">
                  <c:v>0.318890965784143</c:v>
                </c:pt>
                <c:pt idx="135">
                  <c:v>0.31712089095884999</c:v>
                </c:pt>
                <c:pt idx="136">
                  <c:v>0.31232376366550701</c:v>
                </c:pt>
                <c:pt idx="137">
                  <c:v>0.31567362475419602</c:v>
                </c:pt>
                <c:pt idx="138">
                  <c:v>0.32254787448740702</c:v>
                </c:pt>
                <c:pt idx="139">
                  <c:v>0.318264635028014</c:v>
                </c:pt>
                <c:pt idx="140">
                  <c:v>0.32029318763412001</c:v>
                </c:pt>
                <c:pt idx="141">
                  <c:v>0.32639568948507103</c:v>
                </c:pt>
                <c:pt idx="142">
                  <c:v>0.31944629098959199</c:v>
                </c:pt>
                <c:pt idx="143">
                  <c:v>0.32942245001412301</c:v>
                </c:pt>
                <c:pt idx="144">
                  <c:v>0.32905687634557701</c:v>
                </c:pt>
                <c:pt idx="145">
                  <c:v>0.32889571790605499</c:v>
                </c:pt>
                <c:pt idx="146">
                  <c:v>0.32916665260221001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7145216"/>
        <c:axId val="261724416"/>
      </c:barChart>
      <c:lineChart>
        <c:grouping val="standard"/>
        <c:varyColors val="0"/>
        <c:ser>
          <c:idx val="0"/>
          <c:order val="0"/>
          <c:tx>
            <c:v>OLTV Mean</c:v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Query'!$G$5:$G$151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Query'!$H$5:$H$151</c:f>
              <c:numCache>
                <c:formatCode>General</c:formatCode>
                <c:ptCount val="147"/>
                <c:pt idx="0">
                  <c:v>81.538852649696196</c:v>
                </c:pt>
                <c:pt idx="1">
                  <c:v>81.618502130391803</c:v>
                </c:pt>
                <c:pt idx="2">
                  <c:v>81.557650650953207</c:v>
                </c:pt>
                <c:pt idx="3">
                  <c:v>81.296483519552396</c:v>
                </c:pt>
                <c:pt idx="4">
                  <c:v>81.227017736325195</c:v>
                </c:pt>
                <c:pt idx="5">
                  <c:v>81.320760062110907</c:v>
                </c:pt>
                <c:pt idx="6">
                  <c:v>81.964228940536998</c:v>
                </c:pt>
                <c:pt idx="7">
                  <c:v>81.864228322339997</c:v>
                </c:pt>
                <c:pt idx="8">
                  <c:v>81.566299959188299</c:v>
                </c:pt>
                <c:pt idx="9">
                  <c:v>81.113652198567294</c:v>
                </c:pt>
                <c:pt idx="10">
                  <c:v>80.826462677668502</c:v>
                </c:pt>
                <c:pt idx="11">
                  <c:v>81.281712793482995</c:v>
                </c:pt>
                <c:pt idx="12">
                  <c:v>81.176434819561706</c:v>
                </c:pt>
                <c:pt idx="13">
                  <c:v>80.961446646453098</c:v>
                </c:pt>
                <c:pt idx="14">
                  <c:v>80.928474194542702</c:v>
                </c:pt>
                <c:pt idx="15">
                  <c:v>81.370157030041597</c:v>
                </c:pt>
                <c:pt idx="16">
                  <c:v>81.575997037203607</c:v>
                </c:pt>
                <c:pt idx="17">
                  <c:v>81.278021286029201</c:v>
                </c:pt>
                <c:pt idx="18">
                  <c:v>81.059375355118405</c:v>
                </c:pt>
                <c:pt idx="19">
                  <c:v>80.785488014978796</c:v>
                </c:pt>
                <c:pt idx="20">
                  <c:v>81.184090206536396</c:v>
                </c:pt>
                <c:pt idx="21">
                  <c:v>80.988234268140602</c:v>
                </c:pt>
                <c:pt idx="22">
                  <c:v>80.932832463711193</c:v>
                </c:pt>
                <c:pt idx="23">
                  <c:v>80.895125662890706</c:v>
                </c:pt>
                <c:pt idx="24">
                  <c:v>80.691921534860796</c:v>
                </c:pt>
                <c:pt idx="25">
                  <c:v>80.948951507975195</c:v>
                </c:pt>
                <c:pt idx="26">
                  <c:v>80.924093980399604</c:v>
                </c:pt>
                <c:pt idx="27">
                  <c:v>79.8624128683972</c:v>
                </c:pt>
                <c:pt idx="28">
                  <c:v>79.800127622255999</c:v>
                </c:pt>
                <c:pt idx="29">
                  <c:v>79.923493325865195</c:v>
                </c:pt>
                <c:pt idx="30">
                  <c:v>79.707877334763694</c:v>
                </c:pt>
                <c:pt idx="31">
                  <c:v>78.7208769661856</c:v>
                </c:pt>
                <c:pt idx="32">
                  <c:v>78.128194732343104</c:v>
                </c:pt>
                <c:pt idx="33">
                  <c:v>78.311410497829897</c:v>
                </c:pt>
                <c:pt idx="34">
                  <c:v>78.229708672132205</c:v>
                </c:pt>
                <c:pt idx="35">
                  <c:v>78.671898299829707</c:v>
                </c:pt>
                <c:pt idx="36">
                  <c:v>78.594347051939593</c:v>
                </c:pt>
                <c:pt idx="37">
                  <c:v>78.735532502303599</c:v>
                </c:pt>
                <c:pt idx="38">
                  <c:v>78.765290924066704</c:v>
                </c:pt>
                <c:pt idx="39">
                  <c:v>78.636667015447799</c:v>
                </c:pt>
                <c:pt idx="40">
                  <c:v>78.908862181851305</c:v>
                </c:pt>
                <c:pt idx="41">
                  <c:v>79.136143909953105</c:v>
                </c:pt>
                <c:pt idx="42">
                  <c:v>79.427172495690101</c:v>
                </c:pt>
                <c:pt idx="43">
                  <c:v>79.313851596089094</c:v>
                </c:pt>
                <c:pt idx="44">
                  <c:v>79.416377830387304</c:v>
                </c:pt>
                <c:pt idx="45">
                  <c:v>79.719160694476898</c:v>
                </c:pt>
                <c:pt idx="46">
                  <c:v>80.020235794904707</c:v>
                </c:pt>
                <c:pt idx="47">
                  <c:v>80.627500828568799</c:v>
                </c:pt>
                <c:pt idx="48">
                  <c:v>81.029584931334</c:v>
                </c:pt>
                <c:pt idx="49">
                  <c:v>81.638859040765198</c:v>
                </c:pt>
                <c:pt idx="50">
                  <c:v>82.389980586884107</c:v>
                </c:pt>
                <c:pt idx="51">
                  <c:v>82.723748146625795</c:v>
                </c:pt>
                <c:pt idx="52">
                  <c:v>82.874350662137303</c:v>
                </c:pt>
                <c:pt idx="53">
                  <c:v>83.087861444974493</c:v>
                </c:pt>
                <c:pt idx="54">
                  <c:v>83.598180227379302</c:v>
                </c:pt>
                <c:pt idx="55">
                  <c:v>83.554435871280404</c:v>
                </c:pt>
                <c:pt idx="56">
                  <c:v>83.855010424455898</c:v>
                </c:pt>
                <c:pt idx="57">
                  <c:v>83.407523352475593</c:v>
                </c:pt>
                <c:pt idx="58">
                  <c:v>82.917978306429703</c:v>
                </c:pt>
                <c:pt idx="59">
                  <c:v>82.474909378130207</c:v>
                </c:pt>
                <c:pt idx="60">
                  <c:v>81.659946968196707</c:v>
                </c:pt>
                <c:pt idx="61">
                  <c:v>80.027867651152405</c:v>
                </c:pt>
                <c:pt idx="62">
                  <c:v>79.237585093986993</c:v>
                </c:pt>
                <c:pt idx="63">
                  <c:v>78.848097521187</c:v>
                </c:pt>
                <c:pt idx="64">
                  <c:v>78.2639911263947</c:v>
                </c:pt>
                <c:pt idx="65">
                  <c:v>78.3124646156392</c:v>
                </c:pt>
                <c:pt idx="66">
                  <c:v>78.157742768007694</c:v>
                </c:pt>
                <c:pt idx="67">
                  <c:v>78.085592748832795</c:v>
                </c:pt>
                <c:pt idx="68">
                  <c:v>78.387697357956398</c:v>
                </c:pt>
                <c:pt idx="69">
                  <c:v>77.790956229913803</c:v>
                </c:pt>
                <c:pt idx="70">
                  <c:v>77.523640105523498</c:v>
                </c:pt>
                <c:pt idx="71">
                  <c:v>77.7250496197925</c:v>
                </c:pt>
                <c:pt idx="72">
                  <c:v>77.621301810220103</c:v>
                </c:pt>
                <c:pt idx="73">
                  <c:v>77.489860981609993</c:v>
                </c:pt>
                <c:pt idx="74">
                  <c:v>77.2305024936758</c:v>
                </c:pt>
                <c:pt idx="75">
                  <c:v>76.939091357976594</c:v>
                </c:pt>
                <c:pt idx="76">
                  <c:v>76.886352068516302</c:v>
                </c:pt>
                <c:pt idx="77">
                  <c:v>77.093872022529993</c:v>
                </c:pt>
                <c:pt idx="78">
                  <c:v>76.953802685989899</c:v>
                </c:pt>
                <c:pt idx="79">
                  <c:v>76.821956068657499</c:v>
                </c:pt>
                <c:pt idx="80">
                  <c:v>77.043955927582999</c:v>
                </c:pt>
                <c:pt idx="81">
                  <c:v>76.298282025895006</c:v>
                </c:pt>
                <c:pt idx="82">
                  <c:v>76.134896970370804</c:v>
                </c:pt>
                <c:pt idx="83">
                  <c:v>76.502585993042302</c:v>
                </c:pt>
                <c:pt idx="84">
                  <c:v>77.057767341070999</c:v>
                </c:pt>
                <c:pt idx="85">
                  <c:v>77.252614942686094</c:v>
                </c:pt>
                <c:pt idx="86">
                  <c:v>77.571100038590899</c:v>
                </c:pt>
                <c:pt idx="87">
                  <c:v>77.233235343375298</c:v>
                </c:pt>
                <c:pt idx="88">
                  <c:v>76.947328417348899</c:v>
                </c:pt>
                <c:pt idx="89">
                  <c:v>77.151526909201294</c:v>
                </c:pt>
                <c:pt idx="90">
                  <c:v>77.504038849736304</c:v>
                </c:pt>
                <c:pt idx="91">
                  <c:v>77.836804343145602</c:v>
                </c:pt>
                <c:pt idx="92">
                  <c:v>77.940525422506795</c:v>
                </c:pt>
                <c:pt idx="93">
                  <c:v>77.808168115304795</c:v>
                </c:pt>
                <c:pt idx="94">
                  <c:v>77.637247427666907</c:v>
                </c:pt>
                <c:pt idx="95">
                  <c:v>77.552398679092306</c:v>
                </c:pt>
                <c:pt idx="96">
                  <c:v>77.980484209041606</c:v>
                </c:pt>
                <c:pt idx="97">
                  <c:v>78.409888883979804</c:v>
                </c:pt>
                <c:pt idx="98">
                  <c:v>79.088148482736102</c:v>
                </c:pt>
                <c:pt idx="99">
                  <c:v>79.406161699896799</c:v>
                </c:pt>
                <c:pt idx="100">
                  <c:v>79.891482431871296</c:v>
                </c:pt>
                <c:pt idx="101">
                  <c:v>79.994596225229003</c:v>
                </c:pt>
                <c:pt idx="102">
                  <c:v>79.992386273642197</c:v>
                </c:pt>
                <c:pt idx="103">
                  <c:v>79.981224078938595</c:v>
                </c:pt>
                <c:pt idx="104">
                  <c:v>79.742560564501602</c:v>
                </c:pt>
                <c:pt idx="105">
                  <c:v>79.576164154337704</c:v>
                </c:pt>
                <c:pt idx="106">
                  <c:v>79.620695860633106</c:v>
                </c:pt>
                <c:pt idx="107">
                  <c:v>79.927779566624807</c:v>
                </c:pt>
                <c:pt idx="108">
                  <c:v>80.039959057495395</c:v>
                </c:pt>
                <c:pt idx="109">
                  <c:v>80.204489012117605</c:v>
                </c:pt>
                <c:pt idx="110">
                  <c:v>80.424238430996297</c:v>
                </c:pt>
                <c:pt idx="111">
                  <c:v>80.519349568409496</c:v>
                </c:pt>
                <c:pt idx="112">
                  <c:v>80.773410645998595</c:v>
                </c:pt>
                <c:pt idx="113">
                  <c:v>80.704770486074295</c:v>
                </c:pt>
                <c:pt idx="114">
                  <c:v>80.842723933208603</c:v>
                </c:pt>
                <c:pt idx="115">
                  <c:v>80.865784595501793</c:v>
                </c:pt>
                <c:pt idx="116">
                  <c:v>80.9254459604293</c:v>
                </c:pt>
                <c:pt idx="117">
                  <c:v>80.800079255792397</c:v>
                </c:pt>
                <c:pt idx="118">
                  <c:v>81.043675117375997</c:v>
                </c:pt>
                <c:pt idx="119">
                  <c:v>81.199799681071894</c:v>
                </c:pt>
                <c:pt idx="120">
                  <c:v>81.325179322753797</c:v>
                </c:pt>
                <c:pt idx="121">
                  <c:v>81.560995062085496</c:v>
                </c:pt>
                <c:pt idx="122">
                  <c:v>81.788158152840097</c:v>
                </c:pt>
                <c:pt idx="123">
                  <c:v>81.827547469885204</c:v>
                </c:pt>
                <c:pt idx="124">
                  <c:v>81.917771600137101</c:v>
                </c:pt>
                <c:pt idx="125">
                  <c:v>81.926585922395802</c:v>
                </c:pt>
                <c:pt idx="126">
                  <c:v>81.996335409421604</c:v>
                </c:pt>
                <c:pt idx="127">
                  <c:v>81.889913557659895</c:v>
                </c:pt>
                <c:pt idx="128">
                  <c:v>81.982052928115394</c:v>
                </c:pt>
                <c:pt idx="129">
                  <c:v>82.054188818201595</c:v>
                </c:pt>
                <c:pt idx="130">
                  <c:v>81.851194537145602</c:v>
                </c:pt>
                <c:pt idx="131">
                  <c:v>82.221632922201394</c:v>
                </c:pt>
                <c:pt idx="132">
                  <c:v>82.444770178795594</c:v>
                </c:pt>
                <c:pt idx="133">
                  <c:v>82.674402698184494</c:v>
                </c:pt>
                <c:pt idx="134">
                  <c:v>82.820685947159305</c:v>
                </c:pt>
                <c:pt idx="135">
                  <c:v>82.756707604475196</c:v>
                </c:pt>
                <c:pt idx="136">
                  <c:v>82.692210236918498</c:v>
                </c:pt>
                <c:pt idx="137">
                  <c:v>82.721770883828398</c:v>
                </c:pt>
                <c:pt idx="138">
                  <c:v>82.803884256575003</c:v>
                </c:pt>
                <c:pt idx="139">
                  <c:v>82.648163721352205</c:v>
                </c:pt>
                <c:pt idx="140">
                  <c:v>82.726547150692298</c:v>
                </c:pt>
                <c:pt idx="141">
                  <c:v>82.797442291647002</c:v>
                </c:pt>
                <c:pt idx="142">
                  <c:v>82.670412455831396</c:v>
                </c:pt>
                <c:pt idx="143">
                  <c:v>82.944046147233095</c:v>
                </c:pt>
                <c:pt idx="144">
                  <c:v>82.914251622219993</c:v>
                </c:pt>
                <c:pt idx="145">
                  <c:v>82.9819085141187</c:v>
                </c:pt>
                <c:pt idx="146">
                  <c:v>83.002963149384598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273856"/>
        <c:axId val="261722496"/>
      </c:lineChart>
      <c:catAx>
        <c:axId val="261273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6172249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6172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273856"/>
        <c:crosses val="autoZero"/>
        <c:crossBetween val="between"/>
      </c:valAx>
      <c:valAx>
        <c:axId val="2617244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267145216"/>
        <c:crosses val="max"/>
        <c:crossBetween val="between"/>
      </c:valAx>
      <c:catAx>
        <c:axId val="267145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61724416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% DTI &gt; 40</c:v>
                </c:pt>
              </c:strCache>
            </c:strRef>
          </c:tx>
          <c:spPr>
            <a:solidFill>
              <a:srgbClr val="AD275C">
                <a:alpha val="20000"/>
              </a:srgbClr>
            </a:solidFill>
          </c:spPr>
          <c:invertIfNegative val="0"/>
          <c:cat>
            <c:strRef>
              <c:f>'Time Series Query'!$O$5:$O$151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Query'!$Q$5:$Q$151</c:f>
              <c:numCache>
                <c:formatCode>0%</c:formatCode>
                <c:ptCount val="147"/>
                <c:pt idx="0">
                  <c:v>1.32135014796563E-2</c:v>
                </c:pt>
                <c:pt idx="1">
                  <c:v>1.1152224581714301E-2</c:v>
                </c:pt>
                <c:pt idx="2">
                  <c:v>1.2643328295785501E-2</c:v>
                </c:pt>
                <c:pt idx="3">
                  <c:v>1.3216576425238401E-2</c:v>
                </c:pt>
                <c:pt idx="4">
                  <c:v>1.3995634497627101E-2</c:v>
                </c:pt>
                <c:pt idx="5">
                  <c:v>1.60589800396303E-2</c:v>
                </c:pt>
                <c:pt idx="6">
                  <c:v>2.1167569446924599E-2</c:v>
                </c:pt>
                <c:pt idx="7">
                  <c:v>2.16589958788652E-2</c:v>
                </c:pt>
                <c:pt idx="8">
                  <c:v>2.07685482202341E-2</c:v>
                </c:pt>
                <c:pt idx="9">
                  <c:v>2.56930597823848E-2</c:v>
                </c:pt>
                <c:pt idx="10">
                  <c:v>2.4328764311436001E-2</c:v>
                </c:pt>
                <c:pt idx="11">
                  <c:v>2.1383212133889301E-2</c:v>
                </c:pt>
                <c:pt idx="12">
                  <c:v>2.0473067086164198E-2</c:v>
                </c:pt>
                <c:pt idx="13">
                  <c:v>1.8930552643063699E-2</c:v>
                </c:pt>
                <c:pt idx="14">
                  <c:v>1.9710786588140499E-2</c:v>
                </c:pt>
                <c:pt idx="15">
                  <c:v>2.66844067861104E-2</c:v>
                </c:pt>
                <c:pt idx="16">
                  <c:v>2.4399357804312901E-2</c:v>
                </c:pt>
                <c:pt idx="17">
                  <c:v>2.2700215079383398E-2</c:v>
                </c:pt>
                <c:pt idx="18">
                  <c:v>2.3836089043189498E-2</c:v>
                </c:pt>
                <c:pt idx="19">
                  <c:v>2.0322416607770299E-2</c:v>
                </c:pt>
                <c:pt idx="20">
                  <c:v>2.1384716547729901E-2</c:v>
                </c:pt>
                <c:pt idx="21">
                  <c:v>2.15048269951971E-2</c:v>
                </c:pt>
                <c:pt idx="22">
                  <c:v>2.2787597421070799E-2</c:v>
                </c:pt>
                <c:pt idx="23">
                  <c:v>2.0414171190781299E-2</c:v>
                </c:pt>
                <c:pt idx="24">
                  <c:v>2.02201237207651E-2</c:v>
                </c:pt>
                <c:pt idx="25">
                  <c:v>2.4888563661056001E-2</c:v>
                </c:pt>
                <c:pt idx="26">
                  <c:v>2.39749129907815E-2</c:v>
                </c:pt>
                <c:pt idx="27">
                  <c:v>2.0740391863012599E-2</c:v>
                </c:pt>
                <c:pt idx="28">
                  <c:v>2.68399820380428E-2</c:v>
                </c:pt>
                <c:pt idx="29">
                  <c:v>4.7987353312741503E-2</c:v>
                </c:pt>
                <c:pt idx="30">
                  <c:v>9.4940112137955404E-2</c:v>
                </c:pt>
                <c:pt idx="31">
                  <c:v>0.20745068367851</c:v>
                </c:pt>
                <c:pt idx="32">
                  <c:v>0.25185729465780399</c:v>
                </c:pt>
                <c:pt idx="33">
                  <c:v>0.25603886611316801</c:v>
                </c:pt>
                <c:pt idx="34">
                  <c:v>0.25876564659608398</c:v>
                </c:pt>
                <c:pt idx="35">
                  <c:v>0.25720646817190801</c:v>
                </c:pt>
                <c:pt idx="36">
                  <c:v>0.25530695689293598</c:v>
                </c:pt>
                <c:pt idx="37">
                  <c:v>0.250967229847814</c:v>
                </c:pt>
                <c:pt idx="38">
                  <c:v>0.25385801090037102</c:v>
                </c:pt>
                <c:pt idx="39">
                  <c:v>0.259163903970826</c:v>
                </c:pt>
                <c:pt idx="40">
                  <c:v>0.25572001484150397</c:v>
                </c:pt>
                <c:pt idx="41">
                  <c:v>0.25886862133549099</c:v>
                </c:pt>
                <c:pt idx="42">
                  <c:v>0.27141833470725502</c:v>
                </c:pt>
                <c:pt idx="43">
                  <c:v>0.28453423916155701</c:v>
                </c:pt>
                <c:pt idx="44">
                  <c:v>0.27954455441237602</c:v>
                </c:pt>
                <c:pt idx="45">
                  <c:v>0.28314346572504001</c:v>
                </c:pt>
                <c:pt idx="46">
                  <c:v>0.28268064836849399</c:v>
                </c:pt>
                <c:pt idx="47">
                  <c:v>0.27418324865767502</c:v>
                </c:pt>
                <c:pt idx="48">
                  <c:v>0.29044045878201202</c:v>
                </c:pt>
                <c:pt idx="49">
                  <c:v>0.29479740023241902</c:v>
                </c:pt>
                <c:pt idx="50">
                  <c:v>0.300185432523705</c:v>
                </c:pt>
                <c:pt idx="51">
                  <c:v>0.31732347013787598</c:v>
                </c:pt>
                <c:pt idx="52">
                  <c:v>0.31798180334842602</c:v>
                </c:pt>
                <c:pt idx="53">
                  <c:v>0.314858289438952</c:v>
                </c:pt>
                <c:pt idx="54">
                  <c:v>0.33257685736857001</c:v>
                </c:pt>
                <c:pt idx="55">
                  <c:v>0.32737388737458001</c:v>
                </c:pt>
                <c:pt idx="56">
                  <c:v>0.32345590393991103</c:v>
                </c:pt>
                <c:pt idx="57">
                  <c:v>0.32064750057136798</c:v>
                </c:pt>
                <c:pt idx="58">
                  <c:v>0.31717378018460402</c:v>
                </c:pt>
                <c:pt idx="59">
                  <c:v>0.300734170812334</c:v>
                </c:pt>
                <c:pt idx="60">
                  <c:v>0.33210271281010001</c:v>
                </c:pt>
                <c:pt idx="61">
                  <c:v>0.31965036017869303</c:v>
                </c:pt>
                <c:pt idx="62">
                  <c:v>0.30721083895763202</c:v>
                </c:pt>
                <c:pt idx="63">
                  <c:v>0.324853201159644</c:v>
                </c:pt>
                <c:pt idx="64">
                  <c:v>0.34039413439216898</c:v>
                </c:pt>
                <c:pt idx="65">
                  <c:v>0.32142274521264302</c:v>
                </c:pt>
                <c:pt idx="66">
                  <c:v>0.32847350810014198</c:v>
                </c:pt>
                <c:pt idx="67">
                  <c:v>0.31869933102218601</c:v>
                </c:pt>
                <c:pt idx="68">
                  <c:v>0.33607801513818097</c:v>
                </c:pt>
                <c:pt idx="69">
                  <c:v>0.37063372190416999</c:v>
                </c:pt>
                <c:pt idx="70">
                  <c:v>0.36778743990558699</c:v>
                </c:pt>
                <c:pt idx="71">
                  <c:v>0.35728737603095201</c:v>
                </c:pt>
                <c:pt idx="72">
                  <c:v>0.33881763844914597</c:v>
                </c:pt>
                <c:pt idx="73">
                  <c:v>0.30665074176726298</c:v>
                </c:pt>
                <c:pt idx="74">
                  <c:v>0.295070326807992</c:v>
                </c:pt>
                <c:pt idx="75">
                  <c:v>0.301359603259164</c:v>
                </c:pt>
                <c:pt idx="76">
                  <c:v>0.312424845490548</c:v>
                </c:pt>
                <c:pt idx="77">
                  <c:v>0.31818274376699701</c:v>
                </c:pt>
                <c:pt idx="78">
                  <c:v>0.31708660379937997</c:v>
                </c:pt>
                <c:pt idx="79">
                  <c:v>0.31475350404319502</c:v>
                </c:pt>
                <c:pt idx="80">
                  <c:v>0.30946149081216401</c:v>
                </c:pt>
                <c:pt idx="81">
                  <c:v>0.32605724396212699</c:v>
                </c:pt>
                <c:pt idx="82">
                  <c:v>0.32345397389146002</c:v>
                </c:pt>
                <c:pt idx="83">
                  <c:v>0.308692322041347</c:v>
                </c:pt>
                <c:pt idx="84">
                  <c:v>0.29885314640147098</c:v>
                </c:pt>
                <c:pt idx="85">
                  <c:v>0.29266486570866301</c:v>
                </c:pt>
                <c:pt idx="86">
                  <c:v>0.28834659004754098</c:v>
                </c:pt>
                <c:pt idx="87">
                  <c:v>0.28355778919539698</c:v>
                </c:pt>
                <c:pt idx="88">
                  <c:v>0.28514921794130899</c:v>
                </c:pt>
                <c:pt idx="89">
                  <c:v>0.27453440249608202</c:v>
                </c:pt>
                <c:pt idx="90">
                  <c:v>0.27125876006071098</c:v>
                </c:pt>
                <c:pt idx="91">
                  <c:v>0.27855563370943898</c:v>
                </c:pt>
                <c:pt idx="92">
                  <c:v>0.27245520416456698</c:v>
                </c:pt>
                <c:pt idx="93">
                  <c:v>0.28761132381048299</c:v>
                </c:pt>
                <c:pt idx="94">
                  <c:v>0.31323390844316201</c:v>
                </c:pt>
                <c:pt idx="95">
                  <c:v>0.31991524375353902</c:v>
                </c:pt>
                <c:pt idx="96">
                  <c:v>0.32153280838498299</c:v>
                </c:pt>
                <c:pt idx="97">
                  <c:v>0.29771300873224599</c:v>
                </c:pt>
                <c:pt idx="98">
                  <c:v>0.28753119304577202</c:v>
                </c:pt>
                <c:pt idx="99">
                  <c:v>0.27877098117541399</c:v>
                </c:pt>
                <c:pt idx="100">
                  <c:v>0.28109165813664899</c:v>
                </c:pt>
                <c:pt idx="101">
                  <c:v>0.28077167132175201</c:v>
                </c:pt>
                <c:pt idx="102">
                  <c:v>0.272868235888234</c:v>
                </c:pt>
                <c:pt idx="103">
                  <c:v>0.27520420343907298</c:v>
                </c:pt>
                <c:pt idx="104">
                  <c:v>0.27064704793311001</c:v>
                </c:pt>
                <c:pt idx="105">
                  <c:v>0.26106465585479299</c:v>
                </c:pt>
                <c:pt idx="106">
                  <c:v>0.267356946580733</c:v>
                </c:pt>
                <c:pt idx="107">
                  <c:v>0.26161336953345399</c:v>
                </c:pt>
                <c:pt idx="108">
                  <c:v>0.25395306698819098</c:v>
                </c:pt>
                <c:pt idx="109">
                  <c:v>0.25766810760182601</c:v>
                </c:pt>
                <c:pt idx="110">
                  <c:v>0.25450284175931598</c:v>
                </c:pt>
                <c:pt idx="111">
                  <c:v>0.24575163744130599</c:v>
                </c:pt>
                <c:pt idx="112">
                  <c:v>0.24307109211674099</c:v>
                </c:pt>
                <c:pt idx="113">
                  <c:v>0.245849111984763</c:v>
                </c:pt>
                <c:pt idx="114">
                  <c:v>0.253860792116615</c:v>
                </c:pt>
                <c:pt idx="115">
                  <c:v>0.25543495238191299</c:v>
                </c:pt>
                <c:pt idx="116">
                  <c:v>0.255612831060195</c:v>
                </c:pt>
                <c:pt idx="117">
                  <c:v>0.26462985808078898</c:v>
                </c:pt>
                <c:pt idx="118">
                  <c:v>0.26777968249987799</c:v>
                </c:pt>
                <c:pt idx="119">
                  <c:v>0.26708469414027702</c:v>
                </c:pt>
                <c:pt idx="120">
                  <c:v>0.26794335903761601</c:v>
                </c:pt>
                <c:pt idx="121">
                  <c:v>0.26164688930527003</c:v>
                </c:pt>
                <c:pt idx="122">
                  <c:v>0.25208629868176302</c:v>
                </c:pt>
                <c:pt idx="123">
                  <c:v>0.26111500363976398</c:v>
                </c:pt>
                <c:pt idx="124">
                  <c:v>0.28421617550554501</c:v>
                </c:pt>
                <c:pt idx="125">
                  <c:v>0.29325545251212798</c:v>
                </c:pt>
                <c:pt idx="126">
                  <c:v>0.30468729593251298</c:v>
                </c:pt>
                <c:pt idx="127">
                  <c:v>0.30500668615603299</c:v>
                </c:pt>
                <c:pt idx="128">
                  <c:v>0.30216401668491399</c:v>
                </c:pt>
                <c:pt idx="129">
                  <c:v>0.31113505275696202</c:v>
                </c:pt>
                <c:pt idx="130">
                  <c:v>0.32592044220524802</c:v>
                </c:pt>
                <c:pt idx="131">
                  <c:v>0.30845170445324599</c:v>
                </c:pt>
                <c:pt idx="132">
                  <c:v>0.29976463477048398</c:v>
                </c:pt>
                <c:pt idx="133">
                  <c:v>0.298833133468625</c:v>
                </c:pt>
                <c:pt idx="134">
                  <c:v>0.29227305708170098</c:v>
                </c:pt>
                <c:pt idx="135">
                  <c:v>0.28910327833000299</c:v>
                </c:pt>
                <c:pt idx="136">
                  <c:v>0.29253583430136998</c:v>
                </c:pt>
                <c:pt idx="137">
                  <c:v>0.30128149535438498</c:v>
                </c:pt>
                <c:pt idx="138">
                  <c:v>0.309418365078864</c:v>
                </c:pt>
                <c:pt idx="139">
                  <c:v>0.31245467786157399</c:v>
                </c:pt>
                <c:pt idx="140">
                  <c:v>0.31220120325231998</c:v>
                </c:pt>
                <c:pt idx="141">
                  <c:v>0.31891544150436202</c:v>
                </c:pt>
                <c:pt idx="142">
                  <c:v>0.32259034578546503</c:v>
                </c:pt>
                <c:pt idx="143">
                  <c:v>0.302200706894452</c:v>
                </c:pt>
                <c:pt idx="144">
                  <c:v>0.30210027734452</c:v>
                </c:pt>
                <c:pt idx="145">
                  <c:v>0.29706452342619799</c:v>
                </c:pt>
                <c:pt idx="146">
                  <c:v>0.28482112233552798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02208"/>
        <c:axId val="268250496"/>
      </c:barChart>
      <c:lineChart>
        <c:grouping val="standard"/>
        <c:varyColors val="0"/>
        <c:ser>
          <c:idx val="0"/>
          <c:order val="0"/>
          <c:tx>
            <c:v>DTI Mean</c:v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Query'!$O$5:$O$151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Query'!$P$5:$P$151</c:f>
              <c:numCache>
                <c:formatCode>General</c:formatCode>
                <c:ptCount val="147"/>
                <c:pt idx="0">
                  <c:v>33.491005416991001</c:v>
                </c:pt>
                <c:pt idx="1">
                  <c:v>33.725544414496198</c:v>
                </c:pt>
                <c:pt idx="2">
                  <c:v>34.144864022931102</c:v>
                </c:pt>
                <c:pt idx="3">
                  <c:v>33.501180220584502</c:v>
                </c:pt>
                <c:pt idx="4">
                  <c:v>33.486119352874702</c:v>
                </c:pt>
                <c:pt idx="5">
                  <c:v>34.340700588560999</c:v>
                </c:pt>
                <c:pt idx="6">
                  <c:v>35.411302149846499</c:v>
                </c:pt>
                <c:pt idx="7">
                  <c:v>36.5193753202172</c:v>
                </c:pt>
                <c:pt idx="8">
                  <c:v>36.105752730096498</c:v>
                </c:pt>
                <c:pt idx="9">
                  <c:v>34.270437676693597</c:v>
                </c:pt>
                <c:pt idx="10">
                  <c:v>33.128991607908802</c:v>
                </c:pt>
                <c:pt idx="11">
                  <c:v>35.641148466163102</c:v>
                </c:pt>
                <c:pt idx="12">
                  <c:v>35.983860754805796</c:v>
                </c:pt>
                <c:pt idx="13">
                  <c:v>35.515935884053597</c:v>
                </c:pt>
                <c:pt idx="14">
                  <c:v>34.997883140806501</c:v>
                </c:pt>
                <c:pt idx="15">
                  <c:v>36.203803583517697</c:v>
                </c:pt>
                <c:pt idx="16">
                  <c:v>36.725585962012303</c:v>
                </c:pt>
                <c:pt idx="17">
                  <c:v>36.140491978410601</c:v>
                </c:pt>
                <c:pt idx="18">
                  <c:v>36.037229832655903</c:v>
                </c:pt>
                <c:pt idx="19">
                  <c:v>36.111274732319899</c:v>
                </c:pt>
                <c:pt idx="20">
                  <c:v>36.113002367630003</c:v>
                </c:pt>
                <c:pt idx="21">
                  <c:v>36.021234313297398</c:v>
                </c:pt>
                <c:pt idx="22">
                  <c:v>36.536528015982903</c:v>
                </c:pt>
                <c:pt idx="23">
                  <c:v>36.597130219793101</c:v>
                </c:pt>
                <c:pt idx="24">
                  <c:v>36.327186002251203</c:v>
                </c:pt>
                <c:pt idx="25">
                  <c:v>36.1993382197549</c:v>
                </c:pt>
                <c:pt idx="26">
                  <c:v>35.622831536056303</c:v>
                </c:pt>
                <c:pt idx="27">
                  <c:v>35.077215179314997</c:v>
                </c:pt>
                <c:pt idx="28">
                  <c:v>35.1480749189747</c:v>
                </c:pt>
                <c:pt idx="29">
                  <c:v>36.383653975406801</c:v>
                </c:pt>
                <c:pt idx="30">
                  <c:v>37.292560707621398</c:v>
                </c:pt>
                <c:pt idx="31">
                  <c:v>37.331752401609997</c:v>
                </c:pt>
                <c:pt idx="32">
                  <c:v>37.352959429809502</c:v>
                </c:pt>
                <c:pt idx="33">
                  <c:v>37.5015329261158</c:v>
                </c:pt>
                <c:pt idx="34">
                  <c:v>37.377683504176403</c:v>
                </c:pt>
                <c:pt idx="35">
                  <c:v>37.352589752049496</c:v>
                </c:pt>
                <c:pt idx="36">
                  <c:v>37.455662044979697</c:v>
                </c:pt>
                <c:pt idx="37">
                  <c:v>37.284968784457597</c:v>
                </c:pt>
                <c:pt idx="38">
                  <c:v>37.630284650424002</c:v>
                </c:pt>
                <c:pt idx="39">
                  <c:v>37.652579877335498</c:v>
                </c:pt>
                <c:pt idx="40">
                  <c:v>37.944084729028397</c:v>
                </c:pt>
                <c:pt idx="41">
                  <c:v>38.014001892969098</c:v>
                </c:pt>
                <c:pt idx="42">
                  <c:v>37.885607199262502</c:v>
                </c:pt>
                <c:pt idx="43">
                  <c:v>37.784179381196402</c:v>
                </c:pt>
                <c:pt idx="44">
                  <c:v>37.718068546956403</c:v>
                </c:pt>
                <c:pt idx="45">
                  <c:v>37.816267865963702</c:v>
                </c:pt>
                <c:pt idx="46">
                  <c:v>37.728098878721802</c:v>
                </c:pt>
                <c:pt idx="47">
                  <c:v>37.946752928057499</c:v>
                </c:pt>
                <c:pt idx="48">
                  <c:v>37.941075227250401</c:v>
                </c:pt>
                <c:pt idx="49">
                  <c:v>37.925888931269299</c:v>
                </c:pt>
                <c:pt idx="50">
                  <c:v>38.351984649126003</c:v>
                </c:pt>
                <c:pt idx="51">
                  <c:v>39.121730682626499</c:v>
                </c:pt>
                <c:pt idx="52">
                  <c:v>39.279520130665098</c:v>
                </c:pt>
                <c:pt idx="53">
                  <c:v>39.155893606409002</c:v>
                </c:pt>
                <c:pt idx="54">
                  <c:v>39.641727438885503</c:v>
                </c:pt>
                <c:pt idx="55">
                  <c:v>39.579908349099497</c:v>
                </c:pt>
                <c:pt idx="56">
                  <c:v>39.489843297243901</c:v>
                </c:pt>
                <c:pt idx="57">
                  <c:v>39.092016446336103</c:v>
                </c:pt>
                <c:pt idx="58">
                  <c:v>39.249087722264797</c:v>
                </c:pt>
                <c:pt idx="59">
                  <c:v>38.414329636092397</c:v>
                </c:pt>
                <c:pt idx="60">
                  <c:v>38.763155801956799</c:v>
                </c:pt>
                <c:pt idx="61">
                  <c:v>38.559555713699098</c:v>
                </c:pt>
                <c:pt idx="62">
                  <c:v>38.341658225407897</c:v>
                </c:pt>
                <c:pt idx="63">
                  <c:v>37.999181742126503</c:v>
                </c:pt>
                <c:pt idx="64">
                  <c:v>38.161391290982401</c:v>
                </c:pt>
                <c:pt idx="65">
                  <c:v>37.987846513899299</c:v>
                </c:pt>
                <c:pt idx="66">
                  <c:v>37.893642795120201</c:v>
                </c:pt>
                <c:pt idx="67">
                  <c:v>37.863545215523096</c:v>
                </c:pt>
                <c:pt idx="68">
                  <c:v>37.7564539019778</c:v>
                </c:pt>
                <c:pt idx="69">
                  <c:v>36.703804548987797</c:v>
                </c:pt>
                <c:pt idx="70">
                  <c:v>36.205626715771302</c:v>
                </c:pt>
                <c:pt idx="71">
                  <c:v>35.799246123443801</c:v>
                </c:pt>
                <c:pt idx="72">
                  <c:v>35.443374053116202</c:v>
                </c:pt>
                <c:pt idx="73">
                  <c:v>34.719620848565299</c:v>
                </c:pt>
                <c:pt idx="74">
                  <c:v>34.3486666650331</c:v>
                </c:pt>
                <c:pt idx="75">
                  <c:v>34.610842833678603</c:v>
                </c:pt>
                <c:pt idx="76">
                  <c:v>35.062429359649101</c:v>
                </c:pt>
                <c:pt idx="77">
                  <c:v>35.285355439040003</c:v>
                </c:pt>
                <c:pt idx="78">
                  <c:v>35.3465901358419</c:v>
                </c:pt>
                <c:pt idx="79">
                  <c:v>35.1667301275982</c:v>
                </c:pt>
                <c:pt idx="80">
                  <c:v>35.096745322021697</c:v>
                </c:pt>
                <c:pt idx="81">
                  <c:v>35.350936273908701</c:v>
                </c:pt>
                <c:pt idx="82">
                  <c:v>35.1679187610561</c:v>
                </c:pt>
                <c:pt idx="83">
                  <c:v>34.642619302927201</c:v>
                </c:pt>
                <c:pt idx="84">
                  <c:v>34.4440642092299</c:v>
                </c:pt>
                <c:pt idx="85">
                  <c:v>34.256883100797999</c:v>
                </c:pt>
                <c:pt idx="86">
                  <c:v>34.136052596437402</c:v>
                </c:pt>
                <c:pt idx="87">
                  <c:v>34.011766218461197</c:v>
                </c:pt>
                <c:pt idx="88">
                  <c:v>33.847652638763698</c:v>
                </c:pt>
                <c:pt idx="89">
                  <c:v>33.5549430237973</c:v>
                </c:pt>
                <c:pt idx="90">
                  <c:v>33.445452945927599</c:v>
                </c:pt>
                <c:pt idx="91">
                  <c:v>33.558006758585599</c:v>
                </c:pt>
                <c:pt idx="92">
                  <c:v>33.489824219735901</c:v>
                </c:pt>
                <c:pt idx="93">
                  <c:v>33.893922973466999</c:v>
                </c:pt>
                <c:pt idx="94">
                  <c:v>34.494978806655404</c:v>
                </c:pt>
                <c:pt idx="95">
                  <c:v>34.641342036050403</c:v>
                </c:pt>
                <c:pt idx="96">
                  <c:v>34.674706461181003</c:v>
                </c:pt>
                <c:pt idx="97">
                  <c:v>34.2529465324873</c:v>
                </c:pt>
                <c:pt idx="98">
                  <c:v>34.046479304029901</c:v>
                </c:pt>
                <c:pt idx="99">
                  <c:v>33.865990712292998</c:v>
                </c:pt>
                <c:pt idx="100">
                  <c:v>33.922965911430097</c:v>
                </c:pt>
                <c:pt idx="101">
                  <c:v>33.813961578510003</c:v>
                </c:pt>
                <c:pt idx="102">
                  <c:v>33.733100423047397</c:v>
                </c:pt>
                <c:pt idx="103">
                  <c:v>33.656293538021998</c:v>
                </c:pt>
                <c:pt idx="104">
                  <c:v>33.654947487508103</c:v>
                </c:pt>
                <c:pt idx="105">
                  <c:v>33.616267334128999</c:v>
                </c:pt>
                <c:pt idx="106">
                  <c:v>33.680251809150697</c:v>
                </c:pt>
                <c:pt idx="107">
                  <c:v>33.518276945538801</c:v>
                </c:pt>
                <c:pt idx="108">
                  <c:v>33.384740820904597</c:v>
                </c:pt>
                <c:pt idx="109">
                  <c:v>33.320338476894001</c:v>
                </c:pt>
                <c:pt idx="110">
                  <c:v>33.121553145547502</c:v>
                </c:pt>
                <c:pt idx="111">
                  <c:v>32.914525130729601</c:v>
                </c:pt>
                <c:pt idx="112">
                  <c:v>32.834955899021203</c:v>
                </c:pt>
                <c:pt idx="113">
                  <c:v>32.877349478281303</c:v>
                </c:pt>
                <c:pt idx="114">
                  <c:v>33.068410827015398</c:v>
                </c:pt>
                <c:pt idx="115">
                  <c:v>33.076526998952403</c:v>
                </c:pt>
                <c:pt idx="116">
                  <c:v>33.1249469903779</c:v>
                </c:pt>
                <c:pt idx="117">
                  <c:v>33.236988614541303</c:v>
                </c:pt>
                <c:pt idx="118">
                  <c:v>33.429210541255898</c:v>
                </c:pt>
                <c:pt idx="119">
                  <c:v>33.479006651971702</c:v>
                </c:pt>
                <c:pt idx="120">
                  <c:v>33.5566306336381</c:v>
                </c:pt>
                <c:pt idx="121">
                  <c:v>33.442751747550503</c:v>
                </c:pt>
                <c:pt idx="122">
                  <c:v>33.228820554415002</c:v>
                </c:pt>
                <c:pt idx="123">
                  <c:v>33.415238721331797</c:v>
                </c:pt>
                <c:pt idx="124">
                  <c:v>34.041078566184702</c:v>
                </c:pt>
                <c:pt idx="125">
                  <c:v>34.357406516104902</c:v>
                </c:pt>
                <c:pt idx="126">
                  <c:v>34.6478974941895</c:v>
                </c:pt>
                <c:pt idx="127">
                  <c:v>34.626736713885698</c:v>
                </c:pt>
                <c:pt idx="128">
                  <c:v>34.566720754788797</c:v>
                </c:pt>
                <c:pt idx="129">
                  <c:v>34.760538975541799</c:v>
                </c:pt>
                <c:pt idx="130">
                  <c:v>35.096621359252701</c:v>
                </c:pt>
                <c:pt idx="131">
                  <c:v>34.816199864300501</c:v>
                </c:pt>
                <c:pt idx="132">
                  <c:v>34.675439008071699</c:v>
                </c:pt>
                <c:pt idx="133">
                  <c:v>34.658856260085599</c:v>
                </c:pt>
                <c:pt idx="134">
                  <c:v>34.4686582543032</c:v>
                </c:pt>
                <c:pt idx="135">
                  <c:v>34.322739398973098</c:v>
                </c:pt>
                <c:pt idx="136">
                  <c:v>34.444270971612397</c:v>
                </c:pt>
                <c:pt idx="137">
                  <c:v>34.609191959171703</c:v>
                </c:pt>
                <c:pt idx="138">
                  <c:v>34.798083340824199</c:v>
                </c:pt>
                <c:pt idx="139">
                  <c:v>34.846015078951801</c:v>
                </c:pt>
                <c:pt idx="140">
                  <c:v>34.824509834090797</c:v>
                </c:pt>
                <c:pt idx="141">
                  <c:v>34.977091666452097</c:v>
                </c:pt>
                <c:pt idx="142">
                  <c:v>35.030167018357901</c:v>
                </c:pt>
                <c:pt idx="143">
                  <c:v>34.5918772932</c:v>
                </c:pt>
                <c:pt idx="144">
                  <c:v>34.608345578366901</c:v>
                </c:pt>
                <c:pt idx="145">
                  <c:v>34.4808601960058</c:v>
                </c:pt>
                <c:pt idx="146">
                  <c:v>34.176472196339503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459968"/>
        <c:axId val="268248960"/>
      </c:lineChart>
      <c:catAx>
        <c:axId val="267459968"/>
        <c:scaling>
          <c:orientation val="minMax"/>
        </c:scaling>
        <c:delete val="0"/>
        <c:axPos val="b"/>
        <c:majorTickMark val="out"/>
        <c:minorTickMark val="none"/>
        <c:tickLblPos val="nextTo"/>
        <c:crossAx val="26824896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68248960"/>
        <c:scaling>
          <c:orientation val="minMax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459968"/>
        <c:crosses val="autoZero"/>
        <c:crossBetween val="between"/>
      </c:valAx>
      <c:valAx>
        <c:axId val="268250496"/>
        <c:scaling>
          <c:orientation val="minMax"/>
          <c:min val="0.2"/>
        </c:scaling>
        <c:delete val="0"/>
        <c:axPos val="r"/>
        <c:numFmt formatCode="0%" sourceLinked="1"/>
        <c:majorTickMark val="out"/>
        <c:minorTickMark val="none"/>
        <c:tickLblPos val="nextTo"/>
        <c:crossAx val="268302208"/>
        <c:crosses val="max"/>
        <c:crossBetween val="between"/>
      </c:valAx>
      <c:catAx>
        <c:axId val="268302208"/>
        <c:scaling>
          <c:orientation val="minMax"/>
        </c:scaling>
        <c:delete val="1"/>
        <c:axPos val="b"/>
        <c:majorTickMark val="out"/>
        <c:minorTickMark val="none"/>
        <c:tickLblPos val="nextTo"/>
        <c:crossAx val="268250496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Query'!$Y$4</c:f>
              <c:strCache>
                <c:ptCount val="1"/>
                <c:pt idx="0">
                  <c:v>% FICO &lt; 700</c:v>
                </c:pt>
              </c:strCache>
            </c:strRef>
          </c:tx>
          <c:spPr>
            <a:solidFill>
              <a:srgbClr val="1B7A76">
                <a:alpha val="20000"/>
              </a:srgbClr>
            </a:solidFill>
          </c:spPr>
          <c:invertIfNegative val="0"/>
          <c:cat>
            <c:strRef>
              <c:f>'Time Series Query'!$W$5:$W$151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Query'!$Y$5:$Y$151</c:f>
              <c:numCache>
                <c:formatCode>0%</c:formatCode>
                <c:ptCount val="147"/>
                <c:pt idx="0">
                  <c:v>0.32555257693198197</c:v>
                </c:pt>
                <c:pt idx="1">
                  <c:v>0.31742951631942301</c:v>
                </c:pt>
                <c:pt idx="2">
                  <c:v>0.32364561822268501</c:v>
                </c:pt>
                <c:pt idx="3">
                  <c:v>0.310151776706795</c:v>
                </c:pt>
                <c:pt idx="4">
                  <c:v>0.30671224499643901</c:v>
                </c:pt>
                <c:pt idx="5">
                  <c:v>0.32553899803949699</c:v>
                </c:pt>
                <c:pt idx="6">
                  <c:v>0.34444111149615098</c:v>
                </c:pt>
                <c:pt idx="7">
                  <c:v>0.33962917429332001</c:v>
                </c:pt>
                <c:pt idx="8">
                  <c:v>0.33824400161048002</c:v>
                </c:pt>
                <c:pt idx="9">
                  <c:v>0.33004652003424001</c:v>
                </c:pt>
                <c:pt idx="10">
                  <c:v>0.32020990049907999</c:v>
                </c:pt>
                <c:pt idx="11">
                  <c:v>0.32412171144143798</c:v>
                </c:pt>
                <c:pt idx="12">
                  <c:v>0.31650083814304297</c:v>
                </c:pt>
                <c:pt idx="13">
                  <c:v>0.31186678823312403</c:v>
                </c:pt>
                <c:pt idx="14">
                  <c:v>0.32135696326174201</c:v>
                </c:pt>
                <c:pt idx="15">
                  <c:v>0.34681408931864999</c:v>
                </c:pt>
                <c:pt idx="16">
                  <c:v>0.34861427310826099</c:v>
                </c:pt>
                <c:pt idx="17">
                  <c:v>0.33728725379950802</c:v>
                </c:pt>
                <c:pt idx="18">
                  <c:v>0.341747031945347</c:v>
                </c:pt>
                <c:pt idx="19">
                  <c:v>0.33226636417420502</c:v>
                </c:pt>
                <c:pt idx="20">
                  <c:v>0.32923258254458498</c:v>
                </c:pt>
                <c:pt idx="21">
                  <c:v>0.33234768002944598</c:v>
                </c:pt>
                <c:pt idx="22">
                  <c:v>0.325365720667595</c:v>
                </c:pt>
                <c:pt idx="23">
                  <c:v>0.31175809732214199</c:v>
                </c:pt>
                <c:pt idx="24">
                  <c:v>0.31191876727622397</c:v>
                </c:pt>
                <c:pt idx="25">
                  <c:v>0.31915669681855002</c:v>
                </c:pt>
                <c:pt idx="26">
                  <c:v>0.31626561898460898</c:v>
                </c:pt>
                <c:pt idx="27">
                  <c:v>0.30540869486486999</c:v>
                </c:pt>
                <c:pt idx="28">
                  <c:v>0.29226453331797803</c:v>
                </c:pt>
                <c:pt idx="29">
                  <c:v>0.307866686997112</c:v>
                </c:pt>
                <c:pt idx="30">
                  <c:v>0.29282399528074898</c:v>
                </c:pt>
                <c:pt idx="31">
                  <c:v>0.28542044215849499</c:v>
                </c:pt>
                <c:pt idx="32">
                  <c:v>0.27252886688316702</c:v>
                </c:pt>
                <c:pt idx="33">
                  <c:v>0.275428135379714</c:v>
                </c:pt>
                <c:pt idx="34">
                  <c:v>0.27099622377881499</c:v>
                </c:pt>
                <c:pt idx="35">
                  <c:v>0.27172244359806702</c:v>
                </c:pt>
                <c:pt idx="36">
                  <c:v>0.269545751649933</c:v>
                </c:pt>
                <c:pt idx="37">
                  <c:v>0.26924096627271599</c:v>
                </c:pt>
                <c:pt idx="38">
                  <c:v>0.26404056393812197</c:v>
                </c:pt>
                <c:pt idx="39">
                  <c:v>0.26015553383897599</c:v>
                </c:pt>
                <c:pt idx="40">
                  <c:v>0.26931657554004801</c:v>
                </c:pt>
                <c:pt idx="41">
                  <c:v>0.27921966823928501</c:v>
                </c:pt>
                <c:pt idx="42">
                  <c:v>0.28214362863015702</c:v>
                </c:pt>
                <c:pt idx="43">
                  <c:v>0.28243744033441398</c:v>
                </c:pt>
                <c:pt idx="44">
                  <c:v>0.28268598353770003</c:v>
                </c:pt>
                <c:pt idx="45">
                  <c:v>0.28970756977075302</c:v>
                </c:pt>
                <c:pt idx="46">
                  <c:v>0.29421874120147201</c:v>
                </c:pt>
                <c:pt idx="47">
                  <c:v>0.30117036754250298</c:v>
                </c:pt>
                <c:pt idx="48">
                  <c:v>0.31243119456729701</c:v>
                </c:pt>
                <c:pt idx="49">
                  <c:v>0.31736070193891203</c:v>
                </c:pt>
                <c:pt idx="50">
                  <c:v>0.32994785298319101</c:v>
                </c:pt>
                <c:pt idx="51">
                  <c:v>0.32695996607863698</c:v>
                </c:pt>
                <c:pt idx="52">
                  <c:v>0.32240974299630598</c:v>
                </c:pt>
                <c:pt idx="53">
                  <c:v>0.32561765464237102</c:v>
                </c:pt>
                <c:pt idx="54">
                  <c:v>0.33276857859813502</c:v>
                </c:pt>
                <c:pt idx="55">
                  <c:v>0.32191401029786698</c:v>
                </c:pt>
                <c:pt idx="56">
                  <c:v>0.31873013143375201</c:v>
                </c:pt>
                <c:pt idx="57">
                  <c:v>0.29981088723409199</c:v>
                </c:pt>
                <c:pt idx="58">
                  <c:v>0.280579895669821</c:v>
                </c:pt>
                <c:pt idx="59">
                  <c:v>0.25889667130801303</c:v>
                </c:pt>
                <c:pt idx="60">
                  <c:v>0.24142889769505399</c:v>
                </c:pt>
                <c:pt idx="61">
                  <c:v>0.20023623442105001</c:v>
                </c:pt>
                <c:pt idx="62">
                  <c:v>0.183242130540575</c:v>
                </c:pt>
                <c:pt idx="63">
                  <c:v>0.17315160637188701</c:v>
                </c:pt>
                <c:pt idx="64">
                  <c:v>0.16640580356024401</c:v>
                </c:pt>
                <c:pt idx="65">
                  <c:v>0.17744271331476499</c:v>
                </c:pt>
                <c:pt idx="66">
                  <c:v>0.16267950338576401</c:v>
                </c:pt>
                <c:pt idx="67">
                  <c:v>0.15477413293758099</c:v>
                </c:pt>
                <c:pt idx="68">
                  <c:v>0.16220081425273</c:v>
                </c:pt>
                <c:pt idx="69">
                  <c:v>0.14020618311049801</c:v>
                </c:pt>
                <c:pt idx="70">
                  <c:v>0.12367298279946699</c:v>
                </c:pt>
                <c:pt idx="71">
                  <c:v>0.108448775058114</c:v>
                </c:pt>
                <c:pt idx="72">
                  <c:v>9.2145907252402806E-2</c:v>
                </c:pt>
                <c:pt idx="73">
                  <c:v>8.7513345835249307E-2</c:v>
                </c:pt>
                <c:pt idx="74">
                  <c:v>7.8300566764158197E-2</c:v>
                </c:pt>
                <c:pt idx="75">
                  <c:v>7.5174619563951994E-2</c:v>
                </c:pt>
                <c:pt idx="76">
                  <c:v>7.6840796476315407E-2</c:v>
                </c:pt>
                <c:pt idx="77">
                  <c:v>8.2438455854949605E-2</c:v>
                </c:pt>
                <c:pt idx="78">
                  <c:v>8.7714189812880997E-2</c:v>
                </c:pt>
                <c:pt idx="79">
                  <c:v>8.4409413550102702E-2</c:v>
                </c:pt>
                <c:pt idx="80">
                  <c:v>8.6698257576226706E-2</c:v>
                </c:pt>
                <c:pt idx="81">
                  <c:v>8.9067046927094204E-2</c:v>
                </c:pt>
                <c:pt idx="82">
                  <c:v>8.6684210231504605E-2</c:v>
                </c:pt>
                <c:pt idx="83">
                  <c:v>8.7713830080208194E-2</c:v>
                </c:pt>
                <c:pt idx="84">
                  <c:v>8.5642704200612693E-2</c:v>
                </c:pt>
                <c:pt idx="85">
                  <c:v>8.6052426459444206E-2</c:v>
                </c:pt>
                <c:pt idx="86">
                  <c:v>8.4136927172989803E-2</c:v>
                </c:pt>
                <c:pt idx="87">
                  <c:v>8.5429424015766503E-2</c:v>
                </c:pt>
                <c:pt idx="88">
                  <c:v>8.3617280532806301E-2</c:v>
                </c:pt>
                <c:pt idx="89">
                  <c:v>8.2031114923412599E-2</c:v>
                </c:pt>
                <c:pt idx="90">
                  <c:v>7.9203464124255996E-2</c:v>
                </c:pt>
                <c:pt idx="91">
                  <c:v>7.6528950060665193E-2</c:v>
                </c:pt>
                <c:pt idx="92">
                  <c:v>7.5937613488361505E-2</c:v>
                </c:pt>
                <c:pt idx="93">
                  <c:v>8.1433463034412304E-2</c:v>
                </c:pt>
                <c:pt idx="94">
                  <c:v>8.6065611497949293E-2</c:v>
                </c:pt>
                <c:pt idx="95">
                  <c:v>9.30252114514524E-2</c:v>
                </c:pt>
                <c:pt idx="96">
                  <c:v>9.1087970583949199E-2</c:v>
                </c:pt>
                <c:pt idx="97">
                  <c:v>8.6597855232636606E-2</c:v>
                </c:pt>
                <c:pt idx="98">
                  <c:v>9.1379326760530996E-2</c:v>
                </c:pt>
                <c:pt idx="99">
                  <c:v>9.1570324856227001E-2</c:v>
                </c:pt>
                <c:pt idx="100">
                  <c:v>9.43825422999338E-2</c:v>
                </c:pt>
                <c:pt idx="101">
                  <c:v>9.5221320930123698E-2</c:v>
                </c:pt>
                <c:pt idx="102">
                  <c:v>9.1539702824597793E-2</c:v>
                </c:pt>
                <c:pt idx="103">
                  <c:v>9.1987894872550005E-2</c:v>
                </c:pt>
                <c:pt idx="104">
                  <c:v>8.7258854496687799E-2</c:v>
                </c:pt>
                <c:pt idx="105">
                  <c:v>8.6142454759982098E-2</c:v>
                </c:pt>
                <c:pt idx="106">
                  <c:v>8.5745788275712206E-2</c:v>
                </c:pt>
                <c:pt idx="107">
                  <c:v>8.3609698617037903E-2</c:v>
                </c:pt>
                <c:pt idx="108">
                  <c:v>8.2457761148304595E-2</c:v>
                </c:pt>
                <c:pt idx="109">
                  <c:v>8.1933479384901697E-2</c:v>
                </c:pt>
                <c:pt idx="110">
                  <c:v>8.4418496999786194E-2</c:v>
                </c:pt>
                <c:pt idx="111">
                  <c:v>8.33927063634268E-2</c:v>
                </c:pt>
                <c:pt idx="112">
                  <c:v>8.9152463717376507E-2</c:v>
                </c:pt>
                <c:pt idx="113">
                  <c:v>8.8547559149405805E-2</c:v>
                </c:pt>
                <c:pt idx="114">
                  <c:v>8.6906513841812402E-2</c:v>
                </c:pt>
                <c:pt idx="115">
                  <c:v>8.9195476981251895E-2</c:v>
                </c:pt>
                <c:pt idx="116">
                  <c:v>8.7851184039050303E-2</c:v>
                </c:pt>
                <c:pt idx="117">
                  <c:v>9.5024813225718804E-2</c:v>
                </c:pt>
                <c:pt idx="118">
                  <c:v>9.6988005222013604E-2</c:v>
                </c:pt>
                <c:pt idx="119">
                  <c:v>9.1597013504822702E-2</c:v>
                </c:pt>
                <c:pt idx="120">
                  <c:v>9.3295068554112501E-2</c:v>
                </c:pt>
                <c:pt idx="121">
                  <c:v>9.4257525505838602E-2</c:v>
                </c:pt>
                <c:pt idx="122">
                  <c:v>9.6568724354419794E-2</c:v>
                </c:pt>
                <c:pt idx="123">
                  <c:v>9.7421246941441803E-2</c:v>
                </c:pt>
                <c:pt idx="124">
                  <c:v>0.10239949086036899</c:v>
                </c:pt>
                <c:pt idx="125">
                  <c:v>0.111573251117844</c:v>
                </c:pt>
                <c:pt idx="126">
                  <c:v>0.118031852586022</c:v>
                </c:pt>
                <c:pt idx="127">
                  <c:v>0.122565766652004</c:v>
                </c:pt>
                <c:pt idx="128">
                  <c:v>0.12335834868330101</c:v>
                </c:pt>
                <c:pt idx="129">
                  <c:v>0.12799062962632901</c:v>
                </c:pt>
                <c:pt idx="130">
                  <c:v>0.13383175443081299</c:v>
                </c:pt>
                <c:pt idx="131">
                  <c:v>0.136759922124324</c:v>
                </c:pt>
                <c:pt idx="132">
                  <c:v>0.13767192714339599</c:v>
                </c:pt>
                <c:pt idx="133">
                  <c:v>0.140406014613213</c:v>
                </c:pt>
                <c:pt idx="134">
                  <c:v>0.14279391661367599</c:v>
                </c:pt>
                <c:pt idx="135">
                  <c:v>0.14209050325703601</c:v>
                </c:pt>
                <c:pt idx="136">
                  <c:v>0.14664067232707501</c:v>
                </c:pt>
                <c:pt idx="137">
                  <c:v>0.14738678015895099</c:v>
                </c:pt>
                <c:pt idx="138">
                  <c:v>0.15611748121786001</c:v>
                </c:pt>
                <c:pt idx="139">
                  <c:v>0.154702803202766</c:v>
                </c:pt>
                <c:pt idx="140">
                  <c:v>0.15558820493379799</c:v>
                </c:pt>
                <c:pt idx="141">
                  <c:v>0.15820396976652601</c:v>
                </c:pt>
                <c:pt idx="142">
                  <c:v>0.16075689815949701</c:v>
                </c:pt>
                <c:pt idx="143">
                  <c:v>0.14698447110622201</c:v>
                </c:pt>
                <c:pt idx="144">
                  <c:v>0.14202706216225799</c:v>
                </c:pt>
                <c:pt idx="145">
                  <c:v>0.14208337458509299</c:v>
                </c:pt>
                <c:pt idx="146">
                  <c:v>0.138264539709097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632704"/>
        <c:axId val="274204160"/>
      </c:barChart>
      <c:lineChart>
        <c:grouping val="standard"/>
        <c:varyColors val="0"/>
        <c:ser>
          <c:idx val="0"/>
          <c:order val="0"/>
          <c:tx>
            <c:v>FICO Mean</c:v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Query'!$W$5:$W$151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Query'!$X$5:$X$151</c:f>
              <c:numCache>
                <c:formatCode>General</c:formatCode>
                <c:ptCount val="147"/>
                <c:pt idx="0">
                  <c:v>721.81850787939095</c:v>
                </c:pt>
                <c:pt idx="1">
                  <c:v>722.76732830110905</c:v>
                </c:pt>
                <c:pt idx="2">
                  <c:v>722.25913495194504</c:v>
                </c:pt>
                <c:pt idx="3">
                  <c:v>724.12904796089799</c:v>
                </c:pt>
                <c:pt idx="4">
                  <c:v>724.69367741606698</c:v>
                </c:pt>
                <c:pt idx="5">
                  <c:v>722.36621872594401</c:v>
                </c:pt>
                <c:pt idx="6">
                  <c:v>719.09071003198596</c:v>
                </c:pt>
                <c:pt idx="7">
                  <c:v>720.40995221006699</c:v>
                </c:pt>
                <c:pt idx="8">
                  <c:v>720.53281333500604</c:v>
                </c:pt>
                <c:pt idx="9">
                  <c:v>721.12735756326401</c:v>
                </c:pt>
                <c:pt idx="10">
                  <c:v>722.9204500907</c:v>
                </c:pt>
                <c:pt idx="11">
                  <c:v>721.56682125767895</c:v>
                </c:pt>
                <c:pt idx="12">
                  <c:v>723.07301547125496</c:v>
                </c:pt>
                <c:pt idx="13">
                  <c:v>724.09334327372198</c:v>
                </c:pt>
                <c:pt idx="14">
                  <c:v>722.99550607406604</c:v>
                </c:pt>
                <c:pt idx="15">
                  <c:v>720.06039635737204</c:v>
                </c:pt>
                <c:pt idx="16">
                  <c:v>719.79489214723901</c:v>
                </c:pt>
                <c:pt idx="17">
                  <c:v>720.93113561545397</c:v>
                </c:pt>
                <c:pt idx="18">
                  <c:v>720.95368415043401</c:v>
                </c:pt>
                <c:pt idx="19">
                  <c:v>721.50859125420595</c:v>
                </c:pt>
                <c:pt idx="20">
                  <c:v>721.96599739441297</c:v>
                </c:pt>
                <c:pt idx="21">
                  <c:v>721.85201991281099</c:v>
                </c:pt>
                <c:pt idx="22">
                  <c:v>723.64106546829998</c:v>
                </c:pt>
                <c:pt idx="23">
                  <c:v>725.25839259543602</c:v>
                </c:pt>
                <c:pt idx="24">
                  <c:v>725.45547752792004</c:v>
                </c:pt>
                <c:pt idx="25">
                  <c:v>724.54450005986598</c:v>
                </c:pt>
                <c:pt idx="26">
                  <c:v>725.24515758187999</c:v>
                </c:pt>
                <c:pt idx="27">
                  <c:v>727.32930770411701</c:v>
                </c:pt>
                <c:pt idx="28">
                  <c:v>728.11888488396903</c:v>
                </c:pt>
                <c:pt idx="29">
                  <c:v>726.92812366023202</c:v>
                </c:pt>
                <c:pt idx="30">
                  <c:v>728.31425128392505</c:v>
                </c:pt>
                <c:pt idx="31">
                  <c:v>730.26522367447501</c:v>
                </c:pt>
                <c:pt idx="32">
                  <c:v>731.84119056548502</c:v>
                </c:pt>
                <c:pt idx="33">
                  <c:v>730.87413747932897</c:v>
                </c:pt>
                <c:pt idx="34">
                  <c:v>731.463093282675</c:v>
                </c:pt>
                <c:pt idx="35">
                  <c:v>731.37187888597202</c:v>
                </c:pt>
                <c:pt idx="36">
                  <c:v>732.220369288553</c:v>
                </c:pt>
                <c:pt idx="37">
                  <c:v>732.29576439030302</c:v>
                </c:pt>
                <c:pt idx="38">
                  <c:v>732.98461213720498</c:v>
                </c:pt>
                <c:pt idx="39">
                  <c:v>733.55251588227702</c:v>
                </c:pt>
                <c:pt idx="40">
                  <c:v>732.49642925119599</c:v>
                </c:pt>
                <c:pt idx="41">
                  <c:v>731.03366702624498</c:v>
                </c:pt>
                <c:pt idx="42">
                  <c:v>730.386657340532</c:v>
                </c:pt>
                <c:pt idx="43">
                  <c:v>730.60339826042502</c:v>
                </c:pt>
                <c:pt idx="44">
                  <c:v>730.47654115547095</c:v>
                </c:pt>
                <c:pt idx="45">
                  <c:v>729.67566684049098</c:v>
                </c:pt>
                <c:pt idx="46">
                  <c:v>728.76678623201099</c:v>
                </c:pt>
                <c:pt idx="47">
                  <c:v>728.07226394657005</c:v>
                </c:pt>
                <c:pt idx="48">
                  <c:v>726.66837558813302</c:v>
                </c:pt>
                <c:pt idx="49">
                  <c:v>726.03849192935195</c:v>
                </c:pt>
                <c:pt idx="50">
                  <c:v>724.46402286812599</c:v>
                </c:pt>
                <c:pt idx="51">
                  <c:v>724.80771850866597</c:v>
                </c:pt>
                <c:pt idx="52">
                  <c:v>725.50573707449803</c:v>
                </c:pt>
                <c:pt idx="53">
                  <c:v>725.21898138090398</c:v>
                </c:pt>
                <c:pt idx="54">
                  <c:v>724.06936828744904</c:v>
                </c:pt>
                <c:pt idx="55">
                  <c:v>724.93962095695599</c:v>
                </c:pt>
                <c:pt idx="56">
                  <c:v>725.61492638754305</c:v>
                </c:pt>
                <c:pt idx="57">
                  <c:v>728.34084731165694</c:v>
                </c:pt>
                <c:pt idx="58">
                  <c:v>730.48483560039494</c:v>
                </c:pt>
                <c:pt idx="59">
                  <c:v>734.110298704157</c:v>
                </c:pt>
                <c:pt idx="60">
                  <c:v>736.65104024275695</c:v>
                </c:pt>
                <c:pt idx="61">
                  <c:v>742.222862301183</c:v>
                </c:pt>
                <c:pt idx="62">
                  <c:v>744.50208803818305</c:v>
                </c:pt>
                <c:pt idx="63">
                  <c:v>746.24339258136104</c:v>
                </c:pt>
                <c:pt idx="64">
                  <c:v>747.62063220995401</c:v>
                </c:pt>
                <c:pt idx="65">
                  <c:v>746.04867552023995</c:v>
                </c:pt>
                <c:pt idx="66">
                  <c:v>748.10181343452996</c:v>
                </c:pt>
                <c:pt idx="67">
                  <c:v>748.91395590109096</c:v>
                </c:pt>
                <c:pt idx="68">
                  <c:v>747.67307981041199</c:v>
                </c:pt>
                <c:pt idx="69">
                  <c:v>751.15781540485602</c:v>
                </c:pt>
                <c:pt idx="70">
                  <c:v>753.83736768122901</c:v>
                </c:pt>
                <c:pt idx="71">
                  <c:v>755.70927973049299</c:v>
                </c:pt>
                <c:pt idx="72">
                  <c:v>757.59605432672004</c:v>
                </c:pt>
                <c:pt idx="73">
                  <c:v>759.07345235752996</c:v>
                </c:pt>
                <c:pt idx="74">
                  <c:v>760.65613459844997</c:v>
                </c:pt>
                <c:pt idx="75">
                  <c:v>761.27311365542903</c:v>
                </c:pt>
                <c:pt idx="76">
                  <c:v>760.53091745985296</c:v>
                </c:pt>
                <c:pt idx="77">
                  <c:v>759.72561555373602</c:v>
                </c:pt>
                <c:pt idx="78">
                  <c:v>759.44591566559802</c:v>
                </c:pt>
                <c:pt idx="79">
                  <c:v>759.77811495225899</c:v>
                </c:pt>
                <c:pt idx="80">
                  <c:v>759.47430651200102</c:v>
                </c:pt>
                <c:pt idx="81">
                  <c:v>759.55067968356195</c:v>
                </c:pt>
                <c:pt idx="82">
                  <c:v>759.42833208172897</c:v>
                </c:pt>
                <c:pt idx="83">
                  <c:v>759.84269690104395</c:v>
                </c:pt>
                <c:pt idx="84">
                  <c:v>759.579566617463</c:v>
                </c:pt>
                <c:pt idx="85">
                  <c:v>760.51765866488995</c:v>
                </c:pt>
                <c:pt idx="86">
                  <c:v>761.23491599033696</c:v>
                </c:pt>
                <c:pt idx="87">
                  <c:v>760.87938286905</c:v>
                </c:pt>
                <c:pt idx="88">
                  <c:v>761.77637727655701</c:v>
                </c:pt>
                <c:pt idx="89">
                  <c:v>762.22096712183304</c:v>
                </c:pt>
                <c:pt idx="90">
                  <c:v>762.33703010731597</c:v>
                </c:pt>
                <c:pt idx="91">
                  <c:v>762.66625999200903</c:v>
                </c:pt>
                <c:pt idx="92">
                  <c:v>762.74630346408003</c:v>
                </c:pt>
                <c:pt idx="93">
                  <c:v>761.89442409042999</c:v>
                </c:pt>
                <c:pt idx="94">
                  <c:v>760.60763213048995</c:v>
                </c:pt>
                <c:pt idx="95">
                  <c:v>759.50780417156102</c:v>
                </c:pt>
                <c:pt idx="96">
                  <c:v>759.97563365075803</c:v>
                </c:pt>
                <c:pt idx="97">
                  <c:v>760.82408923551498</c:v>
                </c:pt>
                <c:pt idx="98">
                  <c:v>760.10467062830696</c:v>
                </c:pt>
                <c:pt idx="99">
                  <c:v>760.114475926419</c:v>
                </c:pt>
                <c:pt idx="100">
                  <c:v>759.69175189800796</c:v>
                </c:pt>
                <c:pt idx="101">
                  <c:v>759.31450166280899</c:v>
                </c:pt>
                <c:pt idx="102">
                  <c:v>760.12898812549099</c:v>
                </c:pt>
                <c:pt idx="103">
                  <c:v>760.09678534465195</c:v>
                </c:pt>
                <c:pt idx="104">
                  <c:v>760.81703076159499</c:v>
                </c:pt>
                <c:pt idx="105">
                  <c:v>761.114001068123</c:v>
                </c:pt>
                <c:pt idx="106">
                  <c:v>760.52419652388801</c:v>
                </c:pt>
                <c:pt idx="107">
                  <c:v>760.69983465532198</c:v>
                </c:pt>
                <c:pt idx="108">
                  <c:v>761.22417340280003</c:v>
                </c:pt>
                <c:pt idx="109">
                  <c:v>761.68341085260897</c:v>
                </c:pt>
                <c:pt idx="110">
                  <c:v>761.324488050215</c:v>
                </c:pt>
                <c:pt idx="111">
                  <c:v>761.20950224818</c:v>
                </c:pt>
                <c:pt idx="112">
                  <c:v>760.56723023696497</c:v>
                </c:pt>
                <c:pt idx="113">
                  <c:v>760.08866980815606</c:v>
                </c:pt>
                <c:pt idx="114">
                  <c:v>760.12787217411596</c:v>
                </c:pt>
                <c:pt idx="115">
                  <c:v>759.90495172723502</c:v>
                </c:pt>
                <c:pt idx="116">
                  <c:v>759.65139395201004</c:v>
                </c:pt>
                <c:pt idx="117">
                  <c:v>758.83203277396206</c:v>
                </c:pt>
                <c:pt idx="118">
                  <c:v>758.30996785926004</c:v>
                </c:pt>
                <c:pt idx="119">
                  <c:v>758.50153581532902</c:v>
                </c:pt>
                <c:pt idx="120">
                  <c:v>758.42291222221195</c:v>
                </c:pt>
                <c:pt idx="121">
                  <c:v>758.39409782383098</c:v>
                </c:pt>
                <c:pt idx="122">
                  <c:v>758.28630946198598</c:v>
                </c:pt>
                <c:pt idx="123">
                  <c:v>757.91787250439097</c:v>
                </c:pt>
                <c:pt idx="124">
                  <c:v>756.653444016501</c:v>
                </c:pt>
                <c:pt idx="125">
                  <c:v>755.18299575253604</c:v>
                </c:pt>
                <c:pt idx="126">
                  <c:v>754.18465937431802</c:v>
                </c:pt>
                <c:pt idx="127">
                  <c:v>753.468255047605</c:v>
                </c:pt>
                <c:pt idx="128">
                  <c:v>753.53265606586206</c:v>
                </c:pt>
                <c:pt idx="129">
                  <c:v>752.81192436969502</c:v>
                </c:pt>
                <c:pt idx="130">
                  <c:v>752.01745988927803</c:v>
                </c:pt>
                <c:pt idx="131">
                  <c:v>751.46240213519695</c:v>
                </c:pt>
                <c:pt idx="132">
                  <c:v>751.61350922535496</c:v>
                </c:pt>
                <c:pt idx="133">
                  <c:v>751.34175746954998</c:v>
                </c:pt>
                <c:pt idx="134">
                  <c:v>751.34370293627205</c:v>
                </c:pt>
                <c:pt idx="135">
                  <c:v>751.498973209101</c:v>
                </c:pt>
                <c:pt idx="136">
                  <c:v>750.91192928423595</c:v>
                </c:pt>
                <c:pt idx="137">
                  <c:v>750.89361801650398</c:v>
                </c:pt>
                <c:pt idx="138">
                  <c:v>749.74150806912701</c:v>
                </c:pt>
                <c:pt idx="139">
                  <c:v>749.85349083339599</c:v>
                </c:pt>
                <c:pt idx="140">
                  <c:v>749.71315485187995</c:v>
                </c:pt>
                <c:pt idx="141">
                  <c:v>749.19541878162897</c:v>
                </c:pt>
                <c:pt idx="142">
                  <c:v>749.12841065391603</c:v>
                </c:pt>
                <c:pt idx="143">
                  <c:v>750.551434296298</c:v>
                </c:pt>
                <c:pt idx="144">
                  <c:v>751.42302592643603</c:v>
                </c:pt>
                <c:pt idx="145">
                  <c:v>751.75513731710396</c:v>
                </c:pt>
                <c:pt idx="146">
                  <c:v>752.47879843973897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513280"/>
        <c:axId val="274202624"/>
      </c:lineChart>
      <c:catAx>
        <c:axId val="272513280"/>
        <c:scaling>
          <c:orientation val="minMax"/>
        </c:scaling>
        <c:delete val="0"/>
        <c:axPos val="b"/>
        <c:majorTickMark val="out"/>
        <c:minorTickMark val="none"/>
        <c:tickLblPos val="nextTo"/>
        <c:crossAx val="27420262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7420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513280"/>
        <c:crosses val="autoZero"/>
        <c:crossBetween val="between"/>
      </c:valAx>
      <c:valAx>
        <c:axId val="2742041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274632704"/>
        <c:crosses val="max"/>
        <c:crossBetween val="between"/>
      </c:valAx>
      <c:catAx>
        <c:axId val="2746327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420416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13</xdr:col>
      <xdr:colOff>465917</xdr:colOff>
      <xdr:row>19</xdr:row>
      <xdr:rowOff>140073</xdr:rowOff>
    </xdr:from>
    <xdr:to>
      <xdr:col>18</xdr:col>
      <xdr:colOff>600138</xdr:colOff>
      <xdr:row>43</xdr:row>
      <xdr:rowOff>182407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215397</xdr:colOff>
      <xdr:row>43</xdr:row>
      <xdr:rowOff>96371</xdr:rowOff>
    </xdr:from>
    <xdr:to>
      <xdr:col>12</xdr:col>
      <xdr:colOff>717177</xdr:colOff>
      <xdr:row>45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Credit Availability Model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19</xdr:row>
      <xdr:rowOff>139451</xdr:rowOff>
    </xdr:from>
    <xdr:to>
      <xdr:col>13</xdr:col>
      <xdr:colOff>145676</xdr:colOff>
      <xdr:row>43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367795</xdr:colOff>
      <xdr:row>43</xdr:row>
      <xdr:rowOff>170329</xdr:rowOff>
    </xdr:from>
    <xdr:to>
      <xdr:col>10</xdr:col>
      <xdr:colOff>33618</xdr:colOff>
      <xdr:row>46</xdr:row>
      <xdr:rowOff>89647</xdr:rowOff>
    </xdr:to>
    <xdr:sp macro="" textlink="">
      <xdr:nvSpPr>
        <xdr:cNvPr id="9" name="TextBox 8"/>
        <xdr:cNvSpPr txBox="1"/>
      </xdr:nvSpPr>
      <xdr:spPr>
        <a:xfrm>
          <a:off x="1510795" y="8361829"/>
          <a:ext cx="6210058" cy="490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/>
            <a:t>Note: Based on Fannie</a:t>
          </a:r>
          <a:r>
            <a:rPr lang="en-US" sz="900" baseline="0"/>
            <a:t> and Freddie loan level data 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84666</xdr:colOff>
      <xdr:row>12</xdr:row>
      <xdr:rowOff>132293</xdr:rowOff>
    </xdr:from>
    <xdr:to>
      <xdr:col>16</xdr:col>
      <xdr:colOff>476250</xdr:colOff>
      <xdr:row>29</xdr:row>
      <xdr:rowOff>63500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105834</xdr:colOff>
      <xdr:row>29</xdr:row>
      <xdr:rowOff>177271</xdr:rowOff>
    </xdr:from>
    <xdr:to>
      <xdr:col>16</xdr:col>
      <xdr:colOff>391584</xdr:colOff>
      <xdr:row>46</xdr:row>
      <xdr:rowOff>108478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127000</xdr:colOff>
      <xdr:row>47</xdr:row>
      <xdr:rowOff>31750</xdr:rowOff>
    </xdr:from>
    <xdr:to>
      <xdr:col>16</xdr:col>
      <xdr:colOff>550333</xdr:colOff>
      <xdr:row>63</xdr:row>
      <xdr:rowOff>153457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533398</xdr:colOff>
      <xdr:row>12</xdr:row>
      <xdr:rowOff>169333</xdr:rowOff>
    </xdr:from>
    <xdr:to>
      <xdr:col>4</xdr:col>
      <xdr:colOff>67735</xdr:colOff>
      <xdr:row>26</xdr:row>
      <xdr:rowOff>158750</xdr:rowOff>
    </xdr:to>
    <xdr:grpSp>
      <xdr:nvGrpSpPr>
        <xdr:cNvPr id="17" name="Group 16"/>
        <xdr:cNvGrpSpPr/>
      </xdr:nvGrpSpPr>
      <xdr:grpSpPr>
        <a:xfrm>
          <a:off x="3644234" y="2342205"/>
          <a:ext cx="365474" cy="2533706"/>
          <a:chOff x="3323164" y="2455333"/>
          <a:chExt cx="349253" cy="2656417"/>
        </a:xfrm>
      </xdr:grpSpPr>
      <xdr:cxnSp macro="">
        <xdr:nvCxnSpPr>
          <xdr:cNvPr id="11" name="Straight Connector 10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2E398A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TextBox 11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OLTV</a:t>
            </a:r>
          </a:p>
        </xdr:txBody>
      </xdr:sp>
    </xdr:grpSp>
    <xdr:clientData/>
  </xdr:twoCellAnchor>
  <xdr:twoCellAnchor>
    <xdr:from>
      <xdr:col>3</xdr:col>
      <xdr:colOff>533398</xdr:colOff>
      <xdr:row>30</xdr:row>
      <xdr:rowOff>99483</xdr:rowOff>
    </xdr:from>
    <xdr:to>
      <xdr:col>4</xdr:col>
      <xdr:colOff>67735</xdr:colOff>
      <xdr:row>44</xdr:row>
      <xdr:rowOff>88900</xdr:rowOff>
    </xdr:to>
    <xdr:grpSp>
      <xdr:nvGrpSpPr>
        <xdr:cNvPr id="18" name="Group 17"/>
        <xdr:cNvGrpSpPr/>
      </xdr:nvGrpSpPr>
      <xdr:grpSpPr>
        <a:xfrm>
          <a:off x="3644234" y="5546904"/>
          <a:ext cx="365474" cy="2533705"/>
          <a:chOff x="3323164" y="2455333"/>
          <a:chExt cx="349253" cy="2656417"/>
        </a:xfrm>
      </xdr:grpSpPr>
      <xdr:cxnSp macro="">
        <xdr:nvCxnSpPr>
          <xdr:cNvPr id="19" name="Straight Connector 18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AD27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DTI</a:t>
            </a:r>
          </a:p>
        </xdr:txBody>
      </xdr:sp>
    </xdr:grpSp>
    <xdr:clientData/>
  </xdr:twoCellAnchor>
  <xdr:twoCellAnchor>
    <xdr:from>
      <xdr:col>3</xdr:col>
      <xdr:colOff>533398</xdr:colOff>
      <xdr:row>47</xdr:row>
      <xdr:rowOff>103722</xdr:rowOff>
    </xdr:from>
    <xdr:to>
      <xdr:col>4</xdr:col>
      <xdr:colOff>67735</xdr:colOff>
      <xdr:row>61</xdr:row>
      <xdr:rowOff>93139</xdr:rowOff>
    </xdr:to>
    <xdr:grpSp>
      <xdr:nvGrpSpPr>
        <xdr:cNvPr id="21" name="Group 20"/>
        <xdr:cNvGrpSpPr/>
      </xdr:nvGrpSpPr>
      <xdr:grpSpPr>
        <a:xfrm>
          <a:off x="3644234" y="8639031"/>
          <a:ext cx="365474" cy="2534467"/>
          <a:chOff x="3323164" y="2455333"/>
          <a:chExt cx="349253" cy="2656417"/>
        </a:xfrm>
      </xdr:grpSpPr>
      <xdr:cxnSp macro="">
        <xdr:nvCxnSpPr>
          <xdr:cNvPr id="22" name="Straight Connector 21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1B7A7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TextBox 22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FICO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Query from Agency_6" backgroundRefresh="0" adjustColumnWidth="0" connectionId="7" autoFormatId="16" applyNumberFormats="0" applyBorderFormats="0" applyFontFormats="0" applyPatternFormats="0" applyAlignmentFormats="0" applyWidthHeightFormats="0">
  <queryTableRefresh nextId="86" unboundColumnsRight="2">
    <queryTableFields count="4">
      <queryTableField id="51" name="AsOfDate" tableColumnId="10"/>
      <queryTableField id="68" name="SeriesNumValue" tableColumnId="5"/>
      <queryTableField id="85" dataBound="0" tableColumnId="1"/>
      <queryTableField id="83" dataBound="0" tableColumnId="2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4.xml><?xml version="1.0" encoding="utf-8"?>
<queryTable xmlns="http://schemas.openxmlformats.org/spreadsheetml/2006/main" name="Query from Agency_9" backgroundRefresh="0" adjustColumnWidth="0" connectionId="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5.xml><?xml version="1.0" encoding="utf-8"?>
<queryTable xmlns="http://schemas.openxmlformats.org/spreadsheetml/2006/main" name="Query from Agency_10" backgroundRefresh="0" adjustColumnWidth="0" connectionId="3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11" backgroundRefresh="0" adjustColumnWidth="0" connectionId="6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8" autoFormatId="16" applyNumberFormats="0" applyBorderFormats="0" applyFontFormats="0" applyPatternFormats="0" applyAlignmentFormats="0" applyWidthHeightFormats="0">
  <queryTableRefresh nextId="93" unboundColumnsRight="9">
    <queryTableFields count="11">
      <queryTableField id="51" name="AsOfDate" tableColumnId="10"/>
      <queryTableField id="68" name="SeriesNumValue" tableColumnId="5"/>
      <queryTableField id="85" dataBound="0" tableColumnId="1"/>
      <queryTableField id="83" dataBound="0" tableColumnId="2"/>
      <queryTableField id="86" dataBound="0" tableColumnId="3"/>
      <queryTableField id="87" dataBound="0" tableColumnId="4"/>
      <queryTableField id="88" dataBound="0" tableColumnId="6"/>
      <queryTableField id="89" dataBound="0" tableColumnId="7"/>
      <queryTableField id="90" dataBound="0" tableColumnId="8"/>
      <queryTableField id="91" dataBound="0" tableColumnId="9"/>
      <queryTableField id="92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7" name="CurrentMtgRatesDataTable8" displayName="CurrentMtgRatesDataTable8" ref="A4:D151" tableType="queryTable" totalsRowShown="0" headerRowDxfId="48" dataDxfId="47">
  <tableColumns count="4">
    <tableColumn id="10" uniqueName="10" name="asofdate" queryTableFieldId="51" dataDxfId="32" dataCellStyle="Normal 2 7"/>
    <tableColumn id="5" uniqueName="5" name="SeriesNumValue" queryTableFieldId="68" dataDxfId="31"/>
    <tableColumn id="1" uniqueName="1" name="Month" queryTableFieldId="85" dataDxfId="30">
      <calculatedColumnFormula>YEAR(CurrentMtgRatesDataTable8[[#This Row],[asofdate]])&amp;"-"&amp;MONTH(CurrentMtgRatesDataTable8[[#This Row],[asofdate]])</calculatedColumnFormula>
    </tableColumn>
    <tableColumn id="2" uniqueName="2" name="Index" queryTableFieldId="83" dataDxfId="29" dataCellStyle="Normal 2 7">
      <calculatedColumnFormula>((CurrentMtgRatesDataTable8[[#This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G4:I151" tableType="queryTable" totalsRowShown="0" headerRowDxfId="46" dataDxfId="45">
  <tableColumns count="3">
    <tableColumn id="10" uniqueName="10" name="asofdate" queryTableFieldId="51" dataDxfId="28" dataCellStyle="Normal 2 7"/>
    <tableColumn id="5" uniqueName="5" name="SeriesNumValue" queryTableFieldId="68" dataDxfId="27"/>
    <tableColumn id="1" uniqueName="1" name="% OLTV &gt; 90" queryTableFieldId="85" dataDxfId="26" dataCellStyle="Percent">
      <calculatedColumnFormula>VLOOKUP(CurrentMtgRatesDataTable82[[#This Row],[asofdate]],K:L,2,0)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3" displayName="CurrentMtgRatesDataTable83" ref="K4:L151" tableType="queryTable" totalsRowShown="0" headerRowDxfId="44" dataDxfId="43">
  <tableColumns count="2">
    <tableColumn id="10" uniqueName="10" name="asofdate" queryTableFieldId="51" dataDxfId="25" dataCellStyle="Normal 2 7"/>
    <tableColumn id="5" uniqueName="5" name="SeriesNumValue" queryTableFieldId="68" dataDxfId="24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4" displayName="CurrentMtgRatesDataTable84" ref="O4:Q151" tableType="queryTable" totalsRowShown="0" headerRowDxfId="42" dataDxfId="41">
  <tableColumns count="3">
    <tableColumn id="10" uniqueName="10" name="asofdate" queryTableFieldId="51" dataDxfId="23" dataCellStyle="Normal 2 7"/>
    <tableColumn id="5" uniqueName="5" name="SeriesNumValue" queryTableFieldId="68" dataDxfId="22"/>
    <tableColumn id="1" uniqueName="1" name="% DTI &gt; 40" queryTableFieldId="85" dataDxfId="21" dataCellStyle="Percent">
      <calculatedColumnFormula>VLOOKUP(CurrentMtgRatesDataTable84[[#This Row],[asofdate]],S:T,2,0)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CurrentMtgRatesDataTable85" displayName="CurrentMtgRatesDataTable85" ref="S4:T151" tableType="queryTable" totalsRowShown="0" headerRowDxfId="40" dataDxfId="39">
  <tableColumns count="2">
    <tableColumn id="10" uniqueName="10" name="asofdate" queryTableFieldId="51" dataDxfId="20" dataCellStyle="Normal 2 7"/>
    <tableColumn id="5" uniqueName="5" name="SeriesNumValue" queryTableFieldId="68" dataDxfId="1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6" displayName="CurrentMtgRatesDataTable86" ref="W4:Y151" tableType="queryTable" totalsRowShown="0" headerRowDxfId="38" dataDxfId="37">
  <tableColumns count="3">
    <tableColumn id="10" uniqueName="10" name="asofdate" queryTableFieldId="51" dataDxfId="18" dataCellStyle="Normal 2 7"/>
    <tableColumn id="5" uniqueName="5" name="SeriesNumValue" queryTableFieldId="68" dataDxfId="17"/>
    <tableColumn id="1" uniqueName="1" name="% FICO &lt; 700" queryTableFieldId="85" dataDxfId="16" dataCellStyle="Percent">
      <calculatedColumnFormula>VLOOKUP(CurrentMtgRatesDataTable86[[#This Row],[asofdate]],AA:AB,2,0)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CurrentMtgRatesDataTable87" displayName="CurrentMtgRatesDataTable87" ref="AA4:AB151" tableType="queryTable" totalsRowShown="0" headerRowDxfId="36" dataDxfId="35">
  <tableColumns count="2">
    <tableColumn id="10" uniqueName="10" name="asofdate" queryTableFieldId="51" dataDxfId="15" dataCellStyle="Normal 2 7"/>
    <tableColumn id="5" uniqueName="5" name="SeriesNumValue" queryTableFieldId="68" dataDxfId="1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9" displayName="CurrentMtgRatesDataTable89" ref="AE4:AO151" tableType="queryTable" totalsRowShown="0" headerRowDxfId="34" dataDxfId="33">
  <tableColumns count="11">
    <tableColumn id="10" uniqueName="10" name="asofdate" queryTableFieldId="51" dataDxfId="10" dataCellStyle="Normal 2 7"/>
    <tableColumn id="5" uniqueName="5" name="SeriesNumValue" queryTableFieldId="68" dataDxfId="9"/>
    <tableColumn id="1" uniqueName="1" name="Month" queryTableFieldId="85" dataDxfId="8">
      <calculatedColumnFormula>YEAR(CurrentMtgRatesDataTable89[[#This Row],[asofdate]])&amp;"-"&amp;MONTH(CurrentMtgRatesDataTable89[[#This Row],[asofdate]])</calculatedColumnFormula>
    </tableColumn>
    <tableColumn id="2" uniqueName="2" name="Index" queryTableFieldId="83" dataDxfId="7" dataCellStyle="Normal 2 7">
      <calculatedColumnFormula>((CurrentMtgRatesDataTable89[[#This Row],[SeriesNumValue]]-$D$1)/$D$1+1)*100</calculatedColumnFormula>
    </tableColumn>
    <tableColumn id="3" uniqueName="3" name="Changes" queryTableFieldId="86" dataDxfId="6" dataCellStyle="Normal 2 7">
      <calculatedColumnFormula>CurrentMtgRatesDataTable89[[#This Row],[Index]]-AH6</calculatedColumnFormula>
    </tableColumn>
    <tableColumn id="4" uniqueName="4" name="OLTV Mean" queryTableFieldId="87" dataDxfId="5" dataCellStyle="Normal 2 7">
      <calculatedColumnFormula>VLOOKUP(CurrentMtgRatesDataTable89[[#This Row],[asofdate]],G:H,2,0)</calculatedColumnFormula>
    </tableColumn>
    <tableColumn id="6" uniqueName="6" name="% OLTV &gt; 90" queryTableFieldId="88" dataDxfId="4" dataCellStyle="Normal 2 7">
      <calculatedColumnFormula>VLOOKUP(CurrentMtgRatesDataTable89[[#This Row],[asofdate]],K:L,2,0)</calculatedColumnFormula>
    </tableColumn>
    <tableColumn id="7" uniqueName="7" name="DTI Mean" queryTableFieldId="89" dataDxfId="3" dataCellStyle="Normal 2 7">
      <calculatedColumnFormula>VLOOKUP(CurrentMtgRatesDataTable89[[#This Row],[asofdate]],O:P,2,0)</calculatedColumnFormula>
    </tableColumn>
    <tableColumn id="8" uniqueName="8" name="% DTI &gt; 40" queryTableFieldId="90" dataDxfId="2" dataCellStyle="Normal 2 7">
      <calculatedColumnFormula>VLOOKUP(CurrentMtgRatesDataTable89[[#This Row],[asofdate]],S:T,2,0)</calculatedColumnFormula>
    </tableColumn>
    <tableColumn id="9" uniqueName="9" name="FICO Mean" queryTableFieldId="91" dataDxfId="1" dataCellStyle="Normal 2 7">
      <calculatedColumnFormula>VLOOKUP(CurrentMtgRatesDataTable89[[#This Row],[asofdate]],W:X,2,0)</calculatedColumnFormula>
    </tableColumn>
    <tableColumn id="11" uniqueName="11" name="% FICO &lt; 700" queryTableFieldId="92" dataDxfId="0" dataCellStyle="Normal 2 7">
      <calculatedColumnFormula>VLOOKUP(CurrentMtgRatesDataTable89[[#This Row],[asofdate]],AA:AB,2,0)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63"/>
  <sheetViews>
    <sheetView showGridLines="0" tabSelected="1" zoomScale="85" zoomScaleNormal="85" workbookViewId="0">
      <selection activeCell="X40" sqref="X40"/>
    </sheetView>
  </sheetViews>
  <sheetFormatPr defaultRowHeight="15"/>
  <cols>
    <col min="2" max="2" width="8.140625" customWidth="1"/>
    <col min="3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178</v>
      </c>
      <c r="Y1" t="s">
        <v>1</v>
      </c>
      <c r="Z1" s="2" t="s">
        <v>4</v>
      </c>
    </row>
    <row r="2" spans="23:26">
      <c r="W2" s="1" t="s">
        <v>2</v>
      </c>
      <c r="X2" s="3">
        <v>42236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"Credit Availability " &amp; TEXT(CurrentCloseDate, "yyyy-mm-dd") &amp; ".pdf"</f>
        <v>S:\IT\Production\Daily Reports\Primary Market\tmp\Credit Availability 2015-08-20.pdf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42236</v>
      </c>
      <c r="Y8" s="9"/>
    </row>
    <row r="9" spans="23:26">
      <c r="W9" t="s">
        <v>26</v>
      </c>
      <c r="X9" s="9">
        <f>LastSurveyDate-1</f>
        <v>42235</v>
      </c>
    </row>
    <row r="11" spans="23:26">
      <c r="W11" t="s">
        <v>163</v>
      </c>
      <c r="X11" s="9">
        <f>IF(DAY(CurrentCloseDate)&lt;35,(CurrentCloseDate-DAY(CurrentCloseDate))-DAY((CurrentCloseDate-DAY(CurrentCloseDate)))+1,CurrentCloseDate-DAY(CurrentCloseDate)+1)</f>
        <v>42186</v>
      </c>
    </row>
    <row r="12" spans="23:26">
      <c r="X12" s="9">
        <f>IF(DAY(CurrentCloseDate)&lt;32,(CurrentCloseDate-DAY(CurrentCloseDate))-DAY((CurrentCloseDate-DAY(CurrentCloseDate)))+1,CurrentCloseDate-DAY(CurrentCloseDate)+1)</f>
        <v>42186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42156</v>
      </c>
    </row>
    <row r="48" spans="3:12">
      <c r="C48" s="15" t="s">
        <v>172</v>
      </c>
      <c r="L48" s="15" t="s">
        <v>173</v>
      </c>
    </row>
    <row r="49" spans="3:19" s="23" customFormat="1">
      <c r="C49" s="19"/>
      <c r="D49" s="20" t="s">
        <v>158</v>
      </c>
      <c r="E49" s="21" t="str">
        <f>CurrentMtgRatesDataTable89[[#Headers],[OLTV Mean]]</f>
        <v>OLTV Mean</v>
      </c>
      <c r="F49" s="20" t="str">
        <f>CurrentMtgRatesDataTable89[[#Headers],[% OLTV &gt; 90]]</f>
        <v>% OLTV &gt; 90</v>
      </c>
      <c r="G49" s="21" t="str">
        <f>CurrentMtgRatesDataTable89[[#Headers],[DTI Mean]]</f>
        <v>DTI Mean</v>
      </c>
      <c r="H49" s="20" t="str">
        <f>CurrentMtgRatesDataTable89[[#Headers],[% DTI &gt; 40]]</f>
        <v>% DTI &gt; 40</v>
      </c>
      <c r="I49" s="21" t="str">
        <f>CurrentMtgRatesDataTable89[[#Headers],[FICO Mean]]</f>
        <v>FICO Mean</v>
      </c>
      <c r="J49" s="20" t="str">
        <f>CurrentMtgRatesDataTable89[[#Headers],[% FICO &lt; 700]]</f>
        <v>% FICO &lt; 700</v>
      </c>
      <c r="K49" s="22"/>
      <c r="L49" s="19"/>
      <c r="M49" s="20" t="s">
        <v>158</v>
      </c>
      <c r="N49" s="21" t="str">
        <f>CurrentMtgRatesDataTable89[[#Headers],[OLTV Mean]]</f>
        <v>OLTV Mean</v>
      </c>
      <c r="O49" s="20" t="str">
        <f>CurrentMtgRatesDataTable89[[#Headers],[% OLTV &gt; 90]]</f>
        <v>% OLTV &gt; 90</v>
      </c>
      <c r="P49" s="21" t="str">
        <f>CurrentMtgRatesDataTable89[[#Headers],[DTI Mean]]</f>
        <v>DTI Mean</v>
      </c>
      <c r="Q49" s="20" t="str">
        <f>CurrentMtgRatesDataTable89[[#Headers],[% DTI &gt; 40]]</f>
        <v>% DTI &gt; 40</v>
      </c>
      <c r="R49" s="21" t="str">
        <f>CurrentMtgRatesDataTable89[[#Headers],[FICO Mean]]</f>
        <v>FICO Mean</v>
      </c>
      <c r="S49" s="20" t="str">
        <f>CurrentMtgRatesDataTable89[[#Headers],[% FICO &lt; 700]]</f>
        <v>% FICO &lt; 700</v>
      </c>
    </row>
    <row r="50" spans="3:19">
      <c r="C50" s="13" t="str">
        <f>'Time Series Query'!AG5</f>
        <v>2015-7</v>
      </c>
      <c r="D50" s="13">
        <f>'Time Series Query'!AH5</f>
        <v>109.72039931324066</v>
      </c>
      <c r="E50" s="24">
        <f>'Time Series Query'!AJ5</f>
        <v>83.002963149384598</v>
      </c>
      <c r="F50" s="25">
        <f>'Time Series Query'!AK5</f>
        <v>0.32916665260221001</v>
      </c>
      <c r="G50" s="24">
        <f>'Time Series Query'!AL5</f>
        <v>34.176472196339503</v>
      </c>
      <c r="H50" s="25">
        <f>'Time Series Query'!AM5</f>
        <v>0.28482112233552798</v>
      </c>
      <c r="I50" s="24">
        <f>'Time Series Query'!AN5</f>
        <v>752.47879843973897</v>
      </c>
      <c r="J50" s="25">
        <f>'Time Series Query'!AO5</f>
        <v>0.138264539709097</v>
      </c>
      <c r="L50" s="13" t="str">
        <f>C50</f>
        <v>2015-7</v>
      </c>
      <c r="M50" s="13">
        <f>'Time Series Query'!AI5</f>
        <v>-9.237159696622669</v>
      </c>
      <c r="N50" s="14">
        <f>'Time Series Query'!AJ5-'Time Series Query'!AJ6</f>
        <v>2.1054635265898014E-2</v>
      </c>
      <c r="O50" s="18">
        <f>'Time Series Query'!AK5-'Time Series Query'!AK6</f>
        <v>2.7093469615502297E-4</v>
      </c>
      <c r="P50" s="14">
        <f>'Time Series Query'!AL5-'Time Series Query'!AL6</f>
        <v>-0.30438799966629659</v>
      </c>
      <c r="Q50" s="18">
        <f>'Time Series Query'!AM5-'Time Series Query'!AM6</f>
        <v>-1.2243401090670014E-2</v>
      </c>
      <c r="R50" s="14">
        <f>'Time Series Query'!AN5-'Time Series Query'!AN6</f>
        <v>0.72366112263500781</v>
      </c>
      <c r="S50" s="18">
        <f>'Time Series Query'!AO5-'Time Series Query'!AO6</f>
        <v>-3.8188348759959911E-3</v>
      </c>
    </row>
    <row r="51" spans="3:19">
      <c r="C51" s="13" t="str">
        <f>'Time Series Query'!AG6</f>
        <v>2015-6</v>
      </c>
      <c r="D51" s="13">
        <f>'Time Series Query'!AH6</f>
        <v>118.95755900986333</v>
      </c>
      <c r="E51" s="24">
        <f>'Time Series Query'!AJ6</f>
        <v>82.9819085141187</v>
      </c>
      <c r="F51" s="25">
        <f>'Time Series Query'!AK6</f>
        <v>0.32889571790605499</v>
      </c>
      <c r="G51" s="24">
        <f>'Time Series Query'!AL6</f>
        <v>34.4808601960058</v>
      </c>
      <c r="H51" s="25">
        <f>'Time Series Query'!AM6</f>
        <v>0.29706452342619799</v>
      </c>
      <c r="I51" s="24">
        <f>'Time Series Query'!AN6</f>
        <v>751.75513731710396</v>
      </c>
      <c r="J51" s="25">
        <f>'Time Series Query'!AO6</f>
        <v>0.14208337458509299</v>
      </c>
      <c r="L51" s="13" t="str">
        <f t="shared" ref="L51:L62" si="0">C51</f>
        <v>2015-6</v>
      </c>
      <c r="M51" s="13">
        <f>'Time Series Query'!AI6</f>
        <v>-0.44259907693866296</v>
      </c>
      <c r="N51" s="14">
        <f>'Time Series Query'!AJ6-'Time Series Query'!AJ7</f>
        <v>6.7656891898707272E-2</v>
      </c>
      <c r="O51" s="18">
        <f>'Time Series Query'!AK6-'Time Series Query'!AK7</f>
        <v>-1.6115843952202447E-4</v>
      </c>
      <c r="P51" s="14">
        <f>'Time Series Query'!AL6-'Time Series Query'!AL7</f>
        <v>-0.12748538236110107</v>
      </c>
      <c r="Q51" s="18">
        <f>'Time Series Query'!AM6-'Time Series Query'!AM7</f>
        <v>-5.0357539183220057E-3</v>
      </c>
      <c r="R51" s="14">
        <f>'Time Series Query'!AN6-'Time Series Query'!AN7</f>
        <v>0.33211139066793294</v>
      </c>
      <c r="S51" s="18">
        <f>'Time Series Query'!AO6-'Time Series Query'!AO7</f>
        <v>5.6312422834992049E-5</v>
      </c>
    </row>
    <row r="52" spans="3:19">
      <c r="C52" s="13" t="str">
        <f>'Time Series Query'!AG7</f>
        <v>2015-5</v>
      </c>
      <c r="D52" s="13">
        <f>'Time Series Query'!AH7</f>
        <v>119.40015808680199</v>
      </c>
      <c r="E52" s="24">
        <f>'Time Series Query'!AJ7</f>
        <v>82.914251622219993</v>
      </c>
      <c r="F52" s="25">
        <f>'Time Series Query'!AK7</f>
        <v>0.32905687634557701</v>
      </c>
      <c r="G52" s="24">
        <f>'Time Series Query'!AL7</f>
        <v>34.608345578366901</v>
      </c>
      <c r="H52" s="25">
        <f>'Time Series Query'!AM7</f>
        <v>0.30210027734452</v>
      </c>
      <c r="I52" s="24">
        <f>'Time Series Query'!AN7</f>
        <v>751.42302592643603</v>
      </c>
      <c r="J52" s="25">
        <f>'Time Series Query'!AO7</f>
        <v>0.14202706216225799</v>
      </c>
      <c r="L52" s="13" t="str">
        <f t="shared" si="0"/>
        <v>2015-5</v>
      </c>
      <c r="M52" s="13">
        <f>'Time Series Query'!AI7</f>
        <v>1.1986894263626766</v>
      </c>
      <c r="N52" s="14">
        <f>'Time Series Query'!AJ7-'Time Series Query'!AJ8</f>
        <v>-2.9794525013102202E-2</v>
      </c>
      <c r="O52" s="18">
        <f>'Time Series Query'!AK7-'Time Series Query'!AK8</f>
        <v>-3.6557366854600426E-4</v>
      </c>
      <c r="P52" s="14">
        <f>'Time Series Query'!AL7-'Time Series Query'!AL8</f>
        <v>1.6468285166901353E-2</v>
      </c>
      <c r="Q52" s="18">
        <f>'Time Series Query'!AM7-'Time Series Query'!AM8</f>
        <v>-1.0042954993200182E-4</v>
      </c>
      <c r="R52" s="14">
        <f>'Time Series Query'!AN7-'Time Series Query'!AN8</f>
        <v>0.87159163013802754</v>
      </c>
      <c r="S52" s="18">
        <f>'Time Series Query'!AO7-'Time Series Query'!AO8</f>
        <v>-4.9574089439640145E-3</v>
      </c>
    </row>
    <row r="53" spans="3:19">
      <c r="C53" s="13" t="str">
        <f>'Time Series Query'!AG8</f>
        <v>2015-4</v>
      </c>
      <c r="D53" s="13">
        <f>'Time Series Query'!AH8</f>
        <v>118.20146866043932</v>
      </c>
      <c r="E53" s="24">
        <f>'Time Series Query'!AJ8</f>
        <v>82.944046147233095</v>
      </c>
      <c r="F53" s="25">
        <f>'Time Series Query'!AK8</f>
        <v>0.32942245001412301</v>
      </c>
      <c r="G53" s="24">
        <f>'Time Series Query'!AL8</f>
        <v>34.5918772932</v>
      </c>
      <c r="H53" s="25">
        <f>'Time Series Query'!AM8</f>
        <v>0.302200706894452</v>
      </c>
      <c r="I53" s="24">
        <f>'Time Series Query'!AN8</f>
        <v>750.551434296298</v>
      </c>
      <c r="J53" s="25">
        <f>'Time Series Query'!AO8</f>
        <v>0.14698447110622201</v>
      </c>
      <c r="L53" s="13" t="str">
        <f t="shared" si="0"/>
        <v>2015-4</v>
      </c>
      <c r="M53" s="13">
        <f>'Time Series Query'!AI8</f>
        <v>-10.819160289196006</v>
      </c>
      <c r="N53" s="14">
        <f>'Time Series Query'!AJ8-'Time Series Query'!AJ9</f>
        <v>0.2736336914016988</v>
      </c>
      <c r="O53" s="18">
        <f>'Time Series Query'!AK8-'Time Series Query'!AK9</f>
        <v>9.9761590245310283E-3</v>
      </c>
      <c r="P53" s="14">
        <f>'Time Series Query'!AL8-'Time Series Query'!AL9</f>
        <v>-0.43828972515790099</v>
      </c>
      <c r="Q53" s="18">
        <f>'Time Series Query'!AM8-'Time Series Query'!AM9</f>
        <v>-2.0389638891013029E-2</v>
      </c>
      <c r="R53" s="14">
        <f>'Time Series Query'!AN8-'Time Series Query'!AN9</f>
        <v>1.4230236423819633</v>
      </c>
      <c r="S53" s="18">
        <f>'Time Series Query'!AO8-'Time Series Query'!AO9</f>
        <v>-1.3772427053274999E-2</v>
      </c>
    </row>
    <row r="54" spans="3:19">
      <c r="C54" s="13" t="str">
        <f>'Time Series Query'!AG9</f>
        <v>2015-3</v>
      </c>
      <c r="D54" s="13">
        <f>'Time Series Query'!AH9</f>
        <v>129.02062894963532</v>
      </c>
      <c r="E54" s="24">
        <f>'Time Series Query'!AJ9</f>
        <v>82.670412455831396</v>
      </c>
      <c r="F54" s="25">
        <f>'Time Series Query'!AK9</f>
        <v>0.31944629098959199</v>
      </c>
      <c r="G54" s="24">
        <f>'Time Series Query'!AL9</f>
        <v>35.030167018357901</v>
      </c>
      <c r="H54" s="25">
        <f>'Time Series Query'!AM9</f>
        <v>0.32259034578546503</v>
      </c>
      <c r="I54" s="24">
        <f>'Time Series Query'!AN9</f>
        <v>749.12841065391603</v>
      </c>
      <c r="J54" s="25">
        <f>'Time Series Query'!AO9</f>
        <v>0.16075689815949701</v>
      </c>
      <c r="L54" s="13" t="str">
        <f t="shared" si="0"/>
        <v>2015-3</v>
      </c>
      <c r="M54" s="13">
        <f>'Time Series Query'!AI9</f>
        <v>-0.99549242061868881</v>
      </c>
      <c r="N54" s="14">
        <f>'Time Series Query'!AJ9-'Time Series Query'!AJ10</f>
        <v>-0.12702983581560545</v>
      </c>
      <c r="O54" s="18">
        <f>'Time Series Query'!AK9-'Time Series Query'!AK10</f>
        <v>-6.9493984954790422E-3</v>
      </c>
      <c r="P54" s="14">
        <f>'Time Series Query'!AL9-'Time Series Query'!AL10</f>
        <v>5.3075351905803814E-2</v>
      </c>
      <c r="Q54" s="18">
        <f>'Time Series Query'!AM9-'Time Series Query'!AM10</f>
        <v>3.6749042811030086E-3</v>
      </c>
      <c r="R54" s="14">
        <f>'Time Series Query'!AN9-'Time Series Query'!AN10</f>
        <v>-6.7008127712938403E-2</v>
      </c>
      <c r="S54" s="18">
        <f>'Time Series Query'!AO9-'Time Series Query'!AO10</f>
        <v>2.5529283929709989E-3</v>
      </c>
    </row>
    <row r="55" spans="3:19">
      <c r="C55" s="13" t="str">
        <f>'Time Series Query'!AG10</f>
        <v>2015-2</v>
      </c>
      <c r="D55" s="13">
        <f>'Time Series Query'!AH10</f>
        <v>130.01612137025401</v>
      </c>
      <c r="E55" s="24">
        <f>'Time Series Query'!AJ10</f>
        <v>82.797442291647002</v>
      </c>
      <c r="F55" s="25">
        <f>'Time Series Query'!AK10</f>
        <v>0.32639568948507103</v>
      </c>
      <c r="G55" s="24">
        <f>'Time Series Query'!AL10</f>
        <v>34.977091666452097</v>
      </c>
      <c r="H55" s="25">
        <f>'Time Series Query'!AM10</f>
        <v>0.31891544150436202</v>
      </c>
      <c r="I55" s="24">
        <f>'Time Series Query'!AN10</f>
        <v>749.19541878162897</v>
      </c>
      <c r="J55" s="25">
        <f>'Time Series Query'!AO10</f>
        <v>0.15820396976652601</v>
      </c>
      <c r="L55" s="13" t="str">
        <f t="shared" si="0"/>
        <v>2015-2</v>
      </c>
      <c r="M55" s="13">
        <f>'Time Series Query'!AI10</f>
        <v>5.5776888994633396</v>
      </c>
      <c r="N55" s="14">
        <f>'Time Series Query'!AJ10-'Time Series Query'!AJ11</f>
        <v>7.0895140954704061E-2</v>
      </c>
      <c r="O55" s="18">
        <f>'Time Series Query'!AK10-'Time Series Query'!AK11</f>
        <v>6.1025018509510143E-3</v>
      </c>
      <c r="P55" s="14">
        <f>'Time Series Query'!AL10-'Time Series Query'!AL11</f>
        <v>0.15258183236129952</v>
      </c>
      <c r="Q55" s="18">
        <f>'Time Series Query'!AM10-'Time Series Query'!AM11</f>
        <v>6.7142382520420374E-3</v>
      </c>
      <c r="R55" s="14">
        <f>'Time Series Query'!AN10-'Time Series Query'!AN11</f>
        <v>-0.5177360702509759</v>
      </c>
      <c r="S55" s="18">
        <f>'Time Series Query'!AO10-'Time Series Query'!AO11</f>
        <v>2.6157648327280181E-3</v>
      </c>
    </row>
    <row r="56" spans="3:19">
      <c r="C56" s="13" t="str">
        <f>'Time Series Query'!AG11</f>
        <v>2015-1</v>
      </c>
      <c r="D56" s="13">
        <f>'Time Series Query'!AH11</f>
        <v>124.43843247079067</v>
      </c>
      <c r="E56" s="24">
        <f>'Time Series Query'!AJ11</f>
        <v>82.726547150692298</v>
      </c>
      <c r="F56" s="25">
        <f>'Time Series Query'!AK11</f>
        <v>0.32029318763412001</v>
      </c>
      <c r="G56" s="24">
        <f>'Time Series Query'!AL11</f>
        <v>34.824509834090797</v>
      </c>
      <c r="H56" s="25">
        <f>'Time Series Query'!AM11</f>
        <v>0.31220120325231998</v>
      </c>
      <c r="I56" s="24">
        <f>'Time Series Query'!AN11</f>
        <v>749.71315485187995</v>
      </c>
      <c r="J56" s="25">
        <f>'Time Series Query'!AO11</f>
        <v>0.15558820493379799</v>
      </c>
      <c r="L56" s="13" t="str">
        <f t="shared" si="0"/>
        <v>2015-1</v>
      </c>
      <c r="M56" s="13">
        <f>'Time Series Query'!AI11</f>
        <v>-1.2149666502266712</v>
      </c>
      <c r="N56" s="14">
        <f>'Time Series Query'!AJ11-'Time Series Query'!AJ12</f>
        <v>7.8383429340092903E-2</v>
      </c>
      <c r="O56" s="18">
        <f>'Time Series Query'!AK11-'Time Series Query'!AK12</f>
        <v>2.0285526061060155E-3</v>
      </c>
      <c r="P56" s="14">
        <f>'Time Series Query'!AL11-'Time Series Query'!AL12</f>
        <v>-2.1505244861003803E-2</v>
      </c>
      <c r="Q56" s="18">
        <f>'Time Series Query'!AM11-'Time Series Query'!AM12</f>
        <v>-2.5347460925401188E-4</v>
      </c>
      <c r="R56" s="14">
        <f>'Time Series Query'!AN11-'Time Series Query'!AN12</f>
        <v>-0.14033598151604565</v>
      </c>
      <c r="S56" s="18">
        <f>'Time Series Query'!AO11-'Time Series Query'!AO12</f>
        <v>8.8540173103199282E-4</v>
      </c>
    </row>
    <row r="57" spans="3:19">
      <c r="C57" s="13" t="str">
        <f>'Time Series Query'!AG12</f>
        <v>2014-12</v>
      </c>
      <c r="D57" s="13">
        <f>'Time Series Query'!AH12</f>
        <v>125.65339912101734</v>
      </c>
      <c r="E57" s="24">
        <f>'Time Series Query'!AJ12</f>
        <v>82.648163721352205</v>
      </c>
      <c r="F57" s="25">
        <f>'Time Series Query'!AK12</f>
        <v>0.318264635028014</v>
      </c>
      <c r="G57" s="24">
        <f>'Time Series Query'!AL12</f>
        <v>34.846015078951801</v>
      </c>
      <c r="H57" s="25">
        <f>'Time Series Query'!AM12</f>
        <v>0.31245467786157399</v>
      </c>
      <c r="I57" s="24">
        <f>'Time Series Query'!AN12</f>
        <v>749.85349083339599</v>
      </c>
      <c r="J57" s="25">
        <f>'Time Series Query'!AO12</f>
        <v>0.154702803202766</v>
      </c>
      <c r="L57" s="13" t="str">
        <f t="shared" si="0"/>
        <v>2014-12</v>
      </c>
      <c r="M57" s="13">
        <f>'Time Series Query'!AI12</f>
        <v>2.6500484790566645</v>
      </c>
      <c r="N57" s="14">
        <f>'Time Series Query'!AJ12-'Time Series Query'!AJ13</f>
        <v>-0.15572053522279816</v>
      </c>
      <c r="O57" s="18">
        <f>'Time Series Query'!AK12-'Time Series Query'!AK13</f>
        <v>-4.2832394593930179E-3</v>
      </c>
      <c r="P57" s="14">
        <f>'Time Series Query'!AL12-'Time Series Query'!AL13</f>
        <v>4.7931738127601875E-2</v>
      </c>
      <c r="Q57" s="18">
        <f>'Time Series Query'!AM12-'Time Series Query'!AM13</f>
        <v>3.0363127827099934E-3</v>
      </c>
      <c r="R57" s="14">
        <f>'Time Series Query'!AN12-'Time Series Query'!AN13</f>
        <v>0.11198276426898701</v>
      </c>
      <c r="S57" s="18">
        <f>'Time Series Query'!AO12-'Time Series Query'!AO13</f>
        <v>-1.4146780150940119E-3</v>
      </c>
    </row>
    <row r="58" spans="3:19">
      <c r="C58" s="13" t="str">
        <f>'Time Series Query'!AG13</f>
        <v>2014-11</v>
      </c>
      <c r="D58" s="13">
        <f>'Time Series Query'!AH13</f>
        <v>123.00335064196068</v>
      </c>
      <c r="E58" s="24">
        <f>'Time Series Query'!AJ13</f>
        <v>82.803884256575003</v>
      </c>
      <c r="F58" s="25">
        <f>'Time Series Query'!AK13</f>
        <v>0.32254787448740702</v>
      </c>
      <c r="G58" s="24">
        <f>'Time Series Query'!AL13</f>
        <v>34.798083340824199</v>
      </c>
      <c r="H58" s="25">
        <f>'Time Series Query'!AM13</f>
        <v>0.309418365078864</v>
      </c>
      <c r="I58" s="24">
        <f>'Time Series Query'!AN13</f>
        <v>749.74150806912701</v>
      </c>
      <c r="J58" s="25">
        <f>'Time Series Query'!AO13</f>
        <v>0.15611748121786001</v>
      </c>
      <c r="L58" s="13" t="str">
        <f t="shared" si="0"/>
        <v>2014-11</v>
      </c>
      <c r="M58" s="13">
        <f>'Time Series Query'!AI13</f>
        <v>3.7901319208433364</v>
      </c>
      <c r="N58" s="14">
        <f>'Time Series Query'!AJ13-'Time Series Query'!AJ14</f>
        <v>8.2113372746604796E-2</v>
      </c>
      <c r="O58" s="18">
        <f>'Time Series Query'!AK13-'Time Series Query'!AK14</f>
        <v>6.8742497332109909E-3</v>
      </c>
      <c r="P58" s="14">
        <f>'Time Series Query'!AL13-'Time Series Query'!AL14</f>
        <v>0.18889138165249619</v>
      </c>
      <c r="Q58" s="18">
        <f>'Time Series Query'!AM13-'Time Series Query'!AM14</f>
        <v>8.1368697244790233E-3</v>
      </c>
      <c r="R58" s="14">
        <f>'Time Series Query'!AN13-'Time Series Query'!AN14</f>
        <v>-1.1521099473769709</v>
      </c>
      <c r="S58" s="18">
        <f>'Time Series Query'!AO13-'Time Series Query'!AO14</f>
        <v>8.7307010589090239E-3</v>
      </c>
    </row>
    <row r="59" spans="3:19">
      <c r="C59" s="13" t="str">
        <f>'Time Series Query'!AG14</f>
        <v>2014-10</v>
      </c>
      <c r="D59" s="13">
        <f>'Time Series Query'!AH14</f>
        <v>119.21321872111734</v>
      </c>
      <c r="E59" s="24">
        <f>'Time Series Query'!AJ14</f>
        <v>82.721770883828398</v>
      </c>
      <c r="F59" s="25">
        <f>'Time Series Query'!AK14</f>
        <v>0.31567362475419602</v>
      </c>
      <c r="G59" s="24">
        <f>'Time Series Query'!AL14</f>
        <v>34.609191959171703</v>
      </c>
      <c r="H59" s="25">
        <f>'Time Series Query'!AM14</f>
        <v>0.30128149535438498</v>
      </c>
      <c r="I59" s="24">
        <f>'Time Series Query'!AN14</f>
        <v>750.89361801650398</v>
      </c>
      <c r="J59" s="25">
        <f>'Time Series Query'!AO14</f>
        <v>0.14738678015895099</v>
      </c>
      <c r="L59" s="13" t="str">
        <f t="shared" si="0"/>
        <v>2014-10</v>
      </c>
      <c r="M59" s="13">
        <f>'Time Series Query'!AI14</f>
        <v>0.49197567056067726</v>
      </c>
      <c r="N59" s="14">
        <f>'Time Series Query'!AJ14-'Time Series Query'!AJ15</f>
        <v>2.9560646909899901E-2</v>
      </c>
      <c r="O59" s="18">
        <f>'Time Series Query'!AK14-'Time Series Query'!AK15</f>
        <v>3.3498610886890101E-3</v>
      </c>
      <c r="P59" s="14">
        <f>'Time Series Query'!AL14-'Time Series Query'!AL15</f>
        <v>0.16492098755930584</v>
      </c>
      <c r="Q59" s="18">
        <f>'Time Series Query'!AM14-'Time Series Query'!AM15</f>
        <v>8.745661053014997E-3</v>
      </c>
      <c r="R59" s="14">
        <f>'Time Series Query'!AN14-'Time Series Query'!AN15</f>
        <v>-1.8311267731974112E-2</v>
      </c>
      <c r="S59" s="18">
        <f>'Time Series Query'!AO14-'Time Series Query'!AO15</f>
        <v>7.4610783187598062E-4</v>
      </c>
    </row>
    <row r="60" spans="3:19">
      <c r="C60" s="13" t="str">
        <f>'Time Series Query'!AG15</f>
        <v>2014-9</v>
      </c>
      <c r="D60" s="13">
        <f>'Time Series Query'!AH15</f>
        <v>118.72124305055667</v>
      </c>
      <c r="E60" s="24">
        <f>'Time Series Query'!AJ15</f>
        <v>82.692210236918498</v>
      </c>
      <c r="F60" s="25">
        <f>'Time Series Query'!AK15</f>
        <v>0.31232376366550701</v>
      </c>
      <c r="G60" s="24">
        <f>'Time Series Query'!AL15</f>
        <v>34.444270971612397</v>
      </c>
      <c r="H60" s="25">
        <f>'Time Series Query'!AM15</f>
        <v>0.29253583430136998</v>
      </c>
      <c r="I60" s="24">
        <f>'Time Series Query'!AN15</f>
        <v>750.91192928423595</v>
      </c>
      <c r="J60" s="25">
        <f>'Time Series Query'!AO15</f>
        <v>0.14664067232707501</v>
      </c>
      <c r="L60" s="13" t="str">
        <f t="shared" si="0"/>
        <v>2014-9</v>
      </c>
      <c r="M60" s="13">
        <f>'Time Series Query'!AI15</f>
        <v>-0.11322836864734143</v>
      </c>
      <c r="N60" s="14">
        <f>'Time Series Query'!AJ15-'Time Series Query'!AJ16</f>
        <v>-6.4497367556697327E-2</v>
      </c>
      <c r="O60" s="18">
        <f>'Time Series Query'!AK15-'Time Series Query'!AK16</f>
        <v>-4.7971272933429732E-3</v>
      </c>
      <c r="P60" s="14">
        <f>'Time Series Query'!AL15-'Time Series Query'!AL16</f>
        <v>0.1215315726392987</v>
      </c>
      <c r="Q60" s="18">
        <f>'Time Series Query'!AM15-'Time Series Query'!AM16</f>
        <v>3.4325559713669906E-3</v>
      </c>
      <c r="R60" s="14">
        <f>'Time Series Query'!AN15-'Time Series Query'!AN16</f>
        <v>-0.58704392486504275</v>
      </c>
      <c r="S60" s="18">
        <f>'Time Series Query'!AO15-'Time Series Query'!AO16</f>
        <v>4.5501690700389952E-3</v>
      </c>
    </row>
    <row r="61" spans="3:19">
      <c r="C61" s="13" t="str">
        <f>'Time Series Query'!AG16</f>
        <v>2014-8</v>
      </c>
      <c r="D61" s="13">
        <f>'Time Series Query'!AH16</f>
        <v>118.83447141920401</v>
      </c>
      <c r="E61" s="24">
        <f>'Time Series Query'!AJ16</f>
        <v>82.756707604475196</v>
      </c>
      <c r="F61" s="25">
        <f>'Time Series Query'!AK16</f>
        <v>0.31712089095884999</v>
      </c>
      <c r="G61" s="24">
        <f>'Time Series Query'!AL16</f>
        <v>34.322739398973098</v>
      </c>
      <c r="H61" s="25">
        <f>'Time Series Query'!AM16</f>
        <v>0.28910327833000299</v>
      </c>
      <c r="I61" s="24">
        <f>'Time Series Query'!AN16</f>
        <v>751.498973209101</v>
      </c>
      <c r="J61" s="25">
        <f>'Time Series Query'!AO16</f>
        <v>0.14209050325703601</v>
      </c>
      <c r="L61" s="13" t="str">
        <f t="shared" si="0"/>
        <v>2014-8</v>
      </c>
      <c r="M61" s="13">
        <f>'Time Series Query'!AI16</f>
        <v>-5.0739057982933389</v>
      </c>
      <c r="N61" s="14">
        <f>'Time Series Query'!AJ16-'Time Series Query'!AJ17</f>
        <v>-6.397834268410918E-2</v>
      </c>
      <c r="O61" s="18">
        <f>'Time Series Query'!AK16-'Time Series Query'!AK17</f>
        <v>-1.770074825293011E-3</v>
      </c>
      <c r="P61" s="14">
        <f>'Time Series Query'!AL16-'Time Series Query'!AL17</f>
        <v>-0.14591885533010185</v>
      </c>
      <c r="Q61" s="18">
        <f>'Time Series Query'!AM16-'Time Series Query'!AM17</f>
        <v>-3.1697787516979936E-3</v>
      </c>
      <c r="R61" s="14">
        <f>'Time Series Query'!AN16-'Time Series Query'!AN17</f>
        <v>0.15527027282894323</v>
      </c>
      <c r="S61" s="18">
        <f>'Time Series Query'!AO16-'Time Series Query'!AO17</f>
        <v>-7.0341335663998139E-4</v>
      </c>
    </row>
    <row r="62" spans="3:19">
      <c r="C62" s="13" t="str">
        <f>'Time Series Query'!AG17</f>
        <v>2014-7</v>
      </c>
      <c r="D62" s="13">
        <f>'Time Series Query'!AH17</f>
        <v>123.90837721749735</v>
      </c>
      <c r="E62" s="24">
        <f>'Time Series Query'!AJ17</f>
        <v>82.820685947159305</v>
      </c>
      <c r="F62" s="25">
        <f>'Time Series Query'!AK17</f>
        <v>0.318890965784143</v>
      </c>
      <c r="G62" s="24">
        <f>'Time Series Query'!AL17</f>
        <v>34.4686582543032</v>
      </c>
      <c r="H62" s="25">
        <f>'Time Series Query'!AM17</f>
        <v>0.29227305708170098</v>
      </c>
      <c r="I62" s="24">
        <f>'Time Series Query'!AN17</f>
        <v>751.34370293627205</v>
      </c>
      <c r="J62" s="25">
        <f>'Time Series Query'!AO17</f>
        <v>0.14279391661367599</v>
      </c>
      <c r="L62" s="13" t="str">
        <f t="shared" si="0"/>
        <v>2014-7</v>
      </c>
      <c r="M62" s="13">
        <f>'Time Series Query'!AI17</f>
        <v>3.3578951789013445</v>
      </c>
      <c r="N62" s="14">
        <f>'Time Series Query'!AJ17-'Time Series Query'!AJ18</f>
        <v>0.14628324897481093</v>
      </c>
      <c r="O62" s="18">
        <f>'Time Series Query'!AK17-'Time Series Query'!AK18</f>
        <v>3.6004491435340236E-3</v>
      </c>
      <c r="P62" s="14">
        <f>'Time Series Query'!AL17-'Time Series Query'!AL18</f>
        <v>-0.19019800578239909</v>
      </c>
      <c r="Q62" s="18">
        <f>'Time Series Query'!AM17-'Time Series Query'!AM18</f>
        <v>-6.5600763869240186E-3</v>
      </c>
      <c r="R62" s="14">
        <f>'Time Series Query'!AN17-'Time Series Query'!AN18</f>
        <v>1.9454667220770716E-3</v>
      </c>
      <c r="S62" s="18">
        <f>'Time Series Query'!AO17-'Time Series Query'!AO18</f>
        <v>2.3879020004629881E-3</v>
      </c>
    </row>
    <row r="63" spans="3:19">
      <c r="C63" t="s">
        <v>171</v>
      </c>
    </row>
  </sheetData>
  <conditionalFormatting sqref="M50:O62">
    <cfRule type="cellIs" dxfId="13" priority="34" operator="lessThan">
      <formula>0</formula>
    </cfRule>
  </conditionalFormatting>
  <conditionalFormatting sqref="D50:D62">
    <cfRule type="colorScale" priority="24">
      <colorScale>
        <cfvo type="min"/>
        <cfvo type="max"/>
        <color theme="0"/>
        <color theme="3" tint="0.59999389629810485"/>
      </colorScale>
    </cfRule>
  </conditionalFormatting>
  <conditionalFormatting sqref="E50:E62">
    <cfRule type="colorScale" priority="21">
      <colorScale>
        <cfvo type="min"/>
        <cfvo type="max"/>
        <color theme="0"/>
        <color theme="3" tint="0.59999389629810485"/>
      </colorScale>
    </cfRule>
  </conditionalFormatting>
  <conditionalFormatting sqref="F50:F62">
    <cfRule type="colorScale" priority="19">
      <colorScale>
        <cfvo type="min"/>
        <cfvo type="max"/>
        <color theme="0"/>
        <color theme="3" tint="0.59999389629810485"/>
      </colorScale>
    </cfRule>
  </conditionalFormatting>
  <conditionalFormatting sqref="G50:G62">
    <cfRule type="colorScale" priority="10">
      <colorScale>
        <cfvo type="min"/>
        <cfvo type="max"/>
        <color theme="0"/>
        <color theme="3" tint="0.59999389629810485"/>
      </colorScale>
    </cfRule>
  </conditionalFormatting>
  <conditionalFormatting sqref="H50:H62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I50:I62">
    <cfRule type="colorScale" priority="6">
      <colorScale>
        <cfvo type="min"/>
        <cfvo type="max"/>
        <color theme="3" tint="0.59999389629810485"/>
        <color theme="0"/>
      </colorScale>
    </cfRule>
  </conditionalFormatting>
  <conditionalFormatting sqref="J50:J62">
    <cfRule type="colorScale" priority="4">
      <colorScale>
        <cfvo type="min"/>
        <cfvo type="max"/>
        <color theme="0"/>
        <color theme="3" tint="0.59999389629810485"/>
      </colorScale>
    </cfRule>
  </conditionalFormatting>
  <conditionalFormatting sqref="P50:Q62">
    <cfRule type="cellIs" dxfId="12" priority="3" operator="lessThan">
      <formula>0</formula>
    </cfRule>
  </conditionalFormatting>
  <conditionalFormatting sqref="R50:S62">
    <cfRule type="cellIs" dxfId="11" priority="2" operator="lessThan">
      <formula>0</formula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59" orientation="landscape" horizontalDpi="1200" verticalDpi="1200" r:id="rId1"/>
  <headerFooter scaleWithDoc="0">
    <oddHeader>&amp;L&amp;G&amp;C&amp;"-,Bold"&amp;10&amp;K2E398A
&amp;15Credit Availability Index&amp;R&amp;"-,Bold"&amp;10&amp;K2E398A
As of 08/20/2015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  <pageSetUpPr fitToPage="1"/>
  </sheetPr>
  <dimension ref="A1"/>
  <sheetViews>
    <sheetView showGridLines="0" topLeftCell="A11" zoomScale="90" zoomScaleNormal="90" workbookViewId="0">
      <selection activeCell="S55" sqref="S55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/>
  <pageMargins left="0.25" right="0.25" top="0.255" bottom="0.25" header="0.1" footer="0.1"/>
  <pageSetup scale="65" orientation="landscape" horizontalDpi="300" verticalDpi="300" r:id="rId1"/>
  <headerFooter scaleWithDoc="0">
    <oddHeader xml:space="preserve">&amp;L&amp;G&amp;C&amp;"-,Bold"&amp;15&amp;K2E398A
Credit Availability Index - Components Analysis&amp;R&amp;"-,Bold"&amp;10&amp;K2E398A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O263"/>
  <sheetViews>
    <sheetView topLeftCell="J1" workbookViewId="0">
      <selection activeCell="AJ5" sqref="AJ5"/>
    </sheetView>
  </sheetViews>
  <sheetFormatPr defaultRowHeight="15"/>
  <cols>
    <col min="1" max="8" width="10" style="5" customWidth="1"/>
    <col min="9" max="9" width="10" style="26" customWidth="1"/>
    <col min="10" max="11" width="10" style="5" customWidth="1"/>
    <col min="12" max="12" width="10" style="26" customWidth="1"/>
    <col min="13" max="16" width="10" style="5" customWidth="1"/>
    <col min="17" max="17" width="10" style="30" customWidth="1"/>
    <col min="18" max="24" width="10" style="5" customWidth="1"/>
    <col min="25" max="25" width="10" style="26" customWidth="1"/>
    <col min="26" max="28" width="10" style="5" customWidth="1"/>
    <col min="29" max="29" width="12.28515625" style="5" customWidth="1"/>
    <col min="30" max="16384" width="9.140625" style="5"/>
  </cols>
  <sheetData>
    <row r="1" spans="1:41">
      <c r="C1" s="5" t="s">
        <v>166</v>
      </c>
      <c r="D1" s="5">
        <v>1.4999999999999999E-2</v>
      </c>
    </row>
    <row r="3" spans="1:41" ht="21">
      <c r="A3" s="17" t="s">
        <v>34</v>
      </c>
      <c r="G3" s="17" t="s">
        <v>175</v>
      </c>
      <c r="K3" s="17" t="s">
        <v>174</v>
      </c>
      <c r="O3" s="17" t="s">
        <v>159</v>
      </c>
      <c r="S3" s="17" t="s">
        <v>160</v>
      </c>
      <c r="W3" s="17" t="s">
        <v>161</v>
      </c>
      <c r="AA3" s="17" t="s">
        <v>162</v>
      </c>
      <c r="AE3" s="17" t="s">
        <v>164</v>
      </c>
    </row>
    <row r="4" spans="1:41" s="12" customFormat="1">
      <c r="A4" s="12" t="s">
        <v>32</v>
      </c>
      <c r="B4" s="12" t="s">
        <v>5</v>
      </c>
      <c r="C4" s="16" t="s">
        <v>163</v>
      </c>
      <c r="D4" s="16" t="s">
        <v>158</v>
      </c>
      <c r="E4"/>
      <c r="G4" s="12" t="s">
        <v>32</v>
      </c>
      <c r="H4" s="12" t="s">
        <v>5</v>
      </c>
      <c r="I4" s="12" t="s">
        <v>176</v>
      </c>
      <c r="K4" s="12" t="s">
        <v>32</v>
      </c>
      <c r="L4" s="28" t="s">
        <v>5</v>
      </c>
      <c r="O4" s="12" t="s">
        <v>32</v>
      </c>
      <c r="P4" s="12" t="s">
        <v>5</v>
      </c>
      <c r="Q4" s="12" t="s">
        <v>170</v>
      </c>
      <c r="S4" s="12" t="s">
        <v>32</v>
      </c>
      <c r="T4" s="12" t="s">
        <v>5</v>
      </c>
      <c r="W4" s="12" t="s">
        <v>32</v>
      </c>
      <c r="X4" s="12" t="s">
        <v>5</v>
      </c>
      <c r="Y4" s="28" t="s">
        <v>169</v>
      </c>
      <c r="AA4" s="12" t="s">
        <v>32</v>
      </c>
      <c r="AB4" s="12" t="s">
        <v>5</v>
      </c>
      <c r="AE4" s="12" t="s">
        <v>32</v>
      </c>
      <c r="AF4" s="12" t="s">
        <v>5</v>
      </c>
      <c r="AG4" s="16" t="s">
        <v>163</v>
      </c>
      <c r="AH4" s="16" t="s">
        <v>158</v>
      </c>
      <c r="AI4" s="12" t="s">
        <v>165</v>
      </c>
      <c r="AJ4" s="12" t="s">
        <v>177</v>
      </c>
      <c r="AK4" s="12" t="s">
        <v>176</v>
      </c>
      <c r="AL4" s="12" t="s">
        <v>167</v>
      </c>
      <c r="AM4" s="12" t="s">
        <v>170</v>
      </c>
      <c r="AN4" s="12" t="s">
        <v>168</v>
      </c>
      <c r="AO4" s="12" t="s">
        <v>169</v>
      </c>
    </row>
    <row r="5" spans="1:41" s="6" customFormat="1" ht="12.75">
      <c r="A5" s="7" t="s">
        <v>33</v>
      </c>
      <c r="B5" s="11">
        <v>2.1503360827248699E-2</v>
      </c>
      <c r="C5" s="11" t="str">
        <f>YEAR(CurrentMtgRatesDataTable8[[#This Row],[asofdate]])&amp;"-"&amp;MONTH(CurrentMtgRatesDataTable8[[#This Row],[asofdate]])</f>
        <v>2003-5</v>
      </c>
      <c r="D5" s="6">
        <f>((CurrentMtgRatesDataTable8[[#This Row],[SeriesNumValue]]-$D$1)/$D$1+1)*100</f>
        <v>143.35573884832468</v>
      </c>
      <c r="G5" s="7" t="s">
        <v>33</v>
      </c>
      <c r="H5" s="11">
        <v>81.538852649696196</v>
      </c>
      <c r="I5" s="26">
        <f>VLOOKUP(CurrentMtgRatesDataTable82[[#This Row],[asofdate]],K:L,2,0)</f>
        <v>0.27376208038861399</v>
      </c>
      <c r="K5" s="7" t="s">
        <v>33</v>
      </c>
      <c r="L5" s="26">
        <v>0.27376208038861399</v>
      </c>
      <c r="O5" s="7" t="s">
        <v>33</v>
      </c>
      <c r="P5" s="11">
        <v>33.491005416991001</v>
      </c>
      <c r="Q5" s="29">
        <f>VLOOKUP(CurrentMtgRatesDataTable84[[#This Row],[asofdate]],S:T,2,0)</f>
        <v>1.32135014796563E-2</v>
      </c>
      <c r="S5" s="7" t="s">
        <v>33</v>
      </c>
      <c r="T5" s="11">
        <v>1.32135014796563E-2</v>
      </c>
      <c r="W5" s="7" t="s">
        <v>33</v>
      </c>
      <c r="X5" s="11">
        <v>721.81850787939095</v>
      </c>
      <c r="Y5" s="26">
        <f>VLOOKUP(CurrentMtgRatesDataTable86[[#This Row],[asofdate]],AA:AB,2,0)</f>
        <v>0.32555257693198197</v>
      </c>
      <c r="AA5" s="7" t="s">
        <v>33</v>
      </c>
      <c r="AB5" s="11">
        <v>0.32555257693198197</v>
      </c>
      <c r="AE5" s="7" t="s">
        <v>179</v>
      </c>
      <c r="AF5" s="11">
        <v>1.6458059896986101E-2</v>
      </c>
      <c r="AG5" s="11" t="str">
        <f>YEAR(CurrentMtgRatesDataTable89[[#This Row],[asofdate]])&amp;"-"&amp;MONTH(CurrentMtgRatesDataTable89[[#This Row],[asofdate]])</f>
        <v>2015-7</v>
      </c>
      <c r="AH5" s="6">
        <f>((CurrentMtgRatesDataTable89[[#This Row],[SeriesNumValue]]-$D$1)/$D$1+1)*100</f>
        <v>109.72039931324066</v>
      </c>
      <c r="AI5" s="6">
        <f>CurrentMtgRatesDataTable89[[#This Row],[Index]]-AH6</f>
        <v>-9.237159696622669</v>
      </c>
      <c r="AJ5" s="6">
        <f>VLOOKUP(CurrentMtgRatesDataTable89[[#This Row],[asofdate]],G:H,2,0)</f>
        <v>83.002963149384598</v>
      </c>
      <c r="AK5" s="6">
        <f>VLOOKUP(CurrentMtgRatesDataTable89[[#This Row],[asofdate]],K:L,2,0)</f>
        <v>0.32916665260221001</v>
      </c>
      <c r="AL5" s="6">
        <f>VLOOKUP(CurrentMtgRatesDataTable89[[#This Row],[asofdate]],O:P,2,0)</f>
        <v>34.176472196339503</v>
      </c>
      <c r="AM5" s="6">
        <f>VLOOKUP(CurrentMtgRatesDataTable89[[#This Row],[asofdate]],S:T,2,0)</f>
        <v>0.28482112233552798</v>
      </c>
      <c r="AN5" s="6">
        <f>VLOOKUP(CurrentMtgRatesDataTable89[[#This Row],[asofdate]],W:X,2,0)</f>
        <v>752.47879843973897</v>
      </c>
      <c r="AO5" s="6">
        <f>VLOOKUP(CurrentMtgRatesDataTable89[[#This Row],[asofdate]],AA:AB,2,0)</f>
        <v>0.138264539709097</v>
      </c>
    </row>
    <row r="6" spans="1:41" s="6" customFormat="1" ht="12.75">
      <c r="A6" s="7" t="s">
        <v>35</v>
      </c>
      <c r="B6" s="10">
        <v>2.1014268088431001E-2</v>
      </c>
      <c r="C6" s="10" t="str">
        <f>YEAR(CurrentMtgRatesDataTable8[[#This Row],[asofdate]])&amp;"-"&amp;MONTH(CurrentMtgRatesDataTable8[[#This Row],[asofdate]])</f>
        <v>2003-6</v>
      </c>
      <c r="D6" s="6">
        <f>((CurrentMtgRatesDataTable8[[#This Row],[SeriesNumValue]]-$D$1)/$D$1+1)*100</f>
        <v>140.09512058954002</v>
      </c>
      <c r="G6" s="7" t="s">
        <v>35</v>
      </c>
      <c r="H6" s="10">
        <v>81.618502130391803</v>
      </c>
      <c r="I6" s="26">
        <f>VLOOKUP(CurrentMtgRatesDataTable82[[#This Row],[asofdate]],K:L,2,0)</f>
        <v>0.26817431712256601</v>
      </c>
      <c r="K6" s="7" t="s">
        <v>35</v>
      </c>
      <c r="L6" s="29">
        <v>0.26817431712256601</v>
      </c>
      <c r="O6" s="7" t="s">
        <v>35</v>
      </c>
      <c r="P6" s="10">
        <v>33.725544414496198</v>
      </c>
      <c r="Q6" s="29">
        <f>VLOOKUP(CurrentMtgRatesDataTable84[[#This Row],[asofdate]],S:T,2,0)</f>
        <v>1.1152224581714301E-2</v>
      </c>
      <c r="S6" s="7" t="s">
        <v>35</v>
      </c>
      <c r="T6" s="10">
        <v>1.1152224581714301E-2</v>
      </c>
      <c r="W6" s="7" t="s">
        <v>35</v>
      </c>
      <c r="X6" s="10">
        <v>722.76732830110905</v>
      </c>
      <c r="Y6" s="26">
        <f>VLOOKUP(CurrentMtgRatesDataTable86[[#This Row],[asofdate]],AA:AB,2,0)</f>
        <v>0.31742951631942301</v>
      </c>
      <c r="AA6" s="7" t="s">
        <v>35</v>
      </c>
      <c r="AB6" s="10">
        <v>0.31742951631942301</v>
      </c>
      <c r="AE6" s="7" t="s">
        <v>31</v>
      </c>
      <c r="AF6" s="10">
        <v>1.7843633851479499E-2</v>
      </c>
      <c r="AG6" s="10" t="str">
        <f>YEAR(CurrentMtgRatesDataTable89[[#This Row],[asofdate]])&amp;"-"&amp;MONTH(CurrentMtgRatesDataTable89[[#This Row],[asofdate]])</f>
        <v>2015-6</v>
      </c>
      <c r="AH6" s="6">
        <f>((CurrentMtgRatesDataTable89[[#This Row],[SeriesNumValue]]-$D$1)/$D$1+1)*100</f>
        <v>118.95755900986333</v>
      </c>
      <c r="AI6" s="6">
        <f>CurrentMtgRatesDataTable89[[#This Row],[Index]]-AH7</f>
        <v>-0.44259907693866296</v>
      </c>
      <c r="AJ6" s="6">
        <f>VLOOKUP(CurrentMtgRatesDataTable89[[#This Row],[asofdate]],G:H,2,0)</f>
        <v>82.9819085141187</v>
      </c>
      <c r="AK6" s="6">
        <f>VLOOKUP(CurrentMtgRatesDataTable89[[#This Row],[asofdate]],K:L,2,0)</f>
        <v>0.32889571790605499</v>
      </c>
      <c r="AL6" s="6">
        <f>VLOOKUP(CurrentMtgRatesDataTable89[[#This Row],[asofdate]],O:P,2,0)</f>
        <v>34.4808601960058</v>
      </c>
      <c r="AM6" s="6">
        <f>VLOOKUP(CurrentMtgRatesDataTable89[[#This Row],[asofdate]],S:T,2,0)</f>
        <v>0.29706452342619799</v>
      </c>
      <c r="AN6" s="6">
        <f>VLOOKUP(CurrentMtgRatesDataTable89[[#This Row],[asofdate]],W:X,2,0)</f>
        <v>751.75513731710396</v>
      </c>
      <c r="AO6" s="6">
        <f>VLOOKUP(CurrentMtgRatesDataTable89[[#This Row],[asofdate]],AA:AB,2,0)</f>
        <v>0.14208337458509299</v>
      </c>
    </row>
    <row r="7" spans="1:41" s="6" customFormat="1" ht="12.75">
      <c r="A7" s="7" t="s">
        <v>36</v>
      </c>
      <c r="B7" s="10">
        <v>2.2630247439423299E-2</v>
      </c>
      <c r="C7" s="10" t="str">
        <f>YEAR(CurrentMtgRatesDataTable8[[#This Row],[asofdate]])&amp;"-"&amp;MONTH(CurrentMtgRatesDataTable8[[#This Row],[asofdate]])</f>
        <v>2003-7</v>
      </c>
      <c r="D7" s="6">
        <f>((CurrentMtgRatesDataTable8[[#This Row],[SeriesNumValue]]-$D$1)/$D$1+1)*100</f>
        <v>150.86831626282199</v>
      </c>
      <c r="G7" s="7" t="s">
        <v>36</v>
      </c>
      <c r="H7" s="10">
        <v>81.557650650953207</v>
      </c>
      <c r="I7" s="26">
        <f>VLOOKUP(CurrentMtgRatesDataTable82[[#This Row],[asofdate]],K:L,2,0)</f>
        <v>0.271915360199874</v>
      </c>
      <c r="K7" s="7" t="s">
        <v>36</v>
      </c>
      <c r="L7" s="29">
        <v>0.271915360199874</v>
      </c>
      <c r="O7" s="7" t="s">
        <v>36</v>
      </c>
      <c r="P7" s="10">
        <v>34.144864022931102</v>
      </c>
      <c r="Q7" s="29">
        <f>VLOOKUP(CurrentMtgRatesDataTable84[[#This Row],[asofdate]],S:T,2,0)</f>
        <v>1.2643328295785501E-2</v>
      </c>
      <c r="S7" s="7" t="s">
        <v>36</v>
      </c>
      <c r="T7" s="10">
        <v>1.2643328295785501E-2</v>
      </c>
      <c r="W7" s="7" t="s">
        <v>36</v>
      </c>
      <c r="X7" s="10">
        <v>722.25913495194504</v>
      </c>
      <c r="Y7" s="26">
        <f>VLOOKUP(CurrentMtgRatesDataTable86[[#This Row],[asofdate]],AA:AB,2,0)</f>
        <v>0.32364561822268501</v>
      </c>
      <c r="AA7" s="7" t="s">
        <v>36</v>
      </c>
      <c r="AB7" s="10">
        <v>0.32364561822268501</v>
      </c>
      <c r="AE7" s="7" t="s">
        <v>30</v>
      </c>
      <c r="AF7" s="10">
        <v>1.79100237130203E-2</v>
      </c>
      <c r="AG7" s="10" t="str">
        <f>YEAR(CurrentMtgRatesDataTable89[[#This Row],[asofdate]])&amp;"-"&amp;MONTH(CurrentMtgRatesDataTable89[[#This Row],[asofdate]])</f>
        <v>2015-5</v>
      </c>
      <c r="AH7" s="6">
        <f>((CurrentMtgRatesDataTable89[[#This Row],[SeriesNumValue]]-$D$1)/$D$1+1)*100</f>
        <v>119.40015808680199</v>
      </c>
      <c r="AI7" s="6">
        <f>CurrentMtgRatesDataTable89[[#This Row],[Index]]-AH8</f>
        <v>1.1986894263626766</v>
      </c>
      <c r="AJ7" s="6">
        <f>VLOOKUP(CurrentMtgRatesDataTable89[[#This Row],[asofdate]],G:H,2,0)</f>
        <v>82.914251622219993</v>
      </c>
      <c r="AK7" s="6">
        <f>VLOOKUP(CurrentMtgRatesDataTable89[[#This Row],[asofdate]],K:L,2,0)</f>
        <v>0.32905687634557701</v>
      </c>
      <c r="AL7" s="6">
        <f>VLOOKUP(CurrentMtgRatesDataTable89[[#This Row],[asofdate]],O:P,2,0)</f>
        <v>34.608345578366901</v>
      </c>
      <c r="AM7" s="6">
        <f>VLOOKUP(CurrentMtgRatesDataTable89[[#This Row],[asofdate]],S:T,2,0)</f>
        <v>0.30210027734452</v>
      </c>
      <c r="AN7" s="6">
        <f>VLOOKUP(CurrentMtgRatesDataTable89[[#This Row],[asofdate]],W:X,2,0)</f>
        <v>751.42302592643603</v>
      </c>
      <c r="AO7" s="6">
        <f>VLOOKUP(CurrentMtgRatesDataTable89[[#This Row],[asofdate]],AA:AB,2,0)</f>
        <v>0.14202706216225799</v>
      </c>
    </row>
    <row r="8" spans="1:41" s="6" customFormat="1" ht="12.75">
      <c r="A8" s="7" t="s">
        <v>37</v>
      </c>
      <c r="B8" s="10">
        <v>2.1572375642371501E-2</v>
      </c>
      <c r="C8" s="10" t="str">
        <f>YEAR(CurrentMtgRatesDataTable8[[#This Row],[asofdate]])&amp;"-"&amp;MONTH(CurrentMtgRatesDataTable8[[#This Row],[asofdate]])</f>
        <v>2003-8</v>
      </c>
      <c r="D8" s="6">
        <f>((CurrentMtgRatesDataTable8[[#This Row],[SeriesNumValue]]-$D$1)/$D$1+1)*100</f>
        <v>143.81583761581001</v>
      </c>
      <c r="G8" s="7" t="s">
        <v>37</v>
      </c>
      <c r="H8" s="10">
        <v>81.296483519552396</v>
      </c>
      <c r="I8" s="26">
        <f>VLOOKUP(CurrentMtgRatesDataTable82[[#This Row],[asofdate]],K:L,2,0)</f>
        <v>0.26159531298609601</v>
      </c>
      <c r="K8" s="7" t="s">
        <v>37</v>
      </c>
      <c r="L8" s="29">
        <v>0.26159531298609601</v>
      </c>
      <c r="O8" s="7" t="s">
        <v>37</v>
      </c>
      <c r="P8" s="10">
        <v>33.501180220584502</v>
      </c>
      <c r="Q8" s="29">
        <f>VLOOKUP(CurrentMtgRatesDataTable84[[#This Row],[asofdate]],S:T,2,0)</f>
        <v>1.3216576425238401E-2</v>
      </c>
      <c r="S8" s="7" t="s">
        <v>37</v>
      </c>
      <c r="T8" s="10">
        <v>1.3216576425238401E-2</v>
      </c>
      <c r="W8" s="7" t="s">
        <v>37</v>
      </c>
      <c r="X8" s="10">
        <v>724.12904796089799</v>
      </c>
      <c r="Y8" s="26">
        <f>VLOOKUP(CurrentMtgRatesDataTable86[[#This Row],[asofdate]],AA:AB,2,0)</f>
        <v>0.310151776706795</v>
      </c>
      <c r="AA8" s="7" t="s">
        <v>37</v>
      </c>
      <c r="AB8" s="10">
        <v>0.310151776706795</v>
      </c>
      <c r="AE8" s="7" t="s">
        <v>29</v>
      </c>
      <c r="AF8" s="10">
        <v>1.7730220299065898E-2</v>
      </c>
      <c r="AG8" s="10" t="str">
        <f>YEAR(CurrentMtgRatesDataTable89[[#This Row],[asofdate]])&amp;"-"&amp;MONTH(CurrentMtgRatesDataTable89[[#This Row],[asofdate]])</f>
        <v>2015-4</v>
      </c>
      <c r="AH8" s="6">
        <f>((CurrentMtgRatesDataTable89[[#This Row],[SeriesNumValue]]-$D$1)/$D$1+1)*100</f>
        <v>118.20146866043932</v>
      </c>
      <c r="AI8" s="6">
        <f>CurrentMtgRatesDataTable89[[#This Row],[Index]]-AH9</f>
        <v>-10.819160289196006</v>
      </c>
      <c r="AJ8" s="6">
        <f>VLOOKUP(CurrentMtgRatesDataTable89[[#This Row],[asofdate]],G:H,2,0)</f>
        <v>82.944046147233095</v>
      </c>
      <c r="AK8" s="6">
        <f>VLOOKUP(CurrentMtgRatesDataTable89[[#This Row],[asofdate]],K:L,2,0)</f>
        <v>0.32942245001412301</v>
      </c>
      <c r="AL8" s="6">
        <f>VLOOKUP(CurrentMtgRatesDataTable89[[#This Row],[asofdate]],O:P,2,0)</f>
        <v>34.5918772932</v>
      </c>
      <c r="AM8" s="6">
        <f>VLOOKUP(CurrentMtgRatesDataTable89[[#This Row],[asofdate]],S:T,2,0)</f>
        <v>0.302200706894452</v>
      </c>
      <c r="AN8" s="6">
        <f>VLOOKUP(CurrentMtgRatesDataTable89[[#This Row],[asofdate]],W:X,2,0)</f>
        <v>750.551434296298</v>
      </c>
      <c r="AO8" s="6">
        <f>VLOOKUP(CurrentMtgRatesDataTable89[[#This Row],[asofdate]],AA:AB,2,0)</f>
        <v>0.14698447110622201</v>
      </c>
    </row>
    <row r="9" spans="1:41" s="6" customFormat="1" ht="12.75">
      <c r="A9" s="7" t="s">
        <v>38</v>
      </c>
      <c r="B9" s="10">
        <v>1.7521679101447599E-2</v>
      </c>
      <c r="C9" s="10" t="str">
        <f>YEAR(CurrentMtgRatesDataTable8[[#This Row],[asofdate]])&amp;"-"&amp;MONTH(CurrentMtgRatesDataTable8[[#This Row],[asofdate]])</f>
        <v>2003-9</v>
      </c>
      <c r="D9" s="6">
        <f>((CurrentMtgRatesDataTable8[[#This Row],[SeriesNumValue]]-$D$1)/$D$1+1)*100</f>
        <v>116.81119400965065</v>
      </c>
      <c r="G9" s="7" t="s">
        <v>38</v>
      </c>
      <c r="H9" s="10">
        <v>81.227017736325195</v>
      </c>
      <c r="I9" s="26">
        <f>VLOOKUP(CurrentMtgRatesDataTable82[[#This Row],[asofdate]],K:L,2,0)</f>
        <v>0.26227784163185702</v>
      </c>
      <c r="K9" s="7" t="s">
        <v>38</v>
      </c>
      <c r="L9" s="29">
        <v>0.26227784163185702</v>
      </c>
      <c r="O9" s="7" t="s">
        <v>38</v>
      </c>
      <c r="P9" s="10">
        <v>33.486119352874702</v>
      </c>
      <c r="Q9" s="29">
        <f>VLOOKUP(CurrentMtgRatesDataTable84[[#This Row],[asofdate]],S:T,2,0)</f>
        <v>1.3995634497627101E-2</v>
      </c>
      <c r="S9" s="7" t="s">
        <v>38</v>
      </c>
      <c r="T9" s="10">
        <v>1.3995634497627101E-2</v>
      </c>
      <c r="W9" s="7" t="s">
        <v>38</v>
      </c>
      <c r="X9" s="10">
        <v>724.69367741606698</v>
      </c>
      <c r="Y9" s="26">
        <f>VLOOKUP(CurrentMtgRatesDataTable86[[#This Row],[asofdate]],AA:AB,2,0)</f>
        <v>0.30671224499643901</v>
      </c>
      <c r="AA9" s="7" t="s">
        <v>38</v>
      </c>
      <c r="AB9" s="10">
        <v>0.30671224499643901</v>
      </c>
      <c r="AE9" s="7" t="s">
        <v>157</v>
      </c>
      <c r="AF9" s="10">
        <v>1.9353094342445299E-2</v>
      </c>
      <c r="AG9" s="10" t="str">
        <f>YEAR(CurrentMtgRatesDataTable89[[#This Row],[asofdate]])&amp;"-"&amp;MONTH(CurrentMtgRatesDataTable89[[#This Row],[asofdate]])</f>
        <v>2015-3</v>
      </c>
      <c r="AH9" s="6">
        <f>((CurrentMtgRatesDataTable89[[#This Row],[SeriesNumValue]]-$D$1)/$D$1+1)*100</f>
        <v>129.02062894963532</v>
      </c>
      <c r="AI9" s="6">
        <f>CurrentMtgRatesDataTable89[[#This Row],[Index]]-AH10</f>
        <v>-0.99549242061868881</v>
      </c>
      <c r="AJ9" s="6">
        <f>VLOOKUP(CurrentMtgRatesDataTable89[[#This Row],[asofdate]],G:H,2,0)</f>
        <v>82.670412455831396</v>
      </c>
      <c r="AK9" s="6">
        <f>VLOOKUP(CurrentMtgRatesDataTable89[[#This Row],[asofdate]],K:L,2,0)</f>
        <v>0.31944629098959199</v>
      </c>
      <c r="AL9" s="6">
        <f>VLOOKUP(CurrentMtgRatesDataTable89[[#This Row],[asofdate]],O:P,2,0)</f>
        <v>35.030167018357901</v>
      </c>
      <c r="AM9" s="6">
        <f>VLOOKUP(CurrentMtgRatesDataTable89[[#This Row],[asofdate]],S:T,2,0)</f>
        <v>0.32259034578546503</v>
      </c>
      <c r="AN9" s="6">
        <f>VLOOKUP(CurrentMtgRatesDataTable89[[#This Row],[asofdate]],W:X,2,0)</f>
        <v>749.12841065391603</v>
      </c>
      <c r="AO9" s="6">
        <f>VLOOKUP(CurrentMtgRatesDataTable89[[#This Row],[asofdate]],AA:AB,2,0)</f>
        <v>0.16075689815949701</v>
      </c>
    </row>
    <row r="10" spans="1:41" s="6" customFormat="1" ht="12.75">
      <c r="A10" s="7" t="s">
        <v>39</v>
      </c>
      <c r="B10" s="10">
        <v>1.65993963000538E-2</v>
      </c>
      <c r="C10" s="10" t="str">
        <f>YEAR(CurrentMtgRatesDataTable8[[#This Row],[asofdate]])&amp;"-"&amp;MONTH(CurrentMtgRatesDataTable8[[#This Row],[asofdate]])</f>
        <v>2003-10</v>
      </c>
      <c r="D10" s="6">
        <f>((CurrentMtgRatesDataTable8[[#This Row],[SeriesNumValue]]-$D$1)/$D$1+1)*100</f>
        <v>110.66264200035867</v>
      </c>
      <c r="G10" s="7" t="s">
        <v>39</v>
      </c>
      <c r="H10" s="10">
        <v>81.320760062110907</v>
      </c>
      <c r="I10" s="26">
        <f>VLOOKUP(CurrentMtgRatesDataTable82[[#This Row],[asofdate]],K:L,2,0)</f>
        <v>0.277259359255842</v>
      </c>
      <c r="K10" s="7" t="s">
        <v>39</v>
      </c>
      <c r="L10" s="29">
        <v>0.277259359255842</v>
      </c>
      <c r="O10" s="7" t="s">
        <v>39</v>
      </c>
      <c r="P10" s="10">
        <v>34.340700588560999</v>
      </c>
      <c r="Q10" s="29">
        <f>VLOOKUP(CurrentMtgRatesDataTable84[[#This Row],[asofdate]],S:T,2,0)</f>
        <v>1.60589800396303E-2</v>
      </c>
      <c r="S10" s="7" t="s">
        <v>39</v>
      </c>
      <c r="T10" s="10">
        <v>1.60589800396303E-2</v>
      </c>
      <c r="W10" s="7" t="s">
        <v>39</v>
      </c>
      <c r="X10" s="10">
        <v>722.36621872594401</v>
      </c>
      <c r="Y10" s="26">
        <f>VLOOKUP(CurrentMtgRatesDataTable86[[#This Row],[asofdate]],AA:AB,2,0)</f>
        <v>0.32553899803949699</v>
      </c>
      <c r="AA10" s="7" t="s">
        <v>39</v>
      </c>
      <c r="AB10" s="10">
        <v>0.32553899803949699</v>
      </c>
      <c r="AE10" s="7" t="s">
        <v>156</v>
      </c>
      <c r="AF10" s="10">
        <v>1.9502418205538101E-2</v>
      </c>
      <c r="AG10" s="10" t="str">
        <f>YEAR(CurrentMtgRatesDataTable89[[#This Row],[asofdate]])&amp;"-"&amp;MONTH(CurrentMtgRatesDataTable89[[#This Row],[asofdate]])</f>
        <v>2015-2</v>
      </c>
      <c r="AH10" s="6">
        <f>((CurrentMtgRatesDataTable89[[#This Row],[SeriesNumValue]]-$D$1)/$D$1+1)*100</f>
        <v>130.01612137025401</v>
      </c>
      <c r="AI10" s="6">
        <f>CurrentMtgRatesDataTable89[[#This Row],[Index]]-AH11</f>
        <v>5.5776888994633396</v>
      </c>
      <c r="AJ10" s="6">
        <f>VLOOKUP(CurrentMtgRatesDataTable89[[#This Row],[asofdate]],G:H,2,0)</f>
        <v>82.797442291647002</v>
      </c>
      <c r="AK10" s="6">
        <f>VLOOKUP(CurrentMtgRatesDataTable89[[#This Row],[asofdate]],K:L,2,0)</f>
        <v>0.32639568948507103</v>
      </c>
      <c r="AL10" s="6">
        <f>VLOOKUP(CurrentMtgRatesDataTable89[[#This Row],[asofdate]],O:P,2,0)</f>
        <v>34.977091666452097</v>
      </c>
      <c r="AM10" s="6">
        <f>VLOOKUP(CurrentMtgRatesDataTable89[[#This Row],[asofdate]],S:T,2,0)</f>
        <v>0.31891544150436202</v>
      </c>
      <c r="AN10" s="6">
        <f>VLOOKUP(CurrentMtgRatesDataTable89[[#This Row],[asofdate]],W:X,2,0)</f>
        <v>749.19541878162897</v>
      </c>
      <c r="AO10" s="6">
        <f>VLOOKUP(CurrentMtgRatesDataTable89[[#This Row],[asofdate]],AA:AB,2,0)</f>
        <v>0.15820396976652601</v>
      </c>
    </row>
    <row r="11" spans="1:41" s="6" customFormat="1" ht="12.75">
      <c r="A11" s="7" t="s">
        <v>40</v>
      </c>
      <c r="B11" s="10">
        <v>2.1574111788502E-2</v>
      </c>
      <c r="C11" s="10" t="str">
        <f>YEAR(CurrentMtgRatesDataTable8[[#This Row],[asofdate]])&amp;"-"&amp;MONTH(CurrentMtgRatesDataTable8[[#This Row],[asofdate]])</f>
        <v>2003-11</v>
      </c>
      <c r="D11" s="6">
        <f>((CurrentMtgRatesDataTable8[[#This Row],[SeriesNumValue]]-$D$1)/$D$1+1)*100</f>
        <v>143.82741192334666</v>
      </c>
      <c r="G11" s="7" t="s">
        <v>40</v>
      </c>
      <c r="H11" s="10">
        <v>81.964228940536998</v>
      </c>
      <c r="I11" s="26">
        <f>VLOOKUP(CurrentMtgRatesDataTable82[[#This Row],[asofdate]],K:L,2,0)</f>
        <v>0.30202605452215497</v>
      </c>
      <c r="K11" s="7" t="s">
        <v>40</v>
      </c>
      <c r="L11" s="29">
        <v>0.30202605452215497</v>
      </c>
      <c r="O11" s="7" t="s">
        <v>40</v>
      </c>
      <c r="P11" s="10">
        <v>35.411302149846499</v>
      </c>
      <c r="Q11" s="29">
        <f>VLOOKUP(CurrentMtgRatesDataTable84[[#This Row],[asofdate]],S:T,2,0)</f>
        <v>2.1167569446924599E-2</v>
      </c>
      <c r="S11" s="7" t="s">
        <v>40</v>
      </c>
      <c r="T11" s="10">
        <v>2.1167569446924599E-2</v>
      </c>
      <c r="W11" s="7" t="s">
        <v>40</v>
      </c>
      <c r="X11" s="10">
        <v>719.09071003198596</v>
      </c>
      <c r="Y11" s="26">
        <f>VLOOKUP(CurrentMtgRatesDataTable86[[#This Row],[asofdate]],AA:AB,2,0)</f>
        <v>0.34444111149615098</v>
      </c>
      <c r="AA11" s="7" t="s">
        <v>40</v>
      </c>
      <c r="AB11" s="10">
        <v>0.34444111149615098</v>
      </c>
      <c r="AE11" s="7" t="s">
        <v>155</v>
      </c>
      <c r="AF11" s="10">
        <v>1.8665764870618599E-2</v>
      </c>
      <c r="AG11" s="10" t="str">
        <f>YEAR(CurrentMtgRatesDataTable89[[#This Row],[asofdate]])&amp;"-"&amp;MONTH(CurrentMtgRatesDataTable89[[#This Row],[asofdate]])</f>
        <v>2015-1</v>
      </c>
      <c r="AH11" s="6">
        <f>((CurrentMtgRatesDataTable89[[#This Row],[SeriesNumValue]]-$D$1)/$D$1+1)*100</f>
        <v>124.43843247079067</v>
      </c>
      <c r="AI11" s="6">
        <f>CurrentMtgRatesDataTable89[[#This Row],[Index]]-AH12</f>
        <v>-1.2149666502266712</v>
      </c>
      <c r="AJ11" s="6">
        <f>VLOOKUP(CurrentMtgRatesDataTable89[[#This Row],[asofdate]],G:H,2,0)</f>
        <v>82.726547150692298</v>
      </c>
      <c r="AK11" s="6">
        <f>VLOOKUP(CurrentMtgRatesDataTable89[[#This Row],[asofdate]],K:L,2,0)</f>
        <v>0.32029318763412001</v>
      </c>
      <c r="AL11" s="6">
        <f>VLOOKUP(CurrentMtgRatesDataTable89[[#This Row],[asofdate]],O:P,2,0)</f>
        <v>34.824509834090797</v>
      </c>
      <c r="AM11" s="6">
        <f>VLOOKUP(CurrentMtgRatesDataTable89[[#This Row],[asofdate]],S:T,2,0)</f>
        <v>0.31220120325231998</v>
      </c>
      <c r="AN11" s="6">
        <f>VLOOKUP(CurrentMtgRatesDataTable89[[#This Row],[asofdate]],W:X,2,0)</f>
        <v>749.71315485187995</v>
      </c>
      <c r="AO11" s="6">
        <f>VLOOKUP(CurrentMtgRatesDataTable89[[#This Row],[asofdate]],AA:AB,2,0)</f>
        <v>0.15558820493379799</v>
      </c>
    </row>
    <row r="12" spans="1:41" s="6" customFormat="1" ht="12.75">
      <c r="A12" s="7" t="s">
        <v>41</v>
      </c>
      <c r="B12" s="10">
        <v>2.18301222546513E-2</v>
      </c>
      <c r="C12" s="10" t="str">
        <f>YEAR(CurrentMtgRatesDataTable8[[#This Row],[asofdate]])&amp;"-"&amp;MONTH(CurrentMtgRatesDataTable8[[#This Row],[asofdate]])</f>
        <v>2003-12</v>
      </c>
      <c r="D12" s="6">
        <f>((CurrentMtgRatesDataTable8[[#This Row],[SeriesNumValue]]-$D$1)/$D$1+1)*100</f>
        <v>145.53414836434203</v>
      </c>
      <c r="G12" s="7" t="s">
        <v>41</v>
      </c>
      <c r="H12" s="10">
        <v>81.864228322339997</v>
      </c>
      <c r="I12" s="26">
        <f>VLOOKUP(CurrentMtgRatesDataTable82[[#This Row],[asofdate]],K:L,2,0)</f>
        <v>0.29608287862933402</v>
      </c>
      <c r="K12" s="7" t="s">
        <v>41</v>
      </c>
      <c r="L12" s="29">
        <v>0.29608287862933402</v>
      </c>
      <c r="O12" s="7" t="s">
        <v>41</v>
      </c>
      <c r="P12" s="10">
        <v>36.5193753202172</v>
      </c>
      <c r="Q12" s="29">
        <f>VLOOKUP(CurrentMtgRatesDataTable84[[#This Row],[asofdate]],S:T,2,0)</f>
        <v>2.16589958788652E-2</v>
      </c>
      <c r="S12" s="7" t="s">
        <v>41</v>
      </c>
      <c r="T12" s="10">
        <v>2.16589958788652E-2</v>
      </c>
      <c r="W12" s="7" t="s">
        <v>41</v>
      </c>
      <c r="X12" s="10">
        <v>720.40995221006699</v>
      </c>
      <c r="Y12" s="26">
        <f>VLOOKUP(CurrentMtgRatesDataTable86[[#This Row],[asofdate]],AA:AB,2,0)</f>
        <v>0.33962917429332001</v>
      </c>
      <c r="AA12" s="7" t="s">
        <v>41</v>
      </c>
      <c r="AB12" s="10">
        <v>0.33962917429332001</v>
      </c>
      <c r="AE12" s="7" t="s">
        <v>16</v>
      </c>
      <c r="AF12" s="10">
        <v>1.8848009868152601E-2</v>
      </c>
      <c r="AG12" s="10" t="str">
        <f>YEAR(CurrentMtgRatesDataTable89[[#This Row],[asofdate]])&amp;"-"&amp;MONTH(CurrentMtgRatesDataTable89[[#This Row],[asofdate]])</f>
        <v>2014-12</v>
      </c>
      <c r="AH12" s="6">
        <f>((CurrentMtgRatesDataTable89[[#This Row],[SeriesNumValue]]-$D$1)/$D$1+1)*100</f>
        <v>125.65339912101734</v>
      </c>
      <c r="AI12" s="6">
        <f>CurrentMtgRatesDataTable89[[#This Row],[Index]]-AH13</f>
        <v>2.6500484790566645</v>
      </c>
      <c r="AJ12" s="6">
        <f>VLOOKUP(CurrentMtgRatesDataTable89[[#This Row],[asofdate]],G:H,2,0)</f>
        <v>82.648163721352205</v>
      </c>
      <c r="AK12" s="6">
        <f>VLOOKUP(CurrentMtgRatesDataTable89[[#This Row],[asofdate]],K:L,2,0)</f>
        <v>0.318264635028014</v>
      </c>
      <c r="AL12" s="6">
        <f>VLOOKUP(CurrentMtgRatesDataTable89[[#This Row],[asofdate]],O:P,2,0)</f>
        <v>34.846015078951801</v>
      </c>
      <c r="AM12" s="6">
        <f>VLOOKUP(CurrentMtgRatesDataTable89[[#This Row],[asofdate]],S:T,2,0)</f>
        <v>0.31245467786157399</v>
      </c>
      <c r="AN12" s="6">
        <f>VLOOKUP(CurrentMtgRatesDataTable89[[#This Row],[asofdate]],W:X,2,0)</f>
        <v>749.85349083339599</v>
      </c>
      <c r="AO12" s="6">
        <f>VLOOKUP(CurrentMtgRatesDataTable89[[#This Row],[asofdate]],AA:AB,2,0)</f>
        <v>0.154702803202766</v>
      </c>
    </row>
    <row r="13" spans="1:41" s="6" customFormat="1" ht="12.75">
      <c r="A13" s="7" t="s">
        <v>42</v>
      </c>
      <c r="B13" s="10">
        <v>2.14212055237409E-2</v>
      </c>
      <c r="C13" s="10" t="str">
        <f>YEAR(CurrentMtgRatesDataTable8[[#This Row],[asofdate]])&amp;"-"&amp;MONTH(CurrentMtgRatesDataTable8[[#This Row],[asofdate]])</f>
        <v>2004-1</v>
      </c>
      <c r="D13" s="6">
        <f>((CurrentMtgRatesDataTable8[[#This Row],[SeriesNumValue]]-$D$1)/$D$1+1)*100</f>
        <v>142.80803682493934</v>
      </c>
      <c r="G13" s="7" t="s">
        <v>42</v>
      </c>
      <c r="H13" s="10">
        <v>81.566299959188299</v>
      </c>
      <c r="I13" s="26">
        <f>VLOOKUP(CurrentMtgRatesDataTable82[[#This Row],[asofdate]],K:L,2,0)</f>
        <v>0.29070058027366003</v>
      </c>
      <c r="K13" s="7" t="s">
        <v>42</v>
      </c>
      <c r="L13" s="29">
        <v>0.29070058027366003</v>
      </c>
      <c r="O13" s="7" t="s">
        <v>42</v>
      </c>
      <c r="P13" s="10">
        <v>36.105752730096498</v>
      </c>
      <c r="Q13" s="29">
        <f>VLOOKUP(CurrentMtgRatesDataTable84[[#This Row],[asofdate]],S:T,2,0)</f>
        <v>2.07685482202341E-2</v>
      </c>
      <c r="S13" s="7" t="s">
        <v>42</v>
      </c>
      <c r="T13" s="10">
        <v>2.07685482202341E-2</v>
      </c>
      <c r="W13" s="7" t="s">
        <v>42</v>
      </c>
      <c r="X13" s="10">
        <v>720.53281333500604</v>
      </c>
      <c r="Y13" s="26">
        <f>VLOOKUP(CurrentMtgRatesDataTable86[[#This Row],[asofdate]],AA:AB,2,0)</f>
        <v>0.33824400161048002</v>
      </c>
      <c r="AA13" s="7" t="s">
        <v>42</v>
      </c>
      <c r="AB13" s="10">
        <v>0.33824400161048002</v>
      </c>
      <c r="AE13" s="7" t="s">
        <v>154</v>
      </c>
      <c r="AF13" s="10">
        <v>1.8450502596294101E-2</v>
      </c>
      <c r="AG13" s="10" t="str">
        <f>YEAR(CurrentMtgRatesDataTable89[[#This Row],[asofdate]])&amp;"-"&amp;MONTH(CurrentMtgRatesDataTable89[[#This Row],[asofdate]])</f>
        <v>2014-11</v>
      </c>
      <c r="AH13" s="6">
        <f>((CurrentMtgRatesDataTable89[[#This Row],[SeriesNumValue]]-$D$1)/$D$1+1)*100</f>
        <v>123.00335064196068</v>
      </c>
      <c r="AI13" s="6">
        <f>CurrentMtgRatesDataTable89[[#This Row],[Index]]-AH14</f>
        <v>3.7901319208433364</v>
      </c>
      <c r="AJ13" s="6">
        <f>VLOOKUP(CurrentMtgRatesDataTable89[[#This Row],[asofdate]],G:H,2,0)</f>
        <v>82.803884256575003</v>
      </c>
      <c r="AK13" s="6">
        <f>VLOOKUP(CurrentMtgRatesDataTable89[[#This Row],[asofdate]],K:L,2,0)</f>
        <v>0.32254787448740702</v>
      </c>
      <c r="AL13" s="6">
        <f>VLOOKUP(CurrentMtgRatesDataTable89[[#This Row],[asofdate]],O:P,2,0)</f>
        <v>34.798083340824199</v>
      </c>
      <c r="AM13" s="6">
        <f>VLOOKUP(CurrentMtgRatesDataTable89[[#This Row],[asofdate]],S:T,2,0)</f>
        <v>0.309418365078864</v>
      </c>
      <c r="AN13" s="6">
        <f>VLOOKUP(CurrentMtgRatesDataTable89[[#This Row],[asofdate]],W:X,2,0)</f>
        <v>749.74150806912701</v>
      </c>
      <c r="AO13" s="6">
        <f>VLOOKUP(CurrentMtgRatesDataTable89[[#This Row],[asofdate]],AA:AB,2,0)</f>
        <v>0.15611748121786001</v>
      </c>
    </row>
    <row r="14" spans="1:41" s="6" customFormat="1" ht="12.75">
      <c r="A14" s="7" t="s">
        <v>43</v>
      </c>
      <c r="B14" s="10">
        <v>2.0722056197098701E-2</v>
      </c>
      <c r="C14" s="10" t="str">
        <f>YEAR(CurrentMtgRatesDataTable8[[#This Row],[asofdate]])&amp;"-"&amp;MONTH(CurrentMtgRatesDataTable8[[#This Row],[asofdate]])</f>
        <v>2004-2</v>
      </c>
      <c r="D14" s="6">
        <f>((CurrentMtgRatesDataTable8[[#This Row],[SeriesNumValue]]-$D$1)/$D$1+1)*100</f>
        <v>138.14704131399137</v>
      </c>
      <c r="G14" s="7" t="s">
        <v>43</v>
      </c>
      <c r="H14" s="10">
        <v>81.113652198567294</v>
      </c>
      <c r="I14" s="26">
        <f>VLOOKUP(CurrentMtgRatesDataTable82[[#This Row],[asofdate]],K:L,2,0)</f>
        <v>0.279273746865356</v>
      </c>
      <c r="K14" s="7" t="s">
        <v>43</v>
      </c>
      <c r="L14" s="29">
        <v>0.279273746865356</v>
      </c>
      <c r="O14" s="7" t="s">
        <v>43</v>
      </c>
      <c r="P14" s="10">
        <v>34.270437676693597</v>
      </c>
      <c r="Q14" s="29">
        <f>VLOOKUP(CurrentMtgRatesDataTable84[[#This Row],[asofdate]],S:T,2,0)</f>
        <v>2.56930597823848E-2</v>
      </c>
      <c r="S14" s="7" t="s">
        <v>43</v>
      </c>
      <c r="T14" s="10">
        <v>2.56930597823848E-2</v>
      </c>
      <c r="W14" s="7" t="s">
        <v>43</v>
      </c>
      <c r="X14" s="10">
        <v>721.12735756326401</v>
      </c>
      <c r="Y14" s="26">
        <f>VLOOKUP(CurrentMtgRatesDataTable86[[#This Row],[asofdate]],AA:AB,2,0)</f>
        <v>0.33004652003424001</v>
      </c>
      <c r="AA14" s="7" t="s">
        <v>43</v>
      </c>
      <c r="AB14" s="10">
        <v>0.33004652003424001</v>
      </c>
      <c r="AE14" s="7" t="s">
        <v>8</v>
      </c>
      <c r="AF14" s="10">
        <v>1.78819828081676E-2</v>
      </c>
      <c r="AG14" s="10" t="str">
        <f>YEAR(CurrentMtgRatesDataTable89[[#This Row],[asofdate]])&amp;"-"&amp;MONTH(CurrentMtgRatesDataTable89[[#This Row],[asofdate]])</f>
        <v>2014-10</v>
      </c>
      <c r="AH14" s="6">
        <f>((CurrentMtgRatesDataTable89[[#This Row],[SeriesNumValue]]-$D$1)/$D$1+1)*100</f>
        <v>119.21321872111734</v>
      </c>
      <c r="AI14" s="6">
        <f>CurrentMtgRatesDataTable89[[#This Row],[Index]]-AH15</f>
        <v>0.49197567056067726</v>
      </c>
      <c r="AJ14" s="6">
        <f>VLOOKUP(CurrentMtgRatesDataTable89[[#This Row],[asofdate]],G:H,2,0)</f>
        <v>82.721770883828398</v>
      </c>
      <c r="AK14" s="6">
        <f>VLOOKUP(CurrentMtgRatesDataTable89[[#This Row],[asofdate]],K:L,2,0)</f>
        <v>0.31567362475419602</v>
      </c>
      <c r="AL14" s="6">
        <f>VLOOKUP(CurrentMtgRatesDataTable89[[#This Row],[asofdate]],O:P,2,0)</f>
        <v>34.609191959171703</v>
      </c>
      <c r="AM14" s="6">
        <f>VLOOKUP(CurrentMtgRatesDataTable89[[#This Row],[asofdate]],S:T,2,0)</f>
        <v>0.30128149535438498</v>
      </c>
      <c r="AN14" s="6">
        <f>VLOOKUP(CurrentMtgRatesDataTable89[[#This Row],[asofdate]],W:X,2,0)</f>
        <v>750.89361801650398</v>
      </c>
      <c r="AO14" s="6">
        <f>VLOOKUP(CurrentMtgRatesDataTable89[[#This Row],[asofdate]],AA:AB,2,0)</f>
        <v>0.14738678015895099</v>
      </c>
    </row>
    <row r="15" spans="1:41" s="6" customFormat="1" ht="12.75">
      <c r="A15" s="7" t="s">
        <v>44</v>
      </c>
      <c r="B15" s="10">
        <v>2.0864116220785298E-2</v>
      </c>
      <c r="C15" s="10" t="str">
        <f>YEAR(CurrentMtgRatesDataTable8[[#This Row],[asofdate]])&amp;"-"&amp;MONTH(CurrentMtgRatesDataTable8[[#This Row],[asofdate]])</f>
        <v>2004-3</v>
      </c>
      <c r="D15" s="6">
        <f>((CurrentMtgRatesDataTable8[[#This Row],[SeriesNumValue]]-$D$1)/$D$1+1)*100</f>
        <v>139.09410813856866</v>
      </c>
      <c r="G15" s="7" t="s">
        <v>44</v>
      </c>
      <c r="H15" s="10">
        <v>80.826462677668502</v>
      </c>
      <c r="I15" s="26">
        <f>VLOOKUP(CurrentMtgRatesDataTable82[[#This Row],[asofdate]],K:L,2,0)</f>
        <v>0.26366024772207802</v>
      </c>
      <c r="K15" s="7" t="s">
        <v>44</v>
      </c>
      <c r="L15" s="29">
        <v>0.26366024772207802</v>
      </c>
      <c r="O15" s="7" t="s">
        <v>44</v>
      </c>
      <c r="P15" s="10">
        <v>33.128991607908802</v>
      </c>
      <c r="Q15" s="29">
        <f>VLOOKUP(CurrentMtgRatesDataTable84[[#This Row],[asofdate]],S:T,2,0)</f>
        <v>2.4328764311436001E-2</v>
      </c>
      <c r="S15" s="7" t="s">
        <v>44</v>
      </c>
      <c r="T15" s="10">
        <v>2.4328764311436001E-2</v>
      </c>
      <c r="W15" s="7" t="s">
        <v>44</v>
      </c>
      <c r="X15" s="10">
        <v>722.9204500907</v>
      </c>
      <c r="Y15" s="26">
        <f>VLOOKUP(CurrentMtgRatesDataTable86[[#This Row],[asofdate]],AA:AB,2,0)</f>
        <v>0.32020990049907999</v>
      </c>
      <c r="AA15" s="7" t="s">
        <v>44</v>
      </c>
      <c r="AB15" s="10">
        <v>0.32020990049907999</v>
      </c>
      <c r="AE15" s="7" t="s">
        <v>153</v>
      </c>
      <c r="AF15" s="10">
        <v>1.7808186457583499E-2</v>
      </c>
      <c r="AG15" s="10" t="str">
        <f>YEAR(CurrentMtgRatesDataTable89[[#This Row],[asofdate]])&amp;"-"&amp;MONTH(CurrentMtgRatesDataTable89[[#This Row],[asofdate]])</f>
        <v>2014-9</v>
      </c>
      <c r="AH15" s="6">
        <f>((CurrentMtgRatesDataTable89[[#This Row],[SeriesNumValue]]-$D$1)/$D$1+1)*100</f>
        <v>118.72124305055667</v>
      </c>
      <c r="AI15" s="6">
        <f>CurrentMtgRatesDataTable89[[#This Row],[Index]]-AH16</f>
        <v>-0.11322836864734143</v>
      </c>
      <c r="AJ15" s="6">
        <f>VLOOKUP(CurrentMtgRatesDataTable89[[#This Row],[asofdate]],G:H,2,0)</f>
        <v>82.692210236918498</v>
      </c>
      <c r="AK15" s="6">
        <f>VLOOKUP(CurrentMtgRatesDataTable89[[#This Row],[asofdate]],K:L,2,0)</f>
        <v>0.31232376366550701</v>
      </c>
      <c r="AL15" s="6">
        <f>VLOOKUP(CurrentMtgRatesDataTable89[[#This Row],[asofdate]],O:P,2,0)</f>
        <v>34.444270971612397</v>
      </c>
      <c r="AM15" s="6">
        <f>VLOOKUP(CurrentMtgRatesDataTable89[[#This Row],[asofdate]],S:T,2,0)</f>
        <v>0.29253583430136998</v>
      </c>
      <c r="AN15" s="6">
        <f>VLOOKUP(CurrentMtgRatesDataTable89[[#This Row],[asofdate]],W:X,2,0)</f>
        <v>750.91192928423595</v>
      </c>
      <c r="AO15" s="6">
        <f>VLOOKUP(CurrentMtgRatesDataTable89[[#This Row],[asofdate]],AA:AB,2,0)</f>
        <v>0.14664067232707501</v>
      </c>
    </row>
    <row r="16" spans="1:41" s="6" customFormat="1" ht="12.75">
      <c r="A16" s="7" t="s">
        <v>45</v>
      </c>
      <c r="B16" s="10">
        <v>2.1650471804586801E-2</v>
      </c>
      <c r="C16" s="10" t="str">
        <f>YEAR(CurrentMtgRatesDataTable8[[#This Row],[asofdate]])&amp;"-"&amp;MONTH(CurrentMtgRatesDataTable8[[#This Row],[asofdate]])</f>
        <v>2004-4</v>
      </c>
      <c r="D16" s="6">
        <f>((CurrentMtgRatesDataTable8[[#This Row],[SeriesNumValue]]-$D$1)/$D$1+1)*100</f>
        <v>144.33647869724535</v>
      </c>
      <c r="G16" s="7" t="s">
        <v>45</v>
      </c>
      <c r="H16" s="10">
        <v>81.281712793482995</v>
      </c>
      <c r="I16" s="26">
        <f>VLOOKUP(CurrentMtgRatesDataTable82[[#This Row],[asofdate]],K:L,2,0)</f>
        <v>0.27539401933822999</v>
      </c>
      <c r="K16" s="7" t="s">
        <v>45</v>
      </c>
      <c r="L16" s="29">
        <v>0.27539401933822999</v>
      </c>
      <c r="O16" s="7" t="s">
        <v>45</v>
      </c>
      <c r="P16" s="10">
        <v>35.641148466163102</v>
      </c>
      <c r="Q16" s="29">
        <f>VLOOKUP(CurrentMtgRatesDataTable84[[#This Row],[asofdate]],S:T,2,0)</f>
        <v>2.1383212133889301E-2</v>
      </c>
      <c r="S16" s="7" t="s">
        <v>45</v>
      </c>
      <c r="T16" s="10">
        <v>2.1383212133889301E-2</v>
      </c>
      <c r="W16" s="7" t="s">
        <v>45</v>
      </c>
      <c r="X16" s="10">
        <v>721.56682125767895</v>
      </c>
      <c r="Y16" s="26">
        <f>VLOOKUP(CurrentMtgRatesDataTable86[[#This Row],[asofdate]],AA:AB,2,0)</f>
        <v>0.32412171144143798</v>
      </c>
      <c r="AA16" s="7" t="s">
        <v>45</v>
      </c>
      <c r="AB16" s="10">
        <v>0.32412171144143798</v>
      </c>
      <c r="AE16" s="7" t="s">
        <v>21</v>
      </c>
      <c r="AF16" s="10">
        <v>1.78251707128806E-2</v>
      </c>
      <c r="AG16" s="10" t="str">
        <f>YEAR(CurrentMtgRatesDataTable89[[#This Row],[asofdate]])&amp;"-"&amp;MONTH(CurrentMtgRatesDataTable89[[#This Row],[asofdate]])</f>
        <v>2014-8</v>
      </c>
      <c r="AH16" s="6">
        <f>((CurrentMtgRatesDataTable89[[#This Row],[SeriesNumValue]]-$D$1)/$D$1+1)*100</f>
        <v>118.83447141920401</v>
      </c>
      <c r="AI16" s="6">
        <f>CurrentMtgRatesDataTable89[[#This Row],[Index]]-AH17</f>
        <v>-5.0739057982933389</v>
      </c>
      <c r="AJ16" s="6">
        <f>VLOOKUP(CurrentMtgRatesDataTable89[[#This Row],[asofdate]],G:H,2,0)</f>
        <v>82.756707604475196</v>
      </c>
      <c r="AK16" s="6">
        <f>VLOOKUP(CurrentMtgRatesDataTable89[[#This Row],[asofdate]],K:L,2,0)</f>
        <v>0.31712089095884999</v>
      </c>
      <c r="AL16" s="6">
        <f>VLOOKUP(CurrentMtgRatesDataTable89[[#This Row],[asofdate]],O:P,2,0)</f>
        <v>34.322739398973098</v>
      </c>
      <c r="AM16" s="6">
        <f>VLOOKUP(CurrentMtgRatesDataTable89[[#This Row],[asofdate]],S:T,2,0)</f>
        <v>0.28910327833000299</v>
      </c>
      <c r="AN16" s="6">
        <f>VLOOKUP(CurrentMtgRatesDataTable89[[#This Row],[asofdate]],W:X,2,0)</f>
        <v>751.498973209101</v>
      </c>
      <c r="AO16" s="6">
        <f>VLOOKUP(CurrentMtgRatesDataTable89[[#This Row],[asofdate]],AA:AB,2,0)</f>
        <v>0.14209050325703601</v>
      </c>
    </row>
    <row r="17" spans="1:41" s="6" customFormat="1" ht="12.75">
      <c r="A17" s="7" t="s">
        <v>46</v>
      </c>
      <c r="B17" s="10">
        <v>2.1269141510104499E-2</v>
      </c>
      <c r="C17" s="10" t="str">
        <f>YEAR(CurrentMtgRatesDataTable8[[#This Row],[asofdate]])&amp;"-"&amp;MONTH(CurrentMtgRatesDataTable8[[#This Row],[asofdate]])</f>
        <v>2004-5</v>
      </c>
      <c r="D17" s="6">
        <f>((CurrentMtgRatesDataTable8[[#This Row],[SeriesNumValue]]-$D$1)/$D$1+1)*100</f>
        <v>141.79427673403001</v>
      </c>
      <c r="G17" s="7" t="s">
        <v>46</v>
      </c>
      <c r="H17" s="10">
        <v>81.176434819561706</v>
      </c>
      <c r="I17" s="26">
        <f>VLOOKUP(CurrentMtgRatesDataTable82[[#This Row],[asofdate]],K:L,2,0)</f>
        <v>0.27051249930375898</v>
      </c>
      <c r="K17" s="7" t="s">
        <v>46</v>
      </c>
      <c r="L17" s="29">
        <v>0.27051249930375898</v>
      </c>
      <c r="O17" s="7" t="s">
        <v>46</v>
      </c>
      <c r="P17" s="10">
        <v>35.983860754805796</v>
      </c>
      <c r="Q17" s="29">
        <f>VLOOKUP(CurrentMtgRatesDataTable84[[#This Row],[asofdate]],S:T,2,0)</f>
        <v>2.0473067086164198E-2</v>
      </c>
      <c r="S17" s="7" t="s">
        <v>46</v>
      </c>
      <c r="T17" s="10">
        <v>2.0473067086164198E-2</v>
      </c>
      <c r="W17" s="7" t="s">
        <v>46</v>
      </c>
      <c r="X17" s="10">
        <v>723.07301547125496</v>
      </c>
      <c r="Y17" s="26">
        <f>VLOOKUP(CurrentMtgRatesDataTable86[[#This Row],[asofdate]],AA:AB,2,0)</f>
        <v>0.31650083814304297</v>
      </c>
      <c r="AA17" s="7" t="s">
        <v>46</v>
      </c>
      <c r="AB17" s="10">
        <v>0.31650083814304297</v>
      </c>
      <c r="AE17" s="7" t="s">
        <v>13</v>
      </c>
      <c r="AF17" s="10">
        <v>1.85862565826246E-2</v>
      </c>
      <c r="AG17" s="10" t="str">
        <f>YEAR(CurrentMtgRatesDataTable89[[#This Row],[asofdate]])&amp;"-"&amp;MONTH(CurrentMtgRatesDataTable89[[#This Row],[asofdate]])</f>
        <v>2014-7</v>
      </c>
      <c r="AH17" s="6">
        <f>((CurrentMtgRatesDataTable89[[#This Row],[SeriesNumValue]]-$D$1)/$D$1+1)*100</f>
        <v>123.90837721749735</v>
      </c>
      <c r="AI17" s="6">
        <f>CurrentMtgRatesDataTable89[[#This Row],[Index]]-AH18</f>
        <v>3.3578951789013445</v>
      </c>
      <c r="AJ17" s="6">
        <f>VLOOKUP(CurrentMtgRatesDataTable89[[#This Row],[asofdate]],G:H,2,0)</f>
        <v>82.820685947159305</v>
      </c>
      <c r="AK17" s="6">
        <f>VLOOKUP(CurrentMtgRatesDataTable89[[#This Row],[asofdate]],K:L,2,0)</f>
        <v>0.318890965784143</v>
      </c>
      <c r="AL17" s="6">
        <f>VLOOKUP(CurrentMtgRatesDataTable89[[#This Row],[asofdate]],O:P,2,0)</f>
        <v>34.4686582543032</v>
      </c>
      <c r="AM17" s="6">
        <f>VLOOKUP(CurrentMtgRatesDataTable89[[#This Row],[asofdate]],S:T,2,0)</f>
        <v>0.29227305708170098</v>
      </c>
      <c r="AN17" s="6">
        <f>VLOOKUP(CurrentMtgRatesDataTable89[[#This Row],[asofdate]],W:X,2,0)</f>
        <v>751.34370293627205</v>
      </c>
      <c r="AO17" s="6">
        <f>VLOOKUP(CurrentMtgRatesDataTable89[[#This Row],[asofdate]],AA:AB,2,0)</f>
        <v>0.14279391661367599</v>
      </c>
    </row>
    <row r="18" spans="1:41" s="6" customFormat="1" ht="12.75">
      <c r="A18" s="7" t="s">
        <v>47</v>
      </c>
      <c r="B18" s="10">
        <v>1.73385755493809E-2</v>
      </c>
      <c r="C18" s="10" t="str">
        <f>YEAR(CurrentMtgRatesDataTable8[[#This Row],[asofdate]])&amp;"-"&amp;MONTH(CurrentMtgRatesDataTable8[[#This Row],[asofdate]])</f>
        <v>2004-6</v>
      </c>
      <c r="D18" s="6">
        <f>((CurrentMtgRatesDataTable8[[#This Row],[SeriesNumValue]]-$D$1)/$D$1+1)*100</f>
        <v>115.59050366253933</v>
      </c>
      <c r="G18" s="7" t="s">
        <v>47</v>
      </c>
      <c r="H18" s="10">
        <v>80.961446646453098</v>
      </c>
      <c r="I18" s="26">
        <f>VLOOKUP(CurrentMtgRatesDataTable82[[#This Row],[asofdate]],K:L,2,0)</f>
        <v>0.25982658462066799</v>
      </c>
      <c r="K18" s="7" t="s">
        <v>47</v>
      </c>
      <c r="L18" s="29">
        <v>0.25982658462066799</v>
      </c>
      <c r="O18" s="7" t="s">
        <v>47</v>
      </c>
      <c r="P18" s="10">
        <v>35.515935884053597</v>
      </c>
      <c r="Q18" s="29">
        <f>VLOOKUP(CurrentMtgRatesDataTable84[[#This Row],[asofdate]],S:T,2,0)</f>
        <v>1.8930552643063699E-2</v>
      </c>
      <c r="S18" s="7" t="s">
        <v>47</v>
      </c>
      <c r="T18" s="10">
        <v>1.8930552643063699E-2</v>
      </c>
      <c r="W18" s="7" t="s">
        <v>47</v>
      </c>
      <c r="X18" s="10">
        <v>724.09334327372198</v>
      </c>
      <c r="Y18" s="26">
        <f>VLOOKUP(CurrentMtgRatesDataTable86[[#This Row],[asofdate]],AA:AB,2,0)</f>
        <v>0.31186678823312403</v>
      </c>
      <c r="AA18" s="7" t="s">
        <v>47</v>
      </c>
      <c r="AB18" s="10">
        <v>0.31186678823312403</v>
      </c>
      <c r="AE18" s="7" t="s">
        <v>152</v>
      </c>
      <c r="AF18" s="10">
        <v>1.8082572305789399E-2</v>
      </c>
      <c r="AG18" s="10" t="str">
        <f>YEAR(CurrentMtgRatesDataTable89[[#This Row],[asofdate]])&amp;"-"&amp;MONTH(CurrentMtgRatesDataTable89[[#This Row],[asofdate]])</f>
        <v>2014-6</v>
      </c>
      <c r="AH18" s="6">
        <f>((CurrentMtgRatesDataTable89[[#This Row],[SeriesNumValue]]-$D$1)/$D$1+1)*100</f>
        <v>120.550482038596</v>
      </c>
      <c r="AI18" s="6">
        <f>CurrentMtgRatesDataTable89[[#This Row],[Index]]-AH19</f>
        <v>6.4953799493753053</v>
      </c>
      <c r="AJ18" s="6">
        <f>VLOOKUP(CurrentMtgRatesDataTable89[[#This Row],[asofdate]],G:H,2,0)</f>
        <v>82.674402698184494</v>
      </c>
      <c r="AK18" s="6">
        <f>VLOOKUP(CurrentMtgRatesDataTable89[[#This Row],[asofdate]],K:L,2,0)</f>
        <v>0.31529051664060898</v>
      </c>
      <c r="AL18" s="6">
        <f>VLOOKUP(CurrentMtgRatesDataTable89[[#This Row],[asofdate]],O:P,2,0)</f>
        <v>34.658856260085599</v>
      </c>
      <c r="AM18" s="6">
        <f>VLOOKUP(CurrentMtgRatesDataTable89[[#This Row],[asofdate]],S:T,2,0)</f>
        <v>0.298833133468625</v>
      </c>
      <c r="AN18" s="6">
        <f>VLOOKUP(CurrentMtgRatesDataTable89[[#This Row],[asofdate]],W:X,2,0)</f>
        <v>751.34175746954998</v>
      </c>
      <c r="AO18" s="6">
        <f>VLOOKUP(CurrentMtgRatesDataTable89[[#This Row],[asofdate]],AA:AB,2,0)</f>
        <v>0.140406014613213</v>
      </c>
    </row>
    <row r="19" spans="1:41" s="6" customFormat="1" ht="12.75">
      <c r="A19" s="7" t="s">
        <v>48</v>
      </c>
      <c r="B19" s="10">
        <v>1.72832740779441E-2</v>
      </c>
      <c r="C19" s="10" t="str">
        <f>YEAR(CurrentMtgRatesDataTable8[[#This Row],[asofdate]])&amp;"-"&amp;MONTH(CurrentMtgRatesDataTable8[[#This Row],[asofdate]])</f>
        <v>2004-7</v>
      </c>
      <c r="D19" s="6">
        <f>((CurrentMtgRatesDataTable8[[#This Row],[SeriesNumValue]]-$D$1)/$D$1+1)*100</f>
        <v>115.22182718629401</v>
      </c>
      <c r="G19" s="7" t="s">
        <v>48</v>
      </c>
      <c r="H19" s="10">
        <v>80.928474194542702</v>
      </c>
      <c r="I19" s="26">
        <f>VLOOKUP(CurrentMtgRatesDataTable82[[#This Row],[asofdate]],K:L,2,0)</f>
        <v>0.26657924381296499</v>
      </c>
      <c r="K19" s="7" t="s">
        <v>48</v>
      </c>
      <c r="L19" s="29">
        <v>0.26657924381296499</v>
      </c>
      <c r="O19" s="7" t="s">
        <v>48</v>
      </c>
      <c r="P19" s="10">
        <v>34.997883140806501</v>
      </c>
      <c r="Q19" s="29">
        <f>VLOOKUP(CurrentMtgRatesDataTable84[[#This Row],[asofdate]],S:T,2,0)</f>
        <v>1.9710786588140499E-2</v>
      </c>
      <c r="S19" s="7" t="s">
        <v>48</v>
      </c>
      <c r="T19" s="10">
        <v>1.9710786588140499E-2</v>
      </c>
      <c r="W19" s="7" t="s">
        <v>48</v>
      </c>
      <c r="X19" s="10">
        <v>722.99550607406604</v>
      </c>
      <c r="Y19" s="26">
        <f>VLOOKUP(CurrentMtgRatesDataTable86[[#This Row],[asofdate]],AA:AB,2,0)</f>
        <v>0.32135696326174201</v>
      </c>
      <c r="AA19" s="7" t="s">
        <v>48</v>
      </c>
      <c r="AB19" s="10">
        <v>0.32135696326174201</v>
      </c>
      <c r="AE19" s="7" t="s">
        <v>24</v>
      </c>
      <c r="AF19" s="10">
        <v>1.7108265313383102E-2</v>
      </c>
      <c r="AG19" s="10" t="str">
        <f>YEAR(CurrentMtgRatesDataTable89[[#This Row],[asofdate]])&amp;"-"&amp;MONTH(CurrentMtgRatesDataTable89[[#This Row],[asofdate]])</f>
        <v>2014-5</v>
      </c>
      <c r="AH19" s="6">
        <f>((CurrentMtgRatesDataTable89[[#This Row],[SeriesNumValue]]-$D$1)/$D$1+1)*100</f>
        <v>114.0551020892207</v>
      </c>
      <c r="AI19" s="6">
        <f>CurrentMtgRatesDataTable89[[#This Row],[Index]]-AH20</f>
        <v>-1.784567474295315</v>
      </c>
      <c r="AJ19" s="6">
        <f>VLOOKUP(CurrentMtgRatesDataTable89[[#This Row],[asofdate]],G:H,2,0)</f>
        <v>82.444770178795594</v>
      </c>
      <c r="AK19" s="6">
        <f>VLOOKUP(CurrentMtgRatesDataTable89[[#This Row],[asofdate]],K:L,2,0)</f>
        <v>0.30811744878997599</v>
      </c>
      <c r="AL19" s="6">
        <f>VLOOKUP(CurrentMtgRatesDataTable89[[#This Row],[asofdate]],O:P,2,0)</f>
        <v>34.675439008071699</v>
      </c>
      <c r="AM19" s="6">
        <f>VLOOKUP(CurrentMtgRatesDataTable89[[#This Row],[asofdate]],S:T,2,0)</f>
        <v>0.29976463477048398</v>
      </c>
      <c r="AN19" s="6">
        <f>VLOOKUP(CurrentMtgRatesDataTable89[[#This Row],[asofdate]],W:X,2,0)</f>
        <v>751.61350922535496</v>
      </c>
      <c r="AO19" s="6">
        <f>VLOOKUP(CurrentMtgRatesDataTable89[[#This Row],[asofdate]],AA:AB,2,0)</f>
        <v>0.13767192714339599</v>
      </c>
    </row>
    <row r="20" spans="1:41" s="6" customFormat="1" ht="12.75">
      <c r="A20" s="7" t="s">
        <v>49</v>
      </c>
      <c r="B20" s="10">
        <v>2.0860951056748501E-2</v>
      </c>
      <c r="C20" s="10" t="str">
        <f>YEAR(CurrentMtgRatesDataTable8[[#This Row],[asofdate]])&amp;"-"&amp;MONTH(CurrentMtgRatesDataTable8[[#This Row],[asofdate]])</f>
        <v>2004-8</v>
      </c>
      <c r="D20" s="6">
        <f>((CurrentMtgRatesDataTable8[[#This Row],[SeriesNumValue]]-$D$1)/$D$1+1)*100</f>
        <v>139.07300704499002</v>
      </c>
      <c r="G20" s="7" t="s">
        <v>49</v>
      </c>
      <c r="H20" s="10">
        <v>81.370157030041597</v>
      </c>
      <c r="I20" s="26">
        <f>VLOOKUP(CurrentMtgRatesDataTable82[[#This Row],[asofdate]],K:L,2,0)</f>
        <v>0.28323862382710902</v>
      </c>
      <c r="K20" s="7" t="s">
        <v>49</v>
      </c>
      <c r="L20" s="29">
        <v>0.28323862382710902</v>
      </c>
      <c r="O20" s="7" t="s">
        <v>49</v>
      </c>
      <c r="P20" s="10">
        <v>36.203803583517697</v>
      </c>
      <c r="Q20" s="29">
        <f>VLOOKUP(CurrentMtgRatesDataTable84[[#This Row],[asofdate]],S:T,2,0)</f>
        <v>2.66844067861104E-2</v>
      </c>
      <c r="S20" s="7" t="s">
        <v>49</v>
      </c>
      <c r="T20" s="10">
        <v>2.66844067861104E-2</v>
      </c>
      <c r="W20" s="7" t="s">
        <v>49</v>
      </c>
      <c r="X20" s="10">
        <v>720.06039635737204</v>
      </c>
      <c r="Y20" s="26">
        <f>VLOOKUP(CurrentMtgRatesDataTable86[[#This Row],[asofdate]],AA:AB,2,0)</f>
        <v>0.34681408931864999</v>
      </c>
      <c r="AA20" s="7" t="s">
        <v>49</v>
      </c>
      <c r="AB20" s="10">
        <v>0.34681408931864999</v>
      </c>
      <c r="AE20" s="7" t="s">
        <v>12</v>
      </c>
      <c r="AF20" s="10">
        <v>1.7375950434527401E-2</v>
      </c>
      <c r="AG20" s="10" t="str">
        <f>YEAR(CurrentMtgRatesDataTable89[[#This Row],[asofdate]])&amp;"-"&amp;MONTH(CurrentMtgRatesDataTable89[[#This Row],[asofdate]])</f>
        <v>2014-4</v>
      </c>
      <c r="AH20" s="6">
        <f>((CurrentMtgRatesDataTable89[[#This Row],[SeriesNumValue]]-$D$1)/$D$1+1)*100</f>
        <v>115.83966956351601</v>
      </c>
      <c r="AI20" s="6">
        <f>CurrentMtgRatesDataTable89[[#This Row],[Index]]-AH21</f>
        <v>3.274574689758694</v>
      </c>
      <c r="AJ20" s="6">
        <f>VLOOKUP(CurrentMtgRatesDataTable89[[#This Row],[asofdate]],G:H,2,0)</f>
        <v>82.221632922201394</v>
      </c>
      <c r="AK20" s="6">
        <f>VLOOKUP(CurrentMtgRatesDataTable89[[#This Row],[asofdate]],K:L,2,0)</f>
        <v>0.302228602571813</v>
      </c>
      <c r="AL20" s="6">
        <f>VLOOKUP(CurrentMtgRatesDataTable89[[#This Row],[asofdate]],O:P,2,0)</f>
        <v>34.816199864300501</v>
      </c>
      <c r="AM20" s="6">
        <f>VLOOKUP(CurrentMtgRatesDataTable89[[#This Row],[asofdate]],S:T,2,0)</f>
        <v>0.30845170445324599</v>
      </c>
      <c r="AN20" s="6">
        <f>VLOOKUP(CurrentMtgRatesDataTable89[[#This Row],[asofdate]],W:X,2,0)</f>
        <v>751.46240213519695</v>
      </c>
      <c r="AO20" s="6">
        <f>VLOOKUP(CurrentMtgRatesDataTable89[[#This Row],[asofdate]],AA:AB,2,0)</f>
        <v>0.136759922124324</v>
      </c>
    </row>
    <row r="21" spans="1:41" s="6" customFormat="1" ht="12.75">
      <c r="A21" s="7" t="s">
        <v>50</v>
      </c>
      <c r="B21" s="10">
        <v>2.3219619060123198E-2</v>
      </c>
      <c r="C21" s="10" t="str">
        <f>YEAR(CurrentMtgRatesDataTable8[[#This Row],[asofdate]])&amp;"-"&amp;MONTH(CurrentMtgRatesDataTable8[[#This Row],[asofdate]])</f>
        <v>2004-9</v>
      </c>
      <c r="D21" s="6">
        <f>((CurrentMtgRatesDataTable8[[#This Row],[SeriesNumValue]]-$D$1)/$D$1+1)*100</f>
        <v>154.79746040082131</v>
      </c>
      <c r="G21" s="7" t="s">
        <v>50</v>
      </c>
      <c r="H21" s="10">
        <v>81.575997037203607</v>
      </c>
      <c r="I21" s="26">
        <f>VLOOKUP(CurrentMtgRatesDataTable82[[#This Row],[asofdate]],K:L,2,0)</f>
        <v>0.28350793370687299</v>
      </c>
      <c r="K21" s="7" t="s">
        <v>50</v>
      </c>
      <c r="L21" s="29">
        <v>0.28350793370687299</v>
      </c>
      <c r="O21" s="7" t="s">
        <v>50</v>
      </c>
      <c r="P21" s="10">
        <v>36.725585962012303</v>
      </c>
      <c r="Q21" s="29">
        <f>VLOOKUP(CurrentMtgRatesDataTable84[[#This Row],[asofdate]],S:T,2,0)</f>
        <v>2.4399357804312901E-2</v>
      </c>
      <c r="S21" s="7" t="s">
        <v>50</v>
      </c>
      <c r="T21" s="10">
        <v>2.4399357804312901E-2</v>
      </c>
      <c r="W21" s="7" t="s">
        <v>50</v>
      </c>
      <c r="X21" s="10">
        <v>719.79489214723901</v>
      </c>
      <c r="Y21" s="26">
        <f>VLOOKUP(CurrentMtgRatesDataTable86[[#This Row],[asofdate]],AA:AB,2,0)</f>
        <v>0.34861427310826099</v>
      </c>
      <c r="AA21" s="7" t="s">
        <v>50</v>
      </c>
      <c r="AB21" s="10">
        <v>0.34861427310826099</v>
      </c>
      <c r="AE21" s="7" t="s">
        <v>151</v>
      </c>
      <c r="AF21" s="10">
        <v>1.6884764231063599E-2</v>
      </c>
      <c r="AG21" s="10" t="str">
        <f>YEAR(CurrentMtgRatesDataTable89[[#This Row],[asofdate]])&amp;"-"&amp;MONTH(CurrentMtgRatesDataTable89[[#This Row],[asofdate]])</f>
        <v>2014-3</v>
      </c>
      <c r="AH21" s="6">
        <f>((CurrentMtgRatesDataTable89[[#This Row],[SeriesNumValue]]-$D$1)/$D$1+1)*100</f>
        <v>112.56509487375732</v>
      </c>
      <c r="AI21" s="6">
        <f>CurrentMtgRatesDataTable89[[#This Row],[Index]]-AH22</f>
        <v>9.1220866186693144</v>
      </c>
      <c r="AJ21" s="6">
        <f>VLOOKUP(CurrentMtgRatesDataTable89[[#This Row],[asofdate]],G:H,2,0)</f>
        <v>81.851194537145602</v>
      </c>
      <c r="AK21" s="6">
        <f>VLOOKUP(CurrentMtgRatesDataTable89[[#This Row],[asofdate]],K:L,2,0)</f>
        <v>0.29247281839506201</v>
      </c>
      <c r="AL21" s="6">
        <f>VLOOKUP(CurrentMtgRatesDataTable89[[#This Row],[asofdate]],O:P,2,0)</f>
        <v>35.096621359252701</v>
      </c>
      <c r="AM21" s="6">
        <f>VLOOKUP(CurrentMtgRatesDataTable89[[#This Row],[asofdate]],S:T,2,0)</f>
        <v>0.32592044220524802</v>
      </c>
      <c r="AN21" s="6">
        <f>VLOOKUP(CurrentMtgRatesDataTable89[[#This Row],[asofdate]],W:X,2,0)</f>
        <v>752.01745988927803</v>
      </c>
      <c r="AO21" s="6">
        <f>VLOOKUP(CurrentMtgRatesDataTable89[[#This Row],[asofdate]],AA:AB,2,0)</f>
        <v>0.13383175443081299</v>
      </c>
    </row>
    <row r="22" spans="1:41" s="6" customFormat="1" ht="12.75">
      <c r="A22" s="7" t="s">
        <v>51</v>
      </c>
      <c r="B22" s="10">
        <v>2.25309271196323E-2</v>
      </c>
      <c r="C22" s="10" t="str">
        <f>YEAR(CurrentMtgRatesDataTable8[[#This Row],[asofdate]])&amp;"-"&amp;MONTH(CurrentMtgRatesDataTable8[[#This Row],[asofdate]])</f>
        <v>2004-10</v>
      </c>
      <c r="D22" s="6">
        <f>((CurrentMtgRatesDataTable8[[#This Row],[SeriesNumValue]]-$D$1)/$D$1+1)*100</f>
        <v>150.20618079754868</v>
      </c>
      <c r="G22" s="7" t="s">
        <v>51</v>
      </c>
      <c r="H22" s="10">
        <v>81.278021286029201</v>
      </c>
      <c r="I22" s="26">
        <f>VLOOKUP(CurrentMtgRatesDataTable82[[#This Row],[asofdate]],K:L,2,0)</f>
        <v>0.276682221848848</v>
      </c>
      <c r="K22" s="7" t="s">
        <v>51</v>
      </c>
      <c r="L22" s="29">
        <v>0.276682221848848</v>
      </c>
      <c r="O22" s="7" t="s">
        <v>51</v>
      </c>
      <c r="P22" s="10">
        <v>36.140491978410601</v>
      </c>
      <c r="Q22" s="29">
        <f>VLOOKUP(CurrentMtgRatesDataTable84[[#This Row],[asofdate]],S:T,2,0)</f>
        <v>2.2700215079383398E-2</v>
      </c>
      <c r="S22" s="7" t="s">
        <v>51</v>
      </c>
      <c r="T22" s="10">
        <v>2.2700215079383398E-2</v>
      </c>
      <c r="W22" s="7" t="s">
        <v>51</v>
      </c>
      <c r="X22" s="10">
        <v>720.93113561545397</v>
      </c>
      <c r="Y22" s="26">
        <f>VLOOKUP(CurrentMtgRatesDataTable86[[#This Row],[asofdate]],AA:AB,2,0)</f>
        <v>0.33728725379950802</v>
      </c>
      <c r="AA22" s="7" t="s">
        <v>51</v>
      </c>
      <c r="AB22" s="10">
        <v>0.33728725379950802</v>
      </c>
      <c r="AE22" s="7" t="s">
        <v>150</v>
      </c>
      <c r="AF22" s="10">
        <v>1.55164512382632E-2</v>
      </c>
      <c r="AG22" s="10" t="str">
        <f>YEAR(CurrentMtgRatesDataTable89[[#This Row],[asofdate]])&amp;"-"&amp;MONTH(CurrentMtgRatesDataTable89[[#This Row],[asofdate]])</f>
        <v>2014-2</v>
      </c>
      <c r="AH22" s="6">
        <f>((CurrentMtgRatesDataTable89[[#This Row],[SeriesNumValue]]-$D$1)/$D$1+1)*100</f>
        <v>103.443008255088</v>
      </c>
      <c r="AI22" s="6">
        <f>CurrentMtgRatesDataTable89[[#This Row],[Index]]-AH23</f>
        <v>-1.2115632664313551</v>
      </c>
      <c r="AJ22" s="6">
        <f>VLOOKUP(CurrentMtgRatesDataTable89[[#This Row],[asofdate]],G:H,2,0)</f>
        <v>82.054188818201595</v>
      </c>
      <c r="AK22" s="6">
        <f>VLOOKUP(CurrentMtgRatesDataTable89[[#This Row],[asofdate]],K:L,2,0)</f>
        <v>0.29731849479854999</v>
      </c>
      <c r="AL22" s="6">
        <f>VLOOKUP(CurrentMtgRatesDataTable89[[#This Row],[asofdate]],O:P,2,0)</f>
        <v>34.760538975541799</v>
      </c>
      <c r="AM22" s="6">
        <f>VLOOKUP(CurrentMtgRatesDataTable89[[#This Row],[asofdate]],S:T,2,0)</f>
        <v>0.31113505275696202</v>
      </c>
      <c r="AN22" s="6">
        <f>VLOOKUP(CurrentMtgRatesDataTable89[[#This Row],[asofdate]],W:X,2,0)</f>
        <v>752.81192436969502</v>
      </c>
      <c r="AO22" s="6">
        <f>VLOOKUP(CurrentMtgRatesDataTable89[[#This Row],[asofdate]],AA:AB,2,0)</f>
        <v>0.12799062962632901</v>
      </c>
    </row>
    <row r="23" spans="1:41" s="6" customFormat="1" ht="12.75">
      <c r="A23" s="7" t="s">
        <v>52</v>
      </c>
      <c r="B23" s="10">
        <v>2.18945118890157E-2</v>
      </c>
      <c r="C23" s="10" t="str">
        <f>YEAR(CurrentMtgRatesDataTable8[[#This Row],[asofdate]])&amp;"-"&amp;MONTH(CurrentMtgRatesDataTable8[[#This Row],[asofdate]])</f>
        <v>2004-11</v>
      </c>
      <c r="D23" s="6">
        <f>((CurrentMtgRatesDataTable8[[#This Row],[SeriesNumValue]]-$D$1)/$D$1+1)*100</f>
        <v>145.96341259343802</v>
      </c>
      <c r="G23" s="7" t="s">
        <v>52</v>
      </c>
      <c r="H23" s="10">
        <v>81.059375355118405</v>
      </c>
      <c r="I23" s="26">
        <f>VLOOKUP(CurrentMtgRatesDataTable82[[#This Row],[asofdate]],K:L,2,0)</f>
        <v>0.27010544272213999</v>
      </c>
      <c r="K23" s="7" t="s">
        <v>52</v>
      </c>
      <c r="L23" s="29">
        <v>0.27010544272213999</v>
      </c>
      <c r="O23" s="7" t="s">
        <v>52</v>
      </c>
      <c r="P23" s="10">
        <v>36.037229832655903</v>
      </c>
      <c r="Q23" s="29">
        <f>VLOOKUP(CurrentMtgRatesDataTable84[[#This Row],[asofdate]],S:T,2,0)</f>
        <v>2.3836089043189498E-2</v>
      </c>
      <c r="S23" s="7" t="s">
        <v>52</v>
      </c>
      <c r="T23" s="10">
        <v>2.3836089043189498E-2</v>
      </c>
      <c r="W23" s="7" t="s">
        <v>52</v>
      </c>
      <c r="X23" s="10">
        <v>720.95368415043401</v>
      </c>
      <c r="Y23" s="26">
        <f>VLOOKUP(CurrentMtgRatesDataTable86[[#This Row],[asofdate]],AA:AB,2,0)</f>
        <v>0.341747031945347</v>
      </c>
      <c r="AA23" s="7" t="s">
        <v>52</v>
      </c>
      <c r="AB23" s="10">
        <v>0.341747031945347</v>
      </c>
      <c r="AE23" s="7" t="s">
        <v>149</v>
      </c>
      <c r="AF23" s="10">
        <v>1.5698185728227902E-2</v>
      </c>
      <c r="AG23" s="10" t="str">
        <f>YEAR(CurrentMtgRatesDataTable89[[#This Row],[asofdate]])&amp;"-"&amp;MONTH(CurrentMtgRatesDataTable89[[#This Row],[asofdate]])</f>
        <v>2014-1</v>
      </c>
      <c r="AH23" s="6">
        <f>((CurrentMtgRatesDataTable89[[#This Row],[SeriesNumValue]]-$D$1)/$D$1+1)*100</f>
        <v>104.65457152151936</v>
      </c>
      <c r="AI23" s="6">
        <f>CurrentMtgRatesDataTable89[[#This Row],[Index]]-AH24</f>
        <v>-11.380634707621311</v>
      </c>
      <c r="AJ23" s="6">
        <f>VLOOKUP(CurrentMtgRatesDataTable89[[#This Row],[asofdate]],G:H,2,0)</f>
        <v>81.982052928115394</v>
      </c>
      <c r="AK23" s="6">
        <f>VLOOKUP(CurrentMtgRatesDataTable89[[#This Row],[asofdate]],K:L,2,0)</f>
        <v>0.299194151155105</v>
      </c>
      <c r="AL23" s="6">
        <f>VLOOKUP(CurrentMtgRatesDataTable89[[#This Row],[asofdate]],O:P,2,0)</f>
        <v>34.566720754788797</v>
      </c>
      <c r="AM23" s="6">
        <f>VLOOKUP(CurrentMtgRatesDataTable89[[#This Row],[asofdate]],S:T,2,0)</f>
        <v>0.30216401668491399</v>
      </c>
      <c r="AN23" s="6">
        <f>VLOOKUP(CurrentMtgRatesDataTable89[[#This Row],[asofdate]],W:X,2,0)</f>
        <v>753.53265606586206</v>
      </c>
      <c r="AO23" s="6">
        <f>VLOOKUP(CurrentMtgRatesDataTable89[[#This Row],[asofdate]],AA:AB,2,0)</f>
        <v>0.12335834868330101</v>
      </c>
    </row>
    <row r="24" spans="1:41" s="6" customFormat="1" ht="12.75">
      <c r="A24" s="7" t="s">
        <v>53</v>
      </c>
      <c r="B24" s="10">
        <v>2.11726953585613E-2</v>
      </c>
      <c r="C24" s="10" t="str">
        <f>YEAR(CurrentMtgRatesDataTable8[[#This Row],[asofdate]])&amp;"-"&amp;MONTH(CurrentMtgRatesDataTable8[[#This Row],[asofdate]])</f>
        <v>2004-12</v>
      </c>
      <c r="D24" s="6">
        <f>((CurrentMtgRatesDataTable8[[#This Row],[SeriesNumValue]]-$D$1)/$D$1+1)*100</f>
        <v>141.15130239040866</v>
      </c>
      <c r="G24" s="7" t="s">
        <v>53</v>
      </c>
      <c r="H24" s="10">
        <v>80.785488014978796</v>
      </c>
      <c r="I24" s="26">
        <f>VLOOKUP(CurrentMtgRatesDataTable82[[#This Row],[asofdate]],K:L,2,0)</f>
        <v>0.25927423449241599</v>
      </c>
      <c r="K24" s="7" t="s">
        <v>53</v>
      </c>
      <c r="L24" s="29">
        <v>0.25927423449241599</v>
      </c>
      <c r="O24" s="7" t="s">
        <v>53</v>
      </c>
      <c r="P24" s="10">
        <v>36.111274732319899</v>
      </c>
      <c r="Q24" s="29">
        <f>VLOOKUP(CurrentMtgRatesDataTable84[[#This Row],[asofdate]],S:T,2,0)</f>
        <v>2.0322416607770299E-2</v>
      </c>
      <c r="S24" s="7" t="s">
        <v>53</v>
      </c>
      <c r="T24" s="10">
        <v>2.0322416607770299E-2</v>
      </c>
      <c r="W24" s="7" t="s">
        <v>53</v>
      </c>
      <c r="X24" s="10">
        <v>721.50859125420595</v>
      </c>
      <c r="Y24" s="26">
        <f>VLOOKUP(CurrentMtgRatesDataTable86[[#This Row],[asofdate]],AA:AB,2,0)</f>
        <v>0.33226636417420502</v>
      </c>
      <c r="AA24" s="7" t="s">
        <v>53</v>
      </c>
      <c r="AB24" s="10">
        <v>0.33226636417420502</v>
      </c>
      <c r="AE24" s="7" t="s">
        <v>148</v>
      </c>
      <c r="AF24" s="10">
        <v>1.74052809343711E-2</v>
      </c>
      <c r="AG24" s="10" t="str">
        <f>YEAR(CurrentMtgRatesDataTable89[[#This Row],[asofdate]])&amp;"-"&amp;MONTH(CurrentMtgRatesDataTable89[[#This Row],[asofdate]])</f>
        <v>2013-12</v>
      </c>
      <c r="AH24" s="6">
        <f>((CurrentMtgRatesDataTable89[[#This Row],[SeriesNumValue]]-$D$1)/$D$1+1)*100</f>
        <v>116.03520622914067</v>
      </c>
      <c r="AI24" s="6">
        <f>CurrentMtgRatesDataTable89[[#This Row],[Index]]-AH25</f>
        <v>5.3555640954860024</v>
      </c>
      <c r="AJ24" s="6">
        <f>VLOOKUP(CurrentMtgRatesDataTable89[[#This Row],[asofdate]],G:H,2,0)</f>
        <v>81.889913557659895</v>
      </c>
      <c r="AK24" s="6">
        <f>VLOOKUP(CurrentMtgRatesDataTable89[[#This Row],[asofdate]],K:L,2,0)</f>
        <v>0.29679403380057001</v>
      </c>
      <c r="AL24" s="6">
        <f>VLOOKUP(CurrentMtgRatesDataTable89[[#This Row],[asofdate]],O:P,2,0)</f>
        <v>34.626736713885698</v>
      </c>
      <c r="AM24" s="6">
        <f>VLOOKUP(CurrentMtgRatesDataTable89[[#This Row],[asofdate]],S:T,2,0)</f>
        <v>0.30500668615603299</v>
      </c>
      <c r="AN24" s="6">
        <f>VLOOKUP(CurrentMtgRatesDataTable89[[#This Row],[asofdate]],W:X,2,0)</f>
        <v>753.468255047605</v>
      </c>
      <c r="AO24" s="6">
        <f>VLOOKUP(CurrentMtgRatesDataTable89[[#This Row],[asofdate]],AA:AB,2,0)</f>
        <v>0.122565766652004</v>
      </c>
    </row>
    <row r="25" spans="1:41" s="6" customFormat="1" ht="12.75">
      <c r="A25" s="7" t="s">
        <v>54</v>
      </c>
      <c r="B25" s="10">
        <v>2.10460909155403E-2</v>
      </c>
      <c r="C25" s="10" t="str">
        <f>YEAR(CurrentMtgRatesDataTable8[[#This Row],[asofdate]])&amp;"-"&amp;MONTH(CurrentMtgRatesDataTable8[[#This Row],[asofdate]])</f>
        <v>2005-1</v>
      </c>
      <c r="D25" s="6">
        <f>((CurrentMtgRatesDataTable8[[#This Row],[SeriesNumValue]]-$D$1)/$D$1+1)*100</f>
        <v>140.30727277026867</v>
      </c>
      <c r="G25" s="7" t="s">
        <v>54</v>
      </c>
      <c r="H25" s="10">
        <v>81.184090206536396</v>
      </c>
      <c r="I25" s="26">
        <f>VLOOKUP(CurrentMtgRatesDataTable82[[#This Row],[asofdate]],K:L,2,0)</f>
        <v>0.27546927529221299</v>
      </c>
      <c r="K25" s="7" t="s">
        <v>54</v>
      </c>
      <c r="L25" s="29">
        <v>0.27546927529221299</v>
      </c>
      <c r="O25" s="7" t="s">
        <v>54</v>
      </c>
      <c r="P25" s="10">
        <v>36.113002367630003</v>
      </c>
      <c r="Q25" s="29">
        <f>VLOOKUP(CurrentMtgRatesDataTable84[[#This Row],[asofdate]],S:T,2,0)</f>
        <v>2.1384716547729901E-2</v>
      </c>
      <c r="S25" s="7" t="s">
        <v>54</v>
      </c>
      <c r="T25" s="10">
        <v>2.1384716547729901E-2</v>
      </c>
      <c r="W25" s="7" t="s">
        <v>54</v>
      </c>
      <c r="X25" s="10">
        <v>721.96599739441297</v>
      </c>
      <c r="Y25" s="26">
        <f>VLOOKUP(CurrentMtgRatesDataTable86[[#This Row],[asofdate]],AA:AB,2,0)</f>
        <v>0.32923258254458498</v>
      </c>
      <c r="AA25" s="7" t="s">
        <v>54</v>
      </c>
      <c r="AB25" s="10">
        <v>0.32923258254458498</v>
      </c>
      <c r="AE25" s="7" t="s">
        <v>20</v>
      </c>
      <c r="AF25" s="10">
        <v>1.6601946320048199E-2</v>
      </c>
      <c r="AG25" s="10" t="str">
        <f>YEAR(CurrentMtgRatesDataTable89[[#This Row],[asofdate]])&amp;"-"&amp;MONTH(CurrentMtgRatesDataTable89[[#This Row],[asofdate]])</f>
        <v>2013-11</v>
      </c>
      <c r="AH25" s="6">
        <f>((CurrentMtgRatesDataTable89[[#This Row],[SeriesNumValue]]-$D$1)/$D$1+1)*100</f>
        <v>110.67964213365467</v>
      </c>
      <c r="AI25" s="6">
        <f>CurrentMtgRatesDataTable89[[#This Row],[Index]]-AH26</f>
        <v>9.6373724019546643</v>
      </c>
      <c r="AJ25" s="6">
        <f>VLOOKUP(CurrentMtgRatesDataTable89[[#This Row],[asofdate]],G:H,2,0)</f>
        <v>81.996335409421604</v>
      </c>
      <c r="AK25" s="6">
        <f>VLOOKUP(CurrentMtgRatesDataTable89[[#This Row],[asofdate]],K:L,2,0)</f>
        <v>0.29852906705149401</v>
      </c>
      <c r="AL25" s="6">
        <f>VLOOKUP(CurrentMtgRatesDataTable89[[#This Row],[asofdate]],O:P,2,0)</f>
        <v>34.6478974941895</v>
      </c>
      <c r="AM25" s="6">
        <f>VLOOKUP(CurrentMtgRatesDataTable89[[#This Row],[asofdate]],S:T,2,0)</f>
        <v>0.30468729593251298</v>
      </c>
      <c r="AN25" s="6">
        <f>VLOOKUP(CurrentMtgRatesDataTable89[[#This Row],[asofdate]],W:X,2,0)</f>
        <v>754.18465937431802</v>
      </c>
      <c r="AO25" s="6">
        <f>VLOOKUP(CurrentMtgRatesDataTable89[[#This Row],[asofdate]],AA:AB,2,0)</f>
        <v>0.118031852586022</v>
      </c>
    </row>
    <row r="26" spans="1:41" s="6" customFormat="1" ht="12.75">
      <c r="A26" s="7" t="s">
        <v>55</v>
      </c>
      <c r="B26" s="10">
        <v>2.0771989464414699E-2</v>
      </c>
      <c r="C26" s="10" t="str">
        <f>YEAR(CurrentMtgRatesDataTable8[[#This Row],[asofdate]])&amp;"-"&amp;MONTH(CurrentMtgRatesDataTable8[[#This Row],[asofdate]])</f>
        <v>2005-2</v>
      </c>
      <c r="D26" s="6">
        <f>((CurrentMtgRatesDataTable8[[#This Row],[SeriesNumValue]]-$D$1)/$D$1+1)*100</f>
        <v>138.47992976276467</v>
      </c>
      <c r="G26" s="7" t="s">
        <v>55</v>
      </c>
      <c r="H26" s="10">
        <v>80.988234268140602</v>
      </c>
      <c r="I26" s="26">
        <f>VLOOKUP(CurrentMtgRatesDataTable82[[#This Row],[asofdate]],K:L,2,0)</f>
        <v>0.26359078536765701</v>
      </c>
      <c r="K26" s="7" t="s">
        <v>55</v>
      </c>
      <c r="L26" s="29">
        <v>0.26359078536765701</v>
      </c>
      <c r="O26" s="7" t="s">
        <v>55</v>
      </c>
      <c r="P26" s="10">
        <v>36.021234313297398</v>
      </c>
      <c r="Q26" s="29">
        <f>VLOOKUP(CurrentMtgRatesDataTable84[[#This Row],[asofdate]],S:T,2,0)</f>
        <v>2.15048269951971E-2</v>
      </c>
      <c r="S26" s="7" t="s">
        <v>55</v>
      </c>
      <c r="T26" s="10">
        <v>2.15048269951971E-2</v>
      </c>
      <c r="W26" s="7" t="s">
        <v>55</v>
      </c>
      <c r="X26" s="10">
        <v>721.85201991281099</v>
      </c>
      <c r="Y26" s="26">
        <f>VLOOKUP(CurrentMtgRatesDataTable86[[#This Row],[asofdate]],AA:AB,2,0)</f>
        <v>0.33234768002944598</v>
      </c>
      <c r="AA26" s="7" t="s">
        <v>55</v>
      </c>
      <c r="AB26" s="10">
        <v>0.33234768002944598</v>
      </c>
      <c r="AE26" s="7" t="s">
        <v>11</v>
      </c>
      <c r="AF26" s="10">
        <v>1.5156340459755E-2</v>
      </c>
      <c r="AG26" s="10" t="str">
        <f>YEAR(CurrentMtgRatesDataTable89[[#This Row],[asofdate]])&amp;"-"&amp;MONTH(CurrentMtgRatesDataTable89[[#This Row],[asofdate]])</f>
        <v>2013-10</v>
      </c>
      <c r="AH26" s="6">
        <f>((CurrentMtgRatesDataTable89[[#This Row],[SeriesNumValue]]-$D$1)/$D$1+1)*100</f>
        <v>101.0422697317</v>
      </c>
      <c r="AI26" s="6">
        <f>CurrentMtgRatesDataTable89[[#This Row],[Index]]-AH27</f>
        <v>9.2525249045599907</v>
      </c>
      <c r="AJ26" s="6">
        <f>VLOOKUP(CurrentMtgRatesDataTable89[[#This Row],[asofdate]],G:H,2,0)</f>
        <v>81.926585922395802</v>
      </c>
      <c r="AK26" s="6">
        <f>VLOOKUP(CurrentMtgRatesDataTable89[[#This Row],[asofdate]],K:L,2,0)</f>
        <v>0.29249498292353099</v>
      </c>
      <c r="AL26" s="6">
        <f>VLOOKUP(CurrentMtgRatesDataTable89[[#This Row],[asofdate]],O:P,2,0)</f>
        <v>34.357406516104902</v>
      </c>
      <c r="AM26" s="6">
        <f>VLOOKUP(CurrentMtgRatesDataTable89[[#This Row],[asofdate]],S:T,2,0)</f>
        <v>0.29325545251212798</v>
      </c>
      <c r="AN26" s="6">
        <f>VLOOKUP(CurrentMtgRatesDataTable89[[#This Row],[asofdate]],W:X,2,0)</f>
        <v>755.18299575253604</v>
      </c>
      <c r="AO26" s="6">
        <f>VLOOKUP(CurrentMtgRatesDataTable89[[#This Row],[asofdate]],AA:AB,2,0)</f>
        <v>0.111573251117844</v>
      </c>
    </row>
    <row r="27" spans="1:41" s="6" customFormat="1" ht="12.75">
      <c r="A27" s="7" t="s">
        <v>56</v>
      </c>
      <c r="B27" s="10">
        <v>2.0540909133300301E-2</v>
      </c>
      <c r="C27" s="10" t="str">
        <f>YEAR(CurrentMtgRatesDataTable8[[#This Row],[asofdate]])&amp;"-"&amp;MONTH(CurrentMtgRatesDataTable8[[#This Row],[asofdate]])</f>
        <v>2005-3</v>
      </c>
      <c r="D27" s="6">
        <f>((CurrentMtgRatesDataTable8[[#This Row],[SeriesNumValue]]-$D$1)/$D$1+1)*100</f>
        <v>136.93939422200202</v>
      </c>
      <c r="G27" s="7" t="s">
        <v>56</v>
      </c>
      <c r="H27" s="10">
        <v>80.932832463711193</v>
      </c>
      <c r="I27" s="26">
        <f>VLOOKUP(CurrentMtgRatesDataTable82[[#This Row],[asofdate]],K:L,2,0)</f>
        <v>0.249163412035458</v>
      </c>
      <c r="K27" s="7" t="s">
        <v>56</v>
      </c>
      <c r="L27" s="29">
        <v>0.249163412035458</v>
      </c>
      <c r="O27" s="7" t="s">
        <v>56</v>
      </c>
      <c r="P27" s="10">
        <v>36.536528015982903</v>
      </c>
      <c r="Q27" s="29">
        <f>VLOOKUP(CurrentMtgRatesDataTable84[[#This Row],[asofdate]],S:T,2,0)</f>
        <v>2.2787597421070799E-2</v>
      </c>
      <c r="S27" s="7" t="s">
        <v>56</v>
      </c>
      <c r="T27" s="10">
        <v>2.2787597421070799E-2</v>
      </c>
      <c r="W27" s="7" t="s">
        <v>56</v>
      </c>
      <c r="X27" s="10">
        <v>723.64106546829998</v>
      </c>
      <c r="Y27" s="26">
        <f>VLOOKUP(CurrentMtgRatesDataTable86[[#This Row],[asofdate]],AA:AB,2,0)</f>
        <v>0.325365720667595</v>
      </c>
      <c r="AA27" s="7" t="s">
        <v>56</v>
      </c>
      <c r="AB27" s="10">
        <v>0.325365720667595</v>
      </c>
      <c r="AE27" s="7" t="s">
        <v>147</v>
      </c>
      <c r="AF27" s="10">
        <v>1.3768461724071E-2</v>
      </c>
      <c r="AG27" s="10" t="str">
        <f>YEAR(CurrentMtgRatesDataTable89[[#This Row],[asofdate]])&amp;"-"&amp;MONTH(CurrentMtgRatesDataTable89[[#This Row],[asofdate]])</f>
        <v>2013-9</v>
      </c>
      <c r="AH27" s="6">
        <f>((CurrentMtgRatesDataTable89[[#This Row],[SeriesNumValue]]-$D$1)/$D$1+1)*100</f>
        <v>91.789744827140012</v>
      </c>
      <c r="AI27" s="6">
        <f>CurrentMtgRatesDataTable89[[#This Row],[Index]]-AH28</f>
        <v>8.6569432610406665</v>
      </c>
      <c r="AJ27" s="6">
        <f>VLOOKUP(CurrentMtgRatesDataTable89[[#This Row],[asofdate]],G:H,2,0)</f>
        <v>81.917771600137101</v>
      </c>
      <c r="AK27" s="6">
        <f>VLOOKUP(CurrentMtgRatesDataTable89[[#This Row],[asofdate]],K:L,2,0)</f>
        <v>0.29030501171380202</v>
      </c>
      <c r="AL27" s="6">
        <f>VLOOKUP(CurrentMtgRatesDataTable89[[#This Row],[asofdate]],O:P,2,0)</f>
        <v>34.041078566184702</v>
      </c>
      <c r="AM27" s="6">
        <f>VLOOKUP(CurrentMtgRatesDataTable89[[#This Row],[asofdate]],S:T,2,0)</f>
        <v>0.28421617550554501</v>
      </c>
      <c r="AN27" s="6">
        <f>VLOOKUP(CurrentMtgRatesDataTable89[[#This Row],[asofdate]],W:X,2,0)</f>
        <v>756.653444016501</v>
      </c>
      <c r="AO27" s="6">
        <f>VLOOKUP(CurrentMtgRatesDataTable89[[#This Row],[asofdate]],AA:AB,2,0)</f>
        <v>0.10239949086036899</v>
      </c>
    </row>
    <row r="28" spans="1:41" s="6" customFormat="1" ht="12.75">
      <c r="A28" s="7" t="s">
        <v>57</v>
      </c>
      <c r="B28" s="10">
        <v>1.992669947727E-2</v>
      </c>
      <c r="C28" s="10" t="str">
        <f>YEAR(CurrentMtgRatesDataTable8[[#This Row],[asofdate]])&amp;"-"&amp;MONTH(CurrentMtgRatesDataTable8[[#This Row],[asofdate]])</f>
        <v>2005-4</v>
      </c>
      <c r="D28" s="6">
        <f>((CurrentMtgRatesDataTable8[[#This Row],[SeriesNumValue]]-$D$1)/$D$1+1)*100</f>
        <v>132.8446631818</v>
      </c>
      <c r="G28" s="7" t="s">
        <v>57</v>
      </c>
      <c r="H28" s="10">
        <v>80.895125662890706</v>
      </c>
      <c r="I28" s="26">
        <f>VLOOKUP(CurrentMtgRatesDataTable82[[#This Row],[asofdate]],K:L,2,0)</f>
        <v>0.245931688961815</v>
      </c>
      <c r="K28" s="7" t="s">
        <v>57</v>
      </c>
      <c r="L28" s="29">
        <v>0.245931688961815</v>
      </c>
      <c r="O28" s="7" t="s">
        <v>57</v>
      </c>
      <c r="P28" s="10">
        <v>36.597130219793101</v>
      </c>
      <c r="Q28" s="29">
        <f>VLOOKUP(CurrentMtgRatesDataTable84[[#This Row],[asofdate]],S:T,2,0)</f>
        <v>2.0414171190781299E-2</v>
      </c>
      <c r="S28" s="7" t="s">
        <v>57</v>
      </c>
      <c r="T28" s="10">
        <v>2.0414171190781299E-2</v>
      </c>
      <c r="W28" s="7" t="s">
        <v>57</v>
      </c>
      <c r="X28" s="10">
        <v>725.25839259543602</v>
      </c>
      <c r="Y28" s="26">
        <f>VLOOKUP(CurrentMtgRatesDataTable86[[#This Row],[asofdate]],AA:AB,2,0)</f>
        <v>0.31175809732214199</v>
      </c>
      <c r="AA28" s="7" t="s">
        <v>57</v>
      </c>
      <c r="AB28" s="10">
        <v>0.31175809732214199</v>
      </c>
      <c r="AE28" s="7" t="s">
        <v>23</v>
      </c>
      <c r="AF28" s="10">
        <v>1.2469920234914901E-2</v>
      </c>
      <c r="AG28" s="10" t="str">
        <f>YEAR(CurrentMtgRatesDataTable89[[#This Row],[asofdate]])&amp;"-"&amp;MONTH(CurrentMtgRatesDataTable89[[#This Row],[asofdate]])</f>
        <v>2013-8</v>
      </c>
      <c r="AH28" s="6">
        <f>((CurrentMtgRatesDataTable89[[#This Row],[SeriesNumValue]]-$D$1)/$D$1+1)*100</f>
        <v>83.132801566099346</v>
      </c>
      <c r="AI28" s="6">
        <f>CurrentMtgRatesDataTable89[[#This Row],[Index]]-AH29</f>
        <v>-7.8509496957106535</v>
      </c>
      <c r="AJ28" s="6">
        <f>VLOOKUP(CurrentMtgRatesDataTable89[[#This Row],[asofdate]],G:H,2,0)</f>
        <v>81.827547469885204</v>
      </c>
      <c r="AK28" s="6">
        <f>VLOOKUP(CurrentMtgRatesDataTable89[[#This Row],[asofdate]],K:L,2,0)</f>
        <v>0.28462114980755299</v>
      </c>
      <c r="AL28" s="6">
        <f>VLOOKUP(CurrentMtgRatesDataTable89[[#This Row],[asofdate]],O:P,2,0)</f>
        <v>33.415238721331797</v>
      </c>
      <c r="AM28" s="6">
        <f>VLOOKUP(CurrentMtgRatesDataTable89[[#This Row],[asofdate]],S:T,2,0)</f>
        <v>0.26111500363976398</v>
      </c>
      <c r="AN28" s="6">
        <f>VLOOKUP(CurrentMtgRatesDataTable89[[#This Row],[asofdate]],W:X,2,0)</f>
        <v>757.91787250439097</v>
      </c>
      <c r="AO28" s="6">
        <f>VLOOKUP(CurrentMtgRatesDataTable89[[#This Row],[asofdate]],AA:AB,2,0)</f>
        <v>9.7421246941441803E-2</v>
      </c>
    </row>
    <row r="29" spans="1:41" s="6" customFormat="1" ht="12.75">
      <c r="A29" s="7" t="s">
        <v>58</v>
      </c>
      <c r="B29" s="10">
        <v>1.8296678395220301E-2</v>
      </c>
      <c r="C29" s="10" t="str">
        <f>YEAR(CurrentMtgRatesDataTable8[[#This Row],[asofdate]])&amp;"-"&amp;MONTH(CurrentMtgRatesDataTable8[[#This Row],[asofdate]])</f>
        <v>2005-5</v>
      </c>
      <c r="D29" s="6">
        <f>((CurrentMtgRatesDataTable8[[#This Row],[SeriesNumValue]]-$D$1)/$D$1+1)*100</f>
        <v>121.97785596813534</v>
      </c>
      <c r="G29" s="7" t="s">
        <v>58</v>
      </c>
      <c r="H29" s="10">
        <v>80.691921534860796</v>
      </c>
      <c r="I29" s="26">
        <f>VLOOKUP(CurrentMtgRatesDataTable82[[#This Row],[asofdate]],K:L,2,0)</f>
        <v>0.234305230431572</v>
      </c>
      <c r="K29" s="7" t="s">
        <v>58</v>
      </c>
      <c r="L29" s="29">
        <v>0.234305230431572</v>
      </c>
      <c r="O29" s="7" t="s">
        <v>58</v>
      </c>
      <c r="P29" s="10">
        <v>36.327186002251203</v>
      </c>
      <c r="Q29" s="29">
        <f>VLOOKUP(CurrentMtgRatesDataTable84[[#This Row],[asofdate]],S:T,2,0)</f>
        <v>2.02201237207651E-2</v>
      </c>
      <c r="S29" s="7" t="s">
        <v>58</v>
      </c>
      <c r="T29" s="10">
        <v>2.02201237207651E-2</v>
      </c>
      <c r="W29" s="7" t="s">
        <v>58</v>
      </c>
      <c r="X29" s="10">
        <v>725.45547752792004</v>
      </c>
      <c r="Y29" s="26">
        <f>VLOOKUP(CurrentMtgRatesDataTable86[[#This Row],[asofdate]],AA:AB,2,0)</f>
        <v>0.31191876727622397</v>
      </c>
      <c r="AA29" s="7" t="s">
        <v>58</v>
      </c>
      <c r="AB29" s="10">
        <v>0.31191876727622397</v>
      </c>
      <c r="AE29" s="7" t="s">
        <v>10</v>
      </c>
      <c r="AF29" s="10">
        <v>1.3647562689271499E-2</v>
      </c>
      <c r="AG29" s="10" t="str">
        <f>YEAR(CurrentMtgRatesDataTable89[[#This Row],[asofdate]])&amp;"-"&amp;MONTH(CurrentMtgRatesDataTable89[[#This Row],[asofdate]])</f>
        <v>2013-7</v>
      </c>
      <c r="AH29" s="6">
        <f>((CurrentMtgRatesDataTable89[[#This Row],[SeriesNumValue]]-$D$1)/$D$1+1)*100</f>
        <v>90.983751261809999</v>
      </c>
      <c r="AI29" s="6">
        <f>CurrentMtgRatesDataTable89[[#This Row],[Index]]-AH30</f>
        <v>-11.774292616447326</v>
      </c>
      <c r="AJ29" s="6">
        <f>VLOOKUP(CurrentMtgRatesDataTable89[[#This Row],[asofdate]],G:H,2,0)</f>
        <v>81.788158152840097</v>
      </c>
      <c r="AK29" s="6">
        <f>VLOOKUP(CurrentMtgRatesDataTable89[[#This Row],[asofdate]],K:L,2,0)</f>
        <v>0.28535356918134203</v>
      </c>
      <c r="AL29" s="6">
        <f>VLOOKUP(CurrentMtgRatesDataTable89[[#This Row],[asofdate]],O:P,2,0)</f>
        <v>33.228820554415002</v>
      </c>
      <c r="AM29" s="6">
        <f>VLOOKUP(CurrentMtgRatesDataTable89[[#This Row],[asofdate]],S:T,2,0)</f>
        <v>0.25208629868176302</v>
      </c>
      <c r="AN29" s="6">
        <f>VLOOKUP(CurrentMtgRatesDataTable89[[#This Row],[asofdate]],W:X,2,0)</f>
        <v>758.28630946198598</v>
      </c>
      <c r="AO29" s="6">
        <f>VLOOKUP(CurrentMtgRatesDataTable89[[#This Row],[asofdate]],AA:AB,2,0)</f>
        <v>9.6568724354419794E-2</v>
      </c>
    </row>
    <row r="30" spans="1:41" s="6" customFormat="1" ht="12.75">
      <c r="A30" s="7" t="s">
        <v>59</v>
      </c>
      <c r="B30" s="10">
        <v>2.0832087804865802E-2</v>
      </c>
      <c r="C30" s="10" t="str">
        <f>YEAR(CurrentMtgRatesDataTable8[[#This Row],[asofdate]])&amp;"-"&amp;MONTH(CurrentMtgRatesDataTable8[[#This Row],[asofdate]])</f>
        <v>2005-6</v>
      </c>
      <c r="D30" s="6">
        <f>((CurrentMtgRatesDataTable8[[#This Row],[SeriesNumValue]]-$D$1)/$D$1+1)*100</f>
        <v>138.88058536577202</v>
      </c>
      <c r="G30" s="7" t="s">
        <v>59</v>
      </c>
      <c r="H30" s="10">
        <v>80.948951507975195</v>
      </c>
      <c r="I30" s="26">
        <f>VLOOKUP(CurrentMtgRatesDataTable82[[#This Row],[asofdate]],K:L,2,0)</f>
        <v>0.24199028870644701</v>
      </c>
      <c r="K30" s="7" t="s">
        <v>59</v>
      </c>
      <c r="L30" s="29">
        <v>0.24199028870644701</v>
      </c>
      <c r="O30" s="7" t="s">
        <v>59</v>
      </c>
      <c r="P30" s="10">
        <v>36.1993382197549</v>
      </c>
      <c r="Q30" s="29">
        <f>VLOOKUP(CurrentMtgRatesDataTable84[[#This Row],[asofdate]],S:T,2,0)</f>
        <v>2.4888563661056001E-2</v>
      </c>
      <c r="S30" s="7" t="s">
        <v>59</v>
      </c>
      <c r="T30" s="10">
        <v>2.4888563661056001E-2</v>
      </c>
      <c r="W30" s="7" t="s">
        <v>59</v>
      </c>
      <c r="X30" s="10">
        <v>724.54450005986598</v>
      </c>
      <c r="Y30" s="26">
        <f>VLOOKUP(CurrentMtgRatesDataTable86[[#This Row],[asofdate]],AA:AB,2,0)</f>
        <v>0.31915669681855002</v>
      </c>
      <c r="AA30" s="7" t="s">
        <v>59</v>
      </c>
      <c r="AB30" s="10">
        <v>0.31915669681855002</v>
      </c>
      <c r="AE30" s="7" t="s">
        <v>146</v>
      </c>
      <c r="AF30" s="10">
        <v>1.5413706581738599E-2</v>
      </c>
      <c r="AG30" s="10" t="str">
        <f>YEAR(CurrentMtgRatesDataTable89[[#This Row],[asofdate]])&amp;"-"&amp;MONTH(CurrentMtgRatesDataTable89[[#This Row],[asofdate]])</f>
        <v>2013-6</v>
      </c>
      <c r="AH30" s="6">
        <f>((CurrentMtgRatesDataTable89[[#This Row],[SeriesNumValue]]-$D$1)/$D$1+1)*100</f>
        <v>102.75804387825733</v>
      </c>
      <c r="AI30" s="6">
        <f>CurrentMtgRatesDataTable89[[#This Row],[Index]]-AH31</f>
        <v>3.8467203221993174</v>
      </c>
      <c r="AJ30" s="6">
        <f>VLOOKUP(CurrentMtgRatesDataTable89[[#This Row],[asofdate]],G:H,2,0)</f>
        <v>81.560995062085496</v>
      </c>
      <c r="AK30" s="6">
        <f>VLOOKUP(CurrentMtgRatesDataTable89[[#This Row],[asofdate]],K:L,2,0)</f>
        <v>0.27245016612395301</v>
      </c>
      <c r="AL30" s="6">
        <f>VLOOKUP(CurrentMtgRatesDataTable89[[#This Row],[asofdate]],O:P,2,0)</f>
        <v>33.442751747550503</v>
      </c>
      <c r="AM30" s="6">
        <f>VLOOKUP(CurrentMtgRatesDataTable89[[#This Row],[asofdate]],S:T,2,0)</f>
        <v>0.26164688930527003</v>
      </c>
      <c r="AN30" s="6">
        <f>VLOOKUP(CurrentMtgRatesDataTable89[[#This Row],[asofdate]],W:X,2,0)</f>
        <v>758.39409782383098</v>
      </c>
      <c r="AO30" s="6">
        <f>VLOOKUP(CurrentMtgRatesDataTable89[[#This Row],[asofdate]],AA:AB,2,0)</f>
        <v>9.4257525505838602E-2</v>
      </c>
    </row>
    <row r="31" spans="1:41" s="6" customFormat="1" ht="12.75">
      <c r="A31" s="7" t="s">
        <v>60</v>
      </c>
      <c r="B31" s="10">
        <v>2.1305256927180299E-2</v>
      </c>
      <c r="C31" s="10" t="str">
        <f>YEAR(CurrentMtgRatesDataTable8[[#This Row],[asofdate]])&amp;"-"&amp;MONTH(CurrentMtgRatesDataTable8[[#This Row],[asofdate]])</f>
        <v>2005-7</v>
      </c>
      <c r="D31" s="6">
        <f>((CurrentMtgRatesDataTable8[[#This Row],[SeriesNumValue]]-$D$1)/$D$1+1)*100</f>
        <v>142.03504618120201</v>
      </c>
      <c r="G31" s="7" t="s">
        <v>60</v>
      </c>
      <c r="H31" s="10">
        <v>80.924093980399604</v>
      </c>
      <c r="I31" s="26">
        <f>VLOOKUP(CurrentMtgRatesDataTable82[[#This Row],[asofdate]],K:L,2,0)</f>
        <v>0.234948394132272</v>
      </c>
      <c r="K31" s="7" t="s">
        <v>60</v>
      </c>
      <c r="L31" s="29">
        <v>0.234948394132272</v>
      </c>
      <c r="O31" s="7" t="s">
        <v>60</v>
      </c>
      <c r="P31" s="10">
        <v>35.622831536056303</v>
      </c>
      <c r="Q31" s="29">
        <f>VLOOKUP(CurrentMtgRatesDataTable84[[#This Row],[asofdate]],S:T,2,0)</f>
        <v>2.39749129907815E-2</v>
      </c>
      <c r="S31" s="7" t="s">
        <v>60</v>
      </c>
      <c r="T31" s="10">
        <v>2.39749129907815E-2</v>
      </c>
      <c r="W31" s="7" t="s">
        <v>60</v>
      </c>
      <c r="X31" s="10">
        <v>725.24515758187999</v>
      </c>
      <c r="Y31" s="26">
        <f>VLOOKUP(CurrentMtgRatesDataTable86[[#This Row],[asofdate]],AA:AB,2,0)</f>
        <v>0.31626561898460898</v>
      </c>
      <c r="AA31" s="7" t="s">
        <v>60</v>
      </c>
      <c r="AB31" s="10">
        <v>0.31626561898460898</v>
      </c>
      <c r="AE31" s="7" t="s">
        <v>7</v>
      </c>
      <c r="AF31" s="10">
        <v>1.48366985334087E-2</v>
      </c>
      <c r="AG31" s="10" t="str">
        <f>YEAR(CurrentMtgRatesDataTable89[[#This Row],[asofdate]])&amp;"-"&amp;MONTH(CurrentMtgRatesDataTable89[[#This Row],[asofdate]])</f>
        <v>2013-5</v>
      </c>
      <c r="AH31" s="6">
        <f>((CurrentMtgRatesDataTable89[[#This Row],[SeriesNumValue]]-$D$1)/$D$1+1)*100</f>
        <v>98.911323556058008</v>
      </c>
      <c r="AI31" s="6">
        <f>CurrentMtgRatesDataTable89[[#This Row],[Index]]-AH32</f>
        <v>5.0356796270526729</v>
      </c>
      <c r="AJ31" s="6">
        <f>VLOOKUP(CurrentMtgRatesDataTable89[[#This Row],[asofdate]],G:H,2,0)</f>
        <v>81.325179322753797</v>
      </c>
      <c r="AK31" s="6">
        <f>VLOOKUP(CurrentMtgRatesDataTable89[[#This Row],[asofdate]],K:L,2,0)</f>
        <v>0.262825288107358</v>
      </c>
      <c r="AL31" s="6">
        <f>VLOOKUP(CurrentMtgRatesDataTable89[[#This Row],[asofdate]],O:P,2,0)</f>
        <v>33.5566306336381</v>
      </c>
      <c r="AM31" s="6">
        <f>VLOOKUP(CurrentMtgRatesDataTable89[[#This Row],[asofdate]],S:T,2,0)</f>
        <v>0.26794335903761601</v>
      </c>
      <c r="AN31" s="6">
        <f>VLOOKUP(CurrentMtgRatesDataTable89[[#This Row],[asofdate]],W:X,2,0)</f>
        <v>758.42291222221195</v>
      </c>
      <c r="AO31" s="6">
        <f>VLOOKUP(CurrentMtgRatesDataTable89[[#This Row],[asofdate]],AA:AB,2,0)</f>
        <v>9.3295068554112501E-2</v>
      </c>
    </row>
    <row r="32" spans="1:41" s="6" customFormat="1" ht="12.75">
      <c r="A32" s="7" t="s">
        <v>61</v>
      </c>
      <c r="B32" s="10">
        <v>1.9644279623908599E-2</v>
      </c>
      <c r="C32" s="10" t="str">
        <f>YEAR(CurrentMtgRatesDataTable8[[#This Row],[asofdate]])&amp;"-"&amp;MONTH(CurrentMtgRatesDataTable8[[#This Row],[asofdate]])</f>
        <v>2005-8</v>
      </c>
      <c r="D32" s="6">
        <f>((CurrentMtgRatesDataTable8[[#This Row],[SeriesNumValue]]-$D$1)/$D$1+1)*100</f>
        <v>130.96186415939067</v>
      </c>
      <c r="G32" s="7" t="s">
        <v>61</v>
      </c>
      <c r="H32" s="10">
        <v>79.8624128683972</v>
      </c>
      <c r="I32" s="26">
        <f>VLOOKUP(CurrentMtgRatesDataTable82[[#This Row],[asofdate]],K:L,2,0)</f>
        <v>0.214649589433586</v>
      </c>
      <c r="K32" s="7" t="s">
        <v>61</v>
      </c>
      <c r="L32" s="29">
        <v>0.214649589433586</v>
      </c>
      <c r="O32" s="7" t="s">
        <v>61</v>
      </c>
      <c r="P32" s="10">
        <v>35.077215179314997</v>
      </c>
      <c r="Q32" s="29">
        <f>VLOOKUP(CurrentMtgRatesDataTable84[[#This Row],[asofdate]],S:T,2,0)</f>
        <v>2.0740391863012599E-2</v>
      </c>
      <c r="S32" s="7" t="s">
        <v>61</v>
      </c>
      <c r="T32" s="10">
        <v>2.0740391863012599E-2</v>
      </c>
      <c r="W32" s="7" t="s">
        <v>61</v>
      </c>
      <c r="X32" s="10">
        <v>727.32930770411701</v>
      </c>
      <c r="Y32" s="26">
        <f>VLOOKUP(CurrentMtgRatesDataTable86[[#This Row],[asofdate]],AA:AB,2,0)</f>
        <v>0.30540869486486999</v>
      </c>
      <c r="AA32" s="7" t="s">
        <v>61</v>
      </c>
      <c r="AB32" s="10">
        <v>0.30540869486486999</v>
      </c>
      <c r="AE32" s="7" t="s">
        <v>15</v>
      </c>
      <c r="AF32" s="10">
        <v>1.4081346589350801E-2</v>
      </c>
      <c r="AG32" s="10" t="str">
        <f>YEAR(CurrentMtgRatesDataTable89[[#This Row],[asofdate]])&amp;"-"&amp;MONTH(CurrentMtgRatesDataTable89[[#This Row],[asofdate]])</f>
        <v>2013-4</v>
      </c>
      <c r="AH32" s="6">
        <f>((CurrentMtgRatesDataTable89[[#This Row],[SeriesNumValue]]-$D$1)/$D$1+1)*100</f>
        <v>93.875643929005335</v>
      </c>
      <c r="AI32" s="6">
        <f>CurrentMtgRatesDataTable89[[#This Row],[Index]]-AH33</f>
        <v>0.62633340059731779</v>
      </c>
      <c r="AJ32" s="6">
        <f>VLOOKUP(CurrentMtgRatesDataTable89[[#This Row],[asofdate]],G:H,2,0)</f>
        <v>81.199799681071894</v>
      </c>
      <c r="AK32" s="6">
        <f>VLOOKUP(CurrentMtgRatesDataTable89[[#This Row],[asofdate]],K:L,2,0)</f>
        <v>0.25702421178178703</v>
      </c>
      <c r="AL32" s="6">
        <f>VLOOKUP(CurrentMtgRatesDataTable89[[#This Row],[asofdate]],O:P,2,0)</f>
        <v>33.479006651971702</v>
      </c>
      <c r="AM32" s="6">
        <f>VLOOKUP(CurrentMtgRatesDataTable89[[#This Row],[asofdate]],S:T,2,0)</f>
        <v>0.26708469414027702</v>
      </c>
      <c r="AN32" s="6">
        <f>VLOOKUP(CurrentMtgRatesDataTable89[[#This Row],[asofdate]],W:X,2,0)</f>
        <v>758.50153581532902</v>
      </c>
      <c r="AO32" s="6">
        <f>VLOOKUP(CurrentMtgRatesDataTable89[[#This Row],[asofdate]],AA:AB,2,0)</f>
        <v>9.1597013504822702E-2</v>
      </c>
    </row>
    <row r="33" spans="1:41" s="6" customFormat="1" ht="12.75">
      <c r="A33" s="7" t="s">
        <v>62</v>
      </c>
      <c r="B33" s="10">
        <v>1.8340270781847499E-2</v>
      </c>
      <c r="C33" s="10" t="str">
        <f>YEAR(CurrentMtgRatesDataTable8[[#This Row],[asofdate]])&amp;"-"&amp;MONTH(CurrentMtgRatesDataTable8[[#This Row],[asofdate]])</f>
        <v>2005-9</v>
      </c>
      <c r="D33" s="6">
        <f>((CurrentMtgRatesDataTable8[[#This Row],[SeriesNumValue]]-$D$1)/$D$1+1)*100</f>
        <v>122.26847187898333</v>
      </c>
      <c r="G33" s="7" t="s">
        <v>62</v>
      </c>
      <c r="H33" s="10">
        <v>79.800127622255999</v>
      </c>
      <c r="I33" s="26">
        <f>VLOOKUP(CurrentMtgRatesDataTable82[[#This Row],[asofdate]],K:L,2,0)</f>
        <v>0.20901707282761001</v>
      </c>
      <c r="K33" s="7" t="s">
        <v>62</v>
      </c>
      <c r="L33" s="29">
        <v>0.20901707282761001</v>
      </c>
      <c r="O33" s="7" t="s">
        <v>62</v>
      </c>
      <c r="P33" s="10">
        <v>35.1480749189747</v>
      </c>
      <c r="Q33" s="29">
        <f>VLOOKUP(CurrentMtgRatesDataTable84[[#This Row],[asofdate]],S:T,2,0)</f>
        <v>2.68399820380428E-2</v>
      </c>
      <c r="S33" s="7" t="s">
        <v>62</v>
      </c>
      <c r="T33" s="10">
        <v>2.68399820380428E-2</v>
      </c>
      <c r="W33" s="7" t="s">
        <v>62</v>
      </c>
      <c r="X33" s="10">
        <v>728.11888488396903</v>
      </c>
      <c r="Y33" s="26">
        <f>VLOOKUP(CurrentMtgRatesDataTable86[[#This Row],[asofdate]],AA:AB,2,0)</f>
        <v>0.29226453331797803</v>
      </c>
      <c r="AA33" s="7" t="s">
        <v>62</v>
      </c>
      <c r="AB33" s="10">
        <v>0.29226453331797803</v>
      </c>
      <c r="AE33" s="7" t="s">
        <v>19</v>
      </c>
      <c r="AF33" s="10">
        <v>1.3987396579261201E-2</v>
      </c>
      <c r="AG33" s="10" t="str">
        <f>YEAR(CurrentMtgRatesDataTable89[[#This Row],[asofdate]])&amp;"-"&amp;MONTH(CurrentMtgRatesDataTable89[[#This Row],[asofdate]])</f>
        <v>2013-3</v>
      </c>
      <c r="AH33" s="6">
        <f>((CurrentMtgRatesDataTable89[[#This Row],[SeriesNumValue]]-$D$1)/$D$1+1)*100</f>
        <v>93.249310528408017</v>
      </c>
      <c r="AI33" s="6">
        <f>CurrentMtgRatesDataTable89[[#This Row],[Index]]-AH34</f>
        <v>-0.95998772795798004</v>
      </c>
      <c r="AJ33" s="6">
        <f>VLOOKUP(CurrentMtgRatesDataTable89[[#This Row],[asofdate]],G:H,2,0)</f>
        <v>81.043675117375997</v>
      </c>
      <c r="AK33" s="6">
        <f>VLOOKUP(CurrentMtgRatesDataTable89[[#This Row],[asofdate]],K:L,2,0)</f>
        <v>0.24920567214137601</v>
      </c>
      <c r="AL33" s="6">
        <f>VLOOKUP(CurrentMtgRatesDataTable89[[#This Row],[asofdate]],O:P,2,0)</f>
        <v>33.429210541255898</v>
      </c>
      <c r="AM33" s="6">
        <f>VLOOKUP(CurrentMtgRatesDataTable89[[#This Row],[asofdate]],S:T,2,0)</f>
        <v>0.26777968249987799</v>
      </c>
      <c r="AN33" s="6">
        <f>VLOOKUP(CurrentMtgRatesDataTable89[[#This Row],[asofdate]],W:X,2,0)</f>
        <v>758.30996785926004</v>
      </c>
      <c r="AO33" s="6">
        <f>VLOOKUP(CurrentMtgRatesDataTable89[[#This Row],[asofdate]],AA:AB,2,0)</f>
        <v>9.6988005222013604E-2</v>
      </c>
    </row>
    <row r="34" spans="1:41" s="6" customFormat="1" ht="12.75">
      <c r="A34" s="7" t="s">
        <v>63</v>
      </c>
      <c r="B34" s="10">
        <v>1.89834805820751E-2</v>
      </c>
      <c r="C34" s="10" t="str">
        <f>YEAR(CurrentMtgRatesDataTable8[[#This Row],[asofdate]])&amp;"-"&amp;MONTH(CurrentMtgRatesDataTable8[[#This Row],[asofdate]])</f>
        <v>2005-10</v>
      </c>
      <c r="D34" s="6">
        <f>((CurrentMtgRatesDataTable8[[#This Row],[SeriesNumValue]]-$D$1)/$D$1+1)*100</f>
        <v>126.55653721383402</v>
      </c>
      <c r="G34" s="7" t="s">
        <v>63</v>
      </c>
      <c r="H34" s="10">
        <v>79.923493325865195</v>
      </c>
      <c r="I34" s="26">
        <f>VLOOKUP(CurrentMtgRatesDataTable82[[#This Row],[asofdate]],K:L,2,0)</f>
        <v>0.21644067259883701</v>
      </c>
      <c r="K34" s="7" t="s">
        <v>63</v>
      </c>
      <c r="L34" s="29">
        <v>0.21644067259883701</v>
      </c>
      <c r="O34" s="7" t="s">
        <v>63</v>
      </c>
      <c r="P34" s="10">
        <v>36.383653975406801</v>
      </c>
      <c r="Q34" s="29">
        <f>VLOOKUP(CurrentMtgRatesDataTable84[[#This Row],[asofdate]],S:T,2,0)</f>
        <v>4.7987353312741503E-2</v>
      </c>
      <c r="S34" s="7" t="s">
        <v>63</v>
      </c>
      <c r="T34" s="10">
        <v>4.7987353312741503E-2</v>
      </c>
      <c r="W34" s="7" t="s">
        <v>63</v>
      </c>
      <c r="X34" s="10">
        <v>726.92812366023202</v>
      </c>
      <c r="Y34" s="26">
        <f>VLOOKUP(CurrentMtgRatesDataTable86[[#This Row],[asofdate]],AA:AB,2,0)</f>
        <v>0.307866686997112</v>
      </c>
      <c r="AA34" s="7" t="s">
        <v>63</v>
      </c>
      <c r="AB34" s="10">
        <v>0.307866686997112</v>
      </c>
      <c r="AE34" s="7" t="s">
        <v>18</v>
      </c>
      <c r="AF34" s="10">
        <v>1.41313947384549E-2</v>
      </c>
      <c r="AG34" s="10" t="str">
        <f>YEAR(CurrentMtgRatesDataTable89[[#This Row],[asofdate]])&amp;"-"&amp;MONTH(CurrentMtgRatesDataTable89[[#This Row],[asofdate]])</f>
        <v>2013-2</v>
      </c>
      <c r="AH34" s="6">
        <f>((CurrentMtgRatesDataTable89[[#This Row],[SeriesNumValue]]-$D$1)/$D$1+1)*100</f>
        <v>94.209298256365997</v>
      </c>
      <c r="AI34" s="6">
        <f>CurrentMtgRatesDataTable89[[#This Row],[Index]]-AH35</f>
        <v>-1.3583861412720069</v>
      </c>
      <c r="AJ34" s="6">
        <f>VLOOKUP(CurrentMtgRatesDataTable89[[#This Row],[asofdate]],G:H,2,0)</f>
        <v>80.800079255792397</v>
      </c>
      <c r="AK34" s="6">
        <f>VLOOKUP(CurrentMtgRatesDataTable89[[#This Row],[asofdate]],K:L,2,0)</f>
        <v>0.248337726838911</v>
      </c>
      <c r="AL34" s="6">
        <f>VLOOKUP(CurrentMtgRatesDataTable89[[#This Row],[asofdate]],O:P,2,0)</f>
        <v>33.236988614541303</v>
      </c>
      <c r="AM34" s="6">
        <f>VLOOKUP(CurrentMtgRatesDataTable89[[#This Row],[asofdate]],S:T,2,0)</f>
        <v>0.26462985808078898</v>
      </c>
      <c r="AN34" s="6">
        <f>VLOOKUP(CurrentMtgRatesDataTable89[[#This Row],[asofdate]],W:X,2,0)</f>
        <v>758.83203277396206</v>
      </c>
      <c r="AO34" s="6">
        <f>VLOOKUP(CurrentMtgRatesDataTable89[[#This Row],[asofdate]],AA:AB,2,0)</f>
        <v>9.5024813225718804E-2</v>
      </c>
    </row>
    <row r="35" spans="1:41" s="6" customFormat="1" ht="12.75">
      <c r="A35" s="7" t="s">
        <v>64</v>
      </c>
      <c r="B35" s="10">
        <v>1.8192428877670801E-2</v>
      </c>
      <c r="C35" s="10" t="str">
        <f>YEAR(CurrentMtgRatesDataTable8[[#This Row],[asofdate]])&amp;"-"&amp;MONTH(CurrentMtgRatesDataTable8[[#This Row],[asofdate]])</f>
        <v>2005-11</v>
      </c>
      <c r="D35" s="6">
        <f>((CurrentMtgRatesDataTable8[[#This Row],[SeriesNumValue]]-$D$1)/$D$1+1)*100</f>
        <v>121.28285918447202</v>
      </c>
      <c r="G35" s="7" t="s">
        <v>64</v>
      </c>
      <c r="H35" s="10">
        <v>79.707877334763694</v>
      </c>
      <c r="I35" s="26">
        <f>VLOOKUP(CurrentMtgRatesDataTable82[[#This Row],[asofdate]],K:L,2,0)</f>
        <v>0.20403530410173701</v>
      </c>
      <c r="K35" s="7" t="s">
        <v>64</v>
      </c>
      <c r="L35" s="29">
        <v>0.20403530410173701</v>
      </c>
      <c r="O35" s="7" t="s">
        <v>64</v>
      </c>
      <c r="P35" s="10">
        <v>37.292560707621398</v>
      </c>
      <c r="Q35" s="29">
        <f>VLOOKUP(CurrentMtgRatesDataTable84[[#This Row],[asofdate]],S:T,2,0)</f>
        <v>9.4940112137955404E-2</v>
      </c>
      <c r="S35" s="7" t="s">
        <v>64</v>
      </c>
      <c r="T35" s="10">
        <v>9.4940112137955404E-2</v>
      </c>
      <c r="W35" s="7" t="s">
        <v>64</v>
      </c>
      <c r="X35" s="10">
        <v>728.31425128392505</v>
      </c>
      <c r="Y35" s="26">
        <f>VLOOKUP(CurrentMtgRatesDataTable86[[#This Row],[asofdate]],AA:AB,2,0)</f>
        <v>0.29282399528074898</v>
      </c>
      <c r="AA35" s="7" t="s">
        <v>64</v>
      </c>
      <c r="AB35" s="10">
        <v>0.29282399528074898</v>
      </c>
      <c r="AE35" s="7" t="s">
        <v>145</v>
      </c>
      <c r="AF35" s="10">
        <v>1.4335152659645699E-2</v>
      </c>
      <c r="AG35" s="10" t="str">
        <f>YEAR(CurrentMtgRatesDataTable89[[#This Row],[asofdate]])&amp;"-"&amp;MONTH(CurrentMtgRatesDataTable89[[#This Row],[asofdate]])</f>
        <v>2013-1</v>
      </c>
      <c r="AH35" s="6">
        <f>((CurrentMtgRatesDataTable89[[#This Row],[SeriesNumValue]]-$D$1)/$D$1+1)*100</f>
        <v>95.567684397638004</v>
      </c>
      <c r="AI35" s="6">
        <f>CurrentMtgRatesDataTable89[[#This Row],[Index]]-AH36</f>
        <v>-1.3771112399953438</v>
      </c>
      <c r="AJ35" s="6">
        <f>VLOOKUP(CurrentMtgRatesDataTable89[[#This Row],[asofdate]],G:H,2,0)</f>
        <v>80.9254459604293</v>
      </c>
      <c r="AK35" s="6">
        <f>VLOOKUP(CurrentMtgRatesDataTable89[[#This Row],[asofdate]],K:L,2,0)</f>
        <v>0.24750843494761501</v>
      </c>
      <c r="AL35" s="6">
        <f>VLOOKUP(CurrentMtgRatesDataTable89[[#This Row],[asofdate]],O:P,2,0)</f>
        <v>33.1249469903779</v>
      </c>
      <c r="AM35" s="6">
        <f>VLOOKUP(CurrentMtgRatesDataTable89[[#This Row],[asofdate]],S:T,2,0)</f>
        <v>0.255612831060195</v>
      </c>
      <c r="AN35" s="6">
        <f>VLOOKUP(CurrentMtgRatesDataTable89[[#This Row],[asofdate]],W:X,2,0)</f>
        <v>759.65139395201004</v>
      </c>
      <c r="AO35" s="6">
        <f>VLOOKUP(CurrentMtgRatesDataTable89[[#This Row],[asofdate]],AA:AB,2,0)</f>
        <v>8.7851184039050303E-2</v>
      </c>
    </row>
    <row r="36" spans="1:41" s="6" customFormat="1" ht="12.75">
      <c r="A36" s="7" t="s">
        <v>65</v>
      </c>
      <c r="B36" s="10">
        <v>1.5205150193068E-2</v>
      </c>
      <c r="C36" s="10" t="str">
        <f>YEAR(CurrentMtgRatesDataTable8[[#This Row],[asofdate]])&amp;"-"&amp;MONTH(CurrentMtgRatesDataTable8[[#This Row],[asofdate]])</f>
        <v>2005-12</v>
      </c>
      <c r="D36" s="6">
        <f>((CurrentMtgRatesDataTable8[[#This Row],[SeriesNumValue]]-$D$1)/$D$1+1)*100</f>
        <v>101.36766795378666</v>
      </c>
      <c r="G36" s="7" t="s">
        <v>65</v>
      </c>
      <c r="H36" s="10">
        <v>78.7208769661856</v>
      </c>
      <c r="I36" s="26">
        <f>VLOOKUP(CurrentMtgRatesDataTable82[[#This Row],[asofdate]],K:L,2,0)</f>
        <v>0.174025887847987</v>
      </c>
      <c r="K36" s="7" t="s">
        <v>65</v>
      </c>
      <c r="L36" s="29">
        <v>0.174025887847987</v>
      </c>
      <c r="O36" s="7" t="s">
        <v>65</v>
      </c>
      <c r="P36" s="10">
        <v>37.331752401609997</v>
      </c>
      <c r="Q36" s="29">
        <f>VLOOKUP(CurrentMtgRatesDataTable84[[#This Row],[asofdate]],S:T,2,0)</f>
        <v>0.20745068367851</v>
      </c>
      <c r="S36" s="7" t="s">
        <v>65</v>
      </c>
      <c r="T36" s="10">
        <v>0.20745068367851</v>
      </c>
      <c r="W36" s="7" t="s">
        <v>65</v>
      </c>
      <c r="X36" s="10">
        <v>730.26522367447501</v>
      </c>
      <c r="Y36" s="26">
        <f>VLOOKUP(CurrentMtgRatesDataTable86[[#This Row],[asofdate]],AA:AB,2,0)</f>
        <v>0.28542044215849499</v>
      </c>
      <c r="AA36" s="7" t="s">
        <v>65</v>
      </c>
      <c r="AB36" s="10">
        <v>0.28542044215849499</v>
      </c>
      <c r="AE36" s="7" t="s">
        <v>144</v>
      </c>
      <c r="AF36" s="10">
        <v>1.4541719345645E-2</v>
      </c>
      <c r="AG36" s="10" t="str">
        <f>YEAR(CurrentMtgRatesDataTable89[[#This Row],[asofdate]])&amp;"-"&amp;MONTH(CurrentMtgRatesDataTable89[[#This Row],[asofdate]])</f>
        <v>2012-12</v>
      </c>
      <c r="AH36" s="6">
        <f>((CurrentMtgRatesDataTable89[[#This Row],[SeriesNumValue]]-$D$1)/$D$1+1)*100</f>
        <v>96.944795637633348</v>
      </c>
      <c r="AI36" s="6">
        <f>CurrentMtgRatesDataTable89[[#This Row],[Index]]-AH37</f>
        <v>-0.78846576044465166</v>
      </c>
      <c r="AJ36" s="6">
        <f>VLOOKUP(CurrentMtgRatesDataTable89[[#This Row],[asofdate]],G:H,2,0)</f>
        <v>80.865784595501793</v>
      </c>
      <c r="AK36" s="6">
        <f>VLOOKUP(CurrentMtgRatesDataTable89[[#This Row],[asofdate]],K:L,2,0)</f>
        <v>0.245636407958499</v>
      </c>
      <c r="AL36" s="6">
        <f>VLOOKUP(CurrentMtgRatesDataTable89[[#This Row],[asofdate]],O:P,2,0)</f>
        <v>33.076526998952403</v>
      </c>
      <c r="AM36" s="6">
        <f>VLOOKUP(CurrentMtgRatesDataTable89[[#This Row],[asofdate]],S:T,2,0)</f>
        <v>0.25543495238191299</v>
      </c>
      <c r="AN36" s="6">
        <f>VLOOKUP(CurrentMtgRatesDataTable89[[#This Row],[asofdate]],W:X,2,0)</f>
        <v>759.90495172723502</v>
      </c>
      <c r="AO36" s="6">
        <f>VLOOKUP(CurrentMtgRatesDataTable89[[#This Row],[asofdate]],AA:AB,2,0)</f>
        <v>8.9195476981251895E-2</v>
      </c>
    </row>
    <row r="37" spans="1:41" s="6" customFormat="1" ht="12.75">
      <c r="A37" s="7" t="s">
        <v>66</v>
      </c>
      <c r="B37" s="10">
        <v>1.50858754888474E-2</v>
      </c>
      <c r="C37" s="10" t="str">
        <f>YEAR(CurrentMtgRatesDataTable8[[#This Row],[asofdate]])&amp;"-"&amp;MONTH(CurrentMtgRatesDataTable8[[#This Row],[asofdate]])</f>
        <v>2006-1</v>
      </c>
      <c r="D37" s="6">
        <f>((CurrentMtgRatesDataTable8[[#This Row],[SeriesNumValue]]-$D$1)/$D$1+1)*100</f>
        <v>100.57250325898268</v>
      </c>
      <c r="G37" s="7" t="s">
        <v>66</v>
      </c>
      <c r="H37" s="10">
        <v>78.128194732343104</v>
      </c>
      <c r="I37" s="26">
        <f>VLOOKUP(CurrentMtgRatesDataTable82[[#This Row],[asofdate]],K:L,2,0)</f>
        <v>0.159637174596993</v>
      </c>
      <c r="K37" s="7" t="s">
        <v>66</v>
      </c>
      <c r="L37" s="29">
        <v>0.159637174596993</v>
      </c>
      <c r="O37" s="7" t="s">
        <v>66</v>
      </c>
      <c r="P37" s="10">
        <v>37.352959429809502</v>
      </c>
      <c r="Q37" s="29">
        <f>VLOOKUP(CurrentMtgRatesDataTable84[[#This Row],[asofdate]],S:T,2,0)</f>
        <v>0.25185729465780399</v>
      </c>
      <c r="S37" s="7" t="s">
        <v>66</v>
      </c>
      <c r="T37" s="10">
        <v>0.25185729465780399</v>
      </c>
      <c r="W37" s="7" t="s">
        <v>66</v>
      </c>
      <c r="X37" s="10">
        <v>731.84119056548502</v>
      </c>
      <c r="Y37" s="26">
        <f>VLOOKUP(CurrentMtgRatesDataTable86[[#This Row],[asofdate]],AA:AB,2,0)</f>
        <v>0.27252886688316702</v>
      </c>
      <c r="AA37" s="7" t="s">
        <v>66</v>
      </c>
      <c r="AB37" s="10">
        <v>0.27252886688316702</v>
      </c>
      <c r="AE37" s="7" t="s">
        <v>22</v>
      </c>
      <c r="AF37" s="10">
        <v>1.4659989209711699E-2</v>
      </c>
      <c r="AG37" s="10" t="str">
        <f>YEAR(CurrentMtgRatesDataTable89[[#This Row],[asofdate]])&amp;"-"&amp;MONTH(CurrentMtgRatesDataTable89[[#This Row],[asofdate]])</f>
        <v>2012-11</v>
      </c>
      <c r="AH37" s="6">
        <f>((CurrentMtgRatesDataTable89[[#This Row],[SeriesNumValue]]-$D$1)/$D$1+1)*100</f>
        <v>97.733261398078</v>
      </c>
      <c r="AI37" s="6">
        <f>CurrentMtgRatesDataTable89[[#This Row],[Index]]-AH38</f>
        <v>4.9399359784059982</v>
      </c>
      <c r="AJ37" s="6">
        <f>VLOOKUP(CurrentMtgRatesDataTable89[[#This Row],[asofdate]],G:H,2,0)</f>
        <v>80.842723933208603</v>
      </c>
      <c r="AK37" s="6">
        <f>VLOOKUP(CurrentMtgRatesDataTable89[[#This Row],[asofdate]],K:L,2,0)</f>
        <v>0.24248385553367199</v>
      </c>
      <c r="AL37" s="6">
        <f>VLOOKUP(CurrentMtgRatesDataTable89[[#This Row],[asofdate]],O:P,2,0)</f>
        <v>33.068410827015398</v>
      </c>
      <c r="AM37" s="6">
        <f>VLOOKUP(CurrentMtgRatesDataTable89[[#This Row],[asofdate]],S:T,2,0)</f>
        <v>0.253860792116615</v>
      </c>
      <c r="AN37" s="6">
        <f>VLOOKUP(CurrentMtgRatesDataTable89[[#This Row],[asofdate]],W:X,2,0)</f>
        <v>760.12787217411596</v>
      </c>
      <c r="AO37" s="6">
        <f>VLOOKUP(CurrentMtgRatesDataTable89[[#This Row],[asofdate]],AA:AB,2,0)</f>
        <v>8.6906513841812402E-2</v>
      </c>
    </row>
    <row r="38" spans="1:41" s="6" customFormat="1" ht="12.75">
      <c r="A38" s="7" t="s">
        <v>67</v>
      </c>
      <c r="B38" s="10">
        <v>1.6838158907153698E-2</v>
      </c>
      <c r="C38" s="10" t="str">
        <f>YEAR(CurrentMtgRatesDataTable8[[#This Row],[asofdate]])&amp;"-"&amp;MONTH(CurrentMtgRatesDataTable8[[#This Row],[asofdate]])</f>
        <v>2006-2</v>
      </c>
      <c r="D38" s="6">
        <f>((CurrentMtgRatesDataTable8[[#This Row],[SeriesNumValue]]-$D$1)/$D$1+1)*100</f>
        <v>112.254392714358</v>
      </c>
      <c r="G38" s="7" t="s">
        <v>67</v>
      </c>
      <c r="H38" s="10">
        <v>78.311410497829897</v>
      </c>
      <c r="I38" s="26">
        <f>VLOOKUP(CurrentMtgRatesDataTable82[[#This Row],[asofdate]],K:L,2,0)</f>
        <v>0.159607300246077</v>
      </c>
      <c r="K38" s="7" t="s">
        <v>67</v>
      </c>
      <c r="L38" s="29">
        <v>0.159607300246077</v>
      </c>
      <c r="O38" s="7" t="s">
        <v>67</v>
      </c>
      <c r="P38" s="10">
        <v>37.5015329261158</v>
      </c>
      <c r="Q38" s="29">
        <f>VLOOKUP(CurrentMtgRatesDataTable84[[#This Row],[asofdate]],S:T,2,0)</f>
        <v>0.25603886611316801</v>
      </c>
      <c r="S38" s="7" t="s">
        <v>67</v>
      </c>
      <c r="T38" s="10">
        <v>0.25603886611316801</v>
      </c>
      <c r="W38" s="7" t="s">
        <v>67</v>
      </c>
      <c r="X38" s="10">
        <v>730.87413747932897</v>
      </c>
      <c r="Y38" s="26">
        <f>VLOOKUP(CurrentMtgRatesDataTable86[[#This Row],[asofdate]],AA:AB,2,0)</f>
        <v>0.275428135379714</v>
      </c>
      <c r="AA38" s="7" t="s">
        <v>67</v>
      </c>
      <c r="AB38" s="10">
        <v>0.275428135379714</v>
      </c>
      <c r="AE38" s="7" t="s">
        <v>14</v>
      </c>
      <c r="AF38" s="10">
        <v>1.3918998812950801E-2</v>
      </c>
      <c r="AG38" s="10" t="str">
        <f>YEAR(CurrentMtgRatesDataTable89[[#This Row],[asofdate]])&amp;"-"&amp;MONTH(CurrentMtgRatesDataTable89[[#This Row],[asofdate]])</f>
        <v>2012-10</v>
      </c>
      <c r="AH38" s="6">
        <f>((CurrentMtgRatesDataTable89[[#This Row],[SeriesNumValue]]-$D$1)/$D$1+1)*100</f>
        <v>92.793325419672001</v>
      </c>
      <c r="AI38" s="6">
        <f>CurrentMtgRatesDataTable89[[#This Row],[Index]]-AH39</f>
        <v>-2.7479158179466765</v>
      </c>
      <c r="AJ38" s="6">
        <f>VLOOKUP(CurrentMtgRatesDataTable89[[#This Row],[asofdate]],G:H,2,0)</f>
        <v>80.704770486074295</v>
      </c>
      <c r="AK38" s="6">
        <f>VLOOKUP(CurrentMtgRatesDataTable89[[#This Row],[asofdate]],K:L,2,0)</f>
        <v>0.238438717743543</v>
      </c>
      <c r="AL38" s="6">
        <f>VLOOKUP(CurrentMtgRatesDataTable89[[#This Row],[asofdate]],O:P,2,0)</f>
        <v>32.877349478281303</v>
      </c>
      <c r="AM38" s="6">
        <f>VLOOKUP(CurrentMtgRatesDataTable89[[#This Row],[asofdate]],S:T,2,0)</f>
        <v>0.245849111984763</v>
      </c>
      <c r="AN38" s="6">
        <f>VLOOKUP(CurrentMtgRatesDataTable89[[#This Row],[asofdate]],W:X,2,0)</f>
        <v>760.08866980815606</v>
      </c>
      <c r="AO38" s="6">
        <f>VLOOKUP(CurrentMtgRatesDataTable89[[#This Row],[asofdate]],AA:AB,2,0)</f>
        <v>8.8547559149405805E-2</v>
      </c>
    </row>
    <row r="39" spans="1:41" s="6" customFormat="1" ht="12.75">
      <c r="A39" s="7" t="s">
        <v>68</v>
      </c>
      <c r="B39" s="10">
        <v>1.6184968969742301E-2</v>
      </c>
      <c r="C39" s="10" t="str">
        <f>YEAR(CurrentMtgRatesDataTable8[[#This Row],[asofdate]])&amp;"-"&amp;MONTH(CurrentMtgRatesDataTable8[[#This Row],[asofdate]])</f>
        <v>2006-3</v>
      </c>
      <c r="D39" s="6">
        <f>((CurrentMtgRatesDataTable8[[#This Row],[SeriesNumValue]]-$D$1)/$D$1+1)*100</f>
        <v>107.89979313161535</v>
      </c>
      <c r="G39" s="7" t="s">
        <v>68</v>
      </c>
      <c r="H39" s="10">
        <v>78.229708672132205</v>
      </c>
      <c r="I39" s="26">
        <f>VLOOKUP(CurrentMtgRatesDataTable82[[#This Row],[asofdate]],K:L,2,0)</f>
        <v>0.15991961797697701</v>
      </c>
      <c r="K39" s="7" t="s">
        <v>68</v>
      </c>
      <c r="L39" s="29">
        <v>0.15991961797697701</v>
      </c>
      <c r="O39" s="7" t="s">
        <v>68</v>
      </c>
      <c r="P39" s="10">
        <v>37.377683504176403</v>
      </c>
      <c r="Q39" s="29">
        <f>VLOOKUP(CurrentMtgRatesDataTable84[[#This Row],[asofdate]],S:T,2,0)</f>
        <v>0.25876564659608398</v>
      </c>
      <c r="S39" s="7" t="s">
        <v>68</v>
      </c>
      <c r="T39" s="10">
        <v>0.25876564659608398</v>
      </c>
      <c r="W39" s="7" t="s">
        <v>68</v>
      </c>
      <c r="X39" s="10">
        <v>731.463093282675</v>
      </c>
      <c r="Y39" s="26">
        <f>VLOOKUP(CurrentMtgRatesDataTable86[[#This Row],[asofdate]],AA:AB,2,0)</f>
        <v>0.27099622377881499</v>
      </c>
      <c r="AA39" s="7" t="s">
        <v>68</v>
      </c>
      <c r="AB39" s="10">
        <v>0.27099622377881499</v>
      </c>
      <c r="AE39" s="7" t="s">
        <v>143</v>
      </c>
      <c r="AF39" s="10">
        <v>1.4331186185642801E-2</v>
      </c>
      <c r="AG39" s="10" t="str">
        <f>YEAR(CurrentMtgRatesDataTable89[[#This Row],[asofdate]])&amp;"-"&amp;MONTH(CurrentMtgRatesDataTable89[[#This Row],[asofdate]])</f>
        <v>2012-9</v>
      </c>
      <c r="AH39" s="6">
        <f>((CurrentMtgRatesDataTable89[[#This Row],[SeriesNumValue]]-$D$1)/$D$1+1)*100</f>
        <v>95.541241237618678</v>
      </c>
      <c r="AI39" s="6">
        <f>CurrentMtgRatesDataTable89[[#This Row],[Index]]-AH40</f>
        <v>0.52392453191534116</v>
      </c>
      <c r="AJ39" s="6">
        <f>VLOOKUP(CurrentMtgRatesDataTable89[[#This Row],[asofdate]],G:H,2,0)</f>
        <v>80.773410645998595</v>
      </c>
      <c r="AK39" s="6">
        <f>VLOOKUP(CurrentMtgRatesDataTable89[[#This Row],[asofdate]],K:L,2,0)</f>
        <v>0.241996859508816</v>
      </c>
      <c r="AL39" s="6">
        <f>VLOOKUP(CurrentMtgRatesDataTable89[[#This Row],[asofdate]],O:P,2,0)</f>
        <v>32.834955899021203</v>
      </c>
      <c r="AM39" s="6">
        <f>VLOOKUP(CurrentMtgRatesDataTable89[[#This Row],[asofdate]],S:T,2,0)</f>
        <v>0.24307109211674099</v>
      </c>
      <c r="AN39" s="6">
        <f>VLOOKUP(CurrentMtgRatesDataTable89[[#This Row],[asofdate]],W:X,2,0)</f>
        <v>760.56723023696497</v>
      </c>
      <c r="AO39" s="6">
        <f>VLOOKUP(CurrentMtgRatesDataTable89[[#This Row],[asofdate]],AA:AB,2,0)</f>
        <v>8.9152463717376507E-2</v>
      </c>
    </row>
    <row r="40" spans="1:41" s="6" customFormat="1" ht="12.75">
      <c r="A40" s="7" t="s">
        <v>69</v>
      </c>
      <c r="B40" s="10">
        <v>1.5851067913786501E-2</v>
      </c>
      <c r="C40" s="10" t="str">
        <f>YEAR(CurrentMtgRatesDataTable8[[#This Row],[asofdate]])&amp;"-"&amp;MONTH(CurrentMtgRatesDataTable8[[#This Row],[asofdate]])</f>
        <v>2006-4</v>
      </c>
      <c r="D40" s="6">
        <f>((CurrentMtgRatesDataTable8[[#This Row],[SeriesNumValue]]-$D$1)/$D$1+1)*100</f>
        <v>105.67378609191</v>
      </c>
      <c r="G40" s="7" t="s">
        <v>69</v>
      </c>
      <c r="H40" s="10">
        <v>78.671898299829707</v>
      </c>
      <c r="I40" s="26">
        <f>VLOOKUP(CurrentMtgRatesDataTable82[[#This Row],[asofdate]],K:L,2,0)</f>
        <v>0.163030939666403</v>
      </c>
      <c r="K40" s="7" t="s">
        <v>69</v>
      </c>
      <c r="L40" s="29">
        <v>0.163030939666403</v>
      </c>
      <c r="O40" s="7" t="s">
        <v>69</v>
      </c>
      <c r="P40" s="10">
        <v>37.352589752049496</v>
      </c>
      <c r="Q40" s="29">
        <f>VLOOKUP(CurrentMtgRatesDataTable84[[#This Row],[asofdate]],S:T,2,0)</f>
        <v>0.25720646817190801</v>
      </c>
      <c r="S40" s="7" t="s">
        <v>69</v>
      </c>
      <c r="T40" s="10">
        <v>0.25720646817190801</v>
      </c>
      <c r="W40" s="7" t="s">
        <v>69</v>
      </c>
      <c r="X40" s="10">
        <v>731.37187888597202</v>
      </c>
      <c r="Y40" s="26">
        <f>VLOOKUP(CurrentMtgRatesDataTable86[[#This Row],[asofdate]],AA:AB,2,0)</f>
        <v>0.27172244359806702</v>
      </c>
      <c r="AA40" s="7" t="s">
        <v>69</v>
      </c>
      <c r="AB40" s="10">
        <v>0.27172244359806702</v>
      </c>
      <c r="AE40" s="7" t="s">
        <v>6</v>
      </c>
      <c r="AF40" s="10">
        <v>1.42525975058555E-2</v>
      </c>
      <c r="AG40" s="10" t="str">
        <f>YEAR(CurrentMtgRatesDataTable89[[#This Row],[asofdate]])&amp;"-"&amp;MONTH(CurrentMtgRatesDataTable89[[#This Row],[asofdate]])</f>
        <v>2012-8</v>
      </c>
      <c r="AH40" s="6">
        <f>((CurrentMtgRatesDataTable89[[#This Row],[SeriesNumValue]]-$D$1)/$D$1+1)*100</f>
        <v>95.017316705703337</v>
      </c>
      <c r="AI40" s="6">
        <f>CurrentMtgRatesDataTable89[[#This Row],[Index]]-AH41</f>
        <v>0.4117940217140017</v>
      </c>
      <c r="AJ40" s="6">
        <f>VLOOKUP(CurrentMtgRatesDataTable89[[#This Row],[asofdate]],G:H,2,0)</f>
        <v>80.519349568409496</v>
      </c>
      <c r="AK40" s="6">
        <f>VLOOKUP(CurrentMtgRatesDataTable89[[#This Row],[asofdate]],K:L,2,0)</f>
        <v>0.230359293851325</v>
      </c>
      <c r="AL40" s="6">
        <f>VLOOKUP(CurrentMtgRatesDataTable89[[#This Row],[asofdate]],O:P,2,0)</f>
        <v>32.914525130729601</v>
      </c>
      <c r="AM40" s="6">
        <f>VLOOKUP(CurrentMtgRatesDataTable89[[#This Row],[asofdate]],S:T,2,0)</f>
        <v>0.24575163744130599</v>
      </c>
      <c r="AN40" s="6">
        <f>VLOOKUP(CurrentMtgRatesDataTable89[[#This Row],[asofdate]],W:X,2,0)</f>
        <v>761.20950224818</v>
      </c>
      <c r="AO40" s="6">
        <f>VLOOKUP(CurrentMtgRatesDataTable89[[#This Row],[asofdate]],AA:AB,2,0)</f>
        <v>8.33927063634268E-2</v>
      </c>
    </row>
    <row r="41" spans="1:41" s="6" customFormat="1" ht="12.75">
      <c r="A41" s="7" t="s">
        <v>70</v>
      </c>
      <c r="B41" s="10">
        <v>1.51225454848288E-2</v>
      </c>
      <c r="C41" s="10" t="str">
        <f>YEAR(CurrentMtgRatesDataTable8[[#This Row],[asofdate]])&amp;"-"&amp;MONTH(CurrentMtgRatesDataTable8[[#This Row],[asofdate]])</f>
        <v>2006-5</v>
      </c>
      <c r="D41" s="6">
        <f>((CurrentMtgRatesDataTable8[[#This Row],[SeriesNumValue]]-$D$1)/$D$1+1)*100</f>
        <v>100.81696989885867</v>
      </c>
      <c r="G41" s="7" t="s">
        <v>70</v>
      </c>
      <c r="H41" s="10">
        <v>78.594347051939593</v>
      </c>
      <c r="I41" s="26">
        <f>VLOOKUP(CurrentMtgRatesDataTable82[[#This Row],[asofdate]],K:L,2,0)</f>
        <v>0.16247581027591801</v>
      </c>
      <c r="K41" s="7" t="s">
        <v>70</v>
      </c>
      <c r="L41" s="29">
        <v>0.16247581027591801</v>
      </c>
      <c r="O41" s="7" t="s">
        <v>70</v>
      </c>
      <c r="P41" s="10">
        <v>37.455662044979697</v>
      </c>
      <c r="Q41" s="29">
        <f>VLOOKUP(CurrentMtgRatesDataTable84[[#This Row],[asofdate]],S:T,2,0)</f>
        <v>0.25530695689293598</v>
      </c>
      <c r="S41" s="7" t="s">
        <v>70</v>
      </c>
      <c r="T41" s="10">
        <v>0.25530695689293598</v>
      </c>
      <c r="W41" s="7" t="s">
        <v>70</v>
      </c>
      <c r="X41" s="10">
        <v>732.220369288553</v>
      </c>
      <c r="Y41" s="26">
        <f>VLOOKUP(CurrentMtgRatesDataTable86[[#This Row],[asofdate]],AA:AB,2,0)</f>
        <v>0.269545751649933</v>
      </c>
      <c r="AA41" s="7" t="s">
        <v>70</v>
      </c>
      <c r="AB41" s="10">
        <v>0.269545751649933</v>
      </c>
      <c r="AE41" s="7" t="s">
        <v>142</v>
      </c>
      <c r="AF41" s="10">
        <v>1.41908284025984E-2</v>
      </c>
      <c r="AG41" s="10" t="str">
        <f>YEAR(CurrentMtgRatesDataTable89[[#This Row],[asofdate]])&amp;"-"&amp;MONTH(CurrentMtgRatesDataTable89[[#This Row],[asofdate]])</f>
        <v>2012-7</v>
      </c>
      <c r="AH41" s="6">
        <f>((CurrentMtgRatesDataTable89[[#This Row],[SeriesNumValue]]-$D$1)/$D$1+1)*100</f>
        <v>94.605522683989335</v>
      </c>
      <c r="AI41" s="6">
        <f>CurrentMtgRatesDataTable89[[#This Row],[Index]]-AH42</f>
        <v>3.3909754297826709</v>
      </c>
      <c r="AJ41" s="6">
        <f>VLOOKUP(CurrentMtgRatesDataTable89[[#This Row],[asofdate]],G:H,2,0)</f>
        <v>80.424238430996297</v>
      </c>
      <c r="AK41" s="6">
        <f>VLOOKUP(CurrentMtgRatesDataTable89[[#This Row],[asofdate]],K:L,2,0)</f>
        <v>0.22455297260877299</v>
      </c>
      <c r="AL41" s="6">
        <f>VLOOKUP(CurrentMtgRatesDataTable89[[#This Row],[asofdate]],O:P,2,0)</f>
        <v>33.121553145547502</v>
      </c>
      <c r="AM41" s="6">
        <f>VLOOKUP(CurrentMtgRatesDataTable89[[#This Row],[asofdate]],S:T,2,0)</f>
        <v>0.25450284175931598</v>
      </c>
      <c r="AN41" s="6">
        <f>VLOOKUP(CurrentMtgRatesDataTable89[[#This Row],[asofdate]],W:X,2,0)</f>
        <v>761.324488050215</v>
      </c>
      <c r="AO41" s="6">
        <f>VLOOKUP(CurrentMtgRatesDataTable89[[#This Row],[asofdate]],AA:AB,2,0)</f>
        <v>8.4418496999786194E-2</v>
      </c>
    </row>
    <row r="42" spans="1:41" s="6" customFormat="1" ht="12.75">
      <c r="A42" s="7" t="s">
        <v>71</v>
      </c>
      <c r="B42" s="10">
        <v>1.52571454190662E-2</v>
      </c>
      <c r="C42" s="10" t="str">
        <f>YEAR(CurrentMtgRatesDataTable8[[#This Row],[asofdate]])&amp;"-"&amp;MONTH(CurrentMtgRatesDataTable8[[#This Row],[asofdate]])</f>
        <v>2006-6</v>
      </c>
      <c r="D42" s="6">
        <f>((CurrentMtgRatesDataTable8[[#This Row],[SeriesNumValue]]-$D$1)/$D$1+1)*100</f>
        <v>101.71430279377466</v>
      </c>
      <c r="G42" s="7" t="s">
        <v>71</v>
      </c>
      <c r="H42" s="10">
        <v>78.735532502303599</v>
      </c>
      <c r="I42" s="26">
        <f>VLOOKUP(CurrentMtgRatesDataTable82[[#This Row],[asofdate]],K:L,2,0)</f>
        <v>0.166487927243791</v>
      </c>
      <c r="K42" s="7" t="s">
        <v>71</v>
      </c>
      <c r="L42" s="29">
        <v>0.166487927243791</v>
      </c>
      <c r="O42" s="7" t="s">
        <v>71</v>
      </c>
      <c r="P42" s="10">
        <v>37.284968784457597</v>
      </c>
      <c r="Q42" s="29">
        <f>VLOOKUP(CurrentMtgRatesDataTable84[[#This Row],[asofdate]],S:T,2,0)</f>
        <v>0.250967229847814</v>
      </c>
      <c r="S42" s="7" t="s">
        <v>71</v>
      </c>
      <c r="T42" s="10">
        <v>0.250967229847814</v>
      </c>
      <c r="W42" s="7" t="s">
        <v>71</v>
      </c>
      <c r="X42" s="10">
        <v>732.29576439030302</v>
      </c>
      <c r="Y42" s="26">
        <f>VLOOKUP(CurrentMtgRatesDataTable86[[#This Row],[asofdate]],AA:AB,2,0)</f>
        <v>0.26924096627271599</v>
      </c>
      <c r="AA42" s="7" t="s">
        <v>71</v>
      </c>
      <c r="AB42" s="10">
        <v>0.26924096627271599</v>
      </c>
      <c r="AE42" s="7" t="s">
        <v>17</v>
      </c>
      <c r="AF42" s="10">
        <v>1.3682182088131E-2</v>
      </c>
      <c r="AG42" s="10" t="str">
        <f>YEAR(CurrentMtgRatesDataTable89[[#This Row],[asofdate]])&amp;"-"&amp;MONTH(CurrentMtgRatesDataTable89[[#This Row],[asofdate]])</f>
        <v>2012-6</v>
      </c>
      <c r="AH42" s="6">
        <f>((CurrentMtgRatesDataTable89[[#This Row],[SeriesNumValue]]-$D$1)/$D$1+1)*100</f>
        <v>91.214547254206664</v>
      </c>
      <c r="AI42" s="6">
        <f>CurrentMtgRatesDataTable89[[#This Row],[Index]]-AH43</f>
        <v>4.8190208846539804</v>
      </c>
      <c r="AJ42" s="6">
        <f>VLOOKUP(CurrentMtgRatesDataTable89[[#This Row],[asofdate]],G:H,2,0)</f>
        <v>80.204489012117605</v>
      </c>
      <c r="AK42" s="6">
        <f>VLOOKUP(CurrentMtgRatesDataTable89[[#This Row],[asofdate]],K:L,2,0)</f>
        <v>0.21265774870120199</v>
      </c>
      <c r="AL42" s="6">
        <f>VLOOKUP(CurrentMtgRatesDataTable89[[#This Row],[asofdate]],O:P,2,0)</f>
        <v>33.320338476894001</v>
      </c>
      <c r="AM42" s="6">
        <f>VLOOKUP(CurrentMtgRatesDataTable89[[#This Row],[asofdate]],S:T,2,0)</f>
        <v>0.25766810760182601</v>
      </c>
      <c r="AN42" s="6">
        <f>VLOOKUP(CurrentMtgRatesDataTable89[[#This Row],[asofdate]],W:X,2,0)</f>
        <v>761.68341085260897</v>
      </c>
      <c r="AO42" s="6">
        <f>VLOOKUP(CurrentMtgRatesDataTable89[[#This Row],[asofdate]],AA:AB,2,0)</f>
        <v>8.1933479384901697E-2</v>
      </c>
    </row>
    <row r="43" spans="1:41" s="6" customFormat="1" ht="12.75">
      <c r="A43" s="7" t="s">
        <v>72</v>
      </c>
      <c r="B43" s="10">
        <v>1.54852405714671E-2</v>
      </c>
      <c r="C43" s="10" t="str">
        <f>YEAR(CurrentMtgRatesDataTable8[[#This Row],[asofdate]])&amp;"-"&amp;MONTH(CurrentMtgRatesDataTable8[[#This Row],[asofdate]])</f>
        <v>2006-7</v>
      </c>
      <c r="D43" s="6">
        <f>((CurrentMtgRatesDataTable8[[#This Row],[SeriesNumValue]]-$D$1)/$D$1+1)*100</f>
        <v>103.234937143114</v>
      </c>
      <c r="G43" s="7" t="s">
        <v>72</v>
      </c>
      <c r="H43" s="10">
        <v>78.765290924066704</v>
      </c>
      <c r="I43" s="26">
        <f>VLOOKUP(CurrentMtgRatesDataTable82[[#This Row],[asofdate]],K:L,2,0)</f>
        <v>0.16509874727797</v>
      </c>
      <c r="K43" s="7" t="s">
        <v>72</v>
      </c>
      <c r="L43" s="29">
        <v>0.16509874727797</v>
      </c>
      <c r="O43" s="7" t="s">
        <v>72</v>
      </c>
      <c r="P43" s="10">
        <v>37.630284650424002</v>
      </c>
      <c r="Q43" s="29">
        <f>VLOOKUP(CurrentMtgRatesDataTable84[[#This Row],[asofdate]],S:T,2,0)</f>
        <v>0.25385801090037102</v>
      </c>
      <c r="S43" s="7" t="s">
        <v>72</v>
      </c>
      <c r="T43" s="10">
        <v>0.25385801090037102</v>
      </c>
      <c r="W43" s="7" t="s">
        <v>72</v>
      </c>
      <c r="X43" s="10">
        <v>732.98461213720498</v>
      </c>
      <c r="Y43" s="26">
        <f>VLOOKUP(CurrentMtgRatesDataTable86[[#This Row],[asofdate]],AA:AB,2,0)</f>
        <v>0.26404056393812197</v>
      </c>
      <c r="AA43" s="7" t="s">
        <v>72</v>
      </c>
      <c r="AB43" s="10">
        <v>0.26404056393812197</v>
      </c>
      <c r="AE43" s="7" t="s">
        <v>9</v>
      </c>
      <c r="AF43" s="10">
        <v>1.29593289554329E-2</v>
      </c>
      <c r="AG43" s="10" t="str">
        <f>YEAR(CurrentMtgRatesDataTable89[[#This Row],[asofdate]])&amp;"-"&amp;MONTH(CurrentMtgRatesDataTable89[[#This Row],[asofdate]])</f>
        <v>2012-5</v>
      </c>
      <c r="AH43" s="6">
        <f>((CurrentMtgRatesDataTable89[[#This Row],[SeriesNumValue]]-$D$1)/$D$1+1)*100</f>
        <v>86.395526369552684</v>
      </c>
      <c r="AI43" s="6">
        <f>CurrentMtgRatesDataTable89[[#This Row],[Index]]-AH44</f>
        <v>-1.8121862433133202</v>
      </c>
      <c r="AJ43" s="6">
        <f>VLOOKUP(CurrentMtgRatesDataTable89[[#This Row],[asofdate]],G:H,2,0)</f>
        <v>80.039959057495395</v>
      </c>
      <c r="AK43" s="6">
        <f>VLOOKUP(CurrentMtgRatesDataTable89[[#This Row],[asofdate]],K:L,2,0)</f>
        <v>0.20659910837783499</v>
      </c>
      <c r="AL43" s="6">
        <f>VLOOKUP(CurrentMtgRatesDataTable89[[#This Row],[asofdate]],O:P,2,0)</f>
        <v>33.384740820904597</v>
      </c>
      <c r="AM43" s="6">
        <f>VLOOKUP(CurrentMtgRatesDataTable89[[#This Row],[asofdate]],S:T,2,0)</f>
        <v>0.25395306698819098</v>
      </c>
      <c r="AN43" s="6">
        <f>VLOOKUP(CurrentMtgRatesDataTable89[[#This Row],[asofdate]],W:X,2,0)</f>
        <v>761.22417340280003</v>
      </c>
      <c r="AO43" s="6">
        <f>VLOOKUP(CurrentMtgRatesDataTable89[[#This Row],[asofdate]],AA:AB,2,0)</f>
        <v>8.2457761148304595E-2</v>
      </c>
    </row>
    <row r="44" spans="1:41" s="6" customFormat="1" ht="12.75">
      <c r="A44" s="7" t="s">
        <v>73</v>
      </c>
      <c r="B44" s="10">
        <v>1.5333914991090301E-2</v>
      </c>
      <c r="C44" s="10" t="str">
        <f>YEAR(CurrentMtgRatesDataTable8[[#This Row],[asofdate]])&amp;"-"&amp;MONTH(CurrentMtgRatesDataTable8[[#This Row],[asofdate]])</f>
        <v>2006-8</v>
      </c>
      <c r="D44" s="6">
        <f>((CurrentMtgRatesDataTable8[[#This Row],[SeriesNumValue]]-$D$1)/$D$1+1)*100</f>
        <v>102.22609994060201</v>
      </c>
      <c r="G44" s="7" t="s">
        <v>73</v>
      </c>
      <c r="H44" s="10">
        <v>78.636667015447799</v>
      </c>
      <c r="I44" s="26">
        <f>VLOOKUP(CurrentMtgRatesDataTable82[[#This Row],[asofdate]],K:L,2,0)</f>
        <v>0.16483333011769599</v>
      </c>
      <c r="K44" s="7" t="s">
        <v>73</v>
      </c>
      <c r="L44" s="29">
        <v>0.16483333011769599</v>
      </c>
      <c r="O44" s="7" t="s">
        <v>73</v>
      </c>
      <c r="P44" s="10">
        <v>37.652579877335498</v>
      </c>
      <c r="Q44" s="29">
        <f>VLOOKUP(CurrentMtgRatesDataTable84[[#This Row],[asofdate]],S:T,2,0)</f>
        <v>0.259163903970826</v>
      </c>
      <c r="S44" s="7" t="s">
        <v>73</v>
      </c>
      <c r="T44" s="10">
        <v>0.259163903970826</v>
      </c>
      <c r="W44" s="7" t="s">
        <v>73</v>
      </c>
      <c r="X44" s="10">
        <v>733.55251588227702</v>
      </c>
      <c r="Y44" s="26">
        <f>VLOOKUP(CurrentMtgRatesDataTable86[[#This Row],[asofdate]],AA:AB,2,0)</f>
        <v>0.26015553383897599</v>
      </c>
      <c r="AA44" s="7" t="s">
        <v>73</v>
      </c>
      <c r="AB44" s="10">
        <v>0.26015553383897599</v>
      </c>
      <c r="AE44" s="7" t="s">
        <v>141</v>
      </c>
      <c r="AF44" s="10">
        <v>1.3231156891929901E-2</v>
      </c>
      <c r="AG44" s="10" t="str">
        <f>YEAR(CurrentMtgRatesDataTable89[[#This Row],[asofdate]])&amp;"-"&amp;MONTH(CurrentMtgRatesDataTable89[[#This Row],[asofdate]])</f>
        <v>2012-4</v>
      </c>
      <c r="AH44" s="6">
        <f>((CurrentMtgRatesDataTable89[[#This Row],[SeriesNumValue]]-$D$1)/$D$1+1)*100</f>
        <v>88.207712612866004</v>
      </c>
      <c r="AI44" s="6">
        <f>CurrentMtgRatesDataTable89[[#This Row],[Index]]-AH45</f>
        <v>-1.3803429927306752</v>
      </c>
      <c r="AJ44" s="6">
        <f>VLOOKUP(CurrentMtgRatesDataTable89[[#This Row],[asofdate]],G:H,2,0)</f>
        <v>79.927779566624807</v>
      </c>
      <c r="AK44" s="6">
        <f>VLOOKUP(CurrentMtgRatesDataTable89[[#This Row],[asofdate]],K:L,2,0)</f>
        <v>0.19832864817753501</v>
      </c>
      <c r="AL44" s="6">
        <f>VLOOKUP(CurrentMtgRatesDataTable89[[#This Row],[asofdate]],O:P,2,0)</f>
        <v>33.518276945538801</v>
      </c>
      <c r="AM44" s="6">
        <f>VLOOKUP(CurrentMtgRatesDataTable89[[#This Row],[asofdate]],S:T,2,0)</f>
        <v>0.26161336953345399</v>
      </c>
      <c r="AN44" s="6">
        <f>VLOOKUP(CurrentMtgRatesDataTable89[[#This Row],[asofdate]],W:X,2,0)</f>
        <v>760.69983465532198</v>
      </c>
      <c r="AO44" s="6">
        <f>VLOOKUP(CurrentMtgRatesDataTable89[[#This Row],[asofdate]],AA:AB,2,0)</f>
        <v>8.3609698617037903E-2</v>
      </c>
    </row>
    <row r="45" spans="1:41" s="6" customFormat="1" ht="12.75">
      <c r="A45" s="7" t="s">
        <v>74</v>
      </c>
      <c r="B45" s="10">
        <v>1.78805075862025E-2</v>
      </c>
      <c r="C45" s="10" t="str">
        <f>YEAR(CurrentMtgRatesDataTable8[[#This Row],[asofdate]])&amp;"-"&amp;MONTH(CurrentMtgRatesDataTable8[[#This Row],[asofdate]])</f>
        <v>2006-9</v>
      </c>
      <c r="D45" s="6">
        <f>((CurrentMtgRatesDataTable8[[#This Row],[SeriesNumValue]]-$D$1)/$D$1+1)*100</f>
        <v>119.20338390801668</v>
      </c>
      <c r="G45" s="7" t="s">
        <v>74</v>
      </c>
      <c r="H45" s="10">
        <v>78.908862181851305</v>
      </c>
      <c r="I45" s="26">
        <f>VLOOKUP(CurrentMtgRatesDataTable82[[#This Row],[asofdate]],K:L,2,0)</f>
        <v>0.17599985174605701</v>
      </c>
      <c r="K45" s="7" t="s">
        <v>74</v>
      </c>
      <c r="L45" s="29">
        <v>0.17599985174605701</v>
      </c>
      <c r="O45" s="7" t="s">
        <v>74</v>
      </c>
      <c r="P45" s="10">
        <v>37.944084729028397</v>
      </c>
      <c r="Q45" s="29">
        <f>VLOOKUP(CurrentMtgRatesDataTable84[[#This Row],[asofdate]],S:T,2,0)</f>
        <v>0.25572001484150397</v>
      </c>
      <c r="S45" s="7" t="s">
        <v>74</v>
      </c>
      <c r="T45" s="10">
        <v>0.25572001484150397</v>
      </c>
      <c r="W45" s="7" t="s">
        <v>74</v>
      </c>
      <c r="X45" s="10">
        <v>732.49642925119599</v>
      </c>
      <c r="Y45" s="26">
        <f>VLOOKUP(CurrentMtgRatesDataTable86[[#This Row],[asofdate]],AA:AB,2,0)</f>
        <v>0.26931657554004801</v>
      </c>
      <c r="AA45" s="7" t="s">
        <v>74</v>
      </c>
      <c r="AB45" s="10">
        <v>0.26931657554004801</v>
      </c>
      <c r="AE45" s="7" t="s">
        <v>140</v>
      </c>
      <c r="AF45" s="10">
        <v>1.3438208340839501E-2</v>
      </c>
      <c r="AG45" s="10" t="str">
        <f>YEAR(CurrentMtgRatesDataTable89[[#This Row],[asofdate]])&amp;"-"&amp;MONTH(CurrentMtgRatesDataTable89[[#This Row],[asofdate]])</f>
        <v>2012-3</v>
      </c>
      <c r="AH45" s="6">
        <f>((CurrentMtgRatesDataTable89[[#This Row],[SeriesNumValue]]-$D$1)/$D$1+1)*100</f>
        <v>89.588055605596679</v>
      </c>
      <c r="AI45" s="6">
        <f>CurrentMtgRatesDataTable89[[#This Row],[Index]]-AH46</f>
        <v>-0.23320642664664604</v>
      </c>
      <c r="AJ45" s="6">
        <f>VLOOKUP(CurrentMtgRatesDataTable89[[#This Row],[asofdate]],G:H,2,0)</f>
        <v>79.620695860633106</v>
      </c>
      <c r="AK45" s="6">
        <f>VLOOKUP(CurrentMtgRatesDataTable89[[#This Row],[asofdate]],K:L,2,0)</f>
        <v>0.188680020444463</v>
      </c>
      <c r="AL45" s="6">
        <f>VLOOKUP(CurrentMtgRatesDataTable89[[#This Row],[asofdate]],O:P,2,0)</f>
        <v>33.680251809150697</v>
      </c>
      <c r="AM45" s="6">
        <f>VLOOKUP(CurrentMtgRatesDataTable89[[#This Row],[asofdate]],S:T,2,0)</f>
        <v>0.267356946580733</v>
      </c>
      <c r="AN45" s="6">
        <f>VLOOKUP(CurrentMtgRatesDataTable89[[#This Row],[asofdate]],W:X,2,0)</f>
        <v>760.52419652388801</v>
      </c>
      <c r="AO45" s="6">
        <f>VLOOKUP(CurrentMtgRatesDataTable89[[#This Row],[asofdate]],AA:AB,2,0)</f>
        <v>8.5745788275712206E-2</v>
      </c>
    </row>
    <row r="46" spans="1:41" s="6" customFormat="1" ht="12.75">
      <c r="A46" s="7" t="s">
        <v>75</v>
      </c>
      <c r="B46" s="10">
        <v>1.8832789330188299E-2</v>
      </c>
      <c r="C46" s="10" t="str">
        <f>YEAR(CurrentMtgRatesDataTable8[[#This Row],[asofdate]])&amp;"-"&amp;MONTH(CurrentMtgRatesDataTable8[[#This Row],[asofdate]])</f>
        <v>2006-10</v>
      </c>
      <c r="D46" s="6">
        <f>((CurrentMtgRatesDataTable8[[#This Row],[SeriesNumValue]]-$D$1)/$D$1+1)*100</f>
        <v>125.55192886792202</v>
      </c>
      <c r="G46" s="7" t="s">
        <v>75</v>
      </c>
      <c r="H46" s="10">
        <v>79.136143909953105</v>
      </c>
      <c r="I46" s="26">
        <f>VLOOKUP(CurrentMtgRatesDataTable82[[#This Row],[asofdate]],K:L,2,0)</f>
        <v>0.18540217986062499</v>
      </c>
      <c r="K46" s="7" t="s">
        <v>75</v>
      </c>
      <c r="L46" s="29">
        <v>0.18540217986062499</v>
      </c>
      <c r="O46" s="7" t="s">
        <v>75</v>
      </c>
      <c r="P46" s="10">
        <v>38.014001892969098</v>
      </c>
      <c r="Q46" s="29">
        <f>VLOOKUP(CurrentMtgRatesDataTable84[[#This Row],[asofdate]],S:T,2,0)</f>
        <v>0.25886862133549099</v>
      </c>
      <c r="S46" s="7" t="s">
        <v>75</v>
      </c>
      <c r="T46" s="10">
        <v>0.25886862133549099</v>
      </c>
      <c r="W46" s="7" t="s">
        <v>75</v>
      </c>
      <c r="X46" s="10">
        <v>731.03366702624498</v>
      </c>
      <c r="Y46" s="26">
        <f>VLOOKUP(CurrentMtgRatesDataTable86[[#This Row],[asofdate]],AA:AB,2,0)</f>
        <v>0.27921966823928501</v>
      </c>
      <c r="AA46" s="7" t="s">
        <v>75</v>
      </c>
      <c r="AB46" s="10">
        <v>0.27921966823928501</v>
      </c>
      <c r="AE46" s="7" t="s">
        <v>139</v>
      </c>
      <c r="AF46" s="10">
        <v>1.34731893048365E-2</v>
      </c>
      <c r="AG46" s="10" t="str">
        <f>YEAR(CurrentMtgRatesDataTable89[[#This Row],[asofdate]])&amp;"-"&amp;MONTH(CurrentMtgRatesDataTable89[[#This Row],[asofdate]])</f>
        <v>2012-2</v>
      </c>
      <c r="AH46" s="6">
        <f>((CurrentMtgRatesDataTable89[[#This Row],[SeriesNumValue]]-$D$1)/$D$1+1)*100</f>
        <v>89.821262032243325</v>
      </c>
      <c r="AI46" s="6">
        <f>CurrentMtgRatesDataTable89[[#This Row],[Index]]-AH47</f>
        <v>-1.1855530982879969</v>
      </c>
      <c r="AJ46" s="6">
        <f>VLOOKUP(CurrentMtgRatesDataTable89[[#This Row],[asofdate]],G:H,2,0)</f>
        <v>79.576164154337704</v>
      </c>
      <c r="AK46" s="6">
        <f>VLOOKUP(CurrentMtgRatesDataTable89[[#This Row],[asofdate]],K:L,2,0)</f>
        <v>0.189625458590022</v>
      </c>
      <c r="AL46" s="6">
        <f>VLOOKUP(CurrentMtgRatesDataTable89[[#This Row],[asofdate]],O:P,2,0)</f>
        <v>33.616267334128999</v>
      </c>
      <c r="AM46" s="6">
        <f>VLOOKUP(CurrentMtgRatesDataTable89[[#This Row],[asofdate]],S:T,2,0)</f>
        <v>0.26106465585479299</v>
      </c>
      <c r="AN46" s="6">
        <f>VLOOKUP(CurrentMtgRatesDataTable89[[#This Row],[asofdate]],W:X,2,0)</f>
        <v>761.114001068123</v>
      </c>
      <c r="AO46" s="6">
        <f>VLOOKUP(CurrentMtgRatesDataTable89[[#This Row],[asofdate]],AA:AB,2,0)</f>
        <v>8.6142454759982098E-2</v>
      </c>
    </row>
    <row r="47" spans="1:41" s="6" customFormat="1" ht="12.75">
      <c r="A47" s="7" t="s">
        <v>76</v>
      </c>
      <c r="B47" s="10">
        <v>1.8339172348393301E-2</v>
      </c>
      <c r="C47" s="10" t="str">
        <f>YEAR(CurrentMtgRatesDataTable8[[#This Row],[asofdate]])&amp;"-"&amp;MONTH(CurrentMtgRatesDataTable8[[#This Row],[asofdate]])</f>
        <v>2006-11</v>
      </c>
      <c r="D47" s="6">
        <f>((CurrentMtgRatesDataTable8[[#This Row],[SeriesNumValue]]-$D$1)/$D$1+1)*100</f>
        <v>122.26114898928869</v>
      </c>
      <c r="G47" s="7" t="s">
        <v>76</v>
      </c>
      <c r="H47" s="10">
        <v>79.427172495690101</v>
      </c>
      <c r="I47" s="26">
        <f>VLOOKUP(CurrentMtgRatesDataTable82[[#This Row],[asofdate]],K:L,2,0)</f>
        <v>0.19239457049420899</v>
      </c>
      <c r="K47" s="7" t="s">
        <v>76</v>
      </c>
      <c r="L47" s="29">
        <v>0.19239457049420899</v>
      </c>
      <c r="O47" s="7" t="s">
        <v>76</v>
      </c>
      <c r="P47" s="10">
        <v>37.885607199262502</v>
      </c>
      <c r="Q47" s="29">
        <f>VLOOKUP(CurrentMtgRatesDataTable84[[#This Row],[asofdate]],S:T,2,0)</f>
        <v>0.27141833470725502</v>
      </c>
      <c r="S47" s="7" t="s">
        <v>76</v>
      </c>
      <c r="T47" s="10">
        <v>0.27141833470725502</v>
      </c>
      <c r="W47" s="7" t="s">
        <v>76</v>
      </c>
      <c r="X47" s="10">
        <v>730.386657340532</v>
      </c>
      <c r="Y47" s="26">
        <f>VLOOKUP(CurrentMtgRatesDataTable86[[#This Row],[asofdate]],AA:AB,2,0)</f>
        <v>0.28214362863015702</v>
      </c>
      <c r="AA47" s="7" t="s">
        <v>76</v>
      </c>
      <c r="AB47" s="10">
        <v>0.28214362863015702</v>
      </c>
      <c r="AE47" s="7" t="s">
        <v>138</v>
      </c>
      <c r="AF47" s="10">
        <v>1.3651022269579699E-2</v>
      </c>
      <c r="AG47" s="10" t="str">
        <f>YEAR(CurrentMtgRatesDataTable89[[#This Row],[asofdate]])&amp;"-"&amp;MONTH(CurrentMtgRatesDataTable89[[#This Row],[asofdate]])</f>
        <v>2012-1</v>
      </c>
      <c r="AH47" s="6">
        <f>((CurrentMtgRatesDataTable89[[#This Row],[SeriesNumValue]]-$D$1)/$D$1+1)*100</f>
        <v>91.006815130531322</v>
      </c>
      <c r="AI47" s="6">
        <f>CurrentMtgRatesDataTable89[[#This Row],[Index]]-AH48</f>
        <v>0.82217652209997993</v>
      </c>
      <c r="AJ47" s="6">
        <f>VLOOKUP(CurrentMtgRatesDataTable89[[#This Row],[asofdate]],G:H,2,0)</f>
        <v>79.742560564501602</v>
      </c>
      <c r="AK47" s="6">
        <f>VLOOKUP(CurrentMtgRatesDataTable89[[#This Row],[asofdate]],K:L,2,0)</f>
        <v>0.19475828223912001</v>
      </c>
      <c r="AL47" s="6">
        <f>VLOOKUP(CurrentMtgRatesDataTable89[[#This Row],[asofdate]],O:P,2,0)</f>
        <v>33.654947487508103</v>
      </c>
      <c r="AM47" s="6">
        <f>VLOOKUP(CurrentMtgRatesDataTable89[[#This Row],[asofdate]],S:T,2,0)</f>
        <v>0.27064704793311001</v>
      </c>
      <c r="AN47" s="6">
        <f>VLOOKUP(CurrentMtgRatesDataTable89[[#This Row],[asofdate]],W:X,2,0)</f>
        <v>760.81703076159499</v>
      </c>
      <c r="AO47" s="6">
        <f>VLOOKUP(CurrentMtgRatesDataTable89[[#This Row],[asofdate]],AA:AB,2,0)</f>
        <v>8.7258854496687799E-2</v>
      </c>
    </row>
    <row r="48" spans="1:41" s="6" customFormat="1" ht="12.75">
      <c r="A48" s="7" t="s">
        <v>77</v>
      </c>
      <c r="B48" s="10">
        <v>1.81792707234236E-2</v>
      </c>
      <c r="C48" s="10" t="str">
        <f>YEAR(CurrentMtgRatesDataTable8[[#This Row],[asofdate]])&amp;"-"&amp;MONTH(CurrentMtgRatesDataTable8[[#This Row],[asofdate]])</f>
        <v>2006-12</v>
      </c>
      <c r="D48" s="6">
        <f>((CurrentMtgRatesDataTable8[[#This Row],[SeriesNumValue]]-$D$1)/$D$1+1)*100</f>
        <v>121.19513815615734</v>
      </c>
      <c r="G48" s="7" t="s">
        <v>77</v>
      </c>
      <c r="H48" s="10">
        <v>79.313851596089094</v>
      </c>
      <c r="I48" s="26">
        <f>VLOOKUP(CurrentMtgRatesDataTable82[[#This Row],[asofdate]],K:L,2,0)</f>
        <v>0.18937465803638501</v>
      </c>
      <c r="K48" s="7" t="s">
        <v>77</v>
      </c>
      <c r="L48" s="29">
        <v>0.18937465803638501</v>
      </c>
      <c r="O48" s="7" t="s">
        <v>77</v>
      </c>
      <c r="P48" s="10">
        <v>37.784179381196402</v>
      </c>
      <c r="Q48" s="29">
        <f>VLOOKUP(CurrentMtgRatesDataTable84[[#This Row],[asofdate]],S:T,2,0)</f>
        <v>0.28453423916155701</v>
      </c>
      <c r="S48" s="7" t="s">
        <v>77</v>
      </c>
      <c r="T48" s="10">
        <v>0.28453423916155701</v>
      </c>
      <c r="W48" s="7" t="s">
        <v>77</v>
      </c>
      <c r="X48" s="10">
        <v>730.60339826042502</v>
      </c>
      <c r="Y48" s="26">
        <f>VLOOKUP(CurrentMtgRatesDataTable86[[#This Row],[asofdate]],AA:AB,2,0)</f>
        <v>0.28243744033441398</v>
      </c>
      <c r="AA48" s="7" t="s">
        <v>77</v>
      </c>
      <c r="AB48" s="10">
        <v>0.28243744033441398</v>
      </c>
      <c r="AE48" s="7" t="s">
        <v>137</v>
      </c>
      <c r="AF48" s="10">
        <v>1.3527695791264701E-2</v>
      </c>
      <c r="AG48" s="10" t="str">
        <f>YEAR(CurrentMtgRatesDataTable89[[#This Row],[asofdate]])&amp;"-"&amp;MONTH(CurrentMtgRatesDataTable89[[#This Row],[asofdate]])</f>
        <v>2011-12</v>
      </c>
      <c r="AH48" s="6">
        <f>((CurrentMtgRatesDataTable89[[#This Row],[SeriesNumValue]]-$D$1)/$D$1+1)*100</f>
        <v>90.184638608431342</v>
      </c>
      <c r="AI48" s="6">
        <f>CurrentMtgRatesDataTable89[[#This Row],[Index]]-AH49</f>
        <v>-4.2804886361613228</v>
      </c>
      <c r="AJ48" s="6">
        <f>VLOOKUP(CurrentMtgRatesDataTable89[[#This Row],[asofdate]],G:H,2,0)</f>
        <v>79.981224078938595</v>
      </c>
      <c r="AK48" s="6">
        <f>VLOOKUP(CurrentMtgRatesDataTable89[[#This Row],[asofdate]],K:L,2,0)</f>
        <v>0.19888714369615601</v>
      </c>
      <c r="AL48" s="6">
        <f>VLOOKUP(CurrentMtgRatesDataTable89[[#This Row],[asofdate]],O:P,2,0)</f>
        <v>33.656293538021998</v>
      </c>
      <c r="AM48" s="6">
        <f>VLOOKUP(CurrentMtgRatesDataTable89[[#This Row],[asofdate]],S:T,2,0)</f>
        <v>0.27520420343907298</v>
      </c>
      <c r="AN48" s="6">
        <f>VLOOKUP(CurrentMtgRatesDataTable89[[#This Row],[asofdate]],W:X,2,0)</f>
        <v>760.09678534465195</v>
      </c>
      <c r="AO48" s="6">
        <f>VLOOKUP(CurrentMtgRatesDataTable89[[#This Row],[asofdate]],AA:AB,2,0)</f>
        <v>9.1987894872550005E-2</v>
      </c>
    </row>
    <row r="49" spans="1:41" s="6" customFormat="1" ht="12.75">
      <c r="A49" s="7" t="s">
        <v>78</v>
      </c>
      <c r="B49" s="10">
        <v>1.88046316796401E-2</v>
      </c>
      <c r="C49" s="10" t="str">
        <f>YEAR(CurrentMtgRatesDataTable8[[#This Row],[asofdate]])&amp;"-"&amp;MONTH(CurrentMtgRatesDataTable8[[#This Row],[asofdate]])</f>
        <v>2007-1</v>
      </c>
      <c r="D49" s="6">
        <f>((CurrentMtgRatesDataTable8[[#This Row],[SeriesNumValue]]-$D$1)/$D$1+1)*100</f>
        <v>125.36421119760068</v>
      </c>
      <c r="G49" s="7" t="s">
        <v>78</v>
      </c>
      <c r="H49" s="10">
        <v>79.416377830387304</v>
      </c>
      <c r="I49" s="26">
        <f>VLOOKUP(CurrentMtgRatesDataTable82[[#This Row],[asofdate]],K:L,2,0)</f>
        <v>0.19384333429729</v>
      </c>
      <c r="K49" s="7" t="s">
        <v>78</v>
      </c>
      <c r="L49" s="29">
        <v>0.19384333429729</v>
      </c>
      <c r="O49" s="7" t="s">
        <v>78</v>
      </c>
      <c r="P49" s="10">
        <v>37.718068546956403</v>
      </c>
      <c r="Q49" s="29">
        <f>VLOOKUP(CurrentMtgRatesDataTable84[[#This Row],[asofdate]],S:T,2,0)</f>
        <v>0.27954455441237602</v>
      </c>
      <c r="S49" s="7" t="s">
        <v>78</v>
      </c>
      <c r="T49" s="10">
        <v>0.27954455441237602</v>
      </c>
      <c r="W49" s="7" t="s">
        <v>78</v>
      </c>
      <c r="X49" s="10">
        <v>730.47654115547095</v>
      </c>
      <c r="Y49" s="26">
        <f>VLOOKUP(CurrentMtgRatesDataTable86[[#This Row],[asofdate]],AA:AB,2,0)</f>
        <v>0.28268598353770003</v>
      </c>
      <c r="AA49" s="7" t="s">
        <v>78</v>
      </c>
      <c r="AB49" s="10">
        <v>0.28268598353770003</v>
      </c>
      <c r="AE49" s="7" t="s">
        <v>136</v>
      </c>
      <c r="AF49" s="10">
        <v>1.41697690866889E-2</v>
      </c>
      <c r="AG49" s="10" t="str">
        <f>YEAR(CurrentMtgRatesDataTable89[[#This Row],[asofdate]])&amp;"-"&amp;MONTH(CurrentMtgRatesDataTable89[[#This Row],[asofdate]])</f>
        <v>2011-11</v>
      </c>
      <c r="AH49" s="6">
        <f>((CurrentMtgRatesDataTable89[[#This Row],[SeriesNumValue]]-$D$1)/$D$1+1)*100</f>
        <v>94.465127244592665</v>
      </c>
      <c r="AI49" s="6">
        <f>CurrentMtgRatesDataTable89[[#This Row],[Index]]-AH50</f>
        <v>-5.9580853582600071</v>
      </c>
      <c r="AJ49" s="6">
        <f>VLOOKUP(CurrentMtgRatesDataTable89[[#This Row],[asofdate]],G:H,2,0)</f>
        <v>79.992386273642197</v>
      </c>
      <c r="AK49" s="6">
        <f>VLOOKUP(CurrentMtgRatesDataTable89[[#This Row],[asofdate]],K:L,2,0)</f>
        <v>0.19682779655410601</v>
      </c>
      <c r="AL49" s="6">
        <f>VLOOKUP(CurrentMtgRatesDataTable89[[#This Row],[asofdate]],O:P,2,0)</f>
        <v>33.733100423047397</v>
      </c>
      <c r="AM49" s="6">
        <f>VLOOKUP(CurrentMtgRatesDataTable89[[#This Row],[asofdate]],S:T,2,0)</f>
        <v>0.272868235888234</v>
      </c>
      <c r="AN49" s="6">
        <f>VLOOKUP(CurrentMtgRatesDataTable89[[#This Row],[asofdate]],W:X,2,0)</f>
        <v>760.12898812549099</v>
      </c>
      <c r="AO49" s="6">
        <f>VLOOKUP(CurrentMtgRatesDataTable89[[#This Row],[asofdate]],AA:AB,2,0)</f>
        <v>9.1539702824597793E-2</v>
      </c>
    </row>
    <row r="50" spans="1:41" s="6" customFormat="1" ht="12.75">
      <c r="A50" s="7" t="s">
        <v>79</v>
      </c>
      <c r="B50" s="10">
        <v>1.77664096642705E-2</v>
      </c>
      <c r="C50" s="10" t="str">
        <f>YEAR(CurrentMtgRatesDataTable8[[#This Row],[asofdate]])&amp;"-"&amp;MONTH(CurrentMtgRatesDataTable8[[#This Row],[asofdate]])</f>
        <v>2007-2</v>
      </c>
      <c r="D50" s="6">
        <f>((CurrentMtgRatesDataTable8[[#This Row],[SeriesNumValue]]-$D$1)/$D$1+1)*100</f>
        <v>118.44273109513668</v>
      </c>
      <c r="G50" s="7" t="s">
        <v>79</v>
      </c>
      <c r="H50" s="10">
        <v>79.719160694476898</v>
      </c>
      <c r="I50" s="26">
        <f>VLOOKUP(CurrentMtgRatesDataTable82[[#This Row],[asofdate]],K:L,2,0)</f>
        <v>0.20262390105173</v>
      </c>
      <c r="K50" s="7" t="s">
        <v>79</v>
      </c>
      <c r="L50" s="29">
        <v>0.20262390105173</v>
      </c>
      <c r="O50" s="7" t="s">
        <v>79</v>
      </c>
      <c r="P50" s="10">
        <v>37.816267865963702</v>
      </c>
      <c r="Q50" s="29">
        <f>VLOOKUP(CurrentMtgRatesDataTable84[[#This Row],[asofdate]],S:T,2,0)</f>
        <v>0.28314346572504001</v>
      </c>
      <c r="S50" s="7" t="s">
        <v>79</v>
      </c>
      <c r="T50" s="10">
        <v>0.28314346572504001</v>
      </c>
      <c r="W50" s="7" t="s">
        <v>79</v>
      </c>
      <c r="X50" s="10">
        <v>729.67566684049098</v>
      </c>
      <c r="Y50" s="26">
        <f>VLOOKUP(CurrentMtgRatesDataTable86[[#This Row],[asofdate]],AA:AB,2,0)</f>
        <v>0.28970756977075302</v>
      </c>
      <c r="AA50" s="7" t="s">
        <v>79</v>
      </c>
      <c r="AB50" s="10">
        <v>0.28970756977075302</v>
      </c>
      <c r="AE50" s="7" t="s">
        <v>135</v>
      </c>
      <c r="AF50" s="10">
        <v>1.50634818904279E-2</v>
      </c>
      <c r="AG50" s="10" t="str">
        <f>YEAR(CurrentMtgRatesDataTable89[[#This Row],[asofdate]])&amp;"-"&amp;MONTH(CurrentMtgRatesDataTable89[[#This Row],[asofdate]])</f>
        <v>2011-10</v>
      </c>
      <c r="AH50" s="6">
        <f>((CurrentMtgRatesDataTable89[[#This Row],[SeriesNumValue]]-$D$1)/$D$1+1)*100</f>
        <v>100.42321260285267</v>
      </c>
      <c r="AI50" s="6">
        <f>CurrentMtgRatesDataTable89[[#This Row],[Index]]-AH51</f>
        <v>6.3753164349253382</v>
      </c>
      <c r="AJ50" s="6">
        <f>VLOOKUP(CurrentMtgRatesDataTable89[[#This Row],[asofdate]],G:H,2,0)</f>
        <v>79.994596225229003</v>
      </c>
      <c r="AK50" s="6">
        <f>VLOOKUP(CurrentMtgRatesDataTable89[[#This Row],[asofdate]],K:L,2,0)</f>
        <v>0.19113361076392199</v>
      </c>
      <c r="AL50" s="6">
        <f>VLOOKUP(CurrentMtgRatesDataTable89[[#This Row],[asofdate]],O:P,2,0)</f>
        <v>33.813961578510003</v>
      </c>
      <c r="AM50" s="6">
        <f>VLOOKUP(CurrentMtgRatesDataTable89[[#This Row],[asofdate]],S:T,2,0)</f>
        <v>0.28077167132175201</v>
      </c>
      <c r="AN50" s="6">
        <f>VLOOKUP(CurrentMtgRatesDataTable89[[#This Row],[asofdate]],W:X,2,0)</f>
        <v>759.31450166280899</v>
      </c>
      <c r="AO50" s="6">
        <f>VLOOKUP(CurrentMtgRatesDataTable89[[#This Row],[asofdate]],AA:AB,2,0)</f>
        <v>9.5221320930123698E-2</v>
      </c>
    </row>
    <row r="51" spans="1:41" s="6" customFormat="1" ht="12.75">
      <c r="A51" s="7" t="s">
        <v>80</v>
      </c>
      <c r="B51" s="10">
        <v>1.81768016527653E-2</v>
      </c>
      <c r="C51" s="10" t="str">
        <f>YEAR(CurrentMtgRatesDataTable8[[#This Row],[asofdate]])&amp;"-"&amp;MONTH(CurrentMtgRatesDataTable8[[#This Row],[asofdate]])</f>
        <v>2007-3</v>
      </c>
      <c r="D51" s="6">
        <f>((CurrentMtgRatesDataTable8[[#This Row],[SeriesNumValue]]-$D$1)/$D$1+1)*100</f>
        <v>121.178677685102</v>
      </c>
      <c r="G51" s="7" t="s">
        <v>80</v>
      </c>
      <c r="H51" s="10">
        <v>80.020235794904707</v>
      </c>
      <c r="I51" s="26">
        <f>VLOOKUP(CurrentMtgRatesDataTable82[[#This Row],[asofdate]],K:L,2,0)</f>
        <v>0.21711470398919</v>
      </c>
      <c r="K51" s="7" t="s">
        <v>80</v>
      </c>
      <c r="L51" s="29">
        <v>0.21711470398919</v>
      </c>
      <c r="O51" s="7" t="s">
        <v>80</v>
      </c>
      <c r="P51" s="10">
        <v>37.728098878721802</v>
      </c>
      <c r="Q51" s="29">
        <f>VLOOKUP(CurrentMtgRatesDataTable84[[#This Row],[asofdate]],S:T,2,0)</f>
        <v>0.28268064836849399</v>
      </c>
      <c r="S51" s="7" t="s">
        <v>80</v>
      </c>
      <c r="T51" s="10">
        <v>0.28268064836849399</v>
      </c>
      <c r="W51" s="7" t="s">
        <v>80</v>
      </c>
      <c r="X51" s="10">
        <v>728.76678623201099</v>
      </c>
      <c r="Y51" s="26">
        <f>VLOOKUP(CurrentMtgRatesDataTable86[[#This Row],[asofdate]],AA:AB,2,0)</f>
        <v>0.29421874120147201</v>
      </c>
      <c r="AA51" s="7" t="s">
        <v>80</v>
      </c>
      <c r="AB51" s="10">
        <v>0.29421874120147201</v>
      </c>
      <c r="AE51" s="7" t="s">
        <v>134</v>
      </c>
      <c r="AF51" s="10">
        <v>1.4107184425189099E-2</v>
      </c>
      <c r="AG51" s="10" t="str">
        <f>YEAR(CurrentMtgRatesDataTable89[[#This Row],[asofdate]])&amp;"-"&amp;MONTH(CurrentMtgRatesDataTable89[[#This Row],[asofdate]])</f>
        <v>2011-9</v>
      </c>
      <c r="AH51" s="6">
        <f>((CurrentMtgRatesDataTable89[[#This Row],[SeriesNumValue]]-$D$1)/$D$1+1)*100</f>
        <v>94.047896167927334</v>
      </c>
      <c r="AI51" s="6">
        <f>CurrentMtgRatesDataTable89[[#This Row],[Index]]-AH52</f>
        <v>4.4402054638233324</v>
      </c>
      <c r="AJ51" s="6">
        <f>VLOOKUP(CurrentMtgRatesDataTable89[[#This Row],[asofdate]],G:H,2,0)</f>
        <v>79.891482431871296</v>
      </c>
      <c r="AK51" s="6">
        <f>VLOOKUP(CurrentMtgRatesDataTable89[[#This Row],[asofdate]],K:L,2,0)</f>
        <v>0.182786101755845</v>
      </c>
      <c r="AL51" s="6">
        <f>VLOOKUP(CurrentMtgRatesDataTable89[[#This Row],[asofdate]],O:P,2,0)</f>
        <v>33.922965911430097</v>
      </c>
      <c r="AM51" s="6">
        <f>VLOOKUP(CurrentMtgRatesDataTable89[[#This Row],[asofdate]],S:T,2,0)</f>
        <v>0.28109165813664899</v>
      </c>
      <c r="AN51" s="6">
        <f>VLOOKUP(CurrentMtgRatesDataTable89[[#This Row],[asofdate]],W:X,2,0)</f>
        <v>759.69175189800796</v>
      </c>
      <c r="AO51" s="6">
        <f>VLOOKUP(CurrentMtgRatesDataTable89[[#This Row],[asofdate]],AA:AB,2,0)</f>
        <v>9.43825422999338E-2</v>
      </c>
    </row>
    <row r="52" spans="1:41" s="6" customFormat="1" ht="12.75">
      <c r="A52" s="7" t="s">
        <v>81</v>
      </c>
      <c r="B52" s="10">
        <v>1.9825237948473601E-2</v>
      </c>
      <c r="C52" s="10" t="str">
        <f>YEAR(CurrentMtgRatesDataTable8[[#This Row],[asofdate]])&amp;"-"&amp;MONTH(CurrentMtgRatesDataTable8[[#This Row],[asofdate]])</f>
        <v>2007-4</v>
      </c>
      <c r="D52" s="6">
        <f>((CurrentMtgRatesDataTable8[[#This Row],[SeriesNumValue]]-$D$1)/$D$1+1)*100</f>
        <v>132.168252989824</v>
      </c>
      <c r="G52" s="7" t="s">
        <v>81</v>
      </c>
      <c r="H52" s="10">
        <v>80.627500828568799</v>
      </c>
      <c r="I52" s="26">
        <f>VLOOKUP(CurrentMtgRatesDataTable82[[#This Row],[asofdate]],K:L,2,0)</f>
        <v>0.23336175068755199</v>
      </c>
      <c r="K52" s="7" t="s">
        <v>81</v>
      </c>
      <c r="L52" s="29">
        <v>0.23336175068755199</v>
      </c>
      <c r="O52" s="7" t="s">
        <v>81</v>
      </c>
      <c r="P52" s="10">
        <v>37.946752928057499</v>
      </c>
      <c r="Q52" s="29">
        <f>VLOOKUP(CurrentMtgRatesDataTable84[[#This Row],[asofdate]],S:T,2,0)</f>
        <v>0.27418324865767502</v>
      </c>
      <c r="S52" s="7" t="s">
        <v>81</v>
      </c>
      <c r="T52" s="10">
        <v>0.27418324865767502</v>
      </c>
      <c r="W52" s="7" t="s">
        <v>81</v>
      </c>
      <c r="X52" s="10">
        <v>728.07226394657005</v>
      </c>
      <c r="Y52" s="26">
        <f>VLOOKUP(CurrentMtgRatesDataTable86[[#This Row],[asofdate]],AA:AB,2,0)</f>
        <v>0.30117036754250298</v>
      </c>
      <c r="AA52" s="7" t="s">
        <v>81</v>
      </c>
      <c r="AB52" s="10">
        <v>0.30117036754250298</v>
      </c>
      <c r="AE52" s="7" t="s">
        <v>133</v>
      </c>
      <c r="AF52" s="10">
        <v>1.34411536056156E-2</v>
      </c>
      <c r="AG52" s="10" t="str">
        <f>YEAR(CurrentMtgRatesDataTable89[[#This Row],[asofdate]])&amp;"-"&amp;MONTH(CurrentMtgRatesDataTable89[[#This Row],[asofdate]])</f>
        <v>2011-8</v>
      </c>
      <c r="AH52" s="6">
        <f>((CurrentMtgRatesDataTable89[[#This Row],[SeriesNumValue]]-$D$1)/$D$1+1)*100</f>
        <v>89.607690704104002</v>
      </c>
      <c r="AI52" s="6">
        <f>CurrentMtgRatesDataTable89[[#This Row],[Index]]-AH53</f>
        <v>-3.3278156171833473</v>
      </c>
      <c r="AJ52" s="6">
        <f>VLOOKUP(CurrentMtgRatesDataTable89[[#This Row],[asofdate]],G:H,2,0)</f>
        <v>79.406161699896799</v>
      </c>
      <c r="AK52" s="6">
        <f>VLOOKUP(CurrentMtgRatesDataTable89[[#This Row],[asofdate]],K:L,2,0)</f>
        <v>0.17186683030413899</v>
      </c>
      <c r="AL52" s="6">
        <f>VLOOKUP(CurrentMtgRatesDataTable89[[#This Row],[asofdate]],O:P,2,0)</f>
        <v>33.865990712292998</v>
      </c>
      <c r="AM52" s="6">
        <f>VLOOKUP(CurrentMtgRatesDataTable89[[#This Row],[asofdate]],S:T,2,0)</f>
        <v>0.27877098117541399</v>
      </c>
      <c r="AN52" s="6">
        <f>VLOOKUP(CurrentMtgRatesDataTable89[[#This Row],[asofdate]],W:X,2,0)</f>
        <v>760.114475926419</v>
      </c>
      <c r="AO52" s="6">
        <f>VLOOKUP(CurrentMtgRatesDataTable89[[#This Row],[asofdate]],AA:AB,2,0)</f>
        <v>9.1570324856227001E-2</v>
      </c>
    </row>
    <row r="53" spans="1:41" s="6" customFormat="1" ht="12.75">
      <c r="A53" s="7" t="s">
        <v>82</v>
      </c>
      <c r="B53" s="10">
        <v>2.0284946231693701E-2</v>
      </c>
      <c r="C53" s="10" t="str">
        <f>YEAR(CurrentMtgRatesDataTable8[[#This Row],[asofdate]])&amp;"-"&amp;MONTH(CurrentMtgRatesDataTable8[[#This Row],[asofdate]])</f>
        <v>2007-5</v>
      </c>
      <c r="D53" s="6">
        <f>((CurrentMtgRatesDataTable8[[#This Row],[SeriesNumValue]]-$D$1)/$D$1+1)*100</f>
        <v>135.23297487795801</v>
      </c>
      <c r="G53" s="7" t="s">
        <v>82</v>
      </c>
      <c r="H53" s="10">
        <v>81.029584931334</v>
      </c>
      <c r="I53" s="26">
        <f>VLOOKUP(CurrentMtgRatesDataTable82[[#This Row],[asofdate]],K:L,2,0)</f>
        <v>0.25075487270087099</v>
      </c>
      <c r="K53" s="7" t="s">
        <v>82</v>
      </c>
      <c r="L53" s="29">
        <v>0.25075487270087099</v>
      </c>
      <c r="O53" s="7" t="s">
        <v>82</v>
      </c>
      <c r="P53" s="10">
        <v>37.941075227250401</v>
      </c>
      <c r="Q53" s="29">
        <f>VLOOKUP(CurrentMtgRatesDataTable84[[#This Row],[asofdate]],S:T,2,0)</f>
        <v>0.29044045878201202</v>
      </c>
      <c r="S53" s="7" t="s">
        <v>82</v>
      </c>
      <c r="T53" s="10">
        <v>0.29044045878201202</v>
      </c>
      <c r="W53" s="7" t="s">
        <v>82</v>
      </c>
      <c r="X53" s="10">
        <v>726.66837558813302</v>
      </c>
      <c r="Y53" s="26">
        <f>VLOOKUP(CurrentMtgRatesDataTable86[[#This Row],[asofdate]],AA:AB,2,0)</f>
        <v>0.31243119456729701</v>
      </c>
      <c r="AA53" s="7" t="s">
        <v>82</v>
      </c>
      <c r="AB53" s="10">
        <v>0.31243119456729701</v>
      </c>
      <c r="AE53" s="7" t="s">
        <v>132</v>
      </c>
      <c r="AF53" s="10">
        <v>1.39403259481931E-2</v>
      </c>
      <c r="AG53" s="10" t="str">
        <f>YEAR(CurrentMtgRatesDataTable89[[#This Row],[asofdate]])&amp;"-"&amp;MONTH(CurrentMtgRatesDataTable89[[#This Row],[asofdate]])</f>
        <v>2011-7</v>
      </c>
      <c r="AH53" s="6">
        <f>((CurrentMtgRatesDataTable89[[#This Row],[SeriesNumValue]]-$D$1)/$D$1+1)*100</f>
        <v>92.935506321287349</v>
      </c>
      <c r="AI53" s="6">
        <f>CurrentMtgRatesDataTable89[[#This Row],[Index]]-AH54</f>
        <v>7.4302713271500096</v>
      </c>
      <c r="AJ53" s="6">
        <f>VLOOKUP(CurrentMtgRatesDataTable89[[#This Row],[asofdate]],G:H,2,0)</f>
        <v>79.088148482736102</v>
      </c>
      <c r="AK53" s="6">
        <f>VLOOKUP(CurrentMtgRatesDataTable89[[#This Row],[asofdate]],K:L,2,0)</f>
        <v>0.16308984472221</v>
      </c>
      <c r="AL53" s="6">
        <f>VLOOKUP(CurrentMtgRatesDataTable89[[#This Row],[asofdate]],O:P,2,0)</f>
        <v>34.046479304029901</v>
      </c>
      <c r="AM53" s="6">
        <f>VLOOKUP(CurrentMtgRatesDataTable89[[#This Row],[asofdate]],S:T,2,0)</f>
        <v>0.28753119304577202</v>
      </c>
      <c r="AN53" s="6">
        <f>VLOOKUP(CurrentMtgRatesDataTable89[[#This Row],[asofdate]],W:X,2,0)</f>
        <v>760.10467062830696</v>
      </c>
      <c r="AO53" s="6">
        <f>VLOOKUP(CurrentMtgRatesDataTable89[[#This Row],[asofdate]],AA:AB,2,0)</f>
        <v>9.1379326760530996E-2</v>
      </c>
    </row>
    <row r="54" spans="1:41" s="6" customFormat="1" ht="12.75">
      <c r="A54" s="7" t="s">
        <v>83</v>
      </c>
      <c r="B54" s="10">
        <v>2.06722782999215E-2</v>
      </c>
      <c r="C54" s="10" t="str">
        <f>YEAR(CurrentMtgRatesDataTable8[[#This Row],[asofdate]])&amp;"-"&amp;MONTH(CurrentMtgRatesDataTable8[[#This Row],[asofdate]])</f>
        <v>2007-6</v>
      </c>
      <c r="D54" s="6">
        <f>((CurrentMtgRatesDataTable8[[#This Row],[SeriesNumValue]]-$D$1)/$D$1+1)*100</f>
        <v>137.81518866614334</v>
      </c>
      <c r="G54" s="7" t="s">
        <v>83</v>
      </c>
      <c r="H54" s="10">
        <v>81.638859040765198</v>
      </c>
      <c r="I54" s="26">
        <f>VLOOKUP(CurrentMtgRatesDataTable82[[#This Row],[asofdate]],K:L,2,0)</f>
        <v>0.27467745596276899</v>
      </c>
      <c r="K54" s="7" t="s">
        <v>83</v>
      </c>
      <c r="L54" s="29">
        <v>0.27467745596276899</v>
      </c>
      <c r="O54" s="7" t="s">
        <v>83</v>
      </c>
      <c r="P54" s="10">
        <v>37.925888931269299</v>
      </c>
      <c r="Q54" s="29">
        <f>VLOOKUP(CurrentMtgRatesDataTable84[[#This Row],[asofdate]],S:T,2,0)</f>
        <v>0.29479740023241902</v>
      </c>
      <c r="S54" s="7" t="s">
        <v>83</v>
      </c>
      <c r="T54" s="10">
        <v>0.29479740023241902</v>
      </c>
      <c r="W54" s="7" t="s">
        <v>83</v>
      </c>
      <c r="X54" s="10">
        <v>726.03849192935195</v>
      </c>
      <c r="Y54" s="26">
        <f>VLOOKUP(CurrentMtgRatesDataTable86[[#This Row],[asofdate]],AA:AB,2,0)</f>
        <v>0.31736070193891203</v>
      </c>
      <c r="AA54" s="7" t="s">
        <v>83</v>
      </c>
      <c r="AB54" s="10">
        <v>0.31736070193891203</v>
      </c>
      <c r="AE54" s="7" t="s">
        <v>131</v>
      </c>
      <c r="AF54" s="10">
        <v>1.28257852491206E-2</v>
      </c>
      <c r="AG54" s="10" t="str">
        <f>YEAR(CurrentMtgRatesDataTable89[[#This Row],[asofdate]])&amp;"-"&amp;MONTH(CurrentMtgRatesDataTable89[[#This Row],[asofdate]])</f>
        <v>2011-6</v>
      </c>
      <c r="AH54" s="6">
        <f>((CurrentMtgRatesDataTable89[[#This Row],[SeriesNumValue]]-$D$1)/$D$1+1)*100</f>
        <v>85.505234994137339</v>
      </c>
      <c r="AI54" s="6">
        <f>CurrentMtgRatesDataTable89[[#This Row],[Index]]-AH55</f>
        <v>2.6898246474626717</v>
      </c>
      <c r="AJ54" s="6">
        <f>VLOOKUP(CurrentMtgRatesDataTable89[[#This Row],[asofdate]],G:H,2,0)</f>
        <v>78.409888883979804</v>
      </c>
      <c r="AK54" s="6">
        <f>VLOOKUP(CurrentMtgRatesDataTable89[[#This Row],[asofdate]],K:L,2,0)</f>
        <v>0.142076177959504</v>
      </c>
      <c r="AL54" s="6">
        <f>VLOOKUP(CurrentMtgRatesDataTable89[[#This Row],[asofdate]],O:P,2,0)</f>
        <v>34.2529465324873</v>
      </c>
      <c r="AM54" s="6">
        <f>VLOOKUP(CurrentMtgRatesDataTable89[[#This Row],[asofdate]],S:T,2,0)</f>
        <v>0.29771300873224599</v>
      </c>
      <c r="AN54" s="6">
        <f>VLOOKUP(CurrentMtgRatesDataTable89[[#This Row],[asofdate]],W:X,2,0)</f>
        <v>760.82408923551498</v>
      </c>
      <c r="AO54" s="6">
        <f>VLOOKUP(CurrentMtgRatesDataTable89[[#This Row],[asofdate]],AA:AB,2,0)</f>
        <v>8.6597855232636606E-2</v>
      </c>
    </row>
    <row r="55" spans="1:41" s="6" customFormat="1" ht="12.75">
      <c r="A55" s="7" t="s">
        <v>84</v>
      </c>
      <c r="B55" s="10">
        <v>1.9929199041702501E-2</v>
      </c>
      <c r="C55" s="10" t="str">
        <f>YEAR(CurrentMtgRatesDataTable8[[#This Row],[asofdate]])&amp;"-"&amp;MONTH(CurrentMtgRatesDataTable8[[#This Row],[asofdate]])</f>
        <v>2007-7</v>
      </c>
      <c r="D55" s="6">
        <f>((CurrentMtgRatesDataTable8[[#This Row],[SeriesNumValue]]-$D$1)/$D$1+1)*100</f>
        <v>132.86132694468336</v>
      </c>
      <c r="G55" s="7" t="s">
        <v>84</v>
      </c>
      <c r="H55" s="10">
        <v>82.389980586884107</v>
      </c>
      <c r="I55" s="26">
        <f>VLOOKUP(CurrentMtgRatesDataTable82[[#This Row],[asofdate]],K:L,2,0)</f>
        <v>0.307488257472122</v>
      </c>
      <c r="K55" s="7" t="s">
        <v>84</v>
      </c>
      <c r="L55" s="29">
        <v>0.307488257472122</v>
      </c>
      <c r="O55" s="7" t="s">
        <v>84</v>
      </c>
      <c r="P55" s="10">
        <v>38.351984649126003</v>
      </c>
      <c r="Q55" s="29">
        <f>VLOOKUP(CurrentMtgRatesDataTable84[[#This Row],[asofdate]],S:T,2,0)</f>
        <v>0.300185432523705</v>
      </c>
      <c r="S55" s="7" t="s">
        <v>84</v>
      </c>
      <c r="T55" s="10">
        <v>0.300185432523705</v>
      </c>
      <c r="W55" s="7" t="s">
        <v>84</v>
      </c>
      <c r="X55" s="10">
        <v>724.46402286812599</v>
      </c>
      <c r="Y55" s="26">
        <f>VLOOKUP(CurrentMtgRatesDataTable86[[#This Row],[asofdate]],AA:AB,2,0)</f>
        <v>0.32994785298319101</v>
      </c>
      <c r="AA55" s="7" t="s">
        <v>84</v>
      </c>
      <c r="AB55" s="10">
        <v>0.32994785298319101</v>
      </c>
      <c r="AE55" s="7" t="s">
        <v>130</v>
      </c>
      <c r="AF55" s="10">
        <v>1.24223115520012E-2</v>
      </c>
      <c r="AG55" s="10" t="str">
        <f>YEAR(CurrentMtgRatesDataTable89[[#This Row],[asofdate]])&amp;"-"&amp;MONTH(CurrentMtgRatesDataTable89[[#This Row],[asofdate]])</f>
        <v>2011-5</v>
      </c>
      <c r="AH55" s="6">
        <f>((CurrentMtgRatesDataTable89[[#This Row],[SeriesNumValue]]-$D$1)/$D$1+1)*100</f>
        <v>82.815410346674668</v>
      </c>
      <c r="AI55" s="6">
        <f>CurrentMtgRatesDataTable89[[#This Row],[Index]]-AH56</f>
        <v>5.9844297413033161</v>
      </c>
      <c r="AJ55" s="6">
        <f>VLOOKUP(CurrentMtgRatesDataTable89[[#This Row],[asofdate]],G:H,2,0)</f>
        <v>77.980484209041606</v>
      </c>
      <c r="AK55" s="6">
        <f>VLOOKUP(CurrentMtgRatesDataTable89[[#This Row],[asofdate]],K:L,2,0)</f>
        <v>0.12673005781397301</v>
      </c>
      <c r="AL55" s="6">
        <f>VLOOKUP(CurrentMtgRatesDataTable89[[#This Row],[asofdate]],O:P,2,0)</f>
        <v>34.674706461181003</v>
      </c>
      <c r="AM55" s="6">
        <f>VLOOKUP(CurrentMtgRatesDataTable89[[#This Row],[asofdate]],S:T,2,0)</f>
        <v>0.32153280838498299</v>
      </c>
      <c r="AN55" s="6">
        <f>VLOOKUP(CurrentMtgRatesDataTable89[[#This Row],[asofdate]],W:X,2,0)</f>
        <v>759.97563365075803</v>
      </c>
      <c r="AO55" s="6">
        <f>VLOOKUP(CurrentMtgRatesDataTable89[[#This Row],[asofdate]],AA:AB,2,0)</f>
        <v>9.1087970583949199E-2</v>
      </c>
    </row>
    <row r="56" spans="1:41" s="6" customFormat="1" ht="12.75">
      <c r="A56" s="7" t="s">
        <v>85</v>
      </c>
      <c r="B56" s="10">
        <v>2.0714157318705E-2</v>
      </c>
      <c r="C56" s="10" t="str">
        <f>YEAR(CurrentMtgRatesDataTable8[[#This Row],[asofdate]])&amp;"-"&amp;MONTH(CurrentMtgRatesDataTable8[[#This Row],[asofdate]])</f>
        <v>2007-8</v>
      </c>
      <c r="D56" s="6">
        <f>((CurrentMtgRatesDataTable8[[#This Row],[SeriesNumValue]]-$D$1)/$D$1+1)*100</f>
        <v>138.09438212469999</v>
      </c>
      <c r="G56" s="7" t="s">
        <v>85</v>
      </c>
      <c r="H56" s="10">
        <v>82.723748146625795</v>
      </c>
      <c r="I56" s="26">
        <f>VLOOKUP(CurrentMtgRatesDataTable82[[#This Row],[asofdate]],K:L,2,0)</f>
        <v>0.32255308239293201</v>
      </c>
      <c r="K56" s="7" t="s">
        <v>85</v>
      </c>
      <c r="L56" s="29">
        <v>0.32255308239293201</v>
      </c>
      <c r="O56" s="7" t="s">
        <v>85</v>
      </c>
      <c r="P56" s="10">
        <v>39.121730682626499</v>
      </c>
      <c r="Q56" s="29">
        <f>VLOOKUP(CurrentMtgRatesDataTable84[[#This Row],[asofdate]],S:T,2,0)</f>
        <v>0.31732347013787598</v>
      </c>
      <c r="S56" s="7" t="s">
        <v>85</v>
      </c>
      <c r="T56" s="10">
        <v>0.31732347013787598</v>
      </c>
      <c r="W56" s="7" t="s">
        <v>85</v>
      </c>
      <c r="X56" s="10">
        <v>724.80771850866597</v>
      </c>
      <c r="Y56" s="26">
        <f>VLOOKUP(CurrentMtgRatesDataTable86[[#This Row],[asofdate]],AA:AB,2,0)</f>
        <v>0.32695996607863698</v>
      </c>
      <c r="AA56" s="7" t="s">
        <v>85</v>
      </c>
      <c r="AB56" s="10">
        <v>0.32695996607863698</v>
      </c>
      <c r="AE56" s="7" t="s">
        <v>129</v>
      </c>
      <c r="AF56" s="10">
        <v>1.15246470908057E-2</v>
      </c>
      <c r="AG56" s="10" t="str">
        <f>YEAR(CurrentMtgRatesDataTable89[[#This Row],[asofdate]])&amp;"-"&amp;MONTH(CurrentMtgRatesDataTable89[[#This Row],[asofdate]])</f>
        <v>2011-4</v>
      </c>
      <c r="AH56" s="6">
        <f>((CurrentMtgRatesDataTable89[[#This Row],[SeriesNumValue]]-$D$1)/$D$1+1)*100</f>
        <v>76.830980605371352</v>
      </c>
      <c r="AI56" s="6">
        <f>CurrentMtgRatesDataTable89[[#This Row],[Index]]-AH57</f>
        <v>3.1540497285566857</v>
      </c>
      <c r="AJ56" s="6">
        <f>VLOOKUP(CurrentMtgRatesDataTable89[[#This Row],[asofdate]],G:H,2,0)</f>
        <v>77.552398679092306</v>
      </c>
      <c r="AK56" s="6">
        <f>VLOOKUP(CurrentMtgRatesDataTable89[[#This Row],[asofdate]],K:L,2,0)</f>
        <v>0.122639368656911</v>
      </c>
      <c r="AL56" s="6">
        <f>VLOOKUP(CurrentMtgRatesDataTable89[[#This Row],[asofdate]],O:P,2,0)</f>
        <v>34.641342036050403</v>
      </c>
      <c r="AM56" s="6">
        <f>VLOOKUP(CurrentMtgRatesDataTable89[[#This Row],[asofdate]],S:T,2,0)</f>
        <v>0.31991524375353902</v>
      </c>
      <c r="AN56" s="6">
        <f>VLOOKUP(CurrentMtgRatesDataTable89[[#This Row],[asofdate]],W:X,2,0)</f>
        <v>759.50780417156102</v>
      </c>
      <c r="AO56" s="6">
        <f>VLOOKUP(CurrentMtgRatesDataTable89[[#This Row],[asofdate]],AA:AB,2,0)</f>
        <v>9.30252114514524E-2</v>
      </c>
    </row>
    <row r="57" spans="1:41" s="6" customFormat="1" ht="12.75">
      <c r="A57" s="7" t="s">
        <v>86</v>
      </c>
      <c r="B57" s="10">
        <v>2.3298547724423701E-2</v>
      </c>
      <c r="C57" s="10" t="str">
        <f>YEAR(CurrentMtgRatesDataTable8[[#This Row],[asofdate]])&amp;"-"&amp;MONTH(CurrentMtgRatesDataTable8[[#This Row],[asofdate]])</f>
        <v>2007-9</v>
      </c>
      <c r="D57" s="6">
        <f>((CurrentMtgRatesDataTable8[[#This Row],[SeriesNumValue]]-$D$1)/$D$1+1)*100</f>
        <v>155.32365149615802</v>
      </c>
      <c r="G57" s="7" t="s">
        <v>86</v>
      </c>
      <c r="H57" s="10">
        <v>82.874350662137303</v>
      </c>
      <c r="I57" s="26">
        <f>VLOOKUP(CurrentMtgRatesDataTable82[[#This Row],[asofdate]],K:L,2,0)</f>
        <v>0.33002145591068499</v>
      </c>
      <c r="K57" s="7" t="s">
        <v>86</v>
      </c>
      <c r="L57" s="29">
        <v>0.33002145591068499</v>
      </c>
      <c r="O57" s="7" t="s">
        <v>86</v>
      </c>
      <c r="P57" s="10">
        <v>39.279520130665098</v>
      </c>
      <c r="Q57" s="29">
        <f>VLOOKUP(CurrentMtgRatesDataTable84[[#This Row],[asofdate]],S:T,2,0)</f>
        <v>0.31798180334842602</v>
      </c>
      <c r="S57" s="7" t="s">
        <v>86</v>
      </c>
      <c r="T57" s="10">
        <v>0.31798180334842602</v>
      </c>
      <c r="W57" s="7" t="s">
        <v>86</v>
      </c>
      <c r="X57" s="10">
        <v>725.50573707449803</v>
      </c>
      <c r="Y57" s="26">
        <f>VLOOKUP(CurrentMtgRatesDataTable86[[#This Row],[asofdate]],AA:AB,2,0)</f>
        <v>0.32240974299630598</v>
      </c>
      <c r="AA57" s="7" t="s">
        <v>86</v>
      </c>
      <c r="AB57" s="10">
        <v>0.32240974299630598</v>
      </c>
      <c r="AE57" s="7" t="s">
        <v>128</v>
      </c>
      <c r="AF57" s="10">
        <v>1.10515396315222E-2</v>
      </c>
      <c r="AG57" s="10" t="str">
        <f>YEAR(CurrentMtgRatesDataTable89[[#This Row],[asofdate]])&amp;"-"&amp;MONTH(CurrentMtgRatesDataTable89[[#This Row],[asofdate]])</f>
        <v>2011-3</v>
      </c>
      <c r="AH57" s="6">
        <f>((CurrentMtgRatesDataTable89[[#This Row],[SeriesNumValue]]-$D$1)/$D$1+1)*100</f>
        <v>73.676930876814666</v>
      </c>
      <c r="AI57" s="6">
        <f>CurrentMtgRatesDataTable89[[#This Row],[Index]]-AH58</f>
        <v>6.2316214749933323</v>
      </c>
      <c r="AJ57" s="6">
        <f>VLOOKUP(CurrentMtgRatesDataTable89[[#This Row],[asofdate]],G:H,2,0)</f>
        <v>77.637247427666907</v>
      </c>
      <c r="AK57" s="6">
        <f>VLOOKUP(CurrentMtgRatesDataTable89[[#This Row],[asofdate]],K:L,2,0)</f>
        <v>0.11718407456528999</v>
      </c>
      <c r="AL57" s="6">
        <f>VLOOKUP(CurrentMtgRatesDataTable89[[#This Row],[asofdate]],O:P,2,0)</f>
        <v>34.494978806655404</v>
      </c>
      <c r="AM57" s="6">
        <f>VLOOKUP(CurrentMtgRatesDataTable89[[#This Row],[asofdate]],S:T,2,0)</f>
        <v>0.31323390844316201</v>
      </c>
      <c r="AN57" s="6">
        <f>VLOOKUP(CurrentMtgRatesDataTable89[[#This Row],[asofdate]],W:X,2,0)</f>
        <v>760.60763213048995</v>
      </c>
      <c r="AO57" s="6">
        <f>VLOOKUP(CurrentMtgRatesDataTable89[[#This Row],[asofdate]],AA:AB,2,0)</f>
        <v>8.6065611497949293E-2</v>
      </c>
    </row>
    <row r="58" spans="1:41" s="6" customFormat="1" ht="12.75">
      <c r="A58" s="7" t="s">
        <v>87</v>
      </c>
      <c r="B58" s="10">
        <v>2.5399710679563901E-2</v>
      </c>
      <c r="C58" s="10" t="str">
        <f>YEAR(CurrentMtgRatesDataTable8[[#This Row],[asofdate]])&amp;"-"&amp;MONTH(CurrentMtgRatesDataTable8[[#This Row],[asofdate]])</f>
        <v>2007-10</v>
      </c>
      <c r="D58" s="6">
        <f>((CurrentMtgRatesDataTable8[[#This Row],[SeriesNumValue]]-$D$1)/$D$1+1)*100</f>
        <v>169.331404530426</v>
      </c>
      <c r="G58" s="7" t="s">
        <v>87</v>
      </c>
      <c r="H58" s="10">
        <v>83.087861444974493</v>
      </c>
      <c r="I58" s="26">
        <f>VLOOKUP(CurrentMtgRatesDataTable82[[#This Row],[asofdate]],K:L,2,0)</f>
        <v>0.356078874246821</v>
      </c>
      <c r="K58" s="7" t="s">
        <v>87</v>
      </c>
      <c r="L58" s="29">
        <v>0.356078874246821</v>
      </c>
      <c r="O58" s="7" t="s">
        <v>87</v>
      </c>
      <c r="P58" s="10">
        <v>39.155893606409002</v>
      </c>
      <c r="Q58" s="29">
        <f>VLOOKUP(CurrentMtgRatesDataTable84[[#This Row],[asofdate]],S:T,2,0)</f>
        <v>0.314858289438952</v>
      </c>
      <c r="S58" s="7" t="s">
        <v>87</v>
      </c>
      <c r="T58" s="10">
        <v>0.314858289438952</v>
      </c>
      <c r="W58" s="7" t="s">
        <v>87</v>
      </c>
      <c r="X58" s="10">
        <v>725.21898138090398</v>
      </c>
      <c r="Y58" s="26">
        <f>VLOOKUP(CurrentMtgRatesDataTable86[[#This Row],[asofdate]],AA:AB,2,0)</f>
        <v>0.32561765464237102</v>
      </c>
      <c r="AA58" s="7" t="s">
        <v>87</v>
      </c>
      <c r="AB58" s="10">
        <v>0.32561765464237102</v>
      </c>
      <c r="AE58" s="7" t="s">
        <v>127</v>
      </c>
      <c r="AF58" s="10">
        <v>1.01167964102732E-2</v>
      </c>
      <c r="AG58" s="10" t="str">
        <f>YEAR(CurrentMtgRatesDataTable89[[#This Row],[asofdate]])&amp;"-"&amp;MONTH(CurrentMtgRatesDataTable89[[#This Row],[asofdate]])</f>
        <v>2011-2</v>
      </c>
      <c r="AH58" s="6">
        <f>((CurrentMtgRatesDataTable89[[#This Row],[SeriesNumValue]]-$D$1)/$D$1+1)*100</f>
        <v>67.445309401821333</v>
      </c>
      <c r="AI58" s="6">
        <f>CurrentMtgRatesDataTable89[[#This Row],[Index]]-AH59</f>
        <v>-2.0101091766026684</v>
      </c>
      <c r="AJ58" s="6">
        <f>VLOOKUP(CurrentMtgRatesDataTable89[[#This Row],[asofdate]],G:H,2,0)</f>
        <v>77.808168115304795</v>
      </c>
      <c r="AK58" s="6">
        <f>VLOOKUP(CurrentMtgRatesDataTable89[[#This Row],[asofdate]],K:L,2,0)</f>
        <v>0.120694975345314</v>
      </c>
      <c r="AL58" s="6">
        <f>VLOOKUP(CurrentMtgRatesDataTable89[[#This Row],[asofdate]],O:P,2,0)</f>
        <v>33.893922973466999</v>
      </c>
      <c r="AM58" s="6">
        <f>VLOOKUP(CurrentMtgRatesDataTable89[[#This Row],[asofdate]],S:T,2,0)</f>
        <v>0.28761132381048299</v>
      </c>
      <c r="AN58" s="6">
        <f>VLOOKUP(CurrentMtgRatesDataTable89[[#This Row],[asofdate]],W:X,2,0)</f>
        <v>761.89442409042999</v>
      </c>
      <c r="AO58" s="6">
        <f>VLOOKUP(CurrentMtgRatesDataTable89[[#This Row],[asofdate]],AA:AB,2,0)</f>
        <v>8.1433463034412304E-2</v>
      </c>
    </row>
    <row r="59" spans="1:41" s="6" customFormat="1" ht="12.75">
      <c r="A59" s="7" t="s">
        <v>88</v>
      </c>
      <c r="B59" s="10">
        <v>2.5848285008300598E-2</v>
      </c>
      <c r="C59" s="10" t="str">
        <f>YEAR(CurrentMtgRatesDataTable8[[#This Row],[asofdate]])&amp;"-"&amp;MONTH(CurrentMtgRatesDataTable8[[#This Row],[asofdate]])</f>
        <v>2007-11</v>
      </c>
      <c r="D59" s="6">
        <f>((CurrentMtgRatesDataTable8[[#This Row],[SeriesNumValue]]-$D$1)/$D$1+1)*100</f>
        <v>172.32190005533732</v>
      </c>
      <c r="G59" s="7" t="s">
        <v>88</v>
      </c>
      <c r="H59" s="10">
        <v>83.598180227379302</v>
      </c>
      <c r="I59" s="26">
        <f>VLOOKUP(CurrentMtgRatesDataTable82[[#This Row],[asofdate]],K:L,2,0)</f>
        <v>0.37325443173169698</v>
      </c>
      <c r="K59" s="7" t="s">
        <v>88</v>
      </c>
      <c r="L59" s="29">
        <v>0.37325443173169698</v>
      </c>
      <c r="O59" s="7" t="s">
        <v>88</v>
      </c>
      <c r="P59" s="10">
        <v>39.641727438885503</v>
      </c>
      <c r="Q59" s="29">
        <f>VLOOKUP(CurrentMtgRatesDataTable84[[#This Row],[asofdate]],S:T,2,0)</f>
        <v>0.33257685736857001</v>
      </c>
      <c r="S59" s="7" t="s">
        <v>88</v>
      </c>
      <c r="T59" s="10">
        <v>0.33257685736857001</v>
      </c>
      <c r="W59" s="7" t="s">
        <v>88</v>
      </c>
      <c r="X59" s="10">
        <v>724.06936828744904</v>
      </c>
      <c r="Y59" s="26">
        <f>VLOOKUP(CurrentMtgRatesDataTable86[[#This Row],[asofdate]],AA:AB,2,0)</f>
        <v>0.33276857859813502</v>
      </c>
      <c r="AA59" s="7" t="s">
        <v>88</v>
      </c>
      <c r="AB59" s="10">
        <v>0.33276857859813502</v>
      </c>
      <c r="AE59" s="7" t="s">
        <v>126</v>
      </c>
      <c r="AF59" s="10">
        <v>1.0418312786763599E-2</v>
      </c>
      <c r="AG59" s="10" t="str">
        <f>YEAR(CurrentMtgRatesDataTable89[[#This Row],[asofdate]])&amp;"-"&amp;MONTH(CurrentMtgRatesDataTable89[[#This Row],[asofdate]])</f>
        <v>2011-1</v>
      </c>
      <c r="AH59" s="6">
        <f>((CurrentMtgRatesDataTable89[[#This Row],[SeriesNumValue]]-$D$1)/$D$1+1)*100</f>
        <v>69.455418578424002</v>
      </c>
      <c r="AI59" s="6">
        <f>CurrentMtgRatesDataTable89[[#This Row],[Index]]-AH60</f>
        <v>-7.7585869574313335</v>
      </c>
      <c r="AJ59" s="6">
        <f>VLOOKUP(CurrentMtgRatesDataTable89[[#This Row],[asofdate]],G:H,2,0)</f>
        <v>77.940525422506795</v>
      </c>
      <c r="AK59" s="6">
        <f>VLOOKUP(CurrentMtgRatesDataTable89[[#This Row],[asofdate]],K:L,2,0)</f>
        <v>0.11795265673854601</v>
      </c>
      <c r="AL59" s="6">
        <f>VLOOKUP(CurrentMtgRatesDataTable89[[#This Row],[asofdate]],O:P,2,0)</f>
        <v>33.489824219735901</v>
      </c>
      <c r="AM59" s="6">
        <f>VLOOKUP(CurrentMtgRatesDataTable89[[#This Row],[asofdate]],S:T,2,0)</f>
        <v>0.27245520416456698</v>
      </c>
      <c r="AN59" s="6">
        <f>VLOOKUP(CurrentMtgRatesDataTable89[[#This Row],[asofdate]],W:X,2,0)</f>
        <v>762.74630346408003</v>
      </c>
      <c r="AO59" s="6">
        <f>VLOOKUP(CurrentMtgRatesDataTable89[[#This Row],[asofdate]],AA:AB,2,0)</f>
        <v>7.5937613488361505E-2</v>
      </c>
    </row>
    <row r="60" spans="1:41" s="6" customFormat="1" ht="12.75">
      <c r="A60" s="7" t="s">
        <v>89</v>
      </c>
      <c r="B60" s="10">
        <v>2.6072154647327001E-2</v>
      </c>
      <c r="C60" s="10" t="str">
        <f>YEAR(CurrentMtgRatesDataTable8[[#This Row],[asofdate]])&amp;"-"&amp;MONTH(CurrentMtgRatesDataTable8[[#This Row],[asofdate]])</f>
        <v>2007-12</v>
      </c>
      <c r="D60" s="6">
        <f>((CurrentMtgRatesDataTable8[[#This Row],[SeriesNumValue]]-$D$1)/$D$1+1)*100</f>
        <v>173.81436431551336</v>
      </c>
      <c r="G60" s="7" t="s">
        <v>89</v>
      </c>
      <c r="H60" s="10">
        <v>83.554435871280404</v>
      </c>
      <c r="I60" s="26">
        <f>VLOOKUP(CurrentMtgRatesDataTable82[[#This Row],[asofdate]],K:L,2,0)</f>
        <v>0.37328154108915901</v>
      </c>
      <c r="K60" s="7" t="s">
        <v>89</v>
      </c>
      <c r="L60" s="29">
        <v>0.37328154108915901</v>
      </c>
      <c r="O60" s="7" t="s">
        <v>89</v>
      </c>
      <c r="P60" s="10">
        <v>39.579908349099497</v>
      </c>
      <c r="Q60" s="29">
        <f>VLOOKUP(CurrentMtgRatesDataTable84[[#This Row],[asofdate]],S:T,2,0)</f>
        <v>0.32737388737458001</v>
      </c>
      <c r="S60" s="7" t="s">
        <v>89</v>
      </c>
      <c r="T60" s="10">
        <v>0.32737388737458001</v>
      </c>
      <c r="W60" s="7" t="s">
        <v>89</v>
      </c>
      <c r="X60" s="10">
        <v>724.93962095695599</v>
      </c>
      <c r="Y60" s="26">
        <f>VLOOKUP(CurrentMtgRatesDataTable86[[#This Row],[asofdate]],AA:AB,2,0)</f>
        <v>0.32191401029786698</v>
      </c>
      <c r="AA60" s="7" t="s">
        <v>89</v>
      </c>
      <c r="AB60" s="10">
        <v>0.32191401029786698</v>
      </c>
      <c r="AE60" s="7" t="s">
        <v>125</v>
      </c>
      <c r="AF60" s="10">
        <v>1.1582100830378301E-2</v>
      </c>
      <c r="AG60" s="10" t="str">
        <f>YEAR(CurrentMtgRatesDataTable89[[#This Row],[asofdate]])&amp;"-"&amp;MONTH(CurrentMtgRatesDataTable89[[#This Row],[asofdate]])</f>
        <v>2010-12</v>
      </c>
      <c r="AH60" s="6">
        <f>((CurrentMtgRatesDataTable89[[#This Row],[SeriesNumValue]]-$D$1)/$D$1+1)*100</f>
        <v>77.214005535855335</v>
      </c>
      <c r="AI60" s="6">
        <f>CurrentMtgRatesDataTable89[[#This Row],[Index]]-AH61</f>
        <v>-0.38854778496133235</v>
      </c>
      <c r="AJ60" s="6">
        <f>VLOOKUP(CurrentMtgRatesDataTable89[[#This Row],[asofdate]],G:H,2,0)</f>
        <v>77.836804343145602</v>
      </c>
      <c r="AK60" s="6">
        <f>VLOOKUP(CurrentMtgRatesDataTable89[[#This Row],[asofdate]],K:L,2,0)</f>
        <v>0.110069099887995</v>
      </c>
      <c r="AL60" s="6">
        <f>VLOOKUP(CurrentMtgRatesDataTable89[[#This Row],[asofdate]],O:P,2,0)</f>
        <v>33.558006758585599</v>
      </c>
      <c r="AM60" s="6">
        <f>VLOOKUP(CurrentMtgRatesDataTable89[[#This Row],[asofdate]],S:T,2,0)</f>
        <v>0.27855563370943898</v>
      </c>
      <c r="AN60" s="6">
        <f>VLOOKUP(CurrentMtgRatesDataTable89[[#This Row],[asofdate]],W:X,2,0)</f>
        <v>762.66625999200903</v>
      </c>
      <c r="AO60" s="6">
        <f>VLOOKUP(CurrentMtgRatesDataTable89[[#This Row],[asofdate]],AA:AB,2,0)</f>
        <v>7.6528950060665193E-2</v>
      </c>
    </row>
    <row r="61" spans="1:41" s="6" customFormat="1" ht="12.75">
      <c r="A61" s="7" t="s">
        <v>90</v>
      </c>
      <c r="B61" s="10">
        <v>2.6224449281782702E-2</v>
      </c>
      <c r="C61" s="10" t="str">
        <f>YEAR(CurrentMtgRatesDataTable8[[#This Row],[asofdate]])&amp;"-"&amp;MONTH(CurrentMtgRatesDataTable8[[#This Row],[asofdate]])</f>
        <v>2008-1</v>
      </c>
      <c r="D61" s="6">
        <f>((CurrentMtgRatesDataTable8[[#This Row],[SeriesNumValue]]-$D$1)/$D$1+1)*100</f>
        <v>174.82966187855135</v>
      </c>
      <c r="G61" s="7" t="s">
        <v>90</v>
      </c>
      <c r="H61" s="10">
        <v>83.855010424455898</v>
      </c>
      <c r="I61" s="26">
        <f>VLOOKUP(CurrentMtgRatesDataTable82[[#This Row],[asofdate]],K:L,2,0)</f>
        <v>0.38124492460114701</v>
      </c>
      <c r="K61" s="7" t="s">
        <v>90</v>
      </c>
      <c r="L61" s="29">
        <v>0.38124492460114701</v>
      </c>
      <c r="O61" s="7" t="s">
        <v>90</v>
      </c>
      <c r="P61" s="10">
        <v>39.489843297243901</v>
      </c>
      <c r="Q61" s="29">
        <f>VLOOKUP(CurrentMtgRatesDataTable84[[#This Row],[asofdate]],S:T,2,0)</f>
        <v>0.32345590393991103</v>
      </c>
      <c r="S61" s="7" t="s">
        <v>90</v>
      </c>
      <c r="T61" s="10">
        <v>0.32345590393991103</v>
      </c>
      <c r="W61" s="7" t="s">
        <v>90</v>
      </c>
      <c r="X61" s="10">
        <v>725.61492638754305</v>
      </c>
      <c r="Y61" s="26">
        <f>VLOOKUP(CurrentMtgRatesDataTable86[[#This Row],[asofdate]],AA:AB,2,0)</f>
        <v>0.31873013143375201</v>
      </c>
      <c r="AA61" s="7" t="s">
        <v>90</v>
      </c>
      <c r="AB61" s="10">
        <v>0.31873013143375201</v>
      </c>
      <c r="AE61" s="7" t="s">
        <v>124</v>
      </c>
      <c r="AF61" s="10">
        <v>1.1640382998122501E-2</v>
      </c>
      <c r="AG61" s="10" t="str">
        <f>YEAR(CurrentMtgRatesDataTable89[[#This Row],[asofdate]])&amp;"-"&amp;MONTH(CurrentMtgRatesDataTable89[[#This Row],[asofdate]])</f>
        <v>2010-11</v>
      </c>
      <c r="AH61" s="6">
        <f>((CurrentMtgRatesDataTable89[[#This Row],[SeriesNumValue]]-$D$1)/$D$1+1)*100</f>
        <v>77.602553320816668</v>
      </c>
      <c r="AI61" s="6">
        <f>CurrentMtgRatesDataTable89[[#This Row],[Index]]-AH62</f>
        <v>-0.37716371463334042</v>
      </c>
      <c r="AJ61" s="6">
        <f>VLOOKUP(CurrentMtgRatesDataTable89[[#This Row],[asofdate]],G:H,2,0)</f>
        <v>77.504038849736304</v>
      </c>
      <c r="AK61" s="6">
        <f>VLOOKUP(CurrentMtgRatesDataTable89[[#This Row],[asofdate]],K:L,2,0)</f>
        <v>0.109452054433236</v>
      </c>
      <c r="AL61" s="6">
        <f>VLOOKUP(CurrentMtgRatesDataTable89[[#This Row],[asofdate]],O:P,2,0)</f>
        <v>33.445452945927599</v>
      </c>
      <c r="AM61" s="6">
        <f>VLOOKUP(CurrentMtgRatesDataTable89[[#This Row],[asofdate]],S:T,2,0)</f>
        <v>0.27125876006071098</v>
      </c>
      <c r="AN61" s="6">
        <f>VLOOKUP(CurrentMtgRatesDataTable89[[#This Row],[asofdate]],W:X,2,0)</f>
        <v>762.33703010731597</v>
      </c>
      <c r="AO61" s="6">
        <f>VLOOKUP(CurrentMtgRatesDataTable89[[#This Row],[asofdate]],AA:AB,2,0)</f>
        <v>7.9203464124255996E-2</v>
      </c>
    </row>
    <row r="62" spans="1:41" s="6" customFormat="1" ht="12.75">
      <c r="A62" s="7" t="s">
        <v>91</v>
      </c>
      <c r="B62" s="10">
        <v>2.6001369258052399E-2</v>
      </c>
      <c r="C62" s="10" t="str">
        <f>YEAR(CurrentMtgRatesDataTable8[[#This Row],[asofdate]])&amp;"-"&amp;MONTH(CurrentMtgRatesDataTable8[[#This Row],[asofdate]])</f>
        <v>2008-2</v>
      </c>
      <c r="D62" s="6">
        <f>((CurrentMtgRatesDataTable8[[#This Row],[SeriesNumValue]]-$D$1)/$D$1+1)*100</f>
        <v>173.34246172034932</v>
      </c>
      <c r="G62" s="7" t="s">
        <v>91</v>
      </c>
      <c r="H62" s="10">
        <v>83.407523352475593</v>
      </c>
      <c r="I62" s="26">
        <f>VLOOKUP(CurrentMtgRatesDataTable82[[#This Row],[asofdate]],K:L,2,0)</f>
        <v>0.36096554720004298</v>
      </c>
      <c r="K62" s="7" t="s">
        <v>91</v>
      </c>
      <c r="L62" s="29">
        <v>0.36096554720004298</v>
      </c>
      <c r="O62" s="7" t="s">
        <v>91</v>
      </c>
      <c r="P62" s="10">
        <v>39.092016446336103</v>
      </c>
      <c r="Q62" s="29">
        <f>VLOOKUP(CurrentMtgRatesDataTable84[[#This Row],[asofdate]],S:T,2,0)</f>
        <v>0.32064750057136798</v>
      </c>
      <c r="S62" s="7" t="s">
        <v>91</v>
      </c>
      <c r="T62" s="10">
        <v>0.32064750057136798</v>
      </c>
      <c r="W62" s="7" t="s">
        <v>91</v>
      </c>
      <c r="X62" s="10">
        <v>728.34084731165694</v>
      </c>
      <c r="Y62" s="26">
        <f>VLOOKUP(CurrentMtgRatesDataTable86[[#This Row],[asofdate]],AA:AB,2,0)</f>
        <v>0.29981088723409199</v>
      </c>
      <c r="AA62" s="7" t="s">
        <v>91</v>
      </c>
      <c r="AB62" s="10">
        <v>0.29981088723409199</v>
      </c>
      <c r="AE62" s="7" t="s">
        <v>123</v>
      </c>
      <c r="AF62" s="10">
        <v>1.1696957555317499E-2</v>
      </c>
      <c r="AG62" s="10" t="str">
        <f>YEAR(CurrentMtgRatesDataTable89[[#This Row],[asofdate]])&amp;"-"&amp;MONTH(CurrentMtgRatesDataTable89[[#This Row],[asofdate]])</f>
        <v>2010-10</v>
      </c>
      <c r="AH62" s="6">
        <f>((CurrentMtgRatesDataTable89[[#This Row],[SeriesNumValue]]-$D$1)/$D$1+1)*100</f>
        <v>77.979717035450008</v>
      </c>
      <c r="AI62" s="6">
        <f>CurrentMtgRatesDataTable89[[#This Row],[Index]]-AH63</f>
        <v>-1.8987030176279944</v>
      </c>
      <c r="AJ62" s="6">
        <f>VLOOKUP(CurrentMtgRatesDataTable89[[#This Row],[asofdate]],G:H,2,0)</f>
        <v>77.151526909201294</v>
      </c>
      <c r="AK62" s="6">
        <f>VLOOKUP(CurrentMtgRatesDataTable89[[#This Row],[asofdate]],K:L,2,0)</f>
        <v>0.103362864069172</v>
      </c>
      <c r="AL62" s="6">
        <f>VLOOKUP(CurrentMtgRatesDataTable89[[#This Row],[asofdate]],O:P,2,0)</f>
        <v>33.5549430237973</v>
      </c>
      <c r="AM62" s="6">
        <f>VLOOKUP(CurrentMtgRatesDataTable89[[#This Row],[asofdate]],S:T,2,0)</f>
        <v>0.27453440249608202</v>
      </c>
      <c r="AN62" s="6">
        <f>VLOOKUP(CurrentMtgRatesDataTable89[[#This Row],[asofdate]],W:X,2,0)</f>
        <v>762.22096712183304</v>
      </c>
      <c r="AO62" s="6">
        <f>VLOOKUP(CurrentMtgRatesDataTable89[[#This Row],[asofdate]],AA:AB,2,0)</f>
        <v>8.2031114923412599E-2</v>
      </c>
    </row>
    <row r="63" spans="1:41" s="6" customFormat="1" ht="12.75">
      <c r="A63" s="7" t="s">
        <v>92</v>
      </c>
      <c r="B63" s="10">
        <v>2.30995938317353E-2</v>
      </c>
      <c r="C63" s="10" t="str">
        <f>YEAR(CurrentMtgRatesDataTable8[[#This Row],[asofdate]])&amp;"-"&amp;MONTH(CurrentMtgRatesDataTable8[[#This Row],[asofdate]])</f>
        <v>2008-3</v>
      </c>
      <c r="D63" s="6">
        <f>((CurrentMtgRatesDataTable8[[#This Row],[SeriesNumValue]]-$D$1)/$D$1+1)*100</f>
        <v>153.99729221156866</v>
      </c>
      <c r="G63" s="7" t="s">
        <v>92</v>
      </c>
      <c r="H63" s="10">
        <v>82.917978306429703</v>
      </c>
      <c r="I63" s="26">
        <f>VLOOKUP(CurrentMtgRatesDataTable82[[#This Row],[asofdate]],K:L,2,0)</f>
        <v>0.34182677466995598</v>
      </c>
      <c r="K63" s="7" t="s">
        <v>92</v>
      </c>
      <c r="L63" s="29">
        <v>0.34182677466995598</v>
      </c>
      <c r="O63" s="7" t="s">
        <v>92</v>
      </c>
      <c r="P63" s="10">
        <v>39.249087722264797</v>
      </c>
      <c r="Q63" s="29">
        <f>VLOOKUP(CurrentMtgRatesDataTable84[[#This Row],[asofdate]],S:T,2,0)</f>
        <v>0.31717378018460402</v>
      </c>
      <c r="S63" s="7" t="s">
        <v>92</v>
      </c>
      <c r="T63" s="10">
        <v>0.31717378018460402</v>
      </c>
      <c r="W63" s="7" t="s">
        <v>92</v>
      </c>
      <c r="X63" s="10">
        <v>730.48483560039494</v>
      </c>
      <c r="Y63" s="26">
        <f>VLOOKUP(CurrentMtgRatesDataTable86[[#This Row],[asofdate]],AA:AB,2,0)</f>
        <v>0.280579895669821</v>
      </c>
      <c r="AA63" s="7" t="s">
        <v>92</v>
      </c>
      <c r="AB63" s="10">
        <v>0.280579895669821</v>
      </c>
      <c r="AE63" s="7" t="s">
        <v>122</v>
      </c>
      <c r="AF63" s="10">
        <v>1.19817630079617E-2</v>
      </c>
      <c r="AG63" s="10" t="str">
        <f>YEAR(CurrentMtgRatesDataTable89[[#This Row],[asofdate]])&amp;"-"&amp;MONTH(CurrentMtgRatesDataTable89[[#This Row],[asofdate]])</f>
        <v>2010-9</v>
      </c>
      <c r="AH63" s="6">
        <f>((CurrentMtgRatesDataTable89[[#This Row],[SeriesNumValue]]-$D$1)/$D$1+1)*100</f>
        <v>79.878420053078003</v>
      </c>
      <c r="AI63" s="6">
        <f>CurrentMtgRatesDataTable89[[#This Row],[Index]]-AH64</f>
        <v>-3.1022324569946562</v>
      </c>
      <c r="AJ63" s="6">
        <f>VLOOKUP(CurrentMtgRatesDataTable89[[#This Row],[asofdate]],G:H,2,0)</f>
        <v>76.947328417348899</v>
      </c>
      <c r="AK63" s="6">
        <f>VLOOKUP(CurrentMtgRatesDataTable89[[#This Row],[asofdate]],K:L,2,0)</f>
        <v>9.8316403570714805E-2</v>
      </c>
      <c r="AL63" s="6">
        <f>VLOOKUP(CurrentMtgRatesDataTable89[[#This Row],[asofdate]],O:P,2,0)</f>
        <v>33.847652638763698</v>
      </c>
      <c r="AM63" s="6">
        <f>VLOOKUP(CurrentMtgRatesDataTable89[[#This Row],[asofdate]],S:T,2,0)</f>
        <v>0.28514921794130899</v>
      </c>
      <c r="AN63" s="6">
        <f>VLOOKUP(CurrentMtgRatesDataTable89[[#This Row],[asofdate]],W:X,2,0)</f>
        <v>761.77637727655701</v>
      </c>
      <c r="AO63" s="6">
        <f>VLOOKUP(CurrentMtgRatesDataTable89[[#This Row],[asofdate]],AA:AB,2,0)</f>
        <v>8.3617280532806301E-2</v>
      </c>
    </row>
    <row r="64" spans="1:41" s="6" customFormat="1" ht="12.75">
      <c r="A64" s="7" t="s">
        <v>93</v>
      </c>
      <c r="B64" s="10">
        <v>1.9530240031292102E-2</v>
      </c>
      <c r="C64" s="10" t="str">
        <f>YEAR(CurrentMtgRatesDataTable8[[#This Row],[asofdate]])&amp;"-"&amp;MONTH(CurrentMtgRatesDataTable8[[#This Row],[asofdate]])</f>
        <v>2008-4</v>
      </c>
      <c r="D64" s="6">
        <f>((CurrentMtgRatesDataTable8[[#This Row],[SeriesNumValue]]-$D$1)/$D$1+1)*100</f>
        <v>130.20160020861402</v>
      </c>
      <c r="G64" s="7" t="s">
        <v>93</v>
      </c>
      <c r="H64" s="10">
        <v>82.474909378130207</v>
      </c>
      <c r="I64" s="26">
        <f>VLOOKUP(CurrentMtgRatesDataTable82[[#This Row],[asofdate]],K:L,2,0)</f>
        <v>0.32032869665397601</v>
      </c>
      <c r="K64" s="7" t="s">
        <v>93</v>
      </c>
      <c r="L64" s="29">
        <v>0.32032869665397601</v>
      </c>
      <c r="O64" s="7" t="s">
        <v>93</v>
      </c>
      <c r="P64" s="10">
        <v>38.414329636092397</v>
      </c>
      <c r="Q64" s="29">
        <f>VLOOKUP(CurrentMtgRatesDataTable84[[#This Row],[asofdate]],S:T,2,0)</f>
        <v>0.300734170812334</v>
      </c>
      <c r="S64" s="7" t="s">
        <v>93</v>
      </c>
      <c r="T64" s="10">
        <v>0.300734170812334</v>
      </c>
      <c r="W64" s="7" t="s">
        <v>93</v>
      </c>
      <c r="X64" s="10">
        <v>734.110298704157</v>
      </c>
      <c r="Y64" s="26">
        <f>VLOOKUP(CurrentMtgRatesDataTable86[[#This Row],[asofdate]],AA:AB,2,0)</f>
        <v>0.25889667130801303</v>
      </c>
      <c r="AA64" s="7" t="s">
        <v>93</v>
      </c>
      <c r="AB64" s="10">
        <v>0.25889667130801303</v>
      </c>
      <c r="AE64" s="7" t="s">
        <v>121</v>
      </c>
      <c r="AF64" s="10">
        <v>1.2447097876510899E-2</v>
      </c>
      <c r="AG64" s="10" t="str">
        <f>YEAR(CurrentMtgRatesDataTable89[[#This Row],[asofdate]])&amp;"-"&amp;MONTH(CurrentMtgRatesDataTable89[[#This Row],[asofdate]])</f>
        <v>2010-8</v>
      </c>
      <c r="AH64" s="6">
        <f>((CurrentMtgRatesDataTable89[[#This Row],[SeriesNumValue]]-$D$1)/$D$1+1)*100</f>
        <v>82.980652510072659</v>
      </c>
      <c r="AI64" s="6">
        <f>CurrentMtgRatesDataTable89[[#This Row],[Index]]-AH65</f>
        <v>-0.35803871318734082</v>
      </c>
      <c r="AJ64" s="6">
        <f>VLOOKUP(CurrentMtgRatesDataTable89[[#This Row],[asofdate]],G:H,2,0)</f>
        <v>77.233235343375298</v>
      </c>
      <c r="AK64" s="6">
        <f>VLOOKUP(CurrentMtgRatesDataTable89[[#This Row],[asofdate]],K:L,2,0)</f>
        <v>0.10134986605641599</v>
      </c>
      <c r="AL64" s="6">
        <f>VLOOKUP(CurrentMtgRatesDataTable89[[#This Row],[asofdate]],O:P,2,0)</f>
        <v>34.011766218461197</v>
      </c>
      <c r="AM64" s="6">
        <f>VLOOKUP(CurrentMtgRatesDataTable89[[#This Row],[asofdate]],S:T,2,0)</f>
        <v>0.28355778919539698</v>
      </c>
      <c r="AN64" s="6">
        <f>VLOOKUP(CurrentMtgRatesDataTable89[[#This Row],[asofdate]],W:X,2,0)</f>
        <v>760.87938286905</v>
      </c>
      <c r="AO64" s="6">
        <f>VLOOKUP(CurrentMtgRatesDataTable89[[#This Row],[asofdate]],AA:AB,2,0)</f>
        <v>8.5429424015766503E-2</v>
      </c>
    </row>
    <row r="65" spans="1:41" s="6" customFormat="1" ht="12.75">
      <c r="A65" s="7" t="s">
        <v>94</v>
      </c>
      <c r="B65" s="10">
        <v>1.97249159652578E-2</v>
      </c>
      <c r="C65" s="10" t="str">
        <f>YEAR(CurrentMtgRatesDataTable8[[#This Row],[asofdate]])&amp;"-"&amp;MONTH(CurrentMtgRatesDataTable8[[#This Row],[asofdate]])</f>
        <v>2008-5</v>
      </c>
      <c r="D65" s="6">
        <f>((CurrentMtgRatesDataTable8[[#This Row],[SeriesNumValue]]-$D$1)/$D$1+1)*100</f>
        <v>131.49943976838534</v>
      </c>
      <c r="G65" s="7" t="s">
        <v>94</v>
      </c>
      <c r="H65" s="10">
        <v>81.659946968196707</v>
      </c>
      <c r="I65" s="26">
        <f>VLOOKUP(CurrentMtgRatesDataTable82[[#This Row],[asofdate]],K:L,2,0)</f>
        <v>0.287291706181595</v>
      </c>
      <c r="K65" s="7" t="s">
        <v>94</v>
      </c>
      <c r="L65" s="29">
        <v>0.287291706181595</v>
      </c>
      <c r="O65" s="7" t="s">
        <v>94</v>
      </c>
      <c r="P65" s="10">
        <v>38.763155801956799</v>
      </c>
      <c r="Q65" s="29">
        <f>VLOOKUP(CurrentMtgRatesDataTable84[[#This Row],[asofdate]],S:T,2,0)</f>
        <v>0.33210271281010001</v>
      </c>
      <c r="S65" s="7" t="s">
        <v>94</v>
      </c>
      <c r="T65" s="10">
        <v>0.33210271281010001</v>
      </c>
      <c r="W65" s="7" t="s">
        <v>94</v>
      </c>
      <c r="X65" s="10">
        <v>736.65104024275695</v>
      </c>
      <c r="Y65" s="26">
        <f>VLOOKUP(CurrentMtgRatesDataTable86[[#This Row],[asofdate]],AA:AB,2,0)</f>
        <v>0.24142889769505399</v>
      </c>
      <c r="AA65" s="7" t="s">
        <v>94</v>
      </c>
      <c r="AB65" s="10">
        <v>0.24142889769505399</v>
      </c>
      <c r="AE65" s="7" t="s">
        <v>120</v>
      </c>
      <c r="AF65" s="10">
        <v>1.2500803683488999E-2</v>
      </c>
      <c r="AG65" s="10" t="str">
        <f>YEAR(CurrentMtgRatesDataTable89[[#This Row],[asofdate]])&amp;"-"&amp;MONTH(CurrentMtgRatesDataTable89[[#This Row],[asofdate]])</f>
        <v>2010-7</v>
      </c>
      <c r="AH65" s="6">
        <f>((CurrentMtgRatesDataTable89[[#This Row],[SeriesNumValue]]-$D$1)/$D$1+1)*100</f>
        <v>83.33869122326</v>
      </c>
      <c r="AI65" s="6">
        <f>CurrentMtgRatesDataTable89[[#This Row],[Index]]-AH66</f>
        <v>7.4489522057166653</v>
      </c>
      <c r="AJ65" s="6">
        <f>VLOOKUP(CurrentMtgRatesDataTable89[[#This Row],[asofdate]],G:H,2,0)</f>
        <v>77.571100038590899</v>
      </c>
      <c r="AK65" s="6">
        <f>VLOOKUP(CurrentMtgRatesDataTable89[[#This Row],[asofdate]],K:L,2,0)</f>
        <v>9.7919000165780895E-2</v>
      </c>
      <c r="AL65" s="6">
        <f>VLOOKUP(CurrentMtgRatesDataTable89[[#This Row],[asofdate]],O:P,2,0)</f>
        <v>34.136052596437402</v>
      </c>
      <c r="AM65" s="6">
        <f>VLOOKUP(CurrentMtgRatesDataTable89[[#This Row],[asofdate]],S:T,2,0)</f>
        <v>0.28834659004754098</v>
      </c>
      <c r="AN65" s="6">
        <f>VLOOKUP(CurrentMtgRatesDataTable89[[#This Row],[asofdate]],W:X,2,0)</f>
        <v>761.23491599033696</v>
      </c>
      <c r="AO65" s="6">
        <f>VLOOKUP(CurrentMtgRatesDataTable89[[#This Row],[asofdate]],AA:AB,2,0)</f>
        <v>8.4136927172989803E-2</v>
      </c>
    </row>
    <row r="66" spans="1:41" s="6" customFormat="1" ht="12.75">
      <c r="A66" s="7" t="s">
        <v>95</v>
      </c>
      <c r="B66" s="10">
        <v>1.6110623672973001E-2</v>
      </c>
      <c r="C66" s="10" t="str">
        <f>YEAR(CurrentMtgRatesDataTable8[[#This Row],[asofdate]])&amp;"-"&amp;MONTH(CurrentMtgRatesDataTable8[[#This Row],[asofdate]])</f>
        <v>2008-6</v>
      </c>
      <c r="D66" s="6">
        <f>((CurrentMtgRatesDataTable8[[#This Row],[SeriesNumValue]]-$D$1)/$D$1+1)*100</f>
        <v>107.40415781982003</v>
      </c>
      <c r="G66" s="7" t="s">
        <v>95</v>
      </c>
      <c r="H66" s="10">
        <v>80.027867651152405</v>
      </c>
      <c r="I66" s="26">
        <f>VLOOKUP(CurrentMtgRatesDataTable82[[#This Row],[asofdate]],K:L,2,0)</f>
        <v>0.22889156479952499</v>
      </c>
      <c r="K66" s="7" t="s">
        <v>95</v>
      </c>
      <c r="L66" s="29">
        <v>0.22889156479952499</v>
      </c>
      <c r="O66" s="7" t="s">
        <v>95</v>
      </c>
      <c r="P66" s="10">
        <v>38.559555713699098</v>
      </c>
      <c r="Q66" s="29">
        <f>VLOOKUP(CurrentMtgRatesDataTable84[[#This Row],[asofdate]],S:T,2,0)</f>
        <v>0.31965036017869303</v>
      </c>
      <c r="S66" s="7" t="s">
        <v>95</v>
      </c>
      <c r="T66" s="10">
        <v>0.31965036017869303</v>
      </c>
      <c r="W66" s="7" t="s">
        <v>95</v>
      </c>
      <c r="X66" s="10">
        <v>742.222862301183</v>
      </c>
      <c r="Y66" s="26">
        <f>VLOOKUP(CurrentMtgRatesDataTable86[[#This Row],[asofdate]],AA:AB,2,0)</f>
        <v>0.20023623442105001</v>
      </c>
      <c r="AA66" s="7" t="s">
        <v>95</v>
      </c>
      <c r="AB66" s="10">
        <v>0.20023623442105001</v>
      </c>
      <c r="AE66" s="7" t="s">
        <v>119</v>
      </c>
      <c r="AF66" s="10">
        <v>1.13834608526315E-2</v>
      </c>
      <c r="AG66" s="10" t="str">
        <f>YEAR(CurrentMtgRatesDataTable89[[#This Row],[asofdate]])&amp;"-"&amp;MONTH(CurrentMtgRatesDataTable89[[#This Row],[asofdate]])</f>
        <v>2010-6</v>
      </c>
      <c r="AH66" s="6">
        <f>((CurrentMtgRatesDataTable89[[#This Row],[SeriesNumValue]]-$D$1)/$D$1+1)*100</f>
        <v>75.889739017543334</v>
      </c>
      <c r="AI66" s="6">
        <f>CurrentMtgRatesDataTable89[[#This Row],[Index]]-AH67</f>
        <v>2.5745659856226553</v>
      </c>
      <c r="AJ66" s="6">
        <f>VLOOKUP(CurrentMtgRatesDataTable89[[#This Row],[asofdate]],G:H,2,0)</f>
        <v>77.252614942686094</v>
      </c>
      <c r="AK66" s="6">
        <f>VLOOKUP(CurrentMtgRatesDataTable89[[#This Row],[asofdate]],K:L,2,0)</f>
        <v>9.1166284450128102E-2</v>
      </c>
      <c r="AL66" s="6">
        <f>VLOOKUP(CurrentMtgRatesDataTable89[[#This Row],[asofdate]],O:P,2,0)</f>
        <v>34.256883100797999</v>
      </c>
      <c r="AM66" s="6">
        <f>VLOOKUP(CurrentMtgRatesDataTable89[[#This Row],[asofdate]],S:T,2,0)</f>
        <v>0.29266486570866301</v>
      </c>
      <c r="AN66" s="6">
        <f>VLOOKUP(CurrentMtgRatesDataTable89[[#This Row],[asofdate]],W:X,2,0)</f>
        <v>760.51765866488995</v>
      </c>
      <c r="AO66" s="6">
        <f>VLOOKUP(CurrentMtgRatesDataTable89[[#This Row],[asofdate]],AA:AB,2,0)</f>
        <v>8.6052426459444206E-2</v>
      </c>
    </row>
    <row r="67" spans="1:41" s="6" customFormat="1" ht="12.75">
      <c r="A67" s="7" t="s">
        <v>96</v>
      </c>
      <c r="B67" s="10">
        <v>1.37880127783178E-2</v>
      </c>
      <c r="C67" s="10" t="str">
        <f>YEAR(CurrentMtgRatesDataTable8[[#This Row],[asofdate]])&amp;"-"&amp;MONTH(CurrentMtgRatesDataTable8[[#This Row],[asofdate]])</f>
        <v>2008-7</v>
      </c>
      <c r="D67" s="6">
        <f>((CurrentMtgRatesDataTable8[[#This Row],[SeriesNumValue]]-$D$1)/$D$1+1)*100</f>
        <v>91.920085188785336</v>
      </c>
      <c r="G67" s="7" t="s">
        <v>96</v>
      </c>
      <c r="H67" s="10">
        <v>79.237585093986993</v>
      </c>
      <c r="I67" s="26">
        <f>VLOOKUP(CurrentMtgRatesDataTable82[[#This Row],[asofdate]],K:L,2,0)</f>
        <v>0.20291547901804699</v>
      </c>
      <c r="K67" s="7" t="s">
        <v>96</v>
      </c>
      <c r="L67" s="29">
        <v>0.20291547901804699</v>
      </c>
      <c r="O67" s="7" t="s">
        <v>96</v>
      </c>
      <c r="P67" s="10">
        <v>38.341658225407897</v>
      </c>
      <c r="Q67" s="29">
        <f>VLOOKUP(CurrentMtgRatesDataTable84[[#This Row],[asofdate]],S:T,2,0)</f>
        <v>0.30721083895763202</v>
      </c>
      <c r="S67" s="7" t="s">
        <v>96</v>
      </c>
      <c r="T67" s="10">
        <v>0.30721083895763202</v>
      </c>
      <c r="W67" s="7" t="s">
        <v>96</v>
      </c>
      <c r="X67" s="10">
        <v>744.50208803818305</v>
      </c>
      <c r="Y67" s="26">
        <f>VLOOKUP(CurrentMtgRatesDataTable86[[#This Row],[asofdate]],AA:AB,2,0)</f>
        <v>0.183242130540575</v>
      </c>
      <c r="AA67" s="7" t="s">
        <v>96</v>
      </c>
      <c r="AB67" s="10">
        <v>0.183242130540575</v>
      </c>
      <c r="AE67" s="7" t="s">
        <v>118</v>
      </c>
      <c r="AF67" s="10">
        <v>1.09972759547881E-2</v>
      </c>
      <c r="AG67" s="10" t="str">
        <f>YEAR(CurrentMtgRatesDataTable89[[#This Row],[asofdate]])&amp;"-"&amp;MONTH(CurrentMtgRatesDataTable89[[#This Row],[asofdate]])</f>
        <v>2010-5</v>
      </c>
      <c r="AH67" s="6">
        <f>((CurrentMtgRatesDataTable89[[#This Row],[SeriesNumValue]]-$D$1)/$D$1+1)*100</f>
        <v>73.315173031920679</v>
      </c>
      <c r="AI67" s="6">
        <f>CurrentMtgRatesDataTable89[[#This Row],[Index]]-AH68</f>
        <v>-9.4307829786657749E-2</v>
      </c>
      <c r="AJ67" s="6">
        <f>VLOOKUP(CurrentMtgRatesDataTable89[[#This Row],[asofdate]],G:H,2,0)</f>
        <v>77.057767341070999</v>
      </c>
      <c r="AK67" s="6">
        <f>VLOOKUP(CurrentMtgRatesDataTable89[[#This Row],[asofdate]],K:L,2,0)</f>
        <v>8.3302521575952804E-2</v>
      </c>
      <c r="AL67" s="6">
        <f>VLOOKUP(CurrentMtgRatesDataTable89[[#This Row],[asofdate]],O:P,2,0)</f>
        <v>34.4440642092299</v>
      </c>
      <c r="AM67" s="6">
        <f>VLOOKUP(CurrentMtgRatesDataTable89[[#This Row],[asofdate]],S:T,2,0)</f>
        <v>0.29885314640147098</v>
      </c>
      <c r="AN67" s="6">
        <f>VLOOKUP(CurrentMtgRatesDataTable89[[#This Row],[asofdate]],W:X,2,0)</f>
        <v>759.579566617463</v>
      </c>
      <c r="AO67" s="6">
        <f>VLOOKUP(CurrentMtgRatesDataTable89[[#This Row],[asofdate]],AA:AB,2,0)</f>
        <v>8.5642704200612693E-2</v>
      </c>
    </row>
    <row r="68" spans="1:41" s="6" customFormat="1" ht="12.75">
      <c r="A68" s="7" t="s">
        <v>97</v>
      </c>
      <c r="B68" s="10">
        <v>1.33211437358192E-2</v>
      </c>
      <c r="C68" s="10" t="str">
        <f>YEAR(CurrentMtgRatesDataTable8[[#This Row],[asofdate]])&amp;"-"&amp;MONTH(CurrentMtgRatesDataTable8[[#This Row],[asofdate]])</f>
        <v>2008-8</v>
      </c>
      <c r="D68" s="6">
        <f>((CurrentMtgRatesDataTable8[[#This Row],[SeriesNumValue]]-$D$1)/$D$1+1)*100</f>
        <v>88.807624905461338</v>
      </c>
      <c r="G68" s="7" t="s">
        <v>97</v>
      </c>
      <c r="H68" s="10">
        <v>78.848097521187</v>
      </c>
      <c r="I68" s="26">
        <f>VLOOKUP(CurrentMtgRatesDataTable82[[#This Row],[asofdate]],K:L,2,0)</f>
        <v>0.19158124136652299</v>
      </c>
      <c r="K68" s="7" t="s">
        <v>97</v>
      </c>
      <c r="L68" s="29">
        <v>0.19158124136652299</v>
      </c>
      <c r="O68" s="7" t="s">
        <v>97</v>
      </c>
      <c r="P68" s="10">
        <v>37.999181742126503</v>
      </c>
      <c r="Q68" s="29">
        <f>VLOOKUP(CurrentMtgRatesDataTable84[[#This Row],[asofdate]],S:T,2,0)</f>
        <v>0.324853201159644</v>
      </c>
      <c r="S68" s="7" t="s">
        <v>97</v>
      </c>
      <c r="T68" s="10">
        <v>0.324853201159644</v>
      </c>
      <c r="W68" s="7" t="s">
        <v>97</v>
      </c>
      <c r="X68" s="10">
        <v>746.24339258136104</v>
      </c>
      <c r="Y68" s="26">
        <f>VLOOKUP(CurrentMtgRatesDataTable86[[#This Row],[asofdate]],AA:AB,2,0)</f>
        <v>0.17315160637188701</v>
      </c>
      <c r="AA68" s="7" t="s">
        <v>97</v>
      </c>
      <c r="AB68" s="10">
        <v>0.17315160637188701</v>
      </c>
      <c r="AE68" s="7" t="s">
        <v>117</v>
      </c>
      <c r="AF68" s="10">
        <v>1.10114221292561E-2</v>
      </c>
      <c r="AG68" s="10" t="str">
        <f>YEAR(CurrentMtgRatesDataTable89[[#This Row],[asofdate]])&amp;"-"&amp;MONTH(CurrentMtgRatesDataTable89[[#This Row],[asofdate]])</f>
        <v>2010-4</v>
      </c>
      <c r="AH68" s="6">
        <f>((CurrentMtgRatesDataTable89[[#This Row],[SeriesNumValue]]-$D$1)/$D$1+1)*100</f>
        <v>73.409480861707337</v>
      </c>
      <c r="AI68" s="6">
        <f>CurrentMtgRatesDataTable89[[#This Row],[Index]]-AH69</f>
        <v>2.0852306773260096</v>
      </c>
      <c r="AJ68" s="6">
        <f>VLOOKUP(CurrentMtgRatesDataTable89[[#This Row],[asofdate]],G:H,2,0)</f>
        <v>76.502585993042302</v>
      </c>
      <c r="AK68" s="6">
        <f>VLOOKUP(CurrentMtgRatesDataTable89[[#This Row],[asofdate]],K:L,2,0)</f>
        <v>7.1784475002186002E-2</v>
      </c>
      <c r="AL68" s="6">
        <f>VLOOKUP(CurrentMtgRatesDataTable89[[#This Row],[asofdate]],O:P,2,0)</f>
        <v>34.642619302927201</v>
      </c>
      <c r="AM68" s="6">
        <f>VLOOKUP(CurrentMtgRatesDataTable89[[#This Row],[asofdate]],S:T,2,0)</f>
        <v>0.308692322041347</v>
      </c>
      <c r="AN68" s="6">
        <f>VLOOKUP(CurrentMtgRatesDataTable89[[#This Row],[asofdate]],W:X,2,0)</f>
        <v>759.84269690104395</v>
      </c>
      <c r="AO68" s="6">
        <f>VLOOKUP(CurrentMtgRatesDataTable89[[#This Row],[asofdate]],AA:AB,2,0)</f>
        <v>8.7713830080208194E-2</v>
      </c>
    </row>
    <row r="69" spans="1:41" s="6" customFormat="1" ht="12.75">
      <c r="A69" s="7" t="s">
        <v>98</v>
      </c>
      <c r="B69" s="10">
        <v>1.33914715739996E-2</v>
      </c>
      <c r="C69" s="10" t="str">
        <f>YEAR(CurrentMtgRatesDataTable8[[#This Row],[asofdate]])&amp;"-"&amp;MONTH(CurrentMtgRatesDataTable8[[#This Row],[asofdate]])</f>
        <v>2008-9</v>
      </c>
      <c r="D69" s="6">
        <f>((CurrentMtgRatesDataTable8[[#This Row],[SeriesNumValue]]-$D$1)/$D$1+1)*100</f>
        <v>89.276477159997341</v>
      </c>
      <c r="G69" s="7" t="s">
        <v>98</v>
      </c>
      <c r="H69" s="10">
        <v>78.2639911263947</v>
      </c>
      <c r="I69" s="26">
        <f>VLOOKUP(CurrentMtgRatesDataTable82[[#This Row],[asofdate]],K:L,2,0)</f>
        <v>0.16617522330031601</v>
      </c>
      <c r="K69" s="7" t="s">
        <v>98</v>
      </c>
      <c r="L69" s="29">
        <v>0.16617522330031601</v>
      </c>
      <c r="O69" s="7" t="s">
        <v>98</v>
      </c>
      <c r="P69" s="10">
        <v>38.161391290982401</v>
      </c>
      <c r="Q69" s="29">
        <f>VLOOKUP(CurrentMtgRatesDataTable84[[#This Row],[asofdate]],S:T,2,0)</f>
        <v>0.34039413439216898</v>
      </c>
      <c r="S69" s="7" t="s">
        <v>98</v>
      </c>
      <c r="T69" s="10">
        <v>0.34039413439216898</v>
      </c>
      <c r="W69" s="7" t="s">
        <v>98</v>
      </c>
      <c r="X69" s="10">
        <v>747.62063220995401</v>
      </c>
      <c r="Y69" s="26">
        <f>VLOOKUP(CurrentMtgRatesDataTable86[[#This Row],[asofdate]],AA:AB,2,0)</f>
        <v>0.16640580356024401</v>
      </c>
      <c r="AA69" s="7" t="s">
        <v>98</v>
      </c>
      <c r="AB69" s="10">
        <v>0.16640580356024401</v>
      </c>
      <c r="AE69" s="7" t="s">
        <v>116</v>
      </c>
      <c r="AF69" s="10">
        <v>1.06986375276572E-2</v>
      </c>
      <c r="AG69" s="10" t="str">
        <f>YEAR(CurrentMtgRatesDataTable89[[#This Row],[asofdate]])&amp;"-"&amp;MONTH(CurrentMtgRatesDataTable89[[#This Row],[asofdate]])</f>
        <v>2010-3</v>
      </c>
      <c r="AH69" s="6">
        <f>((CurrentMtgRatesDataTable89[[#This Row],[SeriesNumValue]]-$D$1)/$D$1+1)*100</f>
        <v>71.324250184381327</v>
      </c>
      <c r="AI69" s="6">
        <f>CurrentMtgRatesDataTable89[[#This Row],[Index]]-AH70</f>
        <v>1.4605171767433376</v>
      </c>
      <c r="AJ69" s="6">
        <f>VLOOKUP(CurrentMtgRatesDataTable89[[#This Row],[asofdate]],G:H,2,0)</f>
        <v>76.134896970370804</v>
      </c>
      <c r="AK69" s="6">
        <f>VLOOKUP(CurrentMtgRatesDataTable89[[#This Row],[asofdate]],K:L,2,0)</f>
        <v>6.4960577538630798E-2</v>
      </c>
      <c r="AL69" s="6">
        <f>VLOOKUP(CurrentMtgRatesDataTable89[[#This Row],[asofdate]],O:P,2,0)</f>
        <v>35.1679187610561</v>
      </c>
      <c r="AM69" s="6">
        <f>VLOOKUP(CurrentMtgRatesDataTable89[[#This Row],[asofdate]],S:T,2,0)</f>
        <v>0.32345397389146002</v>
      </c>
      <c r="AN69" s="6">
        <f>VLOOKUP(CurrentMtgRatesDataTable89[[#This Row],[asofdate]],W:X,2,0)</f>
        <v>759.42833208172897</v>
      </c>
      <c r="AO69" s="6">
        <f>VLOOKUP(CurrentMtgRatesDataTable89[[#This Row],[asofdate]],AA:AB,2,0)</f>
        <v>8.6684210231504605E-2</v>
      </c>
    </row>
    <row r="70" spans="1:41" s="6" customFormat="1" ht="12.75">
      <c r="A70" s="7" t="s">
        <v>99</v>
      </c>
      <c r="B70" s="10">
        <v>1.61402658354628E-2</v>
      </c>
      <c r="C70" s="10" t="str">
        <f>YEAR(CurrentMtgRatesDataTable8[[#This Row],[asofdate]])&amp;"-"&amp;MONTH(CurrentMtgRatesDataTable8[[#This Row],[asofdate]])</f>
        <v>2008-10</v>
      </c>
      <c r="D70" s="6">
        <f>((CurrentMtgRatesDataTable8[[#This Row],[SeriesNumValue]]-$D$1)/$D$1+1)*100</f>
        <v>107.60177223641867</v>
      </c>
      <c r="G70" s="7" t="s">
        <v>99</v>
      </c>
      <c r="H70" s="10">
        <v>78.3124646156392</v>
      </c>
      <c r="I70" s="26">
        <f>VLOOKUP(CurrentMtgRatesDataTable82[[#This Row],[asofdate]],K:L,2,0)</f>
        <v>0.163296777165823</v>
      </c>
      <c r="K70" s="7" t="s">
        <v>99</v>
      </c>
      <c r="L70" s="29">
        <v>0.163296777165823</v>
      </c>
      <c r="O70" s="7" t="s">
        <v>99</v>
      </c>
      <c r="P70" s="10">
        <v>37.987846513899299</v>
      </c>
      <c r="Q70" s="29">
        <f>VLOOKUP(CurrentMtgRatesDataTable84[[#This Row],[asofdate]],S:T,2,0)</f>
        <v>0.32142274521264302</v>
      </c>
      <c r="S70" s="7" t="s">
        <v>99</v>
      </c>
      <c r="T70" s="10">
        <v>0.32142274521264302</v>
      </c>
      <c r="W70" s="7" t="s">
        <v>99</v>
      </c>
      <c r="X70" s="10">
        <v>746.04867552023995</v>
      </c>
      <c r="Y70" s="26">
        <f>VLOOKUP(CurrentMtgRatesDataTable86[[#This Row],[asofdate]],AA:AB,2,0)</f>
        <v>0.17744271331476499</v>
      </c>
      <c r="AA70" s="7" t="s">
        <v>99</v>
      </c>
      <c r="AB70" s="10">
        <v>0.17744271331476499</v>
      </c>
      <c r="AE70" s="7" t="s">
        <v>115</v>
      </c>
      <c r="AF70" s="10">
        <v>1.04795599511457E-2</v>
      </c>
      <c r="AG70" s="10" t="str">
        <f>YEAR(CurrentMtgRatesDataTable89[[#This Row],[asofdate]])&amp;"-"&amp;MONTH(CurrentMtgRatesDataTable89[[#This Row],[asofdate]])</f>
        <v>2010-2</v>
      </c>
      <c r="AH70" s="6">
        <f>((CurrentMtgRatesDataTable89[[#This Row],[SeriesNumValue]]-$D$1)/$D$1+1)*100</f>
        <v>69.86373300763799</v>
      </c>
      <c r="AI70" s="6">
        <f>CurrentMtgRatesDataTable89[[#This Row],[Index]]-AH71</f>
        <v>-6.9153381097853526</v>
      </c>
      <c r="AJ70" s="6">
        <f>VLOOKUP(CurrentMtgRatesDataTable89[[#This Row],[asofdate]],G:H,2,0)</f>
        <v>76.298282025895006</v>
      </c>
      <c r="AK70" s="6">
        <f>VLOOKUP(CurrentMtgRatesDataTable89[[#This Row],[asofdate]],K:L,2,0)</f>
        <v>6.7321302893014606E-2</v>
      </c>
      <c r="AL70" s="6">
        <f>VLOOKUP(CurrentMtgRatesDataTable89[[#This Row],[asofdate]],O:P,2,0)</f>
        <v>35.350936273908701</v>
      </c>
      <c r="AM70" s="6">
        <f>VLOOKUP(CurrentMtgRatesDataTable89[[#This Row],[asofdate]],S:T,2,0)</f>
        <v>0.32605724396212699</v>
      </c>
      <c r="AN70" s="6">
        <f>VLOOKUP(CurrentMtgRatesDataTable89[[#This Row],[asofdate]],W:X,2,0)</f>
        <v>759.55067968356195</v>
      </c>
      <c r="AO70" s="6">
        <f>VLOOKUP(CurrentMtgRatesDataTable89[[#This Row],[asofdate]],AA:AB,2,0)</f>
        <v>8.9067046927094204E-2</v>
      </c>
    </row>
    <row r="71" spans="1:41" s="6" customFormat="1" ht="12.75">
      <c r="A71" s="7" t="s">
        <v>100</v>
      </c>
      <c r="B71" s="10">
        <v>1.4069144322326799E-2</v>
      </c>
      <c r="C71" s="10" t="str">
        <f>YEAR(CurrentMtgRatesDataTable8[[#This Row],[asofdate]])&amp;"-"&amp;MONTH(CurrentMtgRatesDataTable8[[#This Row],[asofdate]])</f>
        <v>2008-11</v>
      </c>
      <c r="D71" s="6">
        <f>((CurrentMtgRatesDataTable8[[#This Row],[SeriesNumValue]]-$D$1)/$D$1+1)*100</f>
        <v>93.794295482178669</v>
      </c>
      <c r="G71" s="7" t="s">
        <v>100</v>
      </c>
      <c r="H71" s="10">
        <v>78.157742768007694</v>
      </c>
      <c r="I71" s="26">
        <f>VLOOKUP(CurrentMtgRatesDataTable82[[#This Row],[asofdate]],K:L,2,0)</f>
        <v>0.150953438870432</v>
      </c>
      <c r="K71" s="7" t="s">
        <v>100</v>
      </c>
      <c r="L71" s="29">
        <v>0.150953438870432</v>
      </c>
      <c r="O71" s="7" t="s">
        <v>100</v>
      </c>
      <c r="P71" s="10">
        <v>37.893642795120201</v>
      </c>
      <c r="Q71" s="29">
        <f>VLOOKUP(CurrentMtgRatesDataTable84[[#This Row],[asofdate]],S:T,2,0)</f>
        <v>0.32847350810014198</v>
      </c>
      <c r="S71" s="7" t="s">
        <v>100</v>
      </c>
      <c r="T71" s="10">
        <v>0.32847350810014198</v>
      </c>
      <c r="W71" s="7" t="s">
        <v>100</v>
      </c>
      <c r="X71" s="10">
        <v>748.10181343452996</v>
      </c>
      <c r="Y71" s="26">
        <f>VLOOKUP(CurrentMtgRatesDataTable86[[#This Row],[asofdate]],AA:AB,2,0)</f>
        <v>0.16267950338576401</v>
      </c>
      <c r="AA71" s="7" t="s">
        <v>100</v>
      </c>
      <c r="AB71" s="10">
        <v>0.16267950338576401</v>
      </c>
      <c r="AE71" s="7" t="s">
        <v>114</v>
      </c>
      <c r="AF71" s="10">
        <v>1.1516860667613499E-2</v>
      </c>
      <c r="AG71" s="10" t="str">
        <f>YEAR(CurrentMtgRatesDataTable89[[#This Row],[asofdate]])&amp;"-"&amp;MONTH(CurrentMtgRatesDataTable89[[#This Row],[asofdate]])</f>
        <v>2010-1</v>
      </c>
      <c r="AH71" s="6">
        <f>((CurrentMtgRatesDataTable89[[#This Row],[SeriesNumValue]]-$D$1)/$D$1+1)*100</f>
        <v>76.779071117423342</v>
      </c>
      <c r="AI71" s="6">
        <f>CurrentMtgRatesDataTable89[[#This Row],[Index]]-AH72</f>
        <v>-0.11923724619131804</v>
      </c>
      <c r="AJ71" s="6">
        <f>VLOOKUP(CurrentMtgRatesDataTable89[[#This Row],[asofdate]],G:H,2,0)</f>
        <v>77.043955927582999</v>
      </c>
      <c r="AK71" s="6">
        <f>VLOOKUP(CurrentMtgRatesDataTable89[[#This Row],[asofdate]],K:L,2,0)</f>
        <v>8.0692732250494503E-2</v>
      </c>
      <c r="AL71" s="6">
        <f>VLOOKUP(CurrentMtgRatesDataTable89[[#This Row],[asofdate]],O:P,2,0)</f>
        <v>35.096745322021697</v>
      </c>
      <c r="AM71" s="6">
        <f>VLOOKUP(CurrentMtgRatesDataTable89[[#This Row],[asofdate]],S:T,2,0)</f>
        <v>0.30946149081216401</v>
      </c>
      <c r="AN71" s="6">
        <f>VLOOKUP(CurrentMtgRatesDataTable89[[#This Row],[asofdate]],W:X,2,0)</f>
        <v>759.47430651200102</v>
      </c>
      <c r="AO71" s="6">
        <f>VLOOKUP(CurrentMtgRatesDataTable89[[#This Row],[asofdate]],AA:AB,2,0)</f>
        <v>8.6698257576226706E-2</v>
      </c>
    </row>
    <row r="72" spans="1:41" s="6" customFormat="1" ht="12.75">
      <c r="A72" s="7" t="s">
        <v>101</v>
      </c>
      <c r="B72" s="10">
        <v>1.3200948223923099E-2</v>
      </c>
      <c r="C72" s="10" t="str">
        <f>YEAR(CurrentMtgRatesDataTable8[[#This Row],[asofdate]])&amp;"-"&amp;MONTH(CurrentMtgRatesDataTable8[[#This Row],[asofdate]])</f>
        <v>2008-12</v>
      </c>
      <c r="D72" s="6">
        <f>((CurrentMtgRatesDataTable8[[#This Row],[SeriesNumValue]]-$D$1)/$D$1+1)*100</f>
        <v>88.006321492820661</v>
      </c>
      <c r="G72" s="7" t="s">
        <v>101</v>
      </c>
      <c r="H72" s="10">
        <v>78.085592748832795</v>
      </c>
      <c r="I72" s="26">
        <f>VLOOKUP(CurrentMtgRatesDataTable82[[#This Row],[asofdate]],K:L,2,0)</f>
        <v>0.14334661911517199</v>
      </c>
      <c r="K72" s="7" t="s">
        <v>101</v>
      </c>
      <c r="L72" s="29">
        <v>0.14334661911517199</v>
      </c>
      <c r="O72" s="7" t="s">
        <v>101</v>
      </c>
      <c r="P72" s="10">
        <v>37.863545215523096</v>
      </c>
      <c r="Q72" s="29">
        <f>VLOOKUP(CurrentMtgRatesDataTable84[[#This Row],[asofdate]],S:T,2,0)</f>
        <v>0.31869933102218601</v>
      </c>
      <c r="S72" s="7" t="s">
        <v>101</v>
      </c>
      <c r="T72" s="10">
        <v>0.31869933102218601</v>
      </c>
      <c r="W72" s="7" t="s">
        <v>101</v>
      </c>
      <c r="X72" s="10">
        <v>748.91395590109096</v>
      </c>
      <c r="Y72" s="26">
        <f>VLOOKUP(CurrentMtgRatesDataTable86[[#This Row],[asofdate]],AA:AB,2,0)</f>
        <v>0.15477413293758099</v>
      </c>
      <c r="AA72" s="7" t="s">
        <v>101</v>
      </c>
      <c r="AB72" s="10">
        <v>0.15477413293758099</v>
      </c>
      <c r="AE72" s="7" t="s">
        <v>113</v>
      </c>
      <c r="AF72" s="10">
        <v>1.15347462545422E-2</v>
      </c>
      <c r="AG72" s="10" t="str">
        <f>YEAR(CurrentMtgRatesDataTable89[[#This Row],[asofdate]])&amp;"-"&amp;MONTH(CurrentMtgRatesDataTable89[[#This Row],[asofdate]])</f>
        <v>2009-12</v>
      </c>
      <c r="AH72" s="6">
        <f>((CurrentMtgRatesDataTable89[[#This Row],[SeriesNumValue]]-$D$1)/$D$1+1)*100</f>
        <v>76.89830836361466</v>
      </c>
      <c r="AI72" s="6">
        <f>CurrentMtgRatesDataTable89[[#This Row],[Index]]-AH73</f>
        <v>-3.2726461467873378</v>
      </c>
      <c r="AJ72" s="6">
        <f>VLOOKUP(CurrentMtgRatesDataTable89[[#This Row],[asofdate]],G:H,2,0)</f>
        <v>76.821956068657499</v>
      </c>
      <c r="AK72" s="6">
        <f>VLOOKUP(CurrentMtgRatesDataTable89[[#This Row],[asofdate]],K:L,2,0)</f>
        <v>7.7684258479736798E-2</v>
      </c>
      <c r="AL72" s="6">
        <f>VLOOKUP(CurrentMtgRatesDataTable89[[#This Row],[asofdate]],O:P,2,0)</f>
        <v>35.1667301275982</v>
      </c>
      <c r="AM72" s="6">
        <f>VLOOKUP(CurrentMtgRatesDataTable89[[#This Row],[asofdate]],S:T,2,0)</f>
        <v>0.31475350404319502</v>
      </c>
      <c r="AN72" s="6">
        <f>VLOOKUP(CurrentMtgRatesDataTable89[[#This Row],[asofdate]],W:X,2,0)</f>
        <v>759.77811495225899</v>
      </c>
      <c r="AO72" s="6">
        <f>VLOOKUP(CurrentMtgRatesDataTable89[[#This Row],[asofdate]],AA:AB,2,0)</f>
        <v>8.4409413550102702E-2</v>
      </c>
    </row>
    <row r="73" spans="1:41" s="6" customFormat="1" ht="12.75">
      <c r="A73" s="7" t="s">
        <v>102</v>
      </c>
      <c r="B73" s="10">
        <v>1.74388248592952E-2</v>
      </c>
      <c r="C73" s="10" t="str">
        <f>YEAR(CurrentMtgRatesDataTable8[[#This Row],[asofdate]])&amp;"-"&amp;MONTH(CurrentMtgRatesDataTable8[[#This Row],[asofdate]])</f>
        <v>2009-1</v>
      </c>
      <c r="D73" s="6">
        <f>((CurrentMtgRatesDataTable8[[#This Row],[SeriesNumValue]]-$D$1)/$D$1+1)*100</f>
        <v>116.25883239530133</v>
      </c>
      <c r="G73" s="7" t="s">
        <v>102</v>
      </c>
      <c r="H73" s="10">
        <v>78.387697357956398</v>
      </c>
      <c r="I73" s="26">
        <f>VLOOKUP(CurrentMtgRatesDataTable82[[#This Row],[asofdate]],K:L,2,0)</f>
        <v>0.13509696863435</v>
      </c>
      <c r="K73" s="7" t="s">
        <v>102</v>
      </c>
      <c r="L73" s="29">
        <v>0.13509696863435</v>
      </c>
      <c r="O73" s="7" t="s">
        <v>102</v>
      </c>
      <c r="P73" s="10">
        <v>37.7564539019778</v>
      </c>
      <c r="Q73" s="29">
        <f>VLOOKUP(CurrentMtgRatesDataTable84[[#This Row],[asofdate]],S:T,2,0)</f>
        <v>0.33607801513818097</v>
      </c>
      <c r="S73" s="7" t="s">
        <v>102</v>
      </c>
      <c r="T73" s="10">
        <v>0.33607801513818097</v>
      </c>
      <c r="W73" s="7" t="s">
        <v>102</v>
      </c>
      <c r="X73" s="10">
        <v>747.67307981041199</v>
      </c>
      <c r="Y73" s="26">
        <f>VLOOKUP(CurrentMtgRatesDataTable86[[#This Row],[asofdate]],AA:AB,2,0)</f>
        <v>0.16220081425273</v>
      </c>
      <c r="AA73" s="7" t="s">
        <v>102</v>
      </c>
      <c r="AB73" s="10">
        <v>0.16220081425273</v>
      </c>
      <c r="AE73" s="7" t="s">
        <v>112</v>
      </c>
      <c r="AF73" s="10">
        <v>1.20256431765603E-2</v>
      </c>
      <c r="AG73" s="10" t="str">
        <f>YEAR(CurrentMtgRatesDataTable89[[#This Row],[asofdate]])&amp;"-"&amp;MONTH(CurrentMtgRatesDataTable89[[#This Row],[asofdate]])</f>
        <v>2009-11</v>
      </c>
      <c r="AH73" s="6">
        <f>((CurrentMtgRatesDataTable89[[#This Row],[SeriesNumValue]]-$D$1)/$D$1+1)*100</f>
        <v>80.170954510401998</v>
      </c>
      <c r="AI73" s="6">
        <f>CurrentMtgRatesDataTable89[[#This Row],[Index]]-AH74</f>
        <v>1.2282682165559891</v>
      </c>
      <c r="AJ73" s="6">
        <f>VLOOKUP(CurrentMtgRatesDataTable89[[#This Row],[asofdate]],G:H,2,0)</f>
        <v>76.953802685989899</v>
      </c>
      <c r="AK73" s="6">
        <f>VLOOKUP(CurrentMtgRatesDataTable89[[#This Row],[asofdate]],K:L,2,0)</f>
        <v>8.0716616689524998E-2</v>
      </c>
      <c r="AL73" s="6">
        <f>VLOOKUP(CurrentMtgRatesDataTable89[[#This Row],[asofdate]],O:P,2,0)</f>
        <v>35.3465901358419</v>
      </c>
      <c r="AM73" s="6">
        <f>VLOOKUP(CurrentMtgRatesDataTable89[[#This Row],[asofdate]],S:T,2,0)</f>
        <v>0.31708660379937997</v>
      </c>
      <c r="AN73" s="6">
        <f>VLOOKUP(CurrentMtgRatesDataTable89[[#This Row],[asofdate]],W:X,2,0)</f>
        <v>759.44591566559802</v>
      </c>
      <c r="AO73" s="6">
        <f>VLOOKUP(CurrentMtgRatesDataTable89[[#This Row],[asofdate]],AA:AB,2,0)</f>
        <v>8.7714189812880997E-2</v>
      </c>
    </row>
    <row r="74" spans="1:41" s="6" customFormat="1" ht="12.75">
      <c r="A74" s="7" t="s">
        <v>103</v>
      </c>
      <c r="B74" s="10">
        <v>1.50923931423892E-2</v>
      </c>
      <c r="C74" s="10" t="str">
        <f>YEAR(CurrentMtgRatesDataTable8[[#This Row],[asofdate]])&amp;"-"&amp;MONTH(CurrentMtgRatesDataTable8[[#This Row],[asofdate]])</f>
        <v>2009-2</v>
      </c>
      <c r="D74" s="6">
        <f>((CurrentMtgRatesDataTable8[[#This Row],[SeriesNumValue]]-$D$1)/$D$1+1)*100</f>
        <v>100.61595428259467</v>
      </c>
      <c r="G74" s="7" t="s">
        <v>103</v>
      </c>
      <c r="H74" s="10">
        <v>77.790956229913803</v>
      </c>
      <c r="I74" s="26">
        <f>VLOOKUP(CurrentMtgRatesDataTable82[[#This Row],[asofdate]],K:L,2,0)</f>
        <v>0.12680743640067399</v>
      </c>
      <c r="K74" s="7" t="s">
        <v>103</v>
      </c>
      <c r="L74" s="29">
        <v>0.12680743640067399</v>
      </c>
      <c r="O74" s="7" t="s">
        <v>103</v>
      </c>
      <c r="P74" s="10">
        <v>36.703804548987797</v>
      </c>
      <c r="Q74" s="29">
        <f>VLOOKUP(CurrentMtgRatesDataTable84[[#This Row],[asofdate]],S:T,2,0)</f>
        <v>0.37063372190416999</v>
      </c>
      <c r="S74" s="7" t="s">
        <v>103</v>
      </c>
      <c r="T74" s="10">
        <v>0.37063372190416999</v>
      </c>
      <c r="W74" s="7" t="s">
        <v>103</v>
      </c>
      <c r="X74" s="10">
        <v>751.15781540485602</v>
      </c>
      <c r="Y74" s="26">
        <f>VLOOKUP(CurrentMtgRatesDataTable86[[#This Row],[asofdate]],AA:AB,2,0)</f>
        <v>0.14020618311049801</v>
      </c>
      <c r="AA74" s="7" t="s">
        <v>103</v>
      </c>
      <c r="AB74" s="10">
        <v>0.14020618311049801</v>
      </c>
      <c r="AE74" s="7" t="s">
        <v>111</v>
      </c>
      <c r="AF74" s="10">
        <v>1.1841402944076901E-2</v>
      </c>
      <c r="AG74" s="10" t="str">
        <f>YEAR(CurrentMtgRatesDataTable89[[#This Row],[asofdate]])&amp;"-"&amp;MONTH(CurrentMtgRatesDataTable89[[#This Row],[asofdate]])</f>
        <v>2009-10</v>
      </c>
      <c r="AH74" s="6">
        <f>((CurrentMtgRatesDataTable89[[#This Row],[SeriesNumValue]]-$D$1)/$D$1+1)*100</f>
        <v>78.942686293846009</v>
      </c>
      <c r="AI74" s="6">
        <f>CurrentMtgRatesDataTable89[[#This Row],[Index]]-AH75</f>
        <v>5.211608034234672</v>
      </c>
      <c r="AJ74" s="6">
        <f>VLOOKUP(CurrentMtgRatesDataTable89[[#This Row],[asofdate]],G:H,2,0)</f>
        <v>77.093872022529993</v>
      </c>
      <c r="AK74" s="6">
        <f>VLOOKUP(CurrentMtgRatesDataTable89[[#This Row],[asofdate]],K:L,2,0)</f>
        <v>8.1590229627374694E-2</v>
      </c>
      <c r="AL74" s="6">
        <f>VLOOKUP(CurrentMtgRatesDataTable89[[#This Row],[asofdate]],O:P,2,0)</f>
        <v>35.285355439040003</v>
      </c>
      <c r="AM74" s="6">
        <f>VLOOKUP(CurrentMtgRatesDataTable89[[#This Row],[asofdate]],S:T,2,0)</f>
        <v>0.31818274376699701</v>
      </c>
      <c r="AN74" s="6">
        <f>VLOOKUP(CurrentMtgRatesDataTable89[[#This Row],[asofdate]],W:X,2,0)</f>
        <v>759.72561555373602</v>
      </c>
      <c r="AO74" s="6">
        <f>VLOOKUP(CurrentMtgRatesDataTable89[[#This Row],[asofdate]],AA:AB,2,0)</f>
        <v>8.2438455854949605E-2</v>
      </c>
    </row>
    <row r="75" spans="1:41" s="6" customFormat="1" ht="12.75">
      <c r="A75" s="7" t="s">
        <v>104</v>
      </c>
      <c r="B75" s="10">
        <v>1.19608237456295E-2</v>
      </c>
      <c r="C75" s="10" t="str">
        <f>YEAR(CurrentMtgRatesDataTable8[[#This Row],[asofdate]])&amp;"-"&amp;MONTH(CurrentMtgRatesDataTable8[[#This Row],[asofdate]])</f>
        <v>2009-3</v>
      </c>
      <c r="D75" s="6">
        <f>((CurrentMtgRatesDataTable8[[#This Row],[SeriesNumValue]]-$D$1)/$D$1+1)*100</f>
        <v>79.738824970863334</v>
      </c>
      <c r="G75" s="7" t="s">
        <v>104</v>
      </c>
      <c r="H75" s="10">
        <v>77.523640105523498</v>
      </c>
      <c r="I75" s="26">
        <f>VLOOKUP(CurrentMtgRatesDataTable82[[#This Row],[asofdate]],K:L,2,0)</f>
        <v>0.123219438030904</v>
      </c>
      <c r="K75" s="7" t="s">
        <v>104</v>
      </c>
      <c r="L75" s="29">
        <v>0.123219438030904</v>
      </c>
      <c r="O75" s="7" t="s">
        <v>104</v>
      </c>
      <c r="P75" s="10">
        <v>36.205626715771302</v>
      </c>
      <c r="Q75" s="29">
        <f>VLOOKUP(CurrentMtgRatesDataTable84[[#This Row],[asofdate]],S:T,2,0)</f>
        <v>0.36778743990558699</v>
      </c>
      <c r="S75" s="7" t="s">
        <v>104</v>
      </c>
      <c r="T75" s="10">
        <v>0.36778743990558699</v>
      </c>
      <c r="W75" s="7" t="s">
        <v>104</v>
      </c>
      <c r="X75" s="10">
        <v>753.83736768122901</v>
      </c>
      <c r="Y75" s="26">
        <f>VLOOKUP(CurrentMtgRatesDataTable86[[#This Row],[asofdate]],AA:AB,2,0)</f>
        <v>0.12367298279946699</v>
      </c>
      <c r="AA75" s="7" t="s">
        <v>104</v>
      </c>
      <c r="AB75" s="10">
        <v>0.12367298279946699</v>
      </c>
      <c r="AE75" s="7" t="s">
        <v>110</v>
      </c>
      <c r="AF75" s="10">
        <v>1.10596617389417E-2</v>
      </c>
      <c r="AG75" s="10" t="str">
        <f>YEAR(CurrentMtgRatesDataTable89[[#This Row],[asofdate]])&amp;"-"&amp;MONTH(CurrentMtgRatesDataTable89[[#This Row],[asofdate]])</f>
        <v>2009-9</v>
      </c>
      <c r="AH75" s="6">
        <f>((CurrentMtgRatesDataTable89[[#This Row],[SeriesNumValue]]-$D$1)/$D$1+1)*100</f>
        <v>73.731078259611337</v>
      </c>
      <c r="AI75" s="6">
        <f>CurrentMtgRatesDataTable89[[#This Row],[Index]]-AH76</f>
        <v>9.6538837069608689</v>
      </c>
      <c r="AJ75" s="6">
        <f>VLOOKUP(CurrentMtgRatesDataTable89[[#This Row],[asofdate]],G:H,2,0)</f>
        <v>76.886352068516302</v>
      </c>
      <c r="AK75" s="6">
        <f>VLOOKUP(CurrentMtgRatesDataTable89[[#This Row],[asofdate]],K:L,2,0)</f>
        <v>8.0808845487819705E-2</v>
      </c>
      <c r="AL75" s="6">
        <f>VLOOKUP(CurrentMtgRatesDataTable89[[#This Row],[asofdate]],O:P,2,0)</f>
        <v>35.062429359649101</v>
      </c>
      <c r="AM75" s="6">
        <f>VLOOKUP(CurrentMtgRatesDataTable89[[#This Row],[asofdate]],S:T,2,0)</f>
        <v>0.312424845490548</v>
      </c>
      <c r="AN75" s="6">
        <f>VLOOKUP(CurrentMtgRatesDataTable89[[#This Row],[asofdate]],W:X,2,0)</f>
        <v>760.53091745985296</v>
      </c>
      <c r="AO75" s="6">
        <f>VLOOKUP(CurrentMtgRatesDataTable89[[#This Row],[asofdate]],AA:AB,2,0)</f>
        <v>7.6840796476315407E-2</v>
      </c>
    </row>
    <row r="76" spans="1:41" s="6" customFormat="1" ht="12.75">
      <c r="A76" s="7" t="s">
        <v>105</v>
      </c>
      <c r="B76" s="10">
        <v>1.1500605941033E-2</v>
      </c>
      <c r="C76" s="10" t="str">
        <f>YEAR(CurrentMtgRatesDataTable8[[#This Row],[asofdate]])&amp;"-"&amp;MONTH(CurrentMtgRatesDataTable8[[#This Row],[asofdate]])</f>
        <v>2009-4</v>
      </c>
      <c r="D76" s="6">
        <f>((CurrentMtgRatesDataTable8[[#This Row],[SeriesNumValue]]-$D$1)/$D$1+1)*100</f>
        <v>76.670706273553336</v>
      </c>
      <c r="G76" s="7" t="s">
        <v>105</v>
      </c>
      <c r="H76" s="10">
        <v>77.7250496197925</v>
      </c>
      <c r="I76" s="26">
        <f>VLOOKUP(CurrentMtgRatesDataTable82[[#This Row],[asofdate]],K:L,2,0)</f>
        <v>0.119470963956919</v>
      </c>
      <c r="K76" s="7" t="s">
        <v>105</v>
      </c>
      <c r="L76" s="29">
        <v>0.119470963956919</v>
      </c>
      <c r="O76" s="7" t="s">
        <v>105</v>
      </c>
      <c r="P76" s="10">
        <v>35.799246123443801</v>
      </c>
      <c r="Q76" s="29">
        <f>VLOOKUP(CurrentMtgRatesDataTable84[[#This Row],[asofdate]],S:T,2,0)</f>
        <v>0.35728737603095201</v>
      </c>
      <c r="S76" s="7" t="s">
        <v>105</v>
      </c>
      <c r="T76" s="10">
        <v>0.35728737603095201</v>
      </c>
      <c r="W76" s="7" t="s">
        <v>105</v>
      </c>
      <c r="X76" s="10">
        <v>755.70927973049299</v>
      </c>
      <c r="Y76" s="26">
        <f>VLOOKUP(CurrentMtgRatesDataTable86[[#This Row],[asofdate]],AA:AB,2,0)</f>
        <v>0.108448775058114</v>
      </c>
      <c r="AA76" s="7" t="s">
        <v>105</v>
      </c>
      <c r="AB76" s="10">
        <v>0.108448775058114</v>
      </c>
      <c r="AE76" s="7" t="s">
        <v>109</v>
      </c>
      <c r="AF76" s="10">
        <v>9.6115791828975707E-3</v>
      </c>
      <c r="AG76" s="10" t="str">
        <f>YEAR(CurrentMtgRatesDataTable89[[#This Row],[asofdate]])&amp;"-"&amp;MONTH(CurrentMtgRatesDataTable89[[#This Row],[asofdate]])</f>
        <v>2009-8</v>
      </c>
      <c r="AH76" s="6">
        <f>((CurrentMtgRatesDataTable89[[#This Row],[SeriesNumValue]]-$D$1)/$D$1+1)*100</f>
        <v>64.077194552650468</v>
      </c>
      <c r="AI76" s="6">
        <f>CurrentMtgRatesDataTable89[[#This Row],[Index]]-AH77</f>
        <v>-0.5558075932003419</v>
      </c>
      <c r="AJ76" s="6">
        <f>VLOOKUP(CurrentMtgRatesDataTable89[[#This Row],[asofdate]],G:H,2,0)</f>
        <v>76.939091357976594</v>
      </c>
      <c r="AK76" s="6">
        <f>VLOOKUP(CurrentMtgRatesDataTable89[[#This Row],[asofdate]],K:L,2,0)</f>
        <v>8.7512741345424597E-2</v>
      </c>
      <c r="AL76" s="6">
        <f>VLOOKUP(CurrentMtgRatesDataTable89[[#This Row],[asofdate]],O:P,2,0)</f>
        <v>34.610842833678603</v>
      </c>
      <c r="AM76" s="6">
        <f>VLOOKUP(CurrentMtgRatesDataTable89[[#This Row],[asofdate]],S:T,2,0)</f>
        <v>0.301359603259164</v>
      </c>
      <c r="AN76" s="6">
        <f>VLOOKUP(CurrentMtgRatesDataTable89[[#This Row],[asofdate]],W:X,2,0)</f>
        <v>761.27311365542903</v>
      </c>
      <c r="AO76" s="6">
        <f>VLOOKUP(CurrentMtgRatesDataTable89[[#This Row],[asofdate]],AA:AB,2,0)</f>
        <v>7.5174619563951994E-2</v>
      </c>
    </row>
    <row r="77" spans="1:41" s="6" customFormat="1" ht="12.75">
      <c r="A77" s="7" t="s">
        <v>106</v>
      </c>
      <c r="B77" s="10">
        <v>1.20494515545658E-2</v>
      </c>
      <c r="C77" s="10" t="str">
        <f>YEAR(CurrentMtgRatesDataTable8[[#This Row],[asofdate]])&amp;"-"&amp;MONTH(CurrentMtgRatesDataTable8[[#This Row],[asofdate]])</f>
        <v>2009-5</v>
      </c>
      <c r="D77" s="6">
        <f>((CurrentMtgRatesDataTable8[[#This Row],[SeriesNumValue]]-$D$1)/$D$1+1)*100</f>
        <v>80.329677030438674</v>
      </c>
      <c r="G77" s="7" t="s">
        <v>106</v>
      </c>
      <c r="H77" s="10">
        <v>77.621301810220103</v>
      </c>
      <c r="I77" s="26">
        <f>VLOOKUP(CurrentMtgRatesDataTable82[[#This Row],[asofdate]],K:L,2,0)</f>
        <v>0.109113667052566</v>
      </c>
      <c r="K77" s="7" t="s">
        <v>106</v>
      </c>
      <c r="L77" s="29">
        <v>0.109113667052566</v>
      </c>
      <c r="O77" s="7" t="s">
        <v>106</v>
      </c>
      <c r="P77" s="10">
        <v>35.443374053116202</v>
      </c>
      <c r="Q77" s="29">
        <f>VLOOKUP(CurrentMtgRatesDataTable84[[#This Row],[asofdate]],S:T,2,0)</f>
        <v>0.33881763844914597</v>
      </c>
      <c r="S77" s="7" t="s">
        <v>106</v>
      </c>
      <c r="T77" s="10">
        <v>0.33881763844914597</v>
      </c>
      <c r="W77" s="7" t="s">
        <v>106</v>
      </c>
      <c r="X77" s="10">
        <v>757.59605432672004</v>
      </c>
      <c r="Y77" s="26">
        <f>VLOOKUP(CurrentMtgRatesDataTable86[[#This Row],[asofdate]],AA:AB,2,0)</f>
        <v>9.2145907252402806E-2</v>
      </c>
      <c r="AA77" s="7" t="s">
        <v>106</v>
      </c>
      <c r="AB77" s="10">
        <v>9.2145907252402806E-2</v>
      </c>
      <c r="AE77" s="7" t="s">
        <v>108</v>
      </c>
      <c r="AF77" s="10">
        <v>9.6949503218776208E-3</v>
      </c>
      <c r="AG77" s="10" t="str">
        <f>YEAR(CurrentMtgRatesDataTable89[[#This Row],[asofdate]])&amp;"-"&amp;MONTH(CurrentMtgRatesDataTable89[[#This Row],[asofdate]])</f>
        <v>2009-7</v>
      </c>
      <c r="AH77" s="6">
        <f>((CurrentMtgRatesDataTable89[[#This Row],[SeriesNumValue]]-$D$1)/$D$1+1)*100</f>
        <v>64.63300214585081</v>
      </c>
      <c r="AI77" s="6">
        <f>CurrentMtgRatesDataTable89[[#This Row],[Index]]-AH78</f>
        <v>-11.33825130524184</v>
      </c>
      <c r="AJ77" s="6">
        <f>VLOOKUP(CurrentMtgRatesDataTable89[[#This Row],[asofdate]],G:H,2,0)</f>
        <v>77.2305024936758</v>
      </c>
      <c r="AK77" s="6">
        <f>VLOOKUP(CurrentMtgRatesDataTable89[[#This Row],[asofdate]],K:L,2,0)</f>
        <v>9.3108291880015001E-2</v>
      </c>
      <c r="AL77" s="6">
        <f>VLOOKUP(CurrentMtgRatesDataTable89[[#This Row],[asofdate]],O:P,2,0)</f>
        <v>34.3486666650331</v>
      </c>
      <c r="AM77" s="6">
        <f>VLOOKUP(CurrentMtgRatesDataTable89[[#This Row],[asofdate]],S:T,2,0)</f>
        <v>0.295070326807992</v>
      </c>
      <c r="AN77" s="6">
        <f>VLOOKUP(CurrentMtgRatesDataTable89[[#This Row],[asofdate]],W:X,2,0)</f>
        <v>760.65613459844997</v>
      </c>
      <c r="AO77" s="6">
        <f>VLOOKUP(CurrentMtgRatesDataTable89[[#This Row],[asofdate]],AA:AB,2,0)</f>
        <v>7.8300566764158197E-2</v>
      </c>
    </row>
    <row r="78" spans="1:41" s="6" customFormat="1" ht="12.75">
      <c r="A78" s="7" t="s">
        <v>107</v>
      </c>
      <c r="B78" s="10">
        <v>1.1395688017663899E-2</v>
      </c>
      <c r="C78" s="10" t="str">
        <f>YEAR(CurrentMtgRatesDataTable8[[#This Row],[asofdate]])&amp;"-"&amp;MONTH(CurrentMtgRatesDataTable8[[#This Row],[asofdate]])</f>
        <v>2009-6</v>
      </c>
      <c r="D78" s="6">
        <f>((CurrentMtgRatesDataTable8[[#This Row],[SeriesNumValue]]-$D$1)/$D$1+1)*100</f>
        <v>75.97125345109265</v>
      </c>
      <c r="G78" s="7" t="s">
        <v>107</v>
      </c>
      <c r="H78" s="10">
        <v>77.489860981609993</v>
      </c>
      <c r="I78" s="26">
        <f>VLOOKUP(CurrentMtgRatesDataTable82[[#This Row],[asofdate]],K:L,2,0)</f>
        <v>9.8068528914975306E-2</v>
      </c>
      <c r="K78" s="7" t="s">
        <v>107</v>
      </c>
      <c r="L78" s="29">
        <v>9.8068528914975306E-2</v>
      </c>
      <c r="O78" s="7" t="s">
        <v>107</v>
      </c>
      <c r="P78" s="10">
        <v>34.719620848565299</v>
      </c>
      <c r="Q78" s="29">
        <f>VLOOKUP(CurrentMtgRatesDataTable84[[#This Row],[asofdate]],S:T,2,0)</f>
        <v>0.30665074176726298</v>
      </c>
      <c r="S78" s="7" t="s">
        <v>107</v>
      </c>
      <c r="T78" s="10">
        <v>0.30665074176726298</v>
      </c>
      <c r="W78" s="7" t="s">
        <v>107</v>
      </c>
      <c r="X78" s="10">
        <v>759.07345235752996</v>
      </c>
      <c r="Y78" s="26">
        <f>VLOOKUP(CurrentMtgRatesDataTable86[[#This Row],[asofdate]],AA:AB,2,0)</f>
        <v>8.7513345835249307E-2</v>
      </c>
      <c r="AA78" s="7" t="s">
        <v>107</v>
      </c>
      <c r="AB78" s="10">
        <v>8.7513345835249307E-2</v>
      </c>
      <c r="AE78" s="7" t="s">
        <v>107</v>
      </c>
      <c r="AF78" s="10">
        <v>1.1395688017663899E-2</v>
      </c>
      <c r="AG78" s="10" t="str">
        <f>YEAR(CurrentMtgRatesDataTable89[[#This Row],[asofdate]])&amp;"-"&amp;MONTH(CurrentMtgRatesDataTable89[[#This Row],[asofdate]])</f>
        <v>2009-6</v>
      </c>
      <c r="AH78" s="6">
        <f>((CurrentMtgRatesDataTable89[[#This Row],[SeriesNumValue]]-$D$1)/$D$1+1)*100</f>
        <v>75.97125345109265</v>
      </c>
      <c r="AI78" s="6">
        <f>CurrentMtgRatesDataTable89[[#This Row],[Index]]-AH79</f>
        <v>-4.3584235793460238</v>
      </c>
      <c r="AJ78" s="6">
        <f>VLOOKUP(CurrentMtgRatesDataTable89[[#This Row],[asofdate]],G:H,2,0)</f>
        <v>77.489860981609993</v>
      </c>
      <c r="AK78" s="6">
        <f>VLOOKUP(CurrentMtgRatesDataTable89[[#This Row],[asofdate]],K:L,2,0)</f>
        <v>9.8068528914975306E-2</v>
      </c>
      <c r="AL78" s="6">
        <f>VLOOKUP(CurrentMtgRatesDataTable89[[#This Row],[asofdate]],O:P,2,0)</f>
        <v>34.719620848565299</v>
      </c>
      <c r="AM78" s="6">
        <f>VLOOKUP(CurrentMtgRatesDataTable89[[#This Row],[asofdate]],S:T,2,0)</f>
        <v>0.30665074176726298</v>
      </c>
      <c r="AN78" s="6">
        <f>VLOOKUP(CurrentMtgRatesDataTable89[[#This Row],[asofdate]],W:X,2,0)</f>
        <v>759.07345235752996</v>
      </c>
      <c r="AO78" s="6">
        <f>VLOOKUP(CurrentMtgRatesDataTable89[[#This Row],[asofdate]],AA:AB,2,0)</f>
        <v>8.7513345835249307E-2</v>
      </c>
    </row>
    <row r="79" spans="1:41" s="8" customFormat="1" ht="12.75">
      <c r="A79" s="7" t="s">
        <v>108</v>
      </c>
      <c r="B79" s="10">
        <v>9.6949503218776208E-3</v>
      </c>
      <c r="C79" s="10" t="str">
        <f>YEAR(CurrentMtgRatesDataTable8[[#This Row],[asofdate]])&amp;"-"&amp;MONTH(CurrentMtgRatesDataTable8[[#This Row],[asofdate]])</f>
        <v>2009-7</v>
      </c>
      <c r="D79" s="6">
        <f>((CurrentMtgRatesDataTable8[[#This Row],[SeriesNumValue]]-$D$1)/$D$1+1)*100</f>
        <v>64.63300214585081</v>
      </c>
      <c r="E79" s="6"/>
      <c r="G79" s="7" t="s">
        <v>108</v>
      </c>
      <c r="H79" s="10">
        <v>77.2305024936758</v>
      </c>
      <c r="I79" s="26">
        <f>VLOOKUP(CurrentMtgRatesDataTable82[[#This Row],[asofdate]],K:L,2,0)</f>
        <v>9.3108291880015001E-2</v>
      </c>
      <c r="K79" s="7" t="s">
        <v>108</v>
      </c>
      <c r="L79" s="29">
        <v>9.3108291880015001E-2</v>
      </c>
      <c r="O79" s="7" t="s">
        <v>108</v>
      </c>
      <c r="P79" s="10">
        <v>34.3486666650331</v>
      </c>
      <c r="Q79" s="29">
        <f>VLOOKUP(CurrentMtgRatesDataTable84[[#This Row],[asofdate]],S:T,2,0)</f>
        <v>0.295070326807992</v>
      </c>
      <c r="S79" s="7" t="s">
        <v>108</v>
      </c>
      <c r="T79" s="10">
        <v>0.295070326807992</v>
      </c>
      <c r="W79" s="7" t="s">
        <v>108</v>
      </c>
      <c r="X79" s="10">
        <v>760.65613459844997</v>
      </c>
      <c r="Y79" s="26">
        <f>VLOOKUP(CurrentMtgRatesDataTable86[[#This Row],[asofdate]],AA:AB,2,0)</f>
        <v>7.8300566764158197E-2</v>
      </c>
      <c r="AA79" s="7" t="s">
        <v>108</v>
      </c>
      <c r="AB79" s="10">
        <v>7.8300566764158197E-2</v>
      </c>
      <c r="AE79" s="7" t="s">
        <v>106</v>
      </c>
      <c r="AF79" s="10">
        <v>1.20494515545658E-2</v>
      </c>
      <c r="AG79" s="10" t="str">
        <f>YEAR(CurrentMtgRatesDataTable89[[#This Row],[asofdate]])&amp;"-"&amp;MONTH(CurrentMtgRatesDataTable89[[#This Row],[asofdate]])</f>
        <v>2009-5</v>
      </c>
      <c r="AH79" s="6">
        <f>((CurrentMtgRatesDataTable89[[#This Row],[SeriesNumValue]]-$D$1)/$D$1+1)*100</f>
        <v>80.329677030438674</v>
      </c>
      <c r="AI79" s="6">
        <f>CurrentMtgRatesDataTable89[[#This Row],[Index]]-AH80</f>
        <v>3.6589707568853385</v>
      </c>
      <c r="AJ79" s="6">
        <f>VLOOKUP(CurrentMtgRatesDataTable89[[#This Row],[asofdate]],G:H,2,0)</f>
        <v>77.621301810220103</v>
      </c>
      <c r="AK79" s="6">
        <f>VLOOKUP(CurrentMtgRatesDataTable89[[#This Row],[asofdate]],K:L,2,0)</f>
        <v>0.109113667052566</v>
      </c>
      <c r="AL79" s="6">
        <f>VLOOKUP(CurrentMtgRatesDataTable89[[#This Row],[asofdate]],O:P,2,0)</f>
        <v>35.443374053116202</v>
      </c>
      <c r="AM79" s="6">
        <f>VLOOKUP(CurrentMtgRatesDataTable89[[#This Row],[asofdate]],S:T,2,0)</f>
        <v>0.33881763844914597</v>
      </c>
      <c r="AN79" s="6">
        <f>VLOOKUP(CurrentMtgRatesDataTable89[[#This Row],[asofdate]],W:X,2,0)</f>
        <v>757.59605432672004</v>
      </c>
      <c r="AO79" s="6">
        <f>VLOOKUP(CurrentMtgRatesDataTable89[[#This Row],[asofdate]],AA:AB,2,0)</f>
        <v>9.2145907252402806E-2</v>
      </c>
    </row>
    <row r="80" spans="1:41" s="8" customFormat="1" ht="12.75">
      <c r="A80" s="7" t="s">
        <v>109</v>
      </c>
      <c r="B80" s="10">
        <v>9.6115791828975707E-3</v>
      </c>
      <c r="C80" s="10" t="str">
        <f>YEAR(CurrentMtgRatesDataTable8[[#This Row],[asofdate]])&amp;"-"&amp;MONTH(CurrentMtgRatesDataTable8[[#This Row],[asofdate]])</f>
        <v>2009-8</v>
      </c>
      <c r="D80" s="6">
        <f>((CurrentMtgRatesDataTable8[[#This Row],[SeriesNumValue]]-$D$1)/$D$1+1)*100</f>
        <v>64.077194552650468</v>
      </c>
      <c r="E80" s="6"/>
      <c r="G80" s="7" t="s">
        <v>109</v>
      </c>
      <c r="H80" s="10">
        <v>76.939091357976594</v>
      </c>
      <c r="I80" s="26">
        <f>VLOOKUP(CurrentMtgRatesDataTable82[[#This Row],[asofdate]],K:L,2,0)</f>
        <v>8.7512741345424597E-2</v>
      </c>
      <c r="K80" s="7" t="s">
        <v>109</v>
      </c>
      <c r="L80" s="29">
        <v>8.7512741345424597E-2</v>
      </c>
      <c r="O80" s="7" t="s">
        <v>109</v>
      </c>
      <c r="P80" s="10">
        <v>34.610842833678603</v>
      </c>
      <c r="Q80" s="29">
        <f>VLOOKUP(CurrentMtgRatesDataTable84[[#This Row],[asofdate]],S:T,2,0)</f>
        <v>0.301359603259164</v>
      </c>
      <c r="S80" s="7" t="s">
        <v>109</v>
      </c>
      <c r="T80" s="10">
        <v>0.301359603259164</v>
      </c>
      <c r="W80" s="7" t="s">
        <v>109</v>
      </c>
      <c r="X80" s="10">
        <v>761.27311365542903</v>
      </c>
      <c r="Y80" s="26">
        <f>VLOOKUP(CurrentMtgRatesDataTable86[[#This Row],[asofdate]],AA:AB,2,0)</f>
        <v>7.5174619563951994E-2</v>
      </c>
      <c r="AA80" s="7" t="s">
        <v>109</v>
      </c>
      <c r="AB80" s="10">
        <v>7.5174619563951994E-2</v>
      </c>
      <c r="AE80" s="7" t="s">
        <v>105</v>
      </c>
      <c r="AF80" s="10">
        <v>1.1500605941033E-2</v>
      </c>
      <c r="AG80" s="10" t="str">
        <f>YEAR(CurrentMtgRatesDataTable89[[#This Row],[asofdate]])&amp;"-"&amp;MONTH(CurrentMtgRatesDataTable89[[#This Row],[asofdate]])</f>
        <v>2009-4</v>
      </c>
      <c r="AH80" s="6">
        <f>((CurrentMtgRatesDataTable89[[#This Row],[SeriesNumValue]]-$D$1)/$D$1+1)*100</f>
        <v>76.670706273553336</v>
      </c>
      <c r="AI80" s="6">
        <f>CurrentMtgRatesDataTable89[[#This Row],[Index]]-AH81</f>
        <v>-3.0681186973099983</v>
      </c>
      <c r="AJ80" s="6">
        <f>VLOOKUP(CurrentMtgRatesDataTable89[[#This Row],[asofdate]],G:H,2,0)</f>
        <v>77.7250496197925</v>
      </c>
      <c r="AK80" s="6">
        <f>VLOOKUP(CurrentMtgRatesDataTable89[[#This Row],[asofdate]],K:L,2,0)</f>
        <v>0.119470963956919</v>
      </c>
      <c r="AL80" s="6">
        <f>VLOOKUP(CurrentMtgRatesDataTable89[[#This Row],[asofdate]],O:P,2,0)</f>
        <v>35.799246123443801</v>
      </c>
      <c r="AM80" s="6">
        <f>VLOOKUP(CurrentMtgRatesDataTable89[[#This Row],[asofdate]],S:T,2,0)</f>
        <v>0.35728737603095201</v>
      </c>
      <c r="AN80" s="6">
        <f>VLOOKUP(CurrentMtgRatesDataTable89[[#This Row],[asofdate]],W:X,2,0)</f>
        <v>755.70927973049299</v>
      </c>
      <c r="AO80" s="6">
        <f>VLOOKUP(CurrentMtgRatesDataTable89[[#This Row],[asofdate]],AA:AB,2,0)</f>
        <v>0.108448775058114</v>
      </c>
    </row>
    <row r="81" spans="1:41" s="8" customFormat="1" ht="12.75">
      <c r="A81" s="7" t="s">
        <v>110</v>
      </c>
      <c r="B81" s="10">
        <v>1.10596617389417E-2</v>
      </c>
      <c r="C81" s="10" t="str">
        <f>YEAR(CurrentMtgRatesDataTable8[[#This Row],[asofdate]])&amp;"-"&amp;MONTH(CurrentMtgRatesDataTable8[[#This Row],[asofdate]])</f>
        <v>2009-9</v>
      </c>
      <c r="D81" s="6">
        <f>((CurrentMtgRatesDataTable8[[#This Row],[SeriesNumValue]]-$D$1)/$D$1+1)*100</f>
        <v>73.731078259611337</v>
      </c>
      <c r="E81" s="6"/>
      <c r="G81" s="7" t="s">
        <v>110</v>
      </c>
      <c r="H81" s="10">
        <v>76.886352068516302</v>
      </c>
      <c r="I81" s="26">
        <f>VLOOKUP(CurrentMtgRatesDataTable82[[#This Row],[asofdate]],K:L,2,0)</f>
        <v>8.0808845487819705E-2</v>
      </c>
      <c r="K81" s="7" t="s">
        <v>110</v>
      </c>
      <c r="L81" s="29">
        <v>8.0808845487819705E-2</v>
      </c>
      <c r="O81" s="7" t="s">
        <v>110</v>
      </c>
      <c r="P81" s="10">
        <v>35.062429359649101</v>
      </c>
      <c r="Q81" s="29">
        <f>VLOOKUP(CurrentMtgRatesDataTable84[[#This Row],[asofdate]],S:T,2,0)</f>
        <v>0.312424845490548</v>
      </c>
      <c r="S81" s="7" t="s">
        <v>110</v>
      </c>
      <c r="T81" s="10">
        <v>0.312424845490548</v>
      </c>
      <c r="W81" s="7" t="s">
        <v>110</v>
      </c>
      <c r="X81" s="10">
        <v>760.53091745985296</v>
      </c>
      <c r="Y81" s="26">
        <f>VLOOKUP(CurrentMtgRatesDataTable86[[#This Row],[asofdate]],AA:AB,2,0)</f>
        <v>7.6840796476315407E-2</v>
      </c>
      <c r="AA81" s="7" t="s">
        <v>110</v>
      </c>
      <c r="AB81" s="10">
        <v>7.6840796476315407E-2</v>
      </c>
      <c r="AE81" s="7" t="s">
        <v>104</v>
      </c>
      <c r="AF81" s="10">
        <v>1.19608237456295E-2</v>
      </c>
      <c r="AG81" s="10" t="str">
        <f>YEAR(CurrentMtgRatesDataTable89[[#This Row],[asofdate]])&amp;"-"&amp;MONTH(CurrentMtgRatesDataTable89[[#This Row],[asofdate]])</f>
        <v>2009-3</v>
      </c>
      <c r="AH81" s="6">
        <f>((CurrentMtgRatesDataTable89[[#This Row],[SeriesNumValue]]-$D$1)/$D$1+1)*100</f>
        <v>79.738824970863334</v>
      </c>
      <c r="AI81" s="6">
        <f>CurrentMtgRatesDataTable89[[#This Row],[Index]]-AH82</f>
        <v>-20.877129311731338</v>
      </c>
      <c r="AJ81" s="6">
        <f>VLOOKUP(CurrentMtgRatesDataTable89[[#This Row],[asofdate]],G:H,2,0)</f>
        <v>77.523640105523498</v>
      </c>
      <c r="AK81" s="6">
        <f>VLOOKUP(CurrentMtgRatesDataTable89[[#This Row],[asofdate]],K:L,2,0)</f>
        <v>0.123219438030904</v>
      </c>
      <c r="AL81" s="6">
        <f>VLOOKUP(CurrentMtgRatesDataTable89[[#This Row],[asofdate]],O:P,2,0)</f>
        <v>36.205626715771302</v>
      </c>
      <c r="AM81" s="6">
        <f>VLOOKUP(CurrentMtgRatesDataTable89[[#This Row],[asofdate]],S:T,2,0)</f>
        <v>0.36778743990558699</v>
      </c>
      <c r="AN81" s="6">
        <f>VLOOKUP(CurrentMtgRatesDataTable89[[#This Row],[asofdate]],W:X,2,0)</f>
        <v>753.83736768122901</v>
      </c>
      <c r="AO81" s="6">
        <f>VLOOKUP(CurrentMtgRatesDataTable89[[#This Row],[asofdate]],AA:AB,2,0)</f>
        <v>0.12367298279946699</v>
      </c>
    </row>
    <row r="82" spans="1:41" s="8" customFormat="1" ht="12.75">
      <c r="A82" s="7" t="s">
        <v>111</v>
      </c>
      <c r="B82" s="10">
        <v>1.1841402944076901E-2</v>
      </c>
      <c r="C82" s="10" t="str">
        <f>YEAR(CurrentMtgRatesDataTable8[[#This Row],[asofdate]])&amp;"-"&amp;MONTH(CurrentMtgRatesDataTable8[[#This Row],[asofdate]])</f>
        <v>2009-10</v>
      </c>
      <c r="D82" s="6">
        <f>((CurrentMtgRatesDataTable8[[#This Row],[SeriesNumValue]]-$D$1)/$D$1+1)*100</f>
        <v>78.942686293846009</v>
      </c>
      <c r="E82" s="6"/>
      <c r="G82" s="7" t="s">
        <v>111</v>
      </c>
      <c r="H82" s="10">
        <v>77.093872022529993</v>
      </c>
      <c r="I82" s="26">
        <f>VLOOKUP(CurrentMtgRatesDataTable82[[#This Row],[asofdate]],K:L,2,0)</f>
        <v>8.1590229627374694E-2</v>
      </c>
      <c r="K82" s="7" t="s">
        <v>111</v>
      </c>
      <c r="L82" s="29">
        <v>8.1590229627374694E-2</v>
      </c>
      <c r="O82" s="7" t="s">
        <v>111</v>
      </c>
      <c r="P82" s="10">
        <v>35.285355439040003</v>
      </c>
      <c r="Q82" s="29">
        <f>VLOOKUP(CurrentMtgRatesDataTable84[[#This Row],[asofdate]],S:T,2,0)</f>
        <v>0.31818274376699701</v>
      </c>
      <c r="S82" s="7" t="s">
        <v>111</v>
      </c>
      <c r="T82" s="10">
        <v>0.31818274376699701</v>
      </c>
      <c r="W82" s="7" t="s">
        <v>111</v>
      </c>
      <c r="X82" s="10">
        <v>759.72561555373602</v>
      </c>
      <c r="Y82" s="26">
        <f>VLOOKUP(CurrentMtgRatesDataTable86[[#This Row],[asofdate]],AA:AB,2,0)</f>
        <v>8.2438455854949605E-2</v>
      </c>
      <c r="AA82" s="7" t="s">
        <v>111</v>
      </c>
      <c r="AB82" s="10">
        <v>8.2438455854949605E-2</v>
      </c>
      <c r="AE82" s="7" t="s">
        <v>103</v>
      </c>
      <c r="AF82" s="10">
        <v>1.50923931423892E-2</v>
      </c>
      <c r="AG82" s="10" t="str">
        <f>YEAR(CurrentMtgRatesDataTable89[[#This Row],[asofdate]])&amp;"-"&amp;MONTH(CurrentMtgRatesDataTable89[[#This Row],[asofdate]])</f>
        <v>2009-2</v>
      </c>
      <c r="AH82" s="6">
        <f>((CurrentMtgRatesDataTable89[[#This Row],[SeriesNumValue]]-$D$1)/$D$1+1)*100</f>
        <v>100.61595428259467</v>
      </c>
      <c r="AI82" s="6">
        <f>CurrentMtgRatesDataTable89[[#This Row],[Index]]-AH83</f>
        <v>-15.642878112706654</v>
      </c>
      <c r="AJ82" s="6">
        <f>VLOOKUP(CurrentMtgRatesDataTable89[[#This Row],[asofdate]],G:H,2,0)</f>
        <v>77.790956229913803</v>
      </c>
      <c r="AK82" s="6">
        <f>VLOOKUP(CurrentMtgRatesDataTable89[[#This Row],[asofdate]],K:L,2,0)</f>
        <v>0.12680743640067399</v>
      </c>
      <c r="AL82" s="6">
        <f>VLOOKUP(CurrentMtgRatesDataTable89[[#This Row],[asofdate]],O:P,2,0)</f>
        <v>36.703804548987797</v>
      </c>
      <c r="AM82" s="6">
        <f>VLOOKUP(CurrentMtgRatesDataTable89[[#This Row],[asofdate]],S:T,2,0)</f>
        <v>0.37063372190416999</v>
      </c>
      <c r="AN82" s="6">
        <f>VLOOKUP(CurrentMtgRatesDataTable89[[#This Row],[asofdate]],W:X,2,0)</f>
        <v>751.15781540485602</v>
      </c>
      <c r="AO82" s="6">
        <f>VLOOKUP(CurrentMtgRatesDataTable89[[#This Row],[asofdate]],AA:AB,2,0)</f>
        <v>0.14020618311049801</v>
      </c>
    </row>
    <row r="83" spans="1:41" s="8" customFormat="1" ht="12.75">
      <c r="A83" s="7" t="s">
        <v>112</v>
      </c>
      <c r="B83" s="10">
        <v>1.20256431765603E-2</v>
      </c>
      <c r="C83" s="10" t="str">
        <f>YEAR(CurrentMtgRatesDataTable8[[#This Row],[asofdate]])&amp;"-"&amp;MONTH(CurrentMtgRatesDataTable8[[#This Row],[asofdate]])</f>
        <v>2009-11</v>
      </c>
      <c r="D83" s="6">
        <f>((CurrentMtgRatesDataTable8[[#This Row],[SeriesNumValue]]-$D$1)/$D$1+1)*100</f>
        <v>80.170954510401998</v>
      </c>
      <c r="E83" s="6"/>
      <c r="G83" s="7" t="s">
        <v>112</v>
      </c>
      <c r="H83" s="10">
        <v>76.953802685989899</v>
      </c>
      <c r="I83" s="26">
        <f>VLOOKUP(CurrentMtgRatesDataTable82[[#This Row],[asofdate]],K:L,2,0)</f>
        <v>8.0716616689524998E-2</v>
      </c>
      <c r="K83" s="7" t="s">
        <v>112</v>
      </c>
      <c r="L83" s="29">
        <v>8.0716616689524998E-2</v>
      </c>
      <c r="O83" s="7" t="s">
        <v>112</v>
      </c>
      <c r="P83" s="10">
        <v>35.3465901358419</v>
      </c>
      <c r="Q83" s="29">
        <f>VLOOKUP(CurrentMtgRatesDataTable84[[#This Row],[asofdate]],S:T,2,0)</f>
        <v>0.31708660379937997</v>
      </c>
      <c r="S83" s="7" t="s">
        <v>112</v>
      </c>
      <c r="T83" s="10">
        <v>0.31708660379937997</v>
      </c>
      <c r="W83" s="7" t="s">
        <v>112</v>
      </c>
      <c r="X83" s="10">
        <v>759.44591566559802</v>
      </c>
      <c r="Y83" s="26">
        <f>VLOOKUP(CurrentMtgRatesDataTable86[[#This Row],[asofdate]],AA:AB,2,0)</f>
        <v>8.7714189812880997E-2</v>
      </c>
      <c r="AA83" s="7" t="s">
        <v>112</v>
      </c>
      <c r="AB83" s="10">
        <v>8.7714189812880997E-2</v>
      </c>
      <c r="AE83" s="7" t="s">
        <v>102</v>
      </c>
      <c r="AF83" s="10">
        <v>1.74388248592952E-2</v>
      </c>
      <c r="AG83" s="10" t="str">
        <f>YEAR(CurrentMtgRatesDataTable89[[#This Row],[asofdate]])&amp;"-"&amp;MONTH(CurrentMtgRatesDataTable89[[#This Row],[asofdate]])</f>
        <v>2009-1</v>
      </c>
      <c r="AH83" s="6">
        <f>((CurrentMtgRatesDataTable89[[#This Row],[SeriesNumValue]]-$D$1)/$D$1+1)*100</f>
        <v>116.25883239530133</v>
      </c>
      <c r="AI83" s="6">
        <f>CurrentMtgRatesDataTable89[[#This Row],[Index]]-AH84</f>
        <v>28.252510902480665</v>
      </c>
      <c r="AJ83" s="6">
        <f>VLOOKUP(CurrentMtgRatesDataTable89[[#This Row],[asofdate]],G:H,2,0)</f>
        <v>78.387697357956398</v>
      </c>
      <c r="AK83" s="6">
        <f>VLOOKUP(CurrentMtgRatesDataTable89[[#This Row],[asofdate]],K:L,2,0)</f>
        <v>0.13509696863435</v>
      </c>
      <c r="AL83" s="6">
        <f>VLOOKUP(CurrentMtgRatesDataTable89[[#This Row],[asofdate]],O:P,2,0)</f>
        <v>37.7564539019778</v>
      </c>
      <c r="AM83" s="6">
        <f>VLOOKUP(CurrentMtgRatesDataTable89[[#This Row],[asofdate]],S:T,2,0)</f>
        <v>0.33607801513818097</v>
      </c>
      <c r="AN83" s="6">
        <f>VLOOKUP(CurrentMtgRatesDataTable89[[#This Row],[asofdate]],W:X,2,0)</f>
        <v>747.67307981041199</v>
      </c>
      <c r="AO83" s="6">
        <f>VLOOKUP(CurrentMtgRatesDataTable89[[#This Row],[asofdate]],AA:AB,2,0)</f>
        <v>0.16220081425273</v>
      </c>
    </row>
    <row r="84" spans="1:41" s="8" customFormat="1" ht="12.75">
      <c r="A84" s="7" t="s">
        <v>113</v>
      </c>
      <c r="B84" s="10">
        <v>1.15347462545422E-2</v>
      </c>
      <c r="C84" s="10" t="str">
        <f>YEAR(CurrentMtgRatesDataTable8[[#This Row],[asofdate]])&amp;"-"&amp;MONTH(CurrentMtgRatesDataTable8[[#This Row],[asofdate]])</f>
        <v>2009-12</v>
      </c>
      <c r="D84" s="6">
        <f>((CurrentMtgRatesDataTable8[[#This Row],[SeriesNumValue]]-$D$1)/$D$1+1)*100</f>
        <v>76.89830836361466</v>
      </c>
      <c r="E84" s="6"/>
      <c r="G84" s="7" t="s">
        <v>113</v>
      </c>
      <c r="H84" s="10">
        <v>76.821956068657499</v>
      </c>
      <c r="I84" s="26">
        <f>VLOOKUP(CurrentMtgRatesDataTable82[[#This Row],[asofdate]],K:L,2,0)</f>
        <v>7.7684258479736798E-2</v>
      </c>
      <c r="K84" s="7" t="s">
        <v>113</v>
      </c>
      <c r="L84" s="29">
        <v>7.7684258479736798E-2</v>
      </c>
      <c r="O84" s="7" t="s">
        <v>113</v>
      </c>
      <c r="P84" s="10">
        <v>35.1667301275982</v>
      </c>
      <c r="Q84" s="29">
        <f>VLOOKUP(CurrentMtgRatesDataTable84[[#This Row],[asofdate]],S:T,2,0)</f>
        <v>0.31475350404319502</v>
      </c>
      <c r="S84" s="7" t="s">
        <v>113</v>
      </c>
      <c r="T84" s="10">
        <v>0.31475350404319502</v>
      </c>
      <c r="W84" s="7" t="s">
        <v>113</v>
      </c>
      <c r="X84" s="10">
        <v>759.77811495225899</v>
      </c>
      <c r="Y84" s="26">
        <f>VLOOKUP(CurrentMtgRatesDataTable86[[#This Row],[asofdate]],AA:AB,2,0)</f>
        <v>8.4409413550102702E-2</v>
      </c>
      <c r="AA84" s="7" t="s">
        <v>113</v>
      </c>
      <c r="AB84" s="10">
        <v>8.4409413550102702E-2</v>
      </c>
      <c r="AE84" s="7" t="s">
        <v>101</v>
      </c>
      <c r="AF84" s="10">
        <v>1.3200948223923099E-2</v>
      </c>
      <c r="AG84" s="10" t="str">
        <f>YEAR(CurrentMtgRatesDataTable89[[#This Row],[asofdate]])&amp;"-"&amp;MONTH(CurrentMtgRatesDataTable89[[#This Row],[asofdate]])</f>
        <v>2008-12</v>
      </c>
      <c r="AH84" s="6">
        <f>((CurrentMtgRatesDataTable89[[#This Row],[SeriesNumValue]]-$D$1)/$D$1+1)*100</f>
        <v>88.006321492820661</v>
      </c>
      <c r="AI84" s="6">
        <f>CurrentMtgRatesDataTable89[[#This Row],[Index]]-AH85</f>
        <v>-5.787973989358008</v>
      </c>
      <c r="AJ84" s="6">
        <f>VLOOKUP(CurrentMtgRatesDataTable89[[#This Row],[asofdate]],G:H,2,0)</f>
        <v>78.085592748832795</v>
      </c>
      <c r="AK84" s="6">
        <f>VLOOKUP(CurrentMtgRatesDataTable89[[#This Row],[asofdate]],K:L,2,0)</f>
        <v>0.14334661911517199</v>
      </c>
      <c r="AL84" s="6">
        <f>VLOOKUP(CurrentMtgRatesDataTable89[[#This Row],[asofdate]],O:P,2,0)</f>
        <v>37.863545215523096</v>
      </c>
      <c r="AM84" s="6">
        <f>VLOOKUP(CurrentMtgRatesDataTable89[[#This Row],[asofdate]],S:T,2,0)</f>
        <v>0.31869933102218601</v>
      </c>
      <c r="AN84" s="6">
        <f>VLOOKUP(CurrentMtgRatesDataTable89[[#This Row],[asofdate]],W:X,2,0)</f>
        <v>748.91395590109096</v>
      </c>
      <c r="AO84" s="6">
        <f>VLOOKUP(CurrentMtgRatesDataTable89[[#This Row],[asofdate]],AA:AB,2,0)</f>
        <v>0.15477413293758099</v>
      </c>
    </row>
    <row r="85" spans="1:41" s="8" customFormat="1" ht="12.75">
      <c r="A85" s="7" t="s">
        <v>114</v>
      </c>
      <c r="B85" s="10">
        <v>1.1516860667613499E-2</v>
      </c>
      <c r="C85" s="10" t="str">
        <f>YEAR(CurrentMtgRatesDataTable8[[#This Row],[asofdate]])&amp;"-"&amp;MONTH(CurrentMtgRatesDataTable8[[#This Row],[asofdate]])</f>
        <v>2010-1</v>
      </c>
      <c r="D85" s="6">
        <f>((CurrentMtgRatesDataTable8[[#This Row],[SeriesNumValue]]-$D$1)/$D$1+1)*100</f>
        <v>76.779071117423342</v>
      </c>
      <c r="E85" s="6"/>
      <c r="G85" s="7" t="s">
        <v>114</v>
      </c>
      <c r="H85" s="10">
        <v>77.043955927582999</v>
      </c>
      <c r="I85" s="26">
        <f>VLOOKUP(CurrentMtgRatesDataTable82[[#This Row],[asofdate]],K:L,2,0)</f>
        <v>8.0692732250494503E-2</v>
      </c>
      <c r="K85" s="7" t="s">
        <v>114</v>
      </c>
      <c r="L85" s="29">
        <v>8.0692732250494503E-2</v>
      </c>
      <c r="O85" s="7" t="s">
        <v>114</v>
      </c>
      <c r="P85" s="10">
        <v>35.096745322021697</v>
      </c>
      <c r="Q85" s="29">
        <f>VLOOKUP(CurrentMtgRatesDataTable84[[#This Row],[asofdate]],S:T,2,0)</f>
        <v>0.30946149081216401</v>
      </c>
      <c r="S85" s="7" t="s">
        <v>114</v>
      </c>
      <c r="T85" s="10">
        <v>0.30946149081216401</v>
      </c>
      <c r="W85" s="7" t="s">
        <v>114</v>
      </c>
      <c r="X85" s="10">
        <v>759.47430651200102</v>
      </c>
      <c r="Y85" s="26">
        <f>VLOOKUP(CurrentMtgRatesDataTable86[[#This Row],[asofdate]],AA:AB,2,0)</f>
        <v>8.6698257576226706E-2</v>
      </c>
      <c r="AA85" s="7" t="s">
        <v>114</v>
      </c>
      <c r="AB85" s="10">
        <v>8.6698257576226706E-2</v>
      </c>
      <c r="AE85" s="7" t="s">
        <v>100</v>
      </c>
      <c r="AF85" s="10">
        <v>1.4069144322326799E-2</v>
      </c>
      <c r="AG85" s="10" t="str">
        <f>YEAR(CurrentMtgRatesDataTable89[[#This Row],[asofdate]])&amp;"-"&amp;MONTH(CurrentMtgRatesDataTable89[[#This Row],[asofdate]])</f>
        <v>2008-11</v>
      </c>
      <c r="AH85" s="6">
        <f>((CurrentMtgRatesDataTable89[[#This Row],[SeriesNumValue]]-$D$1)/$D$1+1)*100</f>
        <v>93.794295482178669</v>
      </c>
      <c r="AI85" s="6">
        <f>CurrentMtgRatesDataTable89[[#This Row],[Index]]-AH86</f>
        <v>-13.80747675424</v>
      </c>
      <c r="AJ85" s="6">
        <f>VLOOKUP(CurrentMtgRatesDataTable89[[#This Row],[asofdate]],G:H,2,0)</f>
        <v>78.157742768007694</v>
      </c>
      <c r="AK85" s="6">
        <f>VLOOKUP(CurrentMtgRatesDataTable89[[#This Row],[asofdate]],K:L,2,0)</f>
        <v>0.150953438870432</v>
      </c>
      <c r="AL85" s="6">
        <f>VLOOKUP(CurrentMtgRatesDataTable89[[#This Row],[asofdate]],O:P,2,0)</f>
        <v>37.893642795120201</v>
      </c>
      <c r="AM85" s="6">
        <f>VLOOKUP(CurrentMtgRatesDataTable89[[#This Row],[asofdate]],S:T,2,0)</f>
        <v>0.32847350810014198</v>
      </c>
      <c r="AN85" s="6">
        <f>VLOOKUP(CurrentMtgRatesDataTable89[[#This Row],[asofdate]],W:X,2,0)</f>
        <v>748.10181343452996</v>
      </c>
      <c r="AO85" s="6">
        <f>VLOOKUP(CurrentMtgRatesDataTable89[[#This Row],[asofdate]],AA:AB,2,0)</f>
        <v>0.16267950338576401</v>
      </c>
    </row>
    <row r="86" spans="1:41" s="8" customFormat="1" ht="12.75">
      <c r="A86" s="7" t="s">
        <v>115</v>
      </c>
      <c r="B86" s="10">
        <v>1.04795599511457E-2</v>
      </c>
      <c r="C86" s="10" t="str">
        <f>YEAR(CurrentMtgRatesDataTable8[[#This Row],[asofdate]])&amp;"-"&amp;MONTH(CurrentMtgRatesDataTable8[[#This Row],[asofdate]])</f>
        <v>2010-2</v>
      </c>
      <c r="D86" s="6">
        <f>((CurrentMtgRatesDataTable8[[#This Row],[SeriesNumValue]]-$D$1)/$D$1+1)*100</f>
        <v>69.86373300763799</v>
      </c>
      <c r="E86" s="6"/>
      <c r="G86" s="7" t="s">
        <v>115</v>
      </c>
      <c r="H86" s="10">
        <v>76.298282025895006</v>
      </c>
      <c r="I86" s="26">
        <f>VLOOKUP(CurrentMtgRatesDataTable82[[#This Row],[asofdate]],K:L,2,0)</f>
        <v>6.7321302893014606E-2</v>
      </c>
      <c r="K86" s="7" t="s">
        <v>115</v>
      </c>
      <c r="L86" s="29">
        <v>6.7321302893014606E-2</v>
      </c>
      <c r="O86" s="7" t="s">
        <v>115</v>
      </c>
      <c r="P86" s="10">
        <v>35.350936273908701</v>
      </c>
      <c r="Q86" s="29">
        <f>VLOOKUP(CurrentMtgRatesDataTable84[[#This Row],[asofdate]],S:T,2,0)</f>
        <v>0.32605724396212699</v>
      </c>
      <c r="S86" s="7" t="s">
        <v>115</v>
      </c>
      <c r="T86" s="10">
        <v>0.32605724396212699</v>
      </c>
      <c r="W86" s="7" t="s">
        <v>115</v>
      </c>
      <c r="X86" s="10">
        <v>759.55067968356195</v>
      </c>
      <c r="Y86" s="26">
        <f>VLOOKUP(CurrentMtgRatesDataTable86[[#This Row],[asofdate]],AA:AB,2,0)</f>
        <v>8.9067046927094204E-2</v>
      </c>
      <c r="AA86" s="7" t="s">
        <v>115</v>
      </c>
      <c r="AB86" s="10">
        <v>8.9067046927094204E-2</v>
      </c>
      <c r="AE86" s="7" t="s">
        <v>99</v>
      </c>
      <c r="AF86" s="10">
        <v>1.61402658354628E-2</v>
      </c>
      <c r="AG86" s="10" t="str">
        <f>YEAR(CurrentMtgRatesDataTable89[[#This Row],[asofdate]])&amp;"-"&amp;MONTH(CurrentMtgRatesDataTable89[[#This Row],[asofdate]])</f>
        <v>2008-10</v>
      </c>
      <c r="AH86" s="6">
        <f>((CurrentMtgRatesDataTable89[[#This Row],[SeriesNumValue]]-$D$1)/$D$1+1)*100</f>
        <v>107.60177223641867</v>
      </c>
      <c r="AI86" s="6">
        <f>CurrentMtgRatesDataTable89[[#This Row],[Index]]-AH87</f>
        <v>18.325295076421327</v>
      </c>
      <c r="AJ86" s="6">
        <f>VLOOKUP(CurrentMtgRatesDataTable89[[#This Row],[asofdate]],G:H,2,0)</f>
        <v>78.3124646156392</v>
      </c>
      <c r="AK86" s="6">
        <f>VLOOKUP(CurrentMtgRatesDataTable89[[#This Row],[asofdate]],K:L,2,0)</f>
        <v>0.163296777165823</v>
      </c>
      <c r="AL86" s="6">
        <f>VLOOKUP(CurrentMtgRatesDataTable89[[#This Row],[asofdate]],O:P,2,0)</f>
        <v>37.987846513899299</v>
      </c>
      <c r="AM86" s="6">
        <f>VLOOKUP(CurrentMtgRatesDataTable89[[#This Row],[asofdate]],S:T,2,0)</f>
        <v>0.32142274521264302</v>
      </c>
      <c r="AN86" s="6">
        <f>VLOOKUP(CurrentMtgRatesDataTable89[[#This Row],[asofdate]],W:X,2,0)</f>
        <v>746.04867552023995</v>
      </c>
      <c r="AO86" s="6">
        <f>VLOOKUP(CurrentMtgRatesDataTable89[[#This Row],[asofdate]],AA:AB,2,0)</f>
        <v>0.17744271331476499</v>
      </c>
    </row>
    <row r="87" spans="1:41" s="8" customFormat="1" ht="12.75">
      <c r="A87" s="7" t="s">
        <v>116</v>
      </c>
      <c r="B87" s="10">
        <v>1.06986375276572E-2</v>
      </c>
      <c r="C87" s="10" t="str">
        <f>YEAR(CurrentMtgRatesDataTable8[[#This Row],[asofdate]])&amp;"-"&amp;MONTH(CurrentMtgRatesDataTable8[[#This Row],[asofdate]])</f>
        <v>2010-3</v>
      </c>
      <c r="D87" s="6">
        <f>((CurrentMtgRatesDataTable8[[#This Row],[SeriesNumValue]]-$D$1)/$D$1+1)*100</f>
        <v>71.324250184381327</v>
      </c>
      <c r="E87" s="6"/>
      <c r="G87" s="7" t="s">
        <v>116</v>
      </c>
      <c r="H87" s="10">
        <v>76.134896970370804</v>
      </c>
      <c r="I87" s="26">
        <f>VLOOKUP(CurrentMtgRatesDataTable82[[#This Row],[asofdate]],K:L,2,0)</f>
        <v>6.4960577538630798E-2</v>
      </c>
      <c r="K87" s="7" t="s">
        <v>116</v>
      </c>
      <c r="L87" s="29">
        <v>6.4960577538630798E-2</v>
      </c>
      <c r="O87" s="7" t="s">
        <v>116</v>
      </c>
      <c r="P87" s="10">
        <v>35.1679187610561</v>
      </c>
      <c r="Q87" s="29">
        <f>VLOOKUP(CurrentMtgRatesDataTable84[[#This Row],[asofdate]],S:T,2,0)</f>
        <v>0.32345397389146002</v>
      </c>
      <c r="S87" s="7" t="s">
        <v>116</v>
      </c>
      <c r="T87" s="10">
        <v>0.32345397389146002</v>
      </c>
      <c r="W87" s="7" t="s">
        <v>116</v>
      </c>
      <c r="X87" s="10">
        <v>759.42833208172897</v>
      </c>
      <c r="Y87" s="26">
        <f>VLOOKUP(CurrentMtgRatesDataTable86[[#This Row],[asofdate]],AA:AB,2,0)</f>
        <v>8.6684210231504605E-2</v>
      </c>
      <c r="AA87" s="7" t="s">
        <v>116</v>
      </c>
      <c r="AB87" s="10">
        <v>8.6684210231504605E-2</v>
      </c>
      <c r="AE87" s="7" t="s">
        <v>98</v>
      </c>
      <c r="AF87" s="10">
        <v>1.33914715739996E-2</v>
      </c>
      <c r="AG87" s="10" t="str">
        <f>YEAR(CurrentMtgRatesDataTable89[[#This Row],[asofdate]])&amp;"-"&amp;MONTH(CurrentMtgRatesDataTable89[[#This Row],[asofdate]])</f>
        <v>2008-9</v>
      </c>
      <c r="AH87" s="6">
        <f>((CurrentMtgRatesDataTable89[[#This Row],[SeriesNumValue]]-$D$1)/$D$1+1)*100</f>
        <v>89.276477159997341</v>
      </c>
      <c r="AI87" s="6">
        <f>CurrentMtgRatesDataTable89[[#This Row],[Index]]-AH88</f>
        <v>0.46885225453600299</v>
      </c>
      <c r="AJ87" s="6">
        <f>VLOOKUP(CurrentMtgRatesDataTable89[[#This Row],[asofdate]],G:H,2,0)</f>
        <v>78.2639911263947</v>
      </c>
      <c r="AK87" s="6">
        <f>VLOOKUP(CurrentMtgRatesDataTable89[[#This Row],[asofdate]],K:L,2,0)</f>
        <v>0.16617522330031601</v>
      </c>
      <c r="AL87" s="6">
        <f>VLOOKUP(CurrentMtgRatesDataTable89[[#This Row],[asofdate]],O:P,2,0)</f>
        <v>38.161391290982401</v>
      </c>
      <c r="AM87" s="6">
        <f>VLOOKUP(CurrentMtgRatesDataTable89[[#This Row],[asofdate]],S:T,2,0)</f>
        <v>0.34039413439216898</v>
      </c>
      <c r="AN87" s="6">
        <f>VLOOKUP(CurrentMtgRatesDataTable89[[#This Row],[asofdate]],W:X,2,0)</f>
        <v>747.62063220995401</v>
      </c>
      <c r="AO87" s="6">
        <f>VLOOKUP(CurrentMtgRatesDataTable89[[#This Row],[asofdate]],AA:AB,2,0)</f>
        <v>0.16640580356024401</v>
      </c>
    </row>
    <row r="88" spans="1:41" s="8" customFormat="1" ht="12.75">
      <c r="A88" s="7" t="s">
        <v>117</v>
      </c>
      <c r="B88" s="10">
        <v>1.10114221292561E-2</v>
      </c>
      <c r="C88" s="10" t="str">
        <f>YEAR(CurrentMtgRatesDataTable8[[#This Row],[asofdate]])&amp;"-"&amp;MONTH(CurrentMtgRatesDataTable8[[#This Row],[asofdate]])</f>
        <v>2010-4</v>
      </c>
      <c r="D88" s="6">
        <f>((CurrentMtgRatesDataTable8[[#This Row],[SeriesNumValue]]-$D$1)/$D$1+1)*100</f>
        <v>73.409480861707337</v>
      </c>
      <c r="E88" s="6"/>
      <c r="G88" s="7" t="s">
        <v>117</v>
      </c>
      <c r="H88" s="10">
        <v>76.502585993042302</v>
      </c>
      <c r="I88" s="26">
        <f>VLOOKUP(CurrentMtgRatesDataTable82[[#This Row],[asofdate]],K:L,2,0)</f>
        <v>7.1784475002186002E-2</v>
      </c>
      <c r="K88" s="7" t="s">
        <v>117</v>
      </c>
      <c r="L88" s="29">
        <v>7.1784475002186002E-2</v>
      </c>
      <c r="O88" s="7" t="s">
        <v>117</v>
      </c>
      <c r="P88" s="10">
        <v>34.642619302927201</v>
      </c>
      <c r="Q88" s="29">
        <f>VLOOKUP(CurrentMtgRatesDataTable84[[#This Row],[asofdate]],S:T,2,0)</f>
        <v>0.308692322041347</v>
      </c>
      <c r="S88" s="7" t="s">
        <v>117</v>
      </c>
      <c r="T88" s="10">
        <v>0.308692322041347</v>
      </c>
      <c r="W88" s="7" t="s">
        <v>117</v>
      </c>
      <c r="X88" s="10">
        <v>759.84269690104395</v>
      </c>
      <c r="Y88" s="26">
        <f>VLOOKUP(CurrentMtgRatesDataTable86[[#This Row],[asofdate]],AA:AB,2,0)</f>
        <v>8.7713830080208194E-2</v>
      </c>
      <c r="AA88" s="7" t="s">
        <v>117</v>
      </c>
      <c r="AB88" s="10">
        <v>8.7713830080208194E-2</v>
      </c>
      <c r="AE88" s="7" t="s">
        <v>97</v>
      </c>
      <c r="AF88" s="10">
        <v>1.33211437358192E-2</v>
      </c>
      <c r="AG88" s="10" t="str">
        <f>YEAR(CurrentMtgRatesDataTable89[[#This Row],[asofdate]])&amp;"-"&amp;MONTH(CurrentMtgRatesDataTable89[[#This Row],[asofdate]])</f>
        <v>2008-8</v>
      </c>
      <c r="AH88" s="6">
        <f>((CurrentMtgRatesDataTable89[[#This Row],[SeriesNumValue]]-$D$1)/$D$1+1)*100</f>
        <v>88.807624905461338</v>
      </c>
      <c r="AI88" s="6">
        <f>CurrentMtgRatesDataTable89[[#This Row],[Index]]-AH89</f>
        <v>-3.1124602833239976</v>
      </c>
      <c r="AJ88" s="6">
        <f>VLOOKUP(CurrentMtgRatesDataTable89[[#This Row],[asofdate]],G:H,2,0)</f>
        <v>78.848097521187</v>
      </c>
      <c r="AK88" s="6">
        <f>VLOOKUP(CurrentMtgRatesDataTable89[[#This Row],[asofdate]],K:L,2,0)</f>
        <v>0.19158124136652299</v>
      </c>
      <c r="AL88" s="6">
        <f>VLOOKUP(CurrentMtgRatesDataTable89[[#This Row],[asofdate]],O:P,2,0)</f>
        <v>37.999181742126503</v>
      </c>
      <c r="AM88" s="6">
        <f>VLOOKUP(CurrentMtgRatesDataTable89[[#This Row],[asofdate]],S:T,2,0)</f>
        <v>0.324853201159644</v>
      </c>
      <c r="AN88" s="6">
        <f>VLOOKUP(CurrentMtgRatesDataTable89[[#This Row],[asofdate]],W:X,2,0)</f>
        <v>746.24339258136104</v>
      </c>
      <c r="AO88" s="6">
        <f>VLOOKUP(CurrentMtgRatesDataTable89[[#This Row],[asofdate]],AA:AB,2,0)</f>
        <v>0.17315160637188701</v>
      </c>
    </row>
    <row r="89" spans="1:41" s="8" customFormat="1" ht="12.75">
      <c r="A89" s="7" t="s">
        <v>118</v>
      </c>
      <c r="B89" s="10">
        <v>1.09972759547881E-2</v>
      </c>
      <c r="C89" s="10" t="str">
        <f>YEAR(CurrentMtgRatesDataTable8[[#This Row],[asofdate]])&amp;"-"&amp;MONTH(CurrentMtgRatesDataTable8[[#This Row],[asofdate]])</f>
        <v>2010-5</v>
      </c>
      <c r="D89" s="6">
        <f>((CurrentMtgRatesDataTable8[[#This Row],[SeriesNumValue]]-$D$1)/$D$1+1)*100</f>
        <v>73.315173031920679</v>
      </c>
      <c r="E89" s="6"/>
      <c r="G89" s="7" t="s">
        <v>118</v>
      </c>
      <c r="H89" s="10">
        <v>77.057767341070999</v>
      </c>
      <c r="I89" s="26">
        <f>VLOOKUP(CurrentMtgRatesDataTable82[[#This Row],[asofdate]],K:L,2,0)</f>
        <v>8.3302521575952804E-2</v>
      </c>
      <c r="K89" s="7" t="s">
        <v>118</v>
      </c>
      <c r="L89" s="29">
        <v>8.3302521575952804E-2</v>
      </c>
      <c r="O89" s="7" t="s">
        <v>118</v>
      </c>
      <c r="P89" s="10">
        <v>34.4440642092299</v>
      </c>
      <c r="Q89" s="29">
        <f>VLOOKUP(CurrentMtgRatesDataTable84[[#This Row],[asofdate]],S:T,2,0)</f>
        <v>0.29885314640147098</v>
      </c>
      <c r="S89" s="7" t="s">
        <v>118</v>
      </c>
      <c r="T89" s="10">
        <v>0.29885314640147098</v>
      </c>
      <c r="W89" s="7" t="s">
        <v>118</v>
      </c>
      <c r="X89" s="10">
        <v>759.579566617463</v>
      </c>
      <c r="Y89" s="26">
        <f>VLOOKUP(CurrentMtgRatesDataTable86[[#This Row],[asofdate]],AA:AB,2,0)</f>
        <v>8.5642704200612693E-2</v>
      </c>
      <c r="AA89" s="7" t="s">
        <v>118</v>
      </c>
      <c r="AB89" s="10">
        <v>8.5642704200612693E-2</v>
      </c>
      <c r="AE89" s="7" t="s">
        <v>96</v>
      </c>
      <c r="AF89" s="10">
        <v>1.37880127783178E-2</v>
      </c>
      <c r="AG89" s="10" t="str">
        <f>YEAR(CurrentMtgRatesDataTable89[[#This Row],[asofdate]])&amp;"-"&amp;MONTH(CurrentMtgRatesDataTable89[[#This Row],[asofdate]])</f>
        <v>2008-7</v>
      </c>
      <c r="AH89" s="6">
        <f>((CurrentMtgRatesDataTable89[[#This Row],[SeriesNumValue]]-$D$1)/$D$1+1)*100</f>
        <v>91.920085188785336</v>
      </c>
      <c r="AI89" s="6">
        <f>CurrentMtgRatesDataTable89[[#This Row],[Index]]-AH90</f>
        <v>-15.484072631034692</v>
      </c>
      <c r="AJ89" s="6">
        <f>VLOOKUP(CurrentMtgRatesDataTable89[[#This Row],[asofdate]],G:H,2,0)</f>
        <v>79.237585093986993</v>
      </c>
      <c r="AK89" s="6">
        <f>VLOOKUP(CurrentMtgRatesDataTable89[[#This Row],[asofdate]],K:L,2,0)</f>
        <v>0.20291547901804699</v>
      </c>
      <c r="AL89" s="6">
        <f>VLOOKUP(CurrentMtgRatesDataTable89[[#This Row],[asofdate]],O:P,2,0)</f>
        <v>38.341658225407897</v>
      </c>
      <c r="AM89" s="6">
        <f>VLOOKUP(CurrentMtgRatesDataTable89[[#This Row],[asofdate]],S:T,2,0)</f>
        <v>0.30721083895763202</v>
      </c>
      <c r="AN89" s="6">
        <f>VLOOKUP(CurrentMtgRatesDataTable89[[#This Row],[asofdate]],W:X,2,0)</f>
        <v>744.50208803818305</v>
      </c>
      <c r="AO89" s="6">
        <f>VLOOKUP(CurrentMtgRatesDataTable89[[#This Row],[asofdate]],AA:AB,2,0)</f>
        <v>0.183242130540575</v>
      </c>
    </row>
    <row r="90" spans="1:41" s="8" customFormat="1" ht="12.75">
      <c r="A90" s="7" t="s">
        <v>119</v>
      </c>
      <c r="B90" s="10">
        <v>1.13834608526315E-2</v>
      </c>
      <c r="C90" s="10" t="str">
        <f>YEAR(CurrentMtgRatesDataTable8[[#This Row],[asofdate]])&amp;"-"&amp;MONTH(CurrentMtgRatesDataTable8[[#This Row],[asofdate]])</f>
        <v>2010-6</v>
      </c>
      <c r="D90" s="6">
        <f>((CurrentMtgRatesDataTable8[[#This Row],[SeriesNumValue]]-$D$1)/$D$1+1)*100</f>
        <v>75.889739017543334</v>
      </c>
      <c r="E90" s="6"/>
      <c r="G90" s="7" t="s">
        <v>119</v>
      </c>
      <c r="H90" s="10">
        <v>77.252614942686094</v>
      </c>
      <c r="I90" s="26">
        <f>VLOOKUP(CurrentMtgRatesDataTable82[[#This Row],[asofdate]],K:L,2,0)</f>
        <v>9.1166284450128102E-2</v>
      </c>
      <c r="K90" s="7" t="s">
        <v>119</v>
      </c>
      <c r="L90" s="29">
        <v>9.1166284450128102E-2</v>
      </c>
      <c r="O90" s="7" t="s">
        <v>119</v>
      </c>
      <c r="P90" s="10">
        <v>34.256883100797999</v>
      </c>
      <c r="Q90" s="29">
        <f>VLOOKUP(CurrentMtgRatesDataTable84[[#This Row],[asofdate]],S:T,2,0)</f>
        <v>0.29266486570866301</v>
      </c>
      <c r="S90" s="7" t="s">
        <v>119</v>
      </c>
      <c r="T90" s="10">
        <v>0.29266486570866301</v>
      </c>
      <c r="W90" s="7" t="s">
        <v>119</v>
      </c>
      <c r="X90" s="10">
        <v>760.51765866488995</v>
      </c>
      <c r="Y90" s="26">
        <f>VLOOKUP(CurrentMtgRatesDataTable86[[#This Row],[asofdate]],AA:AB,2,0)</f>
        <v>8.6052426459444206E-2</v>
      </c>
      <c r="AA90" s="7" t="s">
        <v>119</v>
      </c>
      <c r="AB90" s="10">
        <v>8.6052426459444206E-2</v>
      </c>
      <c r="AE90" s="7" t="s">
        <v>95</v>
      </c>
      <c r="AF90" s="10">
        <v>1.6110623672973001E-2</v>
      </c>
      <c r="AG90" s="10" t="str">
        <f>YEAR(CurrentMtgRatesDataTable89[[#This Row],[asofdate]])&amp;"-"&amp;MONTH(CurrentMtgRatesDataTable89[[#This Row],[asofdate]])</f>
        <v>2008-6</v>
      </c>
      <c r="AH90" s="6">
        <f>((CurrentMtgRatesDataTable89[[#This Row],[SeriesNumValue]]-$D$1)/$D$1+1)*100</f>
        <v>107.40415781982003</v>
      </c>
      <c r="AI90" s="6">
        <f>CurrentMtgRatesDataTable89[[#This Row],[Index]]-AH91</f>
        <v>-24.095281948565315</v>
      </c>
      <c r="AJ90" s="6">
        <f>VLOOKUP(CurrentMtgRatesDataTable89[[#This Row],[asofdate]],G:H,2,0)</f>
        <v>80.027867651152405</v>
      </c>
      <c r="AK90" s="6">
        <f>VLOOKUP(CurrentMtgRatesDataTable89[[#This Row],[asofdate]],K:L,2,0)</f>
        <v>0.22889156479952499</v>
      </c>
      <c r="AL90" s="6">
        <f>VLOOKUP(CurrentMtgRatesDataTable89[[#This Row],[asofdate]],O:P,2,0)</f>
        <v>38.559555713699098</v>
      </c>
      <c r="AM90" s="6">
        <f>VLOOKUP(CurrentMtgRatesDataTable89[[#This Row],[asofdate]],S:T,2,0)</f>
        <v>0.31965036017869303</v>
      </c>
      <c r="AN90" s="6">
        <f>VLOOKUP(CurrentMtgRatesDataTable89[[#This Row],[asofdate]],W:X,2,0)</f>
        <v>742.222862301183</v>
      </c>
      <c r="AO90" s="6">
        <f>VLOOKUP(CurrentMtgRatesDataTable89[[#This Row],[asofdate]],AA:AB,2,0)</f>
        <v>0.20023623442105001</v>
      </c>
    </row>
    <row r="91" spans="1:41" s="8" customFormat="1" ht="12.75">
      <c r="A91" s="7" t="s">
        <v>120</v>
      </c>
      <c r="B91" s="10">
        <v>1.2500803683488999E-2</v>
      </c>
      <c r="C91" s="10" t="str">
        <f>YEAR(CurrentMtgRatesDataTable8[[#This Row],[asofdate]])&amp;"-"&amp;MONTH(CurrentMtgRatesDataTable8[[#This Row],[asofdate]])</f>
        <v>2010-7</v>
      </c>
      <c r="D91" s="6">
        <f>((CurrentMtgRatesDataTable8[[#This Row],[SeriesNumValue]]-$D$1)/$D$1+1)*100</f>
        <v>83.33869122326</v>
      </c>
      <c r="E91" s="6"/>
      <c r="G91" s="7" t="s">
        <v>120</v>
      </c>
      <c r="H91" s="10">
        <v>77.571100038590899</v>
      </c>
      <c r="I91" s="26">
        <f>VLOOKUP(CurrentMtgRatesDataTable82[[#This Row],[asofdate]],K:L,2,0)</f>
        <v>9.7919000165780895E-2</v>
      </c>
      <c r="K91" s="7" t="s">
        <v>120</v>
      </c>
      <c r="L91" s="29">
        <v>9.7919000165780895E-2</v>
      </c>
      <c r="O91" s="7" t="s">
        <v>120</v>
      </c>
      <c r="P91" s="10">
        <v>34.136052596437402</v>
      </c>
      <c r="Q91" s="29">
        <f>VLOOKUP(CurrentMtgRatesDataTable84[[#This Row],[asofdate]],S:T,2,0)</f>
        <v>0.28834659004754098</v>
      </c>
      <c r="S91" s="7" t="s">
        <v>120</v>
      </c>
      <c r="T91" s="10">
        <v>0.28834659004754098</v>
      </c>
      <c r="W91" s="7" t="s">
        <v>120</v>
      </c>
      <c r="X91" s="10">
        <v>761.23491599033696</v>
      </c>
      <c r="Y91" s="26">
        <f>VLOOKUP(CurrentMtgRatesDataTable86[[#This Row],[asofdate]],AA:AB,2,0)</f>
        <v>8.4136927172989803E-2</v>
      </c>
      <c r="AA91" s="7" t="s">
        <v>120</v>
      </c>
      <c r="AB91" s="10">
        <v>8.4136927172989803E-2</v>
      </c>
      <c r="AE91" s="7" t="s">
        <v>94</v>
      </c>
      <c r="AF91" s="10">
        <v>1.97249159652578E-2</v>
      </c>
      <c r="AG91" s="10" t="str">
        <f>YEAR(CurrentMtgRatesDataTable89[[#This Row],[asofdate]])&amp;"-"&amp;MONTH(CurrentMtgRatesDataTable89[[#This Row],[asofdate]])</f>
        <v>2008-5</v>
      </c>
      <c r="AH91" s="6">
        <f>((CurrentMtgRatesDataTable89[[#This Row],[SeriesNumValue]]-$D$1)/$D$1+1)*100</f>
        <v>131.49943976838534</v>
      </c>
      <c r="AI91" s="6">
        <f>CurrentMtgRatesDataTable89[[#This Row],[Index]]-AH92</f>
        <v>1.2978395597713188</v>
      </c>
      <c r="AJ91" s="6">
        <f>VLOOKUP(CurrentMtgRatesDataTable89[[#This Row],[asofdate]],G:H,2,0)</f>
        <v>81.659946968196707</v>
      </c>
      <c r="AK91" s="6">
        <f>VLOOKUP(CurrentMtgRatesDataTable89[[#This Row],[asofdate]],K:L,2,0)</f>
        <v>0.287291706181595</v>
      </c>
      <c r="AL91" s="6">
        <f>VLOOKUP(CurrentMtgRatesDataTable89[[#This Row],[asofdate]],O:P,2,0)</f>
        <v>38.763155801956799</v>
      </c>
      <c r="AM91" s="6">
        <f>VLOOKUP(CurrentMtgRatesDataTable89[[#This Row],[asofdate]],S:T,2,0)</f>
        <v>0.33210271281010001</v>
      </c>
      <c r="AN91" s="6">
        <f>VLOOKUP(CurrentMtgRatesDataTable89[[#This Row],[asofdate]],W:X,2,0)</f>
        <v>736.65104024275695</v>
      </c>
      <c r="AO91" s="6">
        <f>VLOOKUP(CurrentMtgRatesDataTable89[[#This Row],[asofdate]],AA:AB,2,0)</f>
        <v>0.24142889769505399</v>
      </c>
    </row>
    <row r="92" spans="1:41" s="8" customFormat="1" ht="12.75">
      <c r="A92" s="7" t="s">
        <v>121</v>
      </c>
      <c r="B92" s="10">
        <v>1.2447097876510899E-2</v>
      </c>
      <c r="C92" s="10" t="str">
        <f>YEAR(CurrentMtgRatesDataTable8[[#This Row],[asofdate]])&amp;"-"&amp;MONTH(CurrentMtgRatesDataTable8[[#This Row],[asofdate]])</f>
        <v>2010-8</v>
      </c>
      <c r="D92" s="6">
        <f>((CurrentMtgRatesDataTable8[[#This Row],[SeriesNumValue]]-$D$1)/$D$1+1)*100</f>
        <v>82.980652510072659</v>
      </c>
      <c r="E92" s="6"/>
      <c r="G92" s="7" t="s">
        <v>121</v>
      </c>
      <c r="H92" s="10">
        <v>77.233235343375298</v>
      </c>
      <c r="I92" s="26">
        <f>VLOOKUP(CurrentMtgRatesDataTable82[[#This Row],[asofdate]],K:L,2,0)</f>
        <v>0.10134986605641599</v>
      </c>
      <c r="K92" s="7" t="s">
        <v>121</v>
      </c>
      <c r="L92" s="29">
        <v>0.10134986605641599</v>
      </c>
      <c r="O92" s="7" t="s">
        <v>121</v>
      </c>
      <c r="P92" s="10">
        <v>34.011766218461197</v>
      </c>
      <c r="Q92" s="29">
        <f>VLOOKUP(CurrentMtgRatesDataTable84[[#This Row],[asofdate]],S:T,2,0)</f>
        <v>0.28355778919539698</v>
      </c>
      <c r="S92" s="7" t="s">
        <v>121</v>
      </c>
      <c r="T92" s="10">
        <v>0.28355778919539698</v>
      </c>
      <c r="W92" s="7" t="s">
        <v>121</v>
      </c>
      <c r="X92" s="10">
        <v>760.87938286905</v>
      </c>
      <c r="Y92" s="26">
        <f>VLOOKUP(CurrentMtgRatesDataTable86[[#This Row],[asofdate]],AA:AB,2,0)</f>
        <v>8.5429424015766503E-2</v>
      </c>
      <c r="AA92" s="7" t="s">
        <v>121</v>
      </c>
      <c r="AB92" s="10">
        <v>8.5429424015766503E-2</v>
      </c>
      <c r="AE92" s="7" t="s">
        <v>93</v>
      </c>
      <c r="AF92" s="10">
        <v>1.9530240031292102E-2</v>
      </c>
      <c r="AG92" s="10" t="str">
        <f>YEAR(CurrentMtgRatesDataTable89[[#This Row],[asofdate]])&amp;"-"&amp;MONTH(CurrentMtgRatesDataTable89[[#This Row],[asofdate]])</f>
        <v>2008-4</v>
      </c>
      <c r="AH92" s="6">
        <f>((CurrentMtgRatesDataTable89[[#This Row],[SeriesNumValue]]-$D$1)/$D$1+1)*100</f>
        <v>130.20160020861402</v>
      </c>
      <c r="AI92" s="6">
        <f>CurrentMtgRatesDataTable89[[#This Row],[Index]]-AH93</f>
        <v>-23.795692002954638</v>
      </c>
      <c r="AJ92" s="6">
        <f>VLOOKUP(CurrentMtgRatesDataTable89[[#This Row],[asofdate]],G:H,2,0)</f>
        <v>82.474909378130207</v>
      </c>
      <c r="AK92" s="6">
        <f>VLOOKUP(CurrentMtgRatesDataTable89[[#This Row],[asofdate]],K:L,2,0)</f>
        <v>0.32032869665397601</v>
      </c>
      <c r="AL92" s="6">
        <f>VLOOKUP(CurrentMtgRatesDataTable89[[#This Row],[asofdate]],O:P,2,0)</f>
        <v>38.414329636092397</v>
      </c>
      <c r="AM92" s="6">
        <f>VLOOKUP(CurrentMtgRatesDataTable89[[#This Row],[asofdate]],S:T,2,0)</f>
        <v>0.300734170812334</v>
      </c>
      <c r="AN92" s="6">
        <f>VLOOKUP(CurrentMtgRatesDataTable89[[#This Row],[asofdate]],W:X,2,0)</f>
        <v>734.110298704157</v>
      </c>
      <c r="AO92" s="6">
        <f>VLOOKUP(CurrentMtgRatesDataTable89[[#This Row],[asofdate]],AA:AB,2,0)</f>
        <v>0.25889667130801303</v>
      </c>
    </row>
    <row r="93" spans="1:41" s="8" customFormat="1" ht="12.75">
      <c r="A93" s="7" t="s">
        <v>122</v>
      </c>
      <c r="B93" s="10">
        <v>1.19817630079617E-2</v>
      </c>
      <c r="C93" s="10" t="str">
        <f>YEAR(CurrentMtgRatesDataTable8[[#This Row],[asofdate]])&amp;"-"&amp;MONTH(CurrentMtgRatesDataTable8[[#This Row],[asofdate]])</f>
        <v>2010-9</v>
      </c>
      <c r="D93" s="6">
        <f>((CurrentMtgRatesDataTable8[[#This Row],[SeriesNumValue]]-$D$1)/$D$1+1)*100</f>
        <v>79.878420053078003</v>
      </c>
      <c r="E93" s="6"/>
      <c r="G93" s="7" t="s">
        <v>122</v>
      </c>
      <c r="H93" s="10">
        <v>76.947328417348899</v>
      </c>
      <c r="I93" s="26">
        <f>VLOOKUP(CurrentMtgRatesDataTable82[[#This Row],[asofdate]],K:L,2,0)</f>
        <v>9.8316403570714805E-2</v>
      </c>
      <c r="K93" s="7" t="s">
        <v>122</v>
      </c>
      <c r="L93" s="29">
        <v>9.8316403570714805E-2</v>
      </c>
      <c r="O93" s="7" t="s">
        <v>122</v>
      </c>
      <c r="P93" s="10">
        <v>33.847652638763698</v>
      </c>
      <c r="Q93" s="29">
        <f>VLOOKUP(CurrentMtgRatesDataTable84[[#This Row],[asofdate]],S:T,2,0)</f>
        <v>0.28514921794130899</v>
      </c>
      <c r="S93" s="7" t="s">
        <v>122</v>
      </c>
      <c r="T93" s="10">
        <v>0.28514921794130899</v>
      </c>
      <c r="W93" s="7" t="s">
        <v>122</v>
      </c>
      <c r="X93" s="10">
        <v>761.77637727655701</v>
      </c>
      <c r="Y93" s="26">
        <f>VLOOKUP(CurrentMtgRatesDataTable86[[#This Row],[asofdate]],AA:AB,2,0)</f>
        <v>8.3617280532806301E-2</v>
      </c>
      <c r="AA93" s="7" t="s">
        <v>122</v>
      </c>
      <c r="AB93" s="10">
        <v>8.3617280532806301E-2</v>
      </c>
      <c r="AE93" s="7" t="s">
        <v>92</v>
      </c>
      <c r="AF93" s="10">
        <v>2.30995938317353E-2</v>
      </c>
      <c r="AG93" s="10" t="str">
        <f>YEAR(CurrentMtgRatesDataTable89[[#This Row],[asofdate]])&amp;"-"&amp;MONTH(CurrentMtgRatesDataTable89[[#This Row],[asofdate]])</f>
        <v>2008-3</v>
      </c>
      <c r="AH93" s="6">
        <f>((CurrentMtgRatesDataTable89[[#This Row],[SeriesNumValue]]-$D$1)/$D$1+1)*100</f>
        <v>153.99729221156866</v>
      </c>
      <c r="AI93" s="6">
        <f>CurrentMtgRatesDataTable89[[#This Row],[Index]]-AH94</f>
        <v>-19.345169508780657</v>
      </c>
      <c r="AJ93" s="6">
        <f>VLOOKUP(CurrentMtgRatesDataTable89[[#This Row],[asofdate]],G:H,2,0)</f>
        <v>82.917978306429703</v>
      </c>
      <c r="AK93" s="6">
        <f>VLOOKUP(CurrentMtgRatesDataTable89[[#This Row],[asofdate]],K:L,2,0)</f>
        <v>0.34182677466995598</v>
      </c>
      <c r="AL93" s="6">
        <f>VLOOKUP(CurrentMtgRatesDataTable89[[#This Row],[asofdate]],O:P,2,0)</f>
        <v>39.249087722264797</v>
      </c>
      <c r="AM93" s="6">
        <f>VLOOKUP(CurrentMtgRatesDataTable89[[#This Row],[asofdate]],S:T,2,0)</f>
        <v>0.31717378018460402</v>
      </c>
      <c r="AN93" s="6">
        <f>VLOOKUP(CurrentMtgRatesDataTable89[[#This Row],[asofdate]],W:X,2,0)</f>
        <v>730.48483560039494</v>
      </c>
      <c r="AO93" s="6">
        <f>VLOOKUP(CurrentMtgRatesDataTable89[[#This Row],[asofdate]],AA:AB,2,0)</f>
        <v>0.280579895669821</v>
      </c>
    </row>
    <row r="94" spans="1:41" s="8" customFormat="1" ht="12.75">
      <c r="A94" s="7" t="s">
        <v>123</v>
      </c>
      <c r="B94" s="10">
        <v>1.1696957555317499E-2</v>
      </c>
      <c r="C94" s="10" t="str">
        <f>YEAR(CurrentMtgRatesDataTable8[[#This Row],[asofdate]])&amp;"-"&amp;MONTH(CurrentMtgRatesDataTable8[[#This Row],[asofdate]])</f>
        <v>2010-10</v>
      </c>
      <c r="D94" s="6">
        <f>((CurrentMtgRatesDataTable8[[#This Row],[SeriesNumValue]]-$D$1)/$D$1+1)*100</f>
        <v>77.979717035450008</v>
      </c>
      <c r="E94" s="6"/>
      <c r="G94" s="7" t="s">
        <v>123</v>
      </c>
      <c r="H94" s="10">
        <v>77.151526909201294</v>
      </c>
      <c r="I94" s="26">
        <f>VLOOKUP(CurrentMtgRatesDataTable82[[#This Row],[asofdate]],K:L,2,0)</f>
        <v>0.103362864069172</v>
      </c>
      <c r="K94" s="7" t="s">
        <v>123</v>
      </c>
      <c r="L94" s="29">
        <v>0.103362864069172</v>
      </c>
      <c r="O94" s="7" t="s">
        <v>123</v>
      </c>
      <c r="P94" s="10">
        <v>33.5549430237973</v>
      </c>
      <c r="Q94" s="29">
        <f>VLOOKUP(CurrentMtgRatesDataTable84[[#This Row],[asofdate]],S:T,2,0)</f>
        <v>0.27453440249608202</v>
      </c>
      <c r="S94" s="7" t="s">
        <v>123</v>
      </c>
      <c r="T94" s="10">
        <v>0.27453440249608202</v>
      </c>
      <c r="W94" s="7" t="s">
        <v>123</v>
      </c>
      <c r="X94" s="10">
        <v>762.22096712183304</v>
      </c>
      <c r="Y94" s="26">
        <f>VLOOKUP(CurrentMtgRatesDataTable86[[#This Row],[asofdate]],AA:AB,2,0)</f>
        <v>8.2031114923412599E-2</v>
      </c>
      <c r="AA94" s="7" t="s">
        <v>123</v>
      </c>
      <c r="AB94" s="10">
        <v>8.2031114923412599E-2</v>
      </c>
      <c r="AE94" s="7" t="s">
        <v>91</v>
      </c>
      <c r="AF94" s="10">
        <v>2.6001369258052399E-2</v>
      </c>
      <c r="AG94" s="10" t="str">
        <f>YEAR(CurrentMtgRatesDataTable89[[#This Row],[asofdate]])&amp;"-"&amp;MONTH(CurrentMtgRatesDataTable89[[#This Row],[asofdate]])</f>
        <v>2008-2</v>
      </c>
      <c r="AH94" s="6">
        <f>((CurrentMtgRatesDataTable89[[#This Row],[SeriesNumValue]]-$D$1)/$D$1+1)*100</f>
        <v>173.34246172034932</v>
      </c>
      <c r="AI94" s="6">
        <f>CurrentMtgRatesDataTable89[[#This Row],[Index]]-AH95</f>
        <v>-1.4872001582020289</v>
      </c>
      <c r="AJ94" s="6">
        <f>VLOOKUP(CurrentMtgRatesDataTable89[[#This Row],[asofdate]],G:H,2,0)</f>
        <v>83.407523352475593</v>
      </c>
      <c r="AK94" s="6">
        <f>VLOOKUP(CurrentMtgRatesDataTable89[[#This Row],[asofdate]],K:L,2,0)</f>
        <v>0.36096554720004298</v>
      </c>
      <c r="AL94" s="6">
        <f>VLOOKUP(CurrentMtgRatesDataTable89[[#This Row],[asofdate]],O:P,2,0)</f>
        <v>39.092016446336103</v>
      </c>
      <c r="AM94" s="6">
        <f>VLOOKUP(CurrentMtgRatesDataTable89[[#This Row],[asofdate]],S:T,2,0)</f>
        <v>0.32064750057136798</v>
      </c>
      <c r="AN94" s="6">
        <f>VLOOKUP(CurrentMtgRatesDataTable89[[#This Row],[asofdate]],W:X,2,0)</f>
        <v>728.34084731165694</v>
      </c>
      <c r="AO94" s="6">
        <f>VLOOKUP(CurrentMtgRatesDataTable89[[#This Row],[asofdate]],AA:AB,2,0)</f>
        <v>0.29981088723409199</v>
      </c>
    </row>
    <row r="95" spans="1:41" s="8" customFormat="1" ht="12.75">
      <c r="A95" s="7" t="s">
        <v>124</v>
      </c>
      <c r="B95" s="10">
        <v>1.1640382998122501E-2</v>
      </c>
      <c r="C95" s="10" t="str">
        <f>YEAR(CurrentMtgRatesDataTable8[[#This Row],[asofdate]])&amp;"-"&amp;MONTH(CurrentMtgRatesDataTable8[[#This Row],[asofdate]])</f>
        <v>2010-11</v>
      </c>
      <c r="D95" s="6">
        <f>((CurrentMtgRatesDataTable8[[#This Row],[SeriesNumValue]]-$D$1)/$D$1+1)*100</f>
        <v>77.602553320816668</v>
      </c>
      <c r="E95" s="6"/>
      <c r="G95" s="7" t="s">
        <v>124</v>
      </c>
      <c r="H95" s="10">
        <v>77.504038849736304</v>
      </c>
      <c r="I95" s="26">
        <f>VLOOKUP(CurrentMtgRatesDataTable82[[#This Row],[asofdate]],K:L,2,0)</f>
        <v>0.109452054433236</v>
      </c>
      <c r="K95" s="7" t="s">
        <v>124</v>
      </c>
      <c r="L95" s="29">
        <v>0.109452054433236</v>
      </c>
      <c r="O95" s="7" t="s">
        <v>124</v>
      </c>
      <c r="P95" s="10">
        <v>33.445452945927599</v>
      </c>
      <c r="Q95" s="29">
        <f>VLOOKUP(CurrentMtgRatesDataTable84[[#This Row],[asofdate]],S:T,2,0)</f>
        <v>0.27125876006071098</v>
      </c>
      <c r="S95" s="7" t="s">
        <v>124</v>
      </c>
      <c r="T95" s="10">
        <v>0.27125876006071098</v>
      </c>
      <c r="W95" s="7" t="s">
        <v>124</v>
      </c>
      <c r="X95" s="10">
        <v>762.33703010731597</v>
      </c>
      <c r="Y95" s="26">
        <f>VLOOKUP(CurrentMtgRatesDataTable86[[#This Row],[asofdate]],AA:AB,2,0)</f>
        <v>7.9203464124255996E-2</v>
      </c>
      <c r="AA95" s="7" t="s">
        <v>124</v>
      </c>
      <c r="AB95" s="10">
        <v>7.9203464124255996E-2</v>
      </c>
      <c r="AE95" s="7" t="s">
        <v>90</v>
      </c>
      <c r="AF95" s="10">
        <v>2.6224449281782702E-2</v>
      </c>
      <c r="AG95" s="10" t="str">
        <f>YEAR(CurrentMtgRatesDataTable89[[#This Row],[asofdate]])&amp;"-"&amp;MONTH(CurrentMtgRatesDataTable89[[#This Row],[asofdate]])</f>
        <v>2008-1</v>
      </c>
      <c r="AH95" s="6">
        <f>((CurrentMtgRatesDataTable89[[#This Row],[SeriesNumValue]]-$D$1)/$D$1+1)*100</f>
        <v>174.82966187855135</v>
      </c>
      <c r="AI95" s="6">
        <f>CurrentMtgRatesDataTable89[[#This Row],[Index]]-AH96</f>
        <v>1.0152975630379899</v>
      </c>
      <c r="AJ95" s="6">
        <f>VLOOKUP(CurrentMtgRatesDataTable89[[#This Row],[asofdate]],G:H,2,0)</f>
        <v>83.855010424455898</v>
      </c>
      <c r="AK95" s="6">
        <f>VLOOKUP(CurrentMtgRatesDataTable89[[#This Row],[asofdate]],K:L,2,0)</f>
        <v>0.38124492460114701</v>
      </c>
      <c r="AL95" s="6">
        <f>VLOOKUP(CurrentMtgRatesDataTable89[[#This Row],[asofdate]],O:P,2,0)</f>
        <v>39.489843297243901</v>
      </c>
      <c r="AM95" s="6">
        <f>VLOOKUP(CurrentMtgRatesDataTable89[[#This Row],[asofdate]],S:T,2,0)</f>
        <v>0.32345590393991103</v>
      </c>
      <c r="AN95" s="6">
        <f>VLOOKUP(CurrentMtgRatesDataTable89[[#This Row],[asofdate]],W:X,2,0)</f>
        <v>725.61492638754305</v>
      </c>
      <c r="AO95" s="6">
        <f>VLOOKUP(CurrentMtgRatesDataTable89[[#This Row],[asofdate]],AA:AB,2,0)</f>
        <v>0.31873013143375201</v>
      </c>
    </row>
    <row r="96" spans="1:41" s="8" customFormat="1" ht="12.75">
      <c r="A96" s="7" t="s">
        <v>125</v>
      </c>
      <c r="B96" s="10">
        <v>1.1582100830378301E-2</v>
      </c>
      <c r="C96" s="10" t="str">
        <f>YEAR(CurrentMtgRatesDataTable8[[#This Row],[asofdate]])&amp;"-"&amp;MONTH(CurrentMtgRatesDataTable8[[#This Row],[asofdate]])</f>
        <v>2010-12</v>
      </c>
      <c r="D96" s="6">
        <f>((CurrentMtgRatesDataTable8[[#This Row],[SeriesNumValue]]-$D$1)/$D$1+1)*100</f>
        <v>77.214005535855335</v>
      </c>
      <c r="E96" s="6"/>
      <c r="G96" s="7" t="s">
        <v>125</v>
      </c>
      <c r="H96" s="10">
        <v>77.836804343145602</v>
      </c>
      <c r="I96" s="26">
        <f>VLOOKUP(CurrentMtgRatesDataTable82[[#This Row],[asofdate]],K:L,2,0)</f>
        <v>0.110069099887995</v>
      </c>
      <c r="K96" s="7" t="s">
        <v>125</v>
      </c>
      <c r="L96" s="29">
        <v>0.110069099887995</v>
      </c>
      <c r="O96" s="7" t="s">
        <v>125</v>
      </c>
      <c r="P96" s="10">
        <v>33.558006758585599</v>
      </c>
      <c r="Q96" s="29">
        <f>VLOOKUP(CurrentMtgRatesDataTable84[[#This Row],[asofdate]],S:T,2,0)</f>
        <v>0.27855563370943898</v>
      </c>
      <c r="S96" s="7" t="s">
        <v>125</v>
      </c>
      <c r="T96" s="10">
        <v>0.27855563370943898</v>
      </c>
      <c r="W96" s="7" t="s">
        <v>125</v>
      </c>
      <c r="X96" s="10">
        <v>762.66625999200903</v>
      </c>
      <c r="Y96" s="26">
        <f>VLOOKUP(CurrentMtgRatesDataTable86[[#This Row],[asofdate]],AA:AB,2,0)</f>
        <v>7.6528950060665193E-2</v>
      </c>
      <c r="AA96" s="7" t="s">
        <v>125</v>
      </c>
      <c r="AB96" s="10">
        <v>7.6528950060665193E-2</v>
      </c>
      <c r="AE96" s="7" t="s">
        <v>89</v>
      </c>
      <c r="AF96" s="10">
        <v>2.6072154647327001E-2</v>
      </c>
      <c r="AG96" s="10" t="str">
        <f>YEAR(CurrentMtgRatesDataTable89[[#This Row],[asofdate]])&amp;"-"&amp;MONTH(CurrentMtgRatesDataTable89[[#This Row],[asofdate]])</f>
        <v>2007-12</v>
      </c>
      <c r="AH96" s="6">
        <f>((CurrentMtgRatesDataTable89[[#This Row],[SeriesNumValue]]-$D$1)/$D$1+1)*100</f>
        <v>173.81436431551336</v>
      </c>
      <c r="AI96" s="6">
        <f>CurrentMtgRatesDataTable89[[#This Row],[Index]]-AH97</f>
        <v>1.4924642601760354</v>
      </c>
      <c r="AJ96" s="6">
        <f>VLOOKUP(CurrentMtgRatesDataTable89[[#This Row],[asofdate]],G:H,2,0)</f>
        <v>83.554435871280404</v>
      </c>
      <c r="AK96" s="6">
        <f>VLOOKUP(CurrentMtgRatesDataTable89[[#This Row],[asofdate]],K:L,2,0)</f>
        <v>0.37328154108915901</v>
      </c>
      <c r="AL96" s="6">
        <f>VLOOKUP(CurrentMtgRatesDataTable89[[#This Row],[asofdate]],O:P,2,0)</f>
        <v>39.579908349099497</v>
      </c>
      <c r="AM96" s="6">
        <f>VLOOKUP(CurrentMtgRatesDataTable89[[#This Row],[asofdate]],S:T,2,0)</f>
        <v>0.32737388737458001</v>
      </c>
      <c r="AN96" s="6">
        <f>VLOOKUP(CurrentMtgRatesDataTable89[[#This Row],[asofdate]],W:X,2,0)</f>
        <v>724.93962095695599</v>
      </c>
      <c r="AO96" s="6">
        <f>VLOOKUP(CurrentMtgRatesDataTable89[[#This Row],[asofdate]],AA:AB,2,0)</f>
        <v>0.32191401029786698</v>
      </c>
    </row>
    <row r="97" spans="1:41" s="8" customFormat="1" ht="12.75">
      <c r="A97" s="7" t="s">
        <v>126</v>
      </c>
      <c r="B97" s="10">
        <v>1.0418312786763599E-2</v>
      </c>
      <c r="C97" s="10" t="str">
        <f>YEAR(CurrentMtgRatesDataTable8[[#This Row],[asofdate]])&amp;"-"&amp;MONTH(CurrentMtgRatesDataTable8[[#This Row],[asofdate]])</f>
        <v>2011-1</v>
      </c>
      <c r="D97" s="6">
        <f>((CurrentMtgRatesDataTable8[[#This Row],[SeriesNumValue]]-$D$1)/$D$1+1)*100</f>
        <v>69.455418578424002</v>
      </c>
      <c r="E97" s="6"/>
      <c r="G97" s="7" t="s">
        <v>126</v>
      </c>
      <c r="H97" s="10">
        <v>77.940525422506795</v>
      </c>
      <c r="I97" s="26">
        <f>VLOOKUP(CurrentMtgRatesDataTable82[[#This Row],[asofdate]],K:L,2,0)</f>
        <v>0.11795265673854601</v>
      </c>
      <c r="K97" s="7" t="s">
        <v>126</v>
      </c>
      <c r="L97" s="29">
        <v>0.11795265673854601</v>
      </c>
      <c r="O97" s="7" t="s">
        <v>126</v>
      </c>
      <c r="P97" s="10">
        <v>33.489824219735901</v>
      </c>
      <c r="Q97" s="29">
        <f>VLOOKUP(CurrentMtgRatesDataTable84[[#This Row],[asofdate]],S:T,2,0)</f>
        <v>0.27245520416456698</v>
      </c>
      <c r="S97" s="7" t="s">
        <v>126</v>
      </c>
      <c r="T97" s="10">
        <v>0.27245520416456698</v>
      </c>
      <c r="W97" s="7" t="s">
        <v>126</v>
      </c>
      <c r="X97" s="10">
        <v>762.74630346408003</v>
      </c>
      <c r="Y97" s="26">
        <f>VLOOKUP(CurrentMtgRatesDataTable86[[#This Row],[asofdate]],AA:AB,2,0)</f>
        <v>7.5937613488361505E-2</v>
      </c>
      <c r="AA97" s="7" t="s">
        <v>126</v>
      </c>
      <c r="AB97" s="10">
        <v>7.5937613488361505E-2</v>
      </c>
      <c r="AE97" s="7" t="s">
        <v>88</v>
      </c>
      <c r="AF97" s="10">
        <v>2.5848285008300598E-2</v>
      </c>
      <c r="AG97" s="10" t="str">
        <f>YEAR(CurrentMtgRatesDataTable89[[#This Row],[asofdate]])&amp;"-"&amp;MONTH(CurrentMtgRatesDataTable89[[#This Row],[asofdate]])</f>
        <v>2007-11</v>
      </c>
      <c r="AH97" s="6">
        <f>((CurrentMtgRatesDataTable89[[#This Row],[SeriesNumValue]]-$D$1)/$D$1+1)*100</f>
        <v>172.32190005533732</v>
      </c>
      <c r="AI97" s="6">
        <f>CurrentMtgRatesDataTable89[[#This Row],[Index]]-AH98</f>
        <v>2.9904955249113243</v>
      </c>
      <c r="AJ97" s="6">
        <f>VLOOKUP(CurrentMtgRatesDataTable89[[#This Row],[asofdate]],G:H,2,0)</f>
        <v>83.598180227379302</v>
      </c>
      <c r="AK97" s="6">
        <f>VLOOKUP(CurrentMtgRatesDataTable89[[#This Row],[asofdate]],K:L,2,0)</f>
        <v>0.37325443173169698</v>
      </c>
      <c r="AL97" s="6">
        <f>VLOOKUP(CurrentMtgRatesDataTable89[[#This Row],[asofdate]],O:P,2,0)</f>
        <v>39.641727438885503</v>
      </c>
      <c r="AM97" s="6">
        <f>VLOOKUP(CurrentMtgRatesDataTable89[[#This Row],[asofdate]],S:T,2,0)</f>
        <v>0.33257685736857001</v>
      </c>
      <c r="AN97" s="6">
        <f>VLOOKUP(CurrentMtgRatesDataTable89[[#This Row],[asofdate]],W:X,2,0)</f>
        <v>724.06936828744904</v>
      </c>
      <c r="AO97" s="6">
        <f>VLOOKUP(CurrentMtgRatesDataTable89[[#This Row],[asofdate]],AA:AB,2,0)</f>
        <v>0.33276857859813502</v>
      </c>
    </row>
    <row r="98" spans="1:41" s="8" customFormat="1" ht="12.75">
      <c r="A98" s="7" t="s">
        <v>127</v>
      </c>
      <c r="B98" s="10">
        <v>1.01167964102732E-2</v>
      </c>
      <c r="C98" s="10" t="str">
        <f>YEAR(CurrentMtgRatesDataTable8[[#This Row],[asofdate]])&amp;"-"&amp;MONTH(CurrentMtgRatesDataTable8[[#This Row],[asofdate]])</f>
        <v>2011-2</v>
      </c>
      <c r="D98" s="6">
        <f>((CurrentMtgRatesDataTable8[[#This Row],[SeriesNumValue]]-$D$1)/$D$1+1)*100</f>
        <v>67.445309401821333</v>
      </c>
      <c r="E98" s="6"/>
      <c r="G98" s="7" t="s">
        <v>127</v>
      </c>
      <c r="H98" s="10">
        <v>77.808168115304795</v>
      </c>
      <c r="I98" s="26">
        <f>VLOOKUP(CurrentMtgRatesDataTable82[[#This Row],[asofdate]],K:L,2,0)</f>
        <v>0.120694975345314</v>
      </c>
      <c r="K98" s="7" t="s">
        <v>127</v>
      </c>
      <c r="L98" s="29">
        <v>0.120694975345314</v>
      </c>
      <c r="O98" s="7" t="s">
        <v>127</v>
      </c>
      <c r="P98" s="10">
        <v>33.893922973466999</v>
      </c>
      <c r="Q98" s="29">
        <f>VLOOKUP(CurrentMtgRatesDataTable84[[#This Row],[asofdate]],S:T,2,0)</f>
        <v>0.28761132381048299</v>
      </c>
      <c r="S98" s="7" t="s">
        <v>127</v>
      </c>
      <c r="T98" s="10">
        <v>0.28761132381048299</v>
      </c>
      <c r="W98" s="7" t="s">
        <v>127</v>
      </c>
      <c r="X98" s="10">
        <v>761.89442409042999</v>
      </c>
      <c r="Y98" s="26">
        <f>VLOOKUP(CurrentMtgRatesDataTable86[[#This Row],[asofdate]],AA:AB,2,0)</f>
        <v>8.1433463034412304E-2</v>
      </c>
      <c r="AA98" s="7" t="s">
        <v>127</v>
      </c>
      <c r="AB98" s="10">
        <v>8.1433463034412304E-2</v>
      </c>
      <c r="AE98" s="7" t="s">
        <v>87</v>
      </c>
      <c r="AF98" s="10">
        <v>2.5399710679563901E-2</v>
      </c>
      <c r="AG98" s="10" t="str">
        <f>YEAR(CurrentMtgRatesDataTable89[[#This Row],[asofdate]])&amp;"-"&amp;MONTH(CurrentMtgRatesDataTable89[[#This Row],[asofdate]])</f>
        <v>2007-10</v>
      </c>
      <c r="AH98" s="6">
        <f>((CurrentMtgRatesDataTable89[[#This Row],[SeriesNumValue]]-$D$1)/$D$1+1)*100</f>
        <v>169.331404530426</v>
      </c>
      <c r="AI98" s="6">
        <f>CurrentMtgRatesDataTable89[[#This Row],[Index]]-AH99</f>
        <v>14.007753034267978</v>
      </c>
      <c r="AJ98" s="6">
        <f>VLOOKUP(CurrentMtgRatesDataTable89[[#This Row],[asofdate]],G:H,2,0)</f>
        <v>83.087861444974493</v>
      </c>
      <c r="AK98" s="6">
        <f>VLOOKUP(CurrentMtgRatesDataTable89[[#This Row],[asofdate]],K:L,2,0)</f>
        <v>0.356078874246821</v>
      </c>
      <c r="AL98" s="6">
        <f>VLOOKUP(CurrentMtgRatesDataTable89[[#This Row],[asofdate]],O:P,2,0)</f>
        <v>39.155893606409002</v>
      </c>
      <c r="AM98" s="6">
        <f>VLOOKUP(CurrentMtgRatesDataTable89[[#This Row],[asofdate]],S:T,2,0)</f>
        <v>0.314858289438952</v>
      </c>
      <c r="AN98" s="6">
        <f>VLOOKUP(CurrentMtgRatesDataTable89[[#This Row],[asofdate]],W:X,2,0)</f>
        <v>725.21898138090398</v>
      </c>
      <c r="AO98" s="6">
        <f>VLOOKUP(CurrentMtgRatesDataTable89[[#This Row],[asofdate]],AA:AB,2,0)</f>
        <v>0.32561765464237102</v>
      </c>
    </row>
    <row r="99" spans="1:41" s="8" customFormat="1" ht="12.75">
      <c r="A99" s="7" t="s">
        <v>128</v>
      </c>
      <c r="B99" s="10">
        <v>1.10515396315222E-2</v>
      </c>
      <c r="C99" s="10" t="str">
        <f>YEAR(CurrentMtgRatesDataTable8[[#This Row],[asofdate]])&amp;"-"&amp;MONTH(CurrentMtgRatesDataTable8[[#This Row],[asofdate]])</f>
        <v>2011-3</v>
      </c>
      <c r="D99" s="6">
        <f>((CurrentMtgRatesDataTable8[[#This Row],[SeriesNumValue]]-$D$1)/$D$1+1)*100</f>
        <v>73.676930876814666</v>
      </c>
      <c r="E99" s="6"/>
      <c r="G99" s="7" t="s">
        <v>128</v>
      </c>
      <c r="H99" s="10">
        <v>77.637247427666907</v>
      </c>
      <c r="I99" s="26">
        <f>VLOOKUP(CurrentMtgRatesDataTable82[[#This Row],[asofdate]],K:L,2,0)</f>
        <v>0.11718407456528999</v>
      </c>
      <c r="K99" s="7" t="s">
        <v>128</v>
      </c>
      <c r="L99" s="29">
        <v>0.11718407456528999</v>
      </c>
      <c r="O99" s="7" t="s">
        <v>128</v>
      </c>
      <c r="P99" s="10">
        <v>34.494978806655404</v>
      </c>
      <c r="Q99" s="29">
        <f>VLOOKUP(CurrentMtgRatesDataTable84[[#This Row],[asofdate]],S:T,2,0)</f>
        <v>0.31323390844316201</v>
      </c>
      <c r="S99" s="7" t="s">
        <v>128</v>
      </c>
      <c r="T99" s="10">
        <v>0.31323390844316201</v>
      </c>
      <c r="W99" s="7" t="s">
        <v>128</v>
      </c>
      <c r="X99" s="10">
        <v>760.60763213048995</v>
      </c>
      <c r="Y99" s="26">
        <f>VLOOKUP(CurrentMtgRatesDataTable86[[#This Row],[asofdate]],AA:AB,2,0)</f>
        <v>8.6065611497949293E-2</v>
      </c>
      <c r="AA99" s="7" t="s">
        <v>128</v>
      </c>
      <c r="AB99" s="10">
        <v>8.6065611497949293E-2</v>
      </c>
      <c r="AE99" s="7" t="s">
        <v>86</v>
      </c>
      <c r="AF99" s="10">
        <v>2.3298547724423701E-2</v>
      </c>
      <c r="AG99" s="10" t="str">
        <f>YEAR(CurrentMtgRatesDataTable89[[#This Row],[asofdate]])&amp;"-"&amp;MONTH(CurrentMtgRatesDataTable89[[#This Row],[asofdate]])</f>
        <v>2007-9</v>
      </c>
      <c r="AH99" s="6">
        <f>((CurrentMtgRatesDataTable89[[#This Row],[SeriesNumValue]]-$D$1)/$D$1+1)*100</f>
        <v>155.32365149615802</v>
      </c>
      <c r="AI99" s="6">
        <f>CurrentMtgRatesDataTable89[[#This Row],[Index]]-AH100</f>
        <v>17.229269371458031</v>
      </c>
      <c r="AJ99" s="6">
        <f>VLOOKUP(CurrentMtgRatesDataTable89[[#This Row],[asofdate]],G:H,2,0)</f>
        <v>82.874350662137303</v>
      </c>
      <c r="AK99" s="6">
        <f>VLOOKUP(CurrentMtgRatesDataTable89[[#This Row],[asofdate]],K:L,2,0)</f>
        <v>0.33002145591068499</v>
      </c>
      <c r="AL99" s="6">
        <f>VLOOKUP(CurrentMtgRatesDataTable89[[#This Row],[asofdate]],O:P,2,0)</f>
        <v>39.279520130665098</v>
      </c>
      <c r="AM99" s="6">
        <f>VLOOKUP(CurrentMtgRatesDataTable89[[#This Row],[asofdate]],S:T,2,0)</f>
        <v>0.31798180334842602</v>
      </c>
      <c r="AN99" s="6">
        <f>VLOOKUP(CurrentMtgRatesDataTable89[[#This Row],[asofdate]],W:X,2,0)</f>
        <v>725.50573707449803</v>
      </c>
      <c r="AO99" s="6">
        <f>VLOOKUP(CurrentMtgRatesDataTable89[[#This Row],[asofdate]],AA:AB,2,0)</f>
        <v>0.32240974299630598</v>
      </c>
    </row>
    <row r="100" spans="1:41" s="8" customFormat="1" ht="12.75">
      <c r="A100" s="7" t="s">
        <v>129</v>
      </c>
      <c r="B100" s="10">
        <v>1.15246470908057E-2</v>
      </c>
      <c r="C100" s="10" t="str">
        <f>YEAR(CurrentMtgRatesDataTable8[[#This Row],[asofdate]])&amp;"-"&amp;MONTH(CurrentMtgRatesDataTable8[[#This Row],[asofdate]])</f>
        <v>2011-4</v>
      </c>
      <c r="D100" s="6">
        <f>((CurrentMtgRatesDataTable8[[#This Row],[SeriesNumValue]]-$D$1)/$D$1+1)*100</f>
        <v>76.830980605371352</v>
      </c>
      <c r="E100" s="6"/>
      <c r="G100" s="7" t="s">
        <v>129</v>
      </c>
      <c r="H100" s="10">
        <v>77.552398679092306</v>
      </c>
      <c r="I100" s="26">
        <f>VLOOKUP(CurrentMtgRatesDataTable82[[#This Row],[asofdate]],K:L,2,0)</f>
        <v>0.122639368656911</v>
      </c>
      <c r="K100" s="7" t="s">
        <v>129</v>
      </c>
      <c r="L100" s="29">
        <v>0.122639368656911</v>
      </c>
      <c r="O100" s="7" t="s">
        <v>129</v>
      </c>
      <c r="P100" s="10">
        <v>34.641342036050403</v>
      </c>
      <c r="Q100" s="29">
        <f>VLOOKUP(CurrentMtgRatesDataTable84[[#This Row],[asofdate]],S:T,2,0)</f>
        <v>0.31991524375353902</v>
      </c>
      <c r="S100" s="7" t="s">
        <v>129</v>
      </c>
      <c r="T100" s="10">
        <v>0.31991524375353902</v>
      </c>
      <c r="W100" s="7" t="s">
        <v>129</v>
      </c>
      <c r="X100" s="10">
        <v>759.50780417156102</v>
      </c>
      <c r="Y100" s="26">
        <f>VLOOKUP(CurrentMtgRatesDataTable86[[#This Row],[asofdate]],AA:AB,2,0)</f>
        <v>9.30252114514524E-2</v>
      </c>
      <c r="AA100" s="7" t="s">
        <v>129</v>
      </c>
      <c r="AB100" s="10">
        <v>9.30252114514524E-2</v>
      </c>
      <c r="AE100" s="7" t="s">
        <v>85</v>
      </c>
      <c r="AF100" s="10">
        <v>2.0714157318705E-2</v>
      </c>
      <c r="AG100" s="10" t="str">
        <f>YEAR(CurrentMtgRatesDataTable89[[#This Row],[asofdate]])&amp;"-"&amp;MONTH(CurrentMtgRatesDataTable89[[#This Row],[asofdate]])</f>
        <v>2007-8</v>
      </c>
      <c r="AH100" s="6">
        <f>((CurrentMtgRatesDataTable89[[#This Row],[SeriesNumValue]]-$D$1)/$D$1+1)*100</f>
        <v>138.09438212469999</v>
      </c>
      <c r="AI100" s="6">
        <f>CurrentMtgRatesDataTable89[[#This Row],[Index]]-AH101</f>
        <v>5.2330551800166347</v>
      </c>
      <c r="AJ100" s="6">
        <f>VLOOKUP(CurrentMtgRatesDataTable89[[#This Row],[asofdate]],G:H,2,0)</f>
        <v>82.723748146625795</v>
      </c>
      <c r="AK100" s="6">
        <f>VLOOKUP(CurrentMtgRatesDataTable89[[#This Row],[asofdate]],K:L,2,0)</f>
        <v>0.32255308239293201</v>
      </c>
      <c r="AL100" s="6">
        <f>VLOOKUP(CurrentMtgRatesDataTable89[[#This Row],[asofdate]],O:P,2,0)</f>
        <v>39.121730682626499</v>
      </c>
      <c r="AM100" s="6">
        <f>VLOOKUP(CurrentMtgRatesDataTable89[[#This Row],[asofdate]],S:T,2,0)</f>
        <v>0.31732347013787598</v>
      </c>
      <c r="AN100" s="6">
        <f>VLOOKUP(CurrentMtgRatesDataTable89[[#This Row],[asofdate]],W:X,2,0)</f>
        <v>724.80771850866597</v>
      </c>
      <c r="AO100" s="6">
        <f>VLOOKUP(CurrentMtgRatesDataTable89[[#This Row],[asofdate]],AA:AB,2,0)</f>
        <v>0.32695996607863698</v>
      </c>
    </row>
    <row r="101" spans="1:41" s="8" customFormat="1" ht="12.75">
      <c r="A101" s="7" t="s">
        <v>130</v>
      </c>
      <c r="B101" s="10">
        <v>1.24223115520012E-2</v>
      </c>
      <c r="C101" s="10" t="str">
        <f>YEAR(CurrentMtgRatesDataTable8[[#This Row],[asofdate]])&amp;"-"&amp;MONTH(CurrentMtgRatesDataTable8[[#This Row],[asofdate]])</f>
        <v>2011-5</v>
      </c>
      <c r="D101" s="6">
        <f>((CurrentMtgRatesDataTable8[[#This Row],[SeriesNumValue]]-$D$1)/$D$1+1)*100</f>
        <v>82.815410346674668</v>
      </c>
      <c r="E101" s="6"/>
      <c r="G101" s="7" t="s">
        <v>130</v>
      </c>
      <c r="H101" s="10">
        <v>77.980484209041606</v>
      </c>
      <c r="I101" s="26">
        <f>VLOOKUP(CurrentMtgRatesDataTable82[[#This Row],[asofdate]],K:L,2,0)</f>
        <v>0.12673005781397301</v>
      </c>
      <c r="K101" s="7" t="s">
        <v>130</v>
      </c>
      <c r="L101" s="29">
        <v>0.12673005781397301</v>
      </c>
      <c r="O101" s="7" t="s">
        <v>130</v>
      </c>
      <c r="P101" s="10">
        <v>34.674706461181003</v>
      </c>
      <c r="Q101" s="29">
        <f>VLOOKUP(CurrentMtgRatesDataTable84[[#This Row],[asofdate]],S:T,2,0)</f>
        <v>0.32153280838498299</v>
      </c>
      <c r="S101" s="7" t="s">
        <v>130</v>
      </c>
      <c r="T101" s="10">
        <v>0.32153280838498299</v>
      </c>
      <c r="W101" s="7" t="s">
        <v>130</v>
      </c>
      <c r="X101" s="10">
        <v>759.97563365075803</v>
      </c>
      <c r="Y101" s="26">
        <f>VLOOKUP(CurrentMtgRatesDataTable86[[#This Row],[asofdate]],AA:AB,2,0)</f>
        <v>9.1087970583949199E-2</v>
      </c>
      <c r="AA101" s="7" t="s">
        <v>130</v>
      </c>
      <c r="AB101" s="10">
        <v>9.1087970583949199E-2</v>
      </c>
      <c r="AE101" s="7" t="s">
        <v>84</v>
      </c>
      <c r="AF101" s="10">
        <v>1.9929199041702501E-2</v>
      </c>
      <c r="AG101" s="10" t="str">
        <f>YEAR(CurrentMtgRatesDataTable89[[#This Row],[asofdate]])&amp;"-"&amp;MONTH(CurrentMtgRatesDataTable89[[#This Row],[asofdate]])</f>
        <v>2007-7</v>
      </c>
      <c r="AH101" s="6">
        <f>((CurrentMtgRatesDataTable89[[#This Row],[SeriesNumValue]]-$D$1)/$D$1+1)*100</f>
        <v>132.86132694468336</v>
      </c>
      <c r="AI101" s="6">
        <f>CurrentMtgRatesDataTable89[[#This Row],[Index]]-AH102</f>
        <v>-4.9538617214599867</v>
      </c>
      <c r="AJ101" s="6">
        <f>VLOOKUP(CurrentMtgRatesDataTable89[[#This Row],[asofdate]],G:H,2,0)</f>
        <v>82.389980586884107</v>
      </c>
      <c r="AK101" s="6">
        <f>VLOOKUP(CurrentMtgRatesDataTable89[[#This Row],[asofdate]],K:L,2,0)</f>
        <v>0.307488257472122</v>
      </c>
      <c r="AL101" s="6">
        <f>VLOOKUP(CurrentMtgRatesDataTable89[[#This Row],[asofdate]],O:P,2,0)</f>
        <v>38.351984649126003</v>
      </c>
      <c r="AM101" s="6">
        <f>VLOOKUP(CurrentMtgRatesDataTable89[[#This Row],[asofdate]],S:T,2,0)</f>
        <v>0.300185432523705</v>
      </c>
      <c r="AN101" s="6">
        <f>VLOOKUP(CurrentMtgRatesDataTable89[[#This Row],[asofdate]],W:X,2,0)</f>
        <v>724.46402286812599</v>
      </c>
      <c r="AO101" s="6">
        <f>VLOOKUP(CurrentMtgRatesDataTable89[[#This Row],[asofdate]],AA:AB,2,0)</f>
        <v>0.32994785298319101</v>
      </c>
    </row>
    <row r="102" spans="1:41" s="8" customFormat="1" ht="12.75">
      <c r="A102" s="7" t="s">
        <v>131</v>
      </c>
      <c r="B102" s="10">
        <v>1.28257852491206E-2</v>
      </c>
      <c r="C102" s="10" t="str">
        <f>YEAR(CurrentMtgRatesDataTable8[[#This Row],[asofdate]])&amp;"-"&amp;MONTH(CurrentMtgRatesDataTable8[[#This Row],[asofdate]])</f>
        <v>2011-6</v>
      </c>
      <c r="D102" s="6">
        <f>((CurrentMtgRatesDataTable8[[#This Row],[SeriesNumValue]]-$D$1)/$D$1+1)*100</f>
        <v>85.505234994137339</v>
      </c>
      <c r="E102" s="6"/>
      <c r="G102" s="7" t="s">
        <v>131</v>
      </c>
      <c r="H102" s="10">
        <v>78.409888883979804</v>
      </c>
      <c r="I102" s="26">
        <f>VLOOKUP(CurrentMtgRatesDataTable82[[#This Row],[asofdate]],K:L,2,0)</f>
        <v>0.142076177959504</v>
      </c>
      <c r="K102" s="7" t="s">
        <v>131</v>
      </c>
      <c r="L102" s="29">
        <v>0.142076177959504</v>
      </c>
      <c r="O102" s="7" t="s">
        <v>131</v>
      </c>
      <c r="P102" s="10">
        <v>34.2529465324873</v>
      </c>
      <c r="Q102" s="29">
        <f>VLOOKUP(CurrentMtgRatesDataTable84[[#This Row],[asofdate]],S:T,2,0)</f>
        <v>0.29771300873224599</v>
      </c>
      <c r="S102" s="7" t="s">
        <v>131</v>
      </c>
      <c r="T102" s="10">
        <v>0.29771300873224599</v>
      </c>
      <c r="W102" s="7" t="s">
        <v>131</v>
      </c>
      <c r="X102" s="10">
        <v>760.82408923551498</v>
      </c>
      <c r="Y102" s="26">
        <f>VLOOKUP(CurrentMtgRatesDataTable86[[#This Row],[asofdate]],AA:AB,2,0)</f>
        <v>8.6597855232636606E-2</v>
      </c>
      <c r="AA102" s="7" t="s">
        <v>131</v>
      </c>
      <c r="AB102" s="10">
        <v>8.6597855232636606E-2</v>
      </c>
      <c r="AE102" s="7" t="s">
        <v>83</v>
      </c>
      <c r="AF102" s="10">
        <v>2.06722782999215E-2</v>
      </c>
      <c r="AG102" s="10" t="str">
        <f>YEAR(CurrentMtgRatesDataTable89[[#This Row],[asofdate]])&amp;"-"&amp;MONTH(CurrentMtgRatesDataTable89[[#This Row],[asofdate]])</f>
        <v>2007-6</v>
      </c>
      <c r="AH102" s="6">
        <f>((CurrentMtgRatesDataTable89[[#This Row],[SeriesNumValue]]-$D$1)/$D$1+1)*100</f>
        <v>137.81518866614334</v>
      </c>
      <c r="AI102" s="6">
        <f>CurrentMtgRatesDataTable89[[#This Row],[Index]]-AH103</f>
        <v>2.582213788185328</v>
      </c>
      <c r="AJ102" s="6">
        <f>VLOOKUP(CurrentMtgRatesDataTable89[[#This Row],[asofdate]],G:H,2,0)</f>
        <v>81.638859040765198</v>
      </c>
      <c r="AK102" s="6">
        <f>VLOOKUP(CurrentMtgRatesDataTable89[[#This Row],[asofdate]],K:L,2,0)</f>
        <v>0.27467745596276899</v>
      </c>
      <c r="AL102" s="6">
        <f>VLOOKUP(CurrentMtgRatesDataTable89[[#This Row],[asofdate]],O:P,2,0)</f>
        <v>37.925888931269299</v>
      </c>
      <c r="AM102" s="6">
        <f>VLOOKUP(CurrentMtgRatesDataTable89[[#This Row],[asofdate]],S:T,2,0)</f>
        <v>0.29479740023241902</v>
      </c>
      <c r="AN102" s="6">
        <f>VLOOKUP(CurrentMtgRatesDataTable89[[#This Row],[asofdate]],W:X,2,0)</f>
        <v>726.03849192935195</v>
      </c>
      <c r="AO102" s="6">
        <f>VLOOKUP(CurrentMtgRatesDataTable89[[#This Row],[asofdate]],AA:AB,2,0)</f>
        <v>0.31736070193891203</v>
      </c>
    </row>
    <row r="103" spans="1:41" s="8" customFormat="1" ht="12.75">
      <c r="A103" s="7" t="s">
        <v>132</v>
      </c>
      <c r="B103" s="10">
        <v>1.39403259481931E-2</v>
      </c>
      <c r="C103" s="10" t="str">
        <f>YEAR(CurrentMtgRatesDataTable8[[#This Row],[asofdate]])&amp;"-"&amp;MONTH(CurrentMtgRatesDataTable8[[#This Row],[asofdate]])</f>
        <v>2011-7</v>
      </c>
      <c r="D103" s="6">
        <f>((CurrentMtgRatesDataTable8[[#This Row],[SeriesNumValue]]-$D$1)/$D$1+1)*100</f>
        <v>92.935506321287349</v>
      </c>
      <c r="E103" s="6"/>
      <c r="G103" s="7" t="s">
        <v>132</v>
      </c>
      <c r="H103" s="10">
        <v>79.088148482736102</v>
      </c>
      <c r="I103" s="26">
        <f>VLOOKUP(CurrentMtgRatesDataTable82[[#This Row],[asofdate]],K:L,2,0)</f>
        <v>0.16308984472221</v>
      </c>
      <c r="K103" s="7" t="s">
        <v>132</v>
      </c>
      <c r="L103" s="29">
        <v>0.16308984472221</v>
      </c>
      <c r="O103" s="7" t="s">
        <v>132</v>
      </c>
      <c r="P103" s="10">
        <v>34.046479304029901</v>
      </c>
      <c r="Q103" s="29">
        <f>VLOOKUP(CurrentMtgRatesDataTable84[[#This Row],[asofdate]],S:T,2,0)</f>
        <v>0.28753119304577202</v>
      </c>
      <c r="S103" s="7" t="s">
        <v>132</v>
      </c>
      <c r="T103" s="10">
        <v>0.28753119304577202</v>
      </c>
      <c r="W103" s="7" t="s">
        <v>132</v>
      </c>
      <c r="X103" s="10">
        <v>760.10467062830696</v>
      </c>
      <c r="Y103" s="26">
        <f>VLOOKUP(CurrentMtgRatesDataTable86[[#This Row],[asofdate]],AA:AB,2,0)</f>
        <v>9.1379326760530996E-2</v>
      </c>
      <c r="AA103" s="7" t="s">
        <v>132</v>
      </c>
      <c r="AB103" s="10">
        <v>9.1379326760530996E-2</v>
      </c>
      <c r="AE103" s="7" t="s">
        <v>82</v>
      </c>
      <c r="AF103" s="10">
        <v>2.0284946231693701E-2</v>
      </c>
      <c r="AG103" s="10" t="str">
        <f>YEAR(CurrentMtgRatesDataTable89[[#This Row],[asofdate]])&amp;"-"&amp;MONTH(CurrentMtgRatesDataTable89[[#This Row],[asofdate]])</f>
        <v>2007-5</v>
      </c>
      <c r="AH103" s="6">
        <f>((CurrentMtgRatesDataTable89[[#This Row],[SeriesNumValue]]-$D$1)/$D$1+1)*100</f>
        <v>135.23297487795801</v>
      </c>
      <c r="AI103" s="6">
        <f>CurrentMtgRatesDataTable89[[#This Row],[Index]]-AH104</f>
        <v>3.0647218881340166</v>
      </c>
      <c r="AJ103" s="6">
        <f>VLOOKUP(CurrentMtgRatesDataTable89[[#This Row],[asofdate]],G:H,2,0)</f>
        <v>81.029584931334</v>
      </c>
      <c r="AK103" s="6">
        <f>VLOOKUP(CurrentMtgRatesDataTable89[[#This Row],[asofdate]],K:L,2,0)</f>
        <v>0.25075487270087099</v>
      </c>
      <c r="AL103" s="6">
        <f>VLOOKUP(CurrentMtgRatesDataTable89[[#This Row],[asofdate]],O:P,2,0)</f>
        <v>37.941075227250401</v>
      </c>
      <c r="AM103" s="6">
        <f>VLOOKUP(CurrentMtgRatesDataTable89[[#This Row],[asofdate]],S:T,2,0)</f>
        <v>0.29044045878201202</v>
      </c>
      <c r="AN103" s="6">
        <f>VLOOKUP(CurrentMtgRatesDataTable89[[#This Row],[asofdate]],W:X,2,0)</f>
        <v>726.66837558813302</v>
      </c>
      <c r="AO103" s="6">
        <f>VLOOKUP(CurrentMtgRatesDataTable89[[#This Row],[asofdate]],AA:AB,2,0)</f>
        <v>0.31243119456729701</v>
      </c>
    </row>
    <row r="104" spans="1:41" s="8" customFormat="1" ht="12.75">
      <c r="A104" s="7" t="s">
        <v>133</v>
      </c>
      <c r="B104" s="10">
        <v>1.34411536056156E-2</v>
      </c>
      <c r="C104" s="10" t="str">
        <f>YEAR(CurrentMtgRatesDataTable8[[#This Row],[asofdate]])&amp;"-"&amp;MONTH(CurrentMtgRatesDataTable8[[#This Row],[asofdate]])</f>
        <v>2011-8</v>
      </c>
      <c r="D104" s="6">
        <f>((CurrentMtgRatesDataTable8[[#This Row],[SeriesNumValue]]-$D$1)/$D$1+1)*100</f>
        <v>89.607690704104002</v>
      </c>
      <c r="E104" s="6"/>
      <c r="G104" s="7" t="s">
        <v>133</v>
      </c>
      <c r="H104" s="10">
        <v>79.406161699896799</v>
      </c>
      <c r="I104" s="26">
        <f>VLOOKUP(CurrentMtgRatesDataTable82[[#This Row],[asofdate]],K:L,2,0)</f>
        <v>0.17186683030413899</v>
      </c>
      <c r="K104" s="7" t="s">
        <v>133</v>
      </c>
      <c r="L104" s="29">
        <v>0.17186683030413899</v>
      </c>
      <c r="O104" s="7" t="s">
        <v>133</v>
      </c>
      <c r="P104" s="10">
        <v>33.865990712292998</v>
      </c>
      <c r="Q104" s="29">
        <f>VLOOKUP(CurrentMtgRatesDataTable84[[#This Row],[asofdate]],S:T,2,0)</f>
        <v>0.27877098117541399</v>
      </c>
      <c r="S104" s="7" t="s">
        <v>133</v>
      </c>
      <c r="T104" s="10">
        <v>0.27877098117541399</v>
      </c>
      <c r="W104" s="7" t="s">
        <v>133</v>
      </c>
      <c r="X104" s="10">
        <v>760.114475926419</v>
      </c>
      <c r="Y104" s="26">
        <f>VLOOKUP(CurrentMtgRatesDataTable86[[#This Row],[asofdate]],AA:AB,2,0)</f>
        <v>9.1570324856227001E-2</v>
      </c>
      <c r="AA104" s="7" t="s">
        <v>133</v>
      </c>
      <c r="AB104" s="10">
        <v>9.1570324856227001E-2</v>
      </c>
      <c r="AE104" s="7" t="s">
        <v>81</v>
      </c>
      <c r="AF104" s="10">
        <v>1.9825237948473601E-2</v>
      </c>
      <c r="AG104" s="10" t="str">
        <f>YEAR(CurrentMtgRatesDataTable89[[#This Row],[asofdate]])&amp;"-"&amp;MONTH(CurrentMtgRatesDataTable89[[#This Row],[asofdate]])</f>
        <v>2007-4</v>
      </c>
      <c r="AH104" s="6">
        <f>((CurrentMtgRatesDataTable89[[#This Row],[SeriesNumValue]]-$D$1)/$D$1+1)*100</f>
        <v>132.168252989824</v>
      </c>
      <c r="AI104" s="6">
        <f>CurrentMtgRatesDataTable89[[#This Row],[Index]]-AH105</f>
        <v>10.989575304721996</v>
      </c>
      <c r="AJ104" s="6">
        <f>VLOOKUP(CurrentMtgRatesDataTable89[[#This Row],[asofdate]],G:H,2,0)</f>
        <v>80.627500828568799</v>
      </c>
      <c r="AK104" s="6">
        <f>VLOOKUP(CurrentMtgRatesDataTable89[[#This Row],[asofdate]],K:L,2,0)</f>
        <v>0.23336175068755199</v>
      </c>
      <c r="AL104" s="6">
        <f>VLOOKUP(CurrentMtgRatesDataTable89[[#This Row],[asofdate]],O:P,2,0)</f>
        <v>37.946752928057499</v>
      </c>
      <c r="AM104" s="6">
        <f>VLOOKUP(CurrentMtgRatesDataTable89[[#This Row],[asofdate]],S:T,2,0)</f>
        <v>0.27418324865767502</v>
      </c>
      <c r="AN104" s="6">
        <f>VLOOKUP(CurrentMtgRatesDataTable89[[#This Row],[asofdate]],W:X,2,0)</f>
        <v>728.07226394657005</v>
      </c>
      <c r="AO104" s="6">
        <f>VLOOKUP(CurrentMtgRatesDataTable89[[#This Row],[asofdate]],AA:AB,2,0)</f>
        <v>0.30117036754250298</v>
      </c>
    </row>
    <row r="105" spans="1:41" s="8" customFormat="1" ht="12.75">
      <c r="A105" s="7" t="s">
        <v>134</v>
      </c>
      <c r="B105" s="10">
        <v>1.4107184425189099E-2</v>
      </c>
      <c r="C105" s="10" t="str">
        <f>YEAR(CurrentMtgRatesDataTable8[[#This Row],[asofdate]])&amp;"-"&amp;MONTH(CurrentMtgRatesDataTable8[[#This Row],[asofdate]])</f>
        <v>2011-9</v>
      </c>
      <c r="D105" s="6">
        <f>((CurrentMtgRatesDataTable8[[#This Row],[SeriesNumValue]]-$D$1)/$D$1+1)*100</f>
        <v>94.047896167927334</v>
      </c>
      <c r="E105" s="6"/>
      <c r="G105" s="7" t="s">
        <v>134</v>
      </c>
      <c r="H105" s="10">
        <v>79.891482431871296</v>
      </c>
      <c r="I105" s="26">
        <f>VLOOKUP(CurrentMtgRatesDataTable82[[#This Row],[asofdate]],K:L,2,0)</f>
        <v>0.182786101755845</v>
      </c>
      <c r="K105" s="7" t="s">
        <v>134</v>
      </c>
      <c r="L105" s="29">
        <v>0.182786101755845</v>
      </c>
      <c r="O105" s="7" t="s">
        <v>134</v>
      </c>
      <c r="P105" s="10">
        <v>33.922965911430097</v>
      </c>
      <c r="Q105" s="29">
        <f>VLOOKUP(CurrentMtgRatesDataTable84[[#This Row],[asofdate]],S:T,2,0)</f>
        <v>0.28109165813664899</v>
      </c>
      <c r="S105" s="7" t="s">
        <v>134</v>
      </c>
      <c r="T105" s="10">
        <v>0.28109165813664899</v>
      </c>
      <c r="W105" s="7" t="s">
        <v>134</v>
      </c>
      <c r="X105" s="10">
        <v>759.69175189800796</v>
      </c>
      <c r="Y105" s="26">
        <f>VLOOKUP(CurrentMtgRatesDataTable86[[#This Row],[asofdate]],AA:AB,2,0)</f>
        <v>9.43825422999338E-2</v>
      </c>
      <c r="AA105" s="7" t="s">
        <v>134</v>
      </c>
      <c r="AB105" s="10">
        <v>9.43825422999338E-2</v>
      </c>
      <c r="AE105" s="7" t="s">
        <v>80</v>
      </c>
      <c r="AF105" s="10">
        <v>1.81768016527653E-2</v>
      </c>
      <c r="AG105" s="10" t="str">
        <f>YEAR(CurrentMtgRatesDataTable89[[#This Row],[asofdate]])&amp;"-"&amp;MONTH(CurrentMtgRatesDataTable89[[#This Row],[asofdate]])</f>
        <v>2007-3</v>
      </c>
      <c r="AH105" s="6">
        <f>((CurrentMtgRatesDataTable89[[#This Row],[SeriesNumValue]]-$D$1)/$D$1+1)*100</f>
        <v>121.178677685102</v>
      </c>
      <c r="AI105" s="6">
        <f>CurrentMtgRatesDataTable89[[#This Row],[Index]]-AH106</f>
        <v>2.735946589965323</v>
      </c>
      <c r="AJ105" s="6">
        <f>VLOOKUP(CurrentMtgRatesDataTable89[[#This Row],[asofdate]],G:H,2,0)</f>
        <v>80.020235794904707</v>
      </c>
      <c r="AK105" s="6">
        <f>VLOOKUP(CurrentMtgRatesDataTable89[[#This Row],[asofdate]],K:L,2,0)</f>
        <v>0.21711470398919</v>
      </c>
      <c r="AL105" s="6">
        <f>VLOOKUP(CurrentMtgRatesDataTable89[[#This Row],[asofdate]],O:P,2,0)</f>
        <v>37.728098878721802</v>
      </c>
      <c r="AM105" s="6">
        <f>VLOOKUP(CurrentMtgRatesDataTable89[[#This Row],[asofdate]],S:T,2,0)</f>
        <v>0.28268064836849399</v>
      </c>
      <c r="AN105" s="6">
        <f>VLOOKUP(CurrentMtgRatesDataTable89[[#This Row],[asofdate]],W:X,2,0)</f>
        <v>728.76678623201099</v>
      </c>
      <c r="AO105" s="6">
        <f>VLOOKUP(CurrentMtgRatesDataTable89[[#This Row],[asofdate]],AA:AB,2,0)</f>
        <v>0.29421874120147201</v>
      </c>
    </row>
    <row r="106" spans="1:41" s="8" customFormat="1" ht="12.75">
      <c r="A106" s="7" t="s">
        <v>135</v>
      </c>
      <c r="B106" s="10">
        <v>1.50634818904279E-2</v>
      </c>
      <c r="C106" s="10" t="str">
        <f>YEAR(CurrentMtgRatesDataTable8[[#This Row],[asofdate]])&amp;"-"&amp;MONTH(CurrentMtgRatesDataTable8[[#This Row],[asofdate]])</f>
        <v>2011-10</v>
      </c>
      <c r="D106" s="6">
        <f>((CurrentMtgRatesDataTable8[[#This Row],[SeriesNumValue]]-$D$1)/$D$1+1)*100</f>
        <v>100.42321260285267</v>
      </c>
      <c r="E106" s="6"/>
      <c r="G106" s="7" t="s">
        <v>135</v>
      </c>
      <c r="H106" s="10">
        <v>79.994596225229003</v>
      </c>
      <c r="I106" s="26">
        <f>VLOOKUP(CurrentMtgRatesDataTable82[[#This Row],[asofdate]],K:L,2,0)</f>
        <v>0.19113361076392199</v>
      </c>
      <c r="K106" s="7" t="s">
        <v>135</v>
      </c>
      <c r="L106" s="29">
        <v>0.19113361076392199</v>
      </c>
      <c r="O106" s="7" t="s">
        <v>135</v>
      </c>
      <c r="P106" s="10">
        <v>33.813961578510003</v>
      </c>
      <c r="Q106" s="29">
        <f>VLOOKUP(CurrentMtgRatesDataTable84[[#This Row],[asofdate]],S:T,2,0)</f>
        <v>0.28077167132175201</v>
      </c>
      <c r="S106" s="7" t="s">
        <v>135</v>
      </c>
      <c r="T106" s="10">
        <v>0.28077167132175201</v>
      </c>
      <c r="W106" s="7" t="s">
        <v>135</v>
      </c>
      <c r="X106" s="10">
        <v>759.31450166280899</v>
      </c>
      <c r="Y106" s="26">
        <f>VLOOKUP(CurrentMtgRatesDataTable86[[#This Row],[asofdate]],AA:AB,2,0)</f>
        <v>9.5221320930123698E-2</v>
      </c>
      <c r="AA106" s="7" t="s">
        <v>135</v>
      </c>
      <c r="AB106" s="10">
        <v>9.5221320930123698E-2</v>
      </c>
      <c r="AE106" s="7" t="s">
        <v>79</v>
      </c>
      <c r="AF106" s="10">
        <v>1.77664096642705E-2</v>
      </c>
      <c r="AG106" s="10" t="str">
        <f>YEAR(CurrentMtgRatesDataTable89[[#This Row],[asofdate]])&amp;"-"&amp;MONTH(CurrentMtgRatesDataTable89[[#This Row],[asofdate]])</f>
        <v>2007-2</v>
      </c>
      <c r="AH106" s="6">
        <f>((CurrentMtgRatesDataTable89[[#This Row],[SeriesNumValue]]-$D$1)/$D$1+1)*100</f>
        <v>118.44273109513668</v>
      </c>
      <c r="AI106" s="6">
        <f>CurrentMtgRatesDataTable89[[#This Row],[Index]]-AH107</f>
        <v>-6.9214801024640025</v>
      </c>
      <c r="AJ106" s="6">
        <f>VLOOKUP(CurrentMtgRatesDataTable89[[#This Row],[asofdate]],G:H,2,0)</f>
        <v>79.719160694476898</v>
      </c>
      <c r="AK106" s="6">
        <f>VLOOKUP(CurrentMtgRatesDataTable89[[#This Row],[asofdate]],K:L,2,0)</f>
        <v>0.20262390105173</v>
      </c>
      <c r="AL106" s="6">
        <f>VLOOKUP(CurrentMtgRatesDataTable89[[#This Row],[asofdate]],O:P,2,0)</f>
        <v>37.816267865963702</v>
      </c>
      <c r="AM106" s="6">
        <f>VLOOKUP(CurrentMtgRatesDataTable89[[#This Row],[asofdate]],S:T,2,0)</f>
        <v>0.28314346572504001</v>
      </c>
      <c r="AN106" s="6">
        <f>VLOOKUP(CurrentMtgRatesDataTable89[[#This Row],[asofdate]],W:X,2,0)</f>
        <v>729.67566684049098</v>
      </c>
      <c r="AO106" s="6">
        <f>VLOOKUP(CurrentMtgRatesDataTable89[[#This Row],[asofdate]],AA:AB,2,0)</f>
        <v>0.28970756977075302</v>
      </c>
    </row>
    <row r="107" spans="1:41" s="8" customFormat="1" ht="12.75">
      <c r="A107" s="7" t="s">
        <v>136</v>
      </c>
      <c r="B107" s="10">
        <v>1.41697690866889E-2</v>
      </c>
      <c r="C107" s="10" t="str">
        <f>YEAR(CurrentMtgRatesDataTable8[[#This Row],[asofdate]])&amp;"-"&amp;MONTH(CurrentMtgRatesDataTable8[[#This Row],[asofdate]])</f>
        <v>2011-11</v>
      </c>
      <c r="D107" s="6">
        <f>((CurrentMtgRatesDataTable8[[#This Row],[SeriesNumValue]]-$D$1)/$D$1+1)*100</f>
        <v>94.465127244592665</v>
      </c>
      <c r="E107" s="6"/>
      <c r="G107" s="7" t="s">
        <v>136</v>
      </c>
      <c r="H107" s="10">
        <v>79.992386273642197</v>
      </c>
      <c r="I107" s="26">
        <f>VLOOKUP(CurrentMtgRatesDataTable82[[#This Row],[asofdate]],K:L,2,0)</f>
        <v>0.19682779655410601</v>
      </c>
      <c r="K107" s="7" t="s">
        <v>136</v>
      </c>
      <c r="L107" s="29">
        <v>0.19682779655410601</v>
      </c>
      <c r="O107" s="7" t="s">
        <v>136</v>
      </c>
      <c r="P107" s="10">
        <v>33.733100423047397</v>
      </c>
      <c r="Q107" s="29">
        <f>VLOOKUP(CurrentMtgRatesDataTable84[[#This Row],[asofdate]],S:T,2,0)</f>
        <v>0.272868235888234</v>
      </c>
      <c r="S107" s="7" t="s">
        <v>136</v>
      </c>
      <c r="T107" s="10">
        <v>0.272868235888234</v>
      </c>
      <c r="W107" s="7" t="s">
        <v>136</v>
      </c>
      <c r="X107" s="10">
        <v>760.12898812549099</v>
      </c>
      <c r="Y107" s="26">
        <f>VLOOKUP(CurrentMtgRatesDataTable86[[#This Row],[asofdate]],AA:AB,2,0)</f>
        <v>9.1539702824597793E-2</v>
      </c>
      <c r="AA107" s="7" t="s">
        <v>136</v>
      </c>
      <c r="AB107" s="10">
        <v>9.1539702824597793E-2</v>
      </c>
      <c r="AE107" s="7" t="s">
        <v>78</v>
      </c>
      <c r="AF107" s="10">
        <v>1.88046316796401E-2</v>
      </c>
      <c r="AG107" s="10" t="str">
        <f>YEAR(CurrentMtgRatesDataTable89[[#This Row],[asofdate]])&amp;"-"&amp;MONTH(CurrentMtgRatesDataTable89[[#This Row],[asofdate]])</f>
        <v>2007-1</v>
      </c>
      <c r="AH107" s="6">
        <f>((CurrentMtgRatesDataTable89[[#This Row],[SeriesNumValue]]-$D$1)/$D$1+1)*100</f>
        <v>125.36421119760068</v>
      </c>
      <c r="AI107" s="6">
        <f>CurrentMtgRatesDataTable89[[#This Row],[Index]]-AH108</f>
        <v>4.1690730414433403</v>
      </c>
      <c r="AJ107" s="6">
        <f>VLOOKUP(CurrentMtgRatesDataTable89[[#This Row],[asofdate]],G:H,2,0)</f>
        <v>79.416377830387304</v>
      </c>
      <c r="AK107" s="6">
        <f>VLOOKUP(CurrentMtgRatesDataTable89[[#This Row],[asofdate]],K:L,2,0)</f>
        <v>0.19384333429729</v>
      </c>
      <c r="AL107" s="6">
        <f>VLOOKUP(CurrentMtgRatesDataTable89[[#This Row],[asofdate]],O:P,2,0)</f>
        <v>37.718068546956403</v>
      </c>
      <c r="AM107" s="6">
        <f>VLOOKUP(CurrentMtgRatesDataTable89[[#This Row],[asofdate]],S:T,2,0)</f>
        <v>0.27954455441237602</v>
      </c>
      <c r="AN107" s="6">
        <f>VLOOKUP(CurrentMtgRatesDataTable89[[#This Row],[asofdate]],W:X,2,0)</f>
        <v>730.47654115547095</v>
      </c>
      <c r="AO107" s="6">
        <f>VLOOKUP(CurrentMtgRatesDataTable89[[#This Row],[asofdate]],AA:AB,2,0)</f>
        <v>0.28268598353770003</v>
      </c>
    </row>
    <row r="108" spans="1:41" s="8" customFormat="1" ht="12.75">
      <c r="A108" s="7" t="s">
        <v>137</v>
      </c>
      <c r="B108" s="10">
        <v>1.3527695791264701E-2</v>
      </c>
      <c r="C108" s="10" t="str">
        <f>YEAR(CurrentMtgRatesDataTable8[[#This Row],[asofdate]])&amp;"-"&amp;MONTH(CurrentMtgRatesDataTable8[[#This Row],[asofdate]])</f>
        <v>2011-12</v>
      </c>
      <c r="D108" s="6">
        <f>((CurrentMtgRatesDataTable8[[#This Row],[SeriesNumValue]]-$D$1)/$D$1+1)*100</f>
        <v>90.184638608431342</v>
      </c>
      <c r="E108" s="6"/>
      <c r="G108" s="7" t="s">
        <v>137</v>
      </c>
      <c r="H108" s="10">
        <v>79.981224078938595</v>
      </c>
      <c r="I108" s="26">
        <f>VLOOKUP(CurrentMtgRatesDataTable82[[#This Row],[asofdate]],K:L,2,0)</f>
        <v>0.19888714369615601</v>
      </c>
      <c r="K108" s="7" t="s">
        <v>137</v>
      </c>
      <c r="L108" s="29">
        <v>0.19888714369615601</v>
      </c>
      <c r="O108" s="7" t="s">
        <v>137</v>
      </c>
      <c r="P108" s="10">
        <v>33.656293538021998</v>
      </c>
      <c r="Q108" s="29">
        <f>VLOOKUP(CurrentMtgRatesDataTable84[[#This Row],[asofdate]],S:T,2,0)</f>
        <v>0.27520420343907298</v>
      </c>
      <c r="S108" s="7" t="s">
        <v>137</v>
      </c>
      <c r="T108" s="10">
        <v>0.27520420343907298</v>
      </c>
      <c r="W108" s="7" t="s">
        <v>137</v>
      </c>
      <c r="X108" s="10">
        <v>760.09678534465195</v>
      </c>
      <c r="Y108" s="26">
        <f>VLOOKUP(CurrentMtgRatesDataTable86[[#This Row],[asofdate]],AA:AB,2,0)</f>
        <v>9.1987894872550005E-2</v>
      </c>
      <c r="AA108" s="7" t="s">
        <v>137</v>
      </c>
      <c r="AB108" s="10">
        <v>9.1987894872550005E-2</v>
      </c>
      <c r="AE108" s="7" t="s">
        <v>77</v>
      </c>
      <c r="AF108" s="10">
        <v>1.81792707234236E-2</v>
      </c>
      <c r="AG108" s="10" t="str">
        <f>YEAR(CurrentMtgRatesDataTable89[[#This Row],[asofdate]])&amp;"-"&amp;MONTH(CurrentMtgRatesDataTable89[[#This Row],[asofdate]])</f>
        <v>2006-12</v>
      </c>
      <c r="AH108" s="6">
        <f>((CurrentMtgRatesDataTable89[[#This Row],[SeriesNumValue]]-$D$1)/$D$1+1)*100</f>
        <v>121.19513815615734</v>
      </c>
      <c r="AI108" s="6">
        <f>CurrentMtgRatesDataTable89[[#This Row],[Index]]-AH109</f>
        <v>-1.0660108331313438</v>
      </c>
      <c r="AJ108" s="6">
        <f>VLOOKUP(CurrentMtgRatesDataTable89[[#This Row],[asofdate]],G:H,2,0)</f>
        <v>79.313851596089094</v>
      </c>
      <c r="AK108" s="6">
        <f>VLOOKUP(CurrentMtgRatesDataTable89[[#This Row],[asofdate]],K:L,2,0)</f>
        <v>0.18937465803638501</v>
      </c>
      <c r="AL108" s="6">
        <f>VLOOKUP(CurrentMtgRatesDataTable89[[#This Row],[asofdate]],O:P,2,0)</f>
        <v>37.784179381196402</v>
      </c>
      <c r="AM108" s="6">
        <f>VLOOKUP(CurrentMtgRatesDataTable89[[#This Row],[asofdate]],S:T,2,0)</f>
        <v>0.28453423916155701</v>
      </c>
      <c r="AN108" s="6">
        <f>VLOOKUP(CurrentMtgRatesDataTable89[[#This Row],[asofdate]],W:X,2,0)</f>
        <v>730.60339826042502</v>
      </c>
      <c r="AO108" s="6">
        <f>VLOOKUP(CurrentMtgRatesDataTable89[[#This Row],[asofdate]],AA:AB,2,0)</f>
        <v>0.28243744033441398</v>
      </c>
    </row>
    <row r="109" spans="1:41" s="8" customFormat="1" ht="12.75">
      <c r="A109" s="7" t="s">
        <v>138</v>
      </c>
      <c r="B109" s="10">
        <v>1.3651022269579699E-2</v>
      </c>
      <c r="C109" s="10" t="str">
        <f>YEAR(CurrentMtgRatesDataTable8[[#This Row],[asofdate]])&amp;"-"&amp;MONTH(CurrentMtgRatesDataTable8[[#This Row],[asofdate]])</f>
        <v>2012-1</v>
      </c>
      <c r="D109" s="6">
        <f>((CurrentMtgRatesDataTable8[[#This Row],[SeriesNumValue]]-$D$1)/$D$1+1)*100</f>
        <v>91.006815130531322</v>
      </c>
      <c r="E109" s="6"/>
      <c r="G109" s="7" t="s">
        <v>138</v>
      </c>
      <c r="H109" s="10">
        <v>79.742560564501602</v>
      </c>
      <c r="I109" s="26">
        <f>VLOOKUP(CurrentMtgRatesDataTable82[[#This Row],[asofdate]],K:L,2,0)</f>
        <v>0.19475828223912001</v>
      </c>
      <c r="K109" s="7" t="s">
        <v>138</v>
      </c>
      <c r="L109" s="29">
        <v>0.19475828223912001</v>
      </c>
      <c r="O109" s="7" t="s">
        <v>138</v>
      </c>
      <c r="P109" s="10">
        <v>33.654947487508103</v>
      </c>
      <c r="Q109" s="29">
        <f>VLOOKUP(CurrentMtgRatesDataTable84[[#This Row],[asofdate]],S:T,2,0)</f>
        <v>0.27064704793311001</v>
      </c>
      <c r="S109" s="7" t="s">
        <v>138</v>
      </c>
      <c r="T109" s="10">
        <v>0.27064704793311001</v>
      </c>
      <c r="W109" s="7" t="s">
        <v>138</v>
      </c>
      <c r="X109" s="10">
        <v>760.81703076159499</v>
      </c>
      <c r="Y109" s="26">
        <f>VLOOKUP(CurrentMtgRatesDataTable86[[#This Row],[asofdate]],AA:AB,2,0)</f>
        <v>8.7258854496687799E-2</v>
      </c>
      <c r="AA109" s="7" t="s">
        <v>138</v>
      </c>
      <c r="AB109" s="10">
        <v>8.7258854496687799E-2</v>
      </c>
      <c r="AE109" s="7" t="s">
        <v>76</v>
      </c>
      <c r="AF109" s="10">
        <v>1.8339172348393301E-2</v>
      </c>
      <c r="AG109" s="10" t="str">
        <f>YEAR(CurrentMtgRatesDataTable89[[#This Row],[asofdate]])&amp;"-"&amp;MONTH(CurrentMtgRatesDataTable89[[#This Row],[asofdate]])</f>
        <v>2006-11</v>
      </c>
      <c r="AH109" s="6">
        <f>((CurrentMtgRatesDataTable89[[#This Row],[SeriesNumValue]]-$D$1)/$D$1+1)*100</f>
        <v>122.26114898928869</v>
      </c>
      <c r="AI109" s="6">
        <f>CurrentMtgRatesDataTable89[[#This Row],[Index]]-AH110</f>
        <v>-3.2907798786333302</v>
      </c>
      <c r="AJ109" s="6">
        <f>VLOOKUP(CurrentMtgRatesDataTable89[[#This Row],[asofdate]],G:H,2,0)</f>
        <v>79.427172495690101</v>
      </c>
      <c r="AK109" s="6">
        <f>VLOOKUP(CurrentMtgRatesDataTable89[[#This Row],[asofdate]],K:L,2,0)</f>
        <v>0.19239457049420899</v>
      </c>
      <c r="AL109" s="6">
        <f>VLOOKUP(CurrentMtgRatesDataTable89[[#This Row],[asofdate]],O:P,2,0)</f>
        <v>37.885607199262502</v>
      </c>
      <c r="AM109" s="6">
        <f>VLOOKUP(CurrentMtgRatesDataTable89[[#This Row],[asofdate]],S:T,2,0)</f>
        <v>0.27141833470725502</v>
      </c>
      <c r="AN109" s="6">
        <f>VLOOKUP(CurrentMtgRatesDataTable89[[#This Row],[asofdate]],W:X,2,0)</f>
        <v>730.386657340532</v>
      </c>
      <c r="AO109" s="6">
        <f>VLOOKUP(CurrentMtgRatesDataTable89[[#This Row],[asofdate]],AA:AB,2,0)</f>
        <v>0.28214362863015702</v>
      </c>
    </row>
    <row r="110" spans="1:41" s="8" customFormat="1" ht="12.75">
      <c r="A110" s="7" t="s">
        <v>139</v>
      </c>
      <c r="B110" s="10">
        <v>1.34731893048365E-2</v>
      </c>
      <c r="C110" s="10" t="str">
        <f>YEAR(CurrentMtgRatesDataTable8[[#This Row],[asofdate]])&amp;"-"&amp;MONTH(CurrentMtgRatesDataTable8[[#This Row],[asofdate]])</f>
        <v>2012-2</v>
      </c>
      <c r="D110" s="6">
        <f>((CurrentMtgRatesDataTable8[[#This Row],[SeriesNumValue]]-$D$1)/$D$1+1)*100</f>
        <v>89.821262032243325</v>
      </c>
      <c r="E110" s="6"/>
      <c r="G110" s="7" t="s">
        <v>139</v>
      </c>
      <c r="H110" s="10">
        <v>79.576164154337704</v>
      </c>
      <c r="I110" s="26">
        <f>VLOOKUP(CurrentMtgRatesDataTable82[[#This Row],[asofdate]],K:L,2,0)</f>
        <v>0.189625458590022</v>
      </c>
      <c r="K110" s="7" t="s">
        <v>139</v>
      </c>
      <c r="L110" s="29">
        <v>0.189625458590022</v>
      </c>
      <c r="O110" s="7" t="s">
        <v>139</v>
      </c>
      <c r="P110" s="10">
        <v>33.616267334128999</v>
      </c>
      <c r="Q110" s="29">
        <f>VLOOKUP(CurrentMtgRatesDataTable84[[#This Row],[asofdate]],S:T,2,0)</f>
        <v>0.26106465585479299</v>
      </c>
      <c r="S110" s="7" t="s">
        <v>139</v>
      </c>
      <c r="T110" s="10">
        <v>0.26106465585479299</v>
      </c>
      <c r="W110" s="7" t="s">
        <v>139</v>
      </c>
      <c r="X110" s="10">
        <v>761.114001068123</v>
      </c>
      <c r="Y110" s="26">
        <f>VLOOKUP(CurrentMtgRatesDataTable86[[#This Row],[asofdate]],AA:AB,2,0)</f>
        <v>8.6142454759982098E-2</v>
      </c>
      <c r="AA110" s="7" t="s">
        <v>139</v>
      </c>
      <c r="AB110" s="10">
        <v>8.6142454759982098E-2</v>
      </c>
      <c r="AE110" s="7" t="s">
        <v>75</v>
      </c>
      <c r="AF110" s="10">
        <v>1.8832789330188299E-2</v>
      </c>
      <c r="AG110" s="10" t="str">
        <f>YEAR(CurrentMtgRatesDataTable89[[#This Row],[asofdate]])&amp;"-"&amp;MONTH(CurrentMtgRatesDataTable89[[#This Row],[asofdate]])</f>
        <v>2006-10</v>
      </c>
      <c r="AH110" s="6">
        <f>((CurrentMtgRatesDataTable89[[#This Row],[SeriesNumValue]]-$D$1)/$D$1+1)*100</f>
        <v>125.55192886792202</v>
      </c>
      <c r="AI110" s="6">
        <f>CurrentMtgRatesDataTable89[[#This Row],[Index]]-AH111</f>
        <v>6.3485449599053396</v>
      </c>
      <c r="AJ110" s="6">
        <f>VLOOKUP(CurrentMtgRatesDataTable89[[#This Row],[asofdate]],G:H,2,0)</f>
        <v>79.136143909953105</v>
      </c>
      <c r="AK110" s="6">
        <f>VLOOKUP(CurrentMtgRatesDataTable89[[#This Row],[asofdate]],K:L,2,0)</f>
        <v>0.18540217986062499</v>
      </c>
      <c r="AL110" s="6">
        <f>VLOOKUP(CurrentMtgRatesDataTable89[[#This Row],[asofdate]],O:P,2,0)</f>
        <v>38.014001892969098</v>
      </c>
      <c r="AM110" s="6">
        <f>VLOOKUP(CurrentMtgRatesDataTable89[[#This Row],[asofdate]],S:T,2,0)</f>
        <v>0.25886862133549099</v>
      </c>
      <c r="AN110" s="6">
        <f>VLOOKUP(CurrentMtgRatesDataTable89[[#This Row],[asofdate]],W:X,2,0)</f>
        <v>731.03366702624498</v>
      </c>
      <c r="AO110" s="6">
        <f>VLOOKUP(CurrentMtgRatesDataTable89[[#This Row],[asofdate]],AA:AB,2,0)</f>
        <v>0.27921966823928501</v>
      </c>
    </row>
    <row r="111" spans="1:41" s="8" customFormat="1" ht="12.75">
      <c r="A111" s="7" t="s">
        <v>140</v>
      </c>
      <c r="B111" s="10">
        <v>1.3438208340839501E-2</v>
      </c>
      <c r="C111" s="10" t="str">
        <f>YEAR(CurrentMtgRatesDataTable8[[#This Row],[asofdate]])&amp;"-"&amp;MONTH(CurrentMtgRatesDataTable8[[#This Row],[asofdate]])</f>
        <v>2012-3</v>
      </c>
      <c r="D111" s="6">
        <f>((CurrentMtgRatesDataTable8[[#This Row],[SeriesNumValue]]-$D$1)/$D$1+1)*100</f>
        <v>89.588055605596679</v>
      </c>
      <c r="E111" s="6"/>
      <c r="G111" s="7" t="s">
        <v>140</v>
      </c>
      <c r="H111" s="10">
        <v>79.620695860633106</v>
      </c>
      <c r="I111" s="26">
        <f>VLOOKUP(CurrentMtgRatesDataTable82[[#This Row],[asofdate]],K:L,2,0)</f>
        <v>0.188680020444463</v>
      </c>
      <c r="K111" s="7" t="s">
        <v>140</v>
      </c>
      <c r="L111" s="29">
        <v>0.188680020444463</v>
      </c>
      <c r="O111" s="7" t="s">
        <v>140</v>
      </c>
      <c r="P111" s="10">
        <v>33.680251809150697</v>
      </c>
      <c r="Q111" s="29">
        <f>VLOOKUP(CurrentMtgRatesDataTable84[[#This Row],[asofdate]],S:T,2,0)</f>
        <v>0.267356946580733</v>
      </c>
      <c r="S111" s="7" t="s">
        <v>140</v>
      </c>
      <c r="T111" s="10">
        <v>0.267356946580733</v>
      </c>
      <c r="W111" s="7" t="s">
        <v>140</v>
      </c>
      <c r="X111" s="10">
        <v>760.52419652388801</v>
      </c>
      <c r="Y111" s="26">
        <f>VLOOKUP(CurrentMtgRatesDataTable86[[#This Row],[asofdate]],AA:AB,2,0)</f>
        <v>8.5745788275712206E-2</v>
      </c>
      <c r="AA111" s="7" t="s">
        <v>140</v>
      </c>
      <c r="AB111" s="10">
        <v>8.5745788275712206E-2</v>
      </c>
      <c r="AE111" s="7" t="s">
        <v>74</v>
      </c>
      <c r="AF111" s="10">
        <v>1.78805075862025E-2</v>
      </c>
      <c r="AG111" s="10" t="str">
        <f>YEAR(CurrentMtgRatesDataTable89[[#This Row],[asofdate]])&amp;"-"&amp;MONTH(CurrentMtgRatesDataTable89[[#This Row],[asofdate]])</f>
        <v>2006-9</v>
      </c>
      <c r="AH111" s="6">
        <f>((CurrentMtgRatesDataTable89[[#This Row],[SeriesNumValue]]-$D$1)/$D$1+1)*100</f>
        <v>119.20338390801668</v>
      </c>
      <c r="AI111" s="6">
        <f>CurrentMtgRatesDataTable89[[#This Row],[Index]]-AH112</f>
        <v>16.977283967414664</v>
      </c>
      <c r="AJ111" s="6">
        <f>VLOOKUP(CurrentMtgRatesDataTable89[[#This Row],[asofdate]],G:H,2,0)</f>
        <v>78.908862181851305</v>
      </c>
      <c r="AK111" s="6">
        <f>VLOOKUP(CurrentMtgRatesDataTable89[[#This Row],[asofdate]],K:L,2,0)</f>
        <v>0.17599985174605701</v>
      </c>
      <c r="AL111" s="6">
        <f>VLOOKUP(CurrentMtgRatesDataTable89[[#This Row],[asofdate]],O:P,2,0)</f>
        <v>37.944084729028397</v>
      </c>
      <c r="AM111" s="6">
        <f>VLOOKUP(CurrentMtgRatesDataTable89[[#This Row],[asofdate]],S:T,2,0)</f>
        <v>0.25572001484150397</v>
      </c>
      <c r="AN111" s="6">
        <f>VLOOKUP(CurrentMtgRatesDataTable89[[#This Row],[asofdate]],W:X,2,0)</f>
        <v>732.49642925119599</v>
      </c>
      <c r="AO111" s="6">
        <f>VLOOKUP(CurrentMtgRatesDataTable89[[#This Row],[asofdate]],AA:AB,2,0)</f>
        <v>0.26931657554004801</v>
      </c>
    </row>
    <row r="112" spans="1:41" s="8" customFormat="1" ht="12.75">
      <c r="A112" s="7" t="s">
        <v>141</v>
      </c>
      <c r="B112" s="10">
        <v>1.3231156891929901E-2</v>
      </c>
      <c r="C112" s="10" t="str">
        <f>YEAR(CurrentMtgRatesDataTable8[[#This Row],[asofdate]])&amp;"-"&amp;MONTH(CurrentMtgRatesDataTable8[[#This Row],[asofdate]])</f>
        <v>2012-4</v>
      </c>
      <c r="D112" s="6">
        <f>((CurrentMtgRatesDataTable8[[#This Row],[SeriesNumValue]]-$D$1)/$D$1+1)*100</f>
        <v>88.207712612866004</v>
      </c>
      <c r="E112" s="6"/>
      <c r="G112" s="7" t="s">
        <v>141</v>
      </c>
      <c r="H112" s="10">
        <v>79.927779566624807</v>
      </c>
      <c r="I112" s="26">
        <f>VLOOKUP(CurrentMtgRatesDataTable82[[#This Row],[asofdate]],K:L,2,0)</f>
        <v>0.19832864817753501</v>
      </c>
      <c r="K112" s="7" t="s">
        <v>141</v>
      </c>
      <c r="L112" s="29">
        <v>0.19832864817753501</v>
      </c>
      <c r="O112" s="7" t="s">
        <v>141</v>
      </c>
      <c r="P112" s="10">
        <v>33.518276945538801</v>
      </c>
      <c r="Q112" s="29">
        <f>VLOOKUP(CurrentMtgRatesDataTable84[[#This Row],[asofdate]],S:T,2,0)</f>
        <v>0.26161336953345399</v>
      </c>
      <c r="S112" s="7" t="s">
        <v>141</v>
      </c>
      <c r="T112" s="10">
        <v>0.26161336953345399</v>
      </c>
      <c r="W112" s="7" t="s">
        <v>141</v>
      </c>
      <c r="X112" s="10">
        <v>760.69983465532198</v>
      </c>
      <c r="Y112" s="26">
        <f>VLOOKUP(CurrentMtgRatesDataTable86[[#This Row],[asofdate]],AA:AB,2,0)</f>
        <v>8.3609698617037903E-2</v>
      </c>
      <c r="AA112" s="7" t="s">
        <v>141</v>
      </c>
      <c r="AB112" s="10">
        <v>8.3609698617037903E-2</v>
      </c>
      <c r="AE112" s="7" t="s">
        <v>73</v>
      </c>
      <c r="AF112" s="10">
        <v>1.5333914991090301E-2</v>
      </c>
      <c r="AG112" s="10" t="str">
        <f>YEAR(CurrentMtgRatesDataTable89[[#This Row],[asofdate]])&amp;"-"&amp;MONTH(CurrentMtgRatesDataTable89[[#This Row],[asofdate]])</f>
        <v>2006-8</v>
      </c>
      <c r="AH112" s="6">
        <f>((CurrentMtgRatesDataTable89[[#This Row],[SeriesNumValue]]-$D$1)/$D$1+1)*100</f>
        <v>102.22609994060201</v>
      </c>
      <c r="AI112" s="6">
        <f>CurrentMtgRatesDataTable89[[#This Row],[Index]]-AH113</f>
        <v>-1.0088372025119838</v>
      </c>
      <c r="AJ112" s="6">
        <f>VLOOKUP(CurrentMtgRatesDataTable89[[#This Row],[asofdate]],G:H,2,0)</f>
        <v>78.636667015447799</v>
      </c>
      <c r="AK112" s="6">
        <f>VLOOKUP(CurrentMtgRatesDataTable89[[#This Row],[asofdate]],K:L,2,0)</f>
        <v>0.16483333011769599</v>
      </c>
      <c r="AL112" s="6">
        <f>VLOOKUP(CurrentMtgRatesDataTable89[[#This Row],[asofdate]],O:P,2,0)</f>
        <v>37.652579877335498</v>
      </c>
      <c r="AM112" s="6">
        <f>VLOOKUP(CurrentMtgRatesDataTable89[[#This Row],[asofdate]],S:T,2,0)</f>
        <v>0.259163903970826</v>
      </c>
      <c r="AN112" s="6">
        <f>VLOOKUP(CurrentMtgRatesDataTable89[[#This Row],[asofdate]],W:X,2,0)</f>
        <v>733.55251588227702</v>
      </c>
      <c r="AO112" s="6">
        <f>VLOOKUP(CurrentMtgRatesDataTable89[[#This Row],[asofdate]],AA:AB,2,0)</f>
        <v>0.26015553383897599</v>
      </c>
    </row>
    <row r="113" spans="1:41" s="8" customFormat="1" ht="12.75">
      <c r="A113" s="7" t="s">
        <v>9</v>
      </c>
      <c r="B113" s="10">
        <v>1.29593289554329E-2</v>
      </c>
      <c r="C113" s="10" t="str">
        <f>YEAR(CurrentMtgRatesDataTable8[[#This Row],[asofdate]])&amp;"-"&amp;MONTH(CurrentMtgRatesDataTable8[[#This Row],[asofdate]])</f>
        <v>2012-5</v>
      </c>
      <c r="D113" s="6">
        <f>((CurrentMtgRatesDataTable8[[#This Row],[SeriesNumValue]]-$D$1)/$D$1+1)*100</f>
        <v>86.395526369552684</v>
      </c>
      <c r="E113" s="6"/>
      <c r="G113" s="7" t="s">
        <v>9</v>
      </c>
      <c r="H113" s="10">
        <v>80.039959057495395</v>
      </c>
      <c r="I113" s="26">
        <f>VLOOKUP(CurrentMtgRatesDataTable82[[#This Row],[asofdate]],K:L,2,0)</f>
        <v>0.20659910837783499</v>
      </c>
      <c r="K113" s="7" t="s">
        <v>9</v>
      </c>
      <c r="L113" s="29">
        <v>0.20659910837783499</v>
      </c>
      <c r="O113" s="7" t="s">
        <v>9</v>
      </c>
      <c r="P113" s="10">
        <v>33.384740820904597</v>
      </c>
      <c r="Q113" s="29">
        <f>VLOOKUP(CurrentMtgRatesDataTable84[[#This Row],[asofdate]],S:T,2,0)</f>
        <v>0.25395306698819098</v>
      </c>
      <c r="S113" s="7" t="s">
        <v>9</v>
      </c>
      <c r="T113" s="10">
        <v>0.25395306698819098</v>
      </c>
      <c r="W113" s="7" t="s">
        <v>9</v>
      </c>
      <c r="X113" s="10">
        <v>761.22417340280003</v>
      </c>
      <c r="Y113" s="26">
        <f>VLOOKUP(CurrentMtgRatesDataTable86[[#This Row],[asofdate]],AA:AB,2,0)</f>
        <v>8.2457761148304595E-2</v>
      </c>
      <c r="AA113" s="7" t="s">
        <v>9</v>
      </c>
      <c r="AB113" s="10">
        <v>8.2457761148304595E-2</v>
      </c>
      <c r="AE113" s="7" t="s">
        <v>72</v>
      </c>
      <c r="AF113" s="10">
        <v>1.54852405714671E-2</v>
      </c>
      <c r="AG113" s="10" t="str">
        <f>YEAR(CurrentMtgRatesDataTable89[[#This Row],[asofdate]])&amp;"-"&amp;MONTH(CurrentMtgRatesDataTable89[[#This Row],[asofdate]])</f>
        <v>2006-7</v>
      </c>
      <c r="AH113" s="6">
        <f>((CurrentMtgRatesDataTable89[[#This Row],[SeriesNumValue]]-$D$1)/$D$1+1)*100</f>
        <v>103.234937143114</v>
      </c>
      <c r="AI113" s="6">
        <f>CurrentMtgRatesDataTable89[[#This Row],[Index]]-AH114</f>
        <v>1.5206343493393319</v>
      </c>
      <c r="AJ113" s="6">
        <f>VLOOKUP(CurrentMtgRatesDataTable89[[#This Row],[asofdate]],G:H,2,0)</f>
        <v>78.765290924066704</v>
      </c>
      <c r="AK113" s="6">
        <f>VLOOKUP(CurrentMtgRatesDataTable89[[#This Row],[asofdate]],K:L,2,0)</f>
        <v>0.16509874727797</v>
      </c>
      <c r="AL113" s="6">
        <f>VLOOKUP(CurrentMtgRatesDataTable89[[#This Row],[asofdate]],O:P,2,0)</f>
        <v>37.630284650424002</v>
      </c>
      <c r="AM113" s="6">
        <f>VLOOKUP(CurrentMtgRatesDataTable89[[#This Row],[asofdate]],S:T,2,0)</f>
        <v>0.25385801090037102</v>
      </c>
      <c r="AN113" s="6">
        <f>VLOOKUP(CurrentMtgRatesDataTable89[[#This Row],[asofdate]],W:X,2,0)</f>
        <v>732.98461213720498</v>
      </c>
      <c r="AO113" s="6">
        <f>VLOOKUP(CurrentMtgRatesDataTable89[[#This Row],[asofdate]],AA:AB,2,0)</f>
        <v>0.26404056393812197</v>
      </c>
    </row>
    <row r="114" spans="1:41" s="8" customFormat="1" ht="12.75">
      <c r="A114" s="7" t="s">
        <v>17</v>
      </c>
      <c r="B114" s="10">
        <v>1.3682182088131E-2</v>
      </c>
      <c r="C114" s="10" t="str">
        <f>YEAR(CurrentMtgRatesDataTable8[[#This Row],[asofdate]])&amp;"-"&amp;MONTH(CurrentMtgRatesDataTable8[[#This Row],[asofdate]])</f>
        <v>2012-6</v>
      </c>
      <c r="D114" s="6">
        <f>((CurrentMtgRatesDataTable8[[#This Row],[SeriesNumValue]]-$D$1)/$D$1+1)*100</f>
        <v>91.214547254206664</v>
      </c>
      <c r="E114" s="6"/>
      <c r="G114" s="7" t="s">
        <v>17</v>
      </c>
      <c r="H114" s="10">
        <v>80.204489012117605</v>
      </c>
      <c r="I114" s="26">
        <f>VLOOKUP(CurrentMtgRatesDataTable82[[#This Row],[asofdate]],K:L,2,0)</f>
        <v>0.21265774870120199</v>
      </c>
      <c r="K114" s="7" t="s">
        <v>17</v>
      </c>
      <c r="L114" s="29">
        <v>0.21265774870120199</v>
      </c>
      <c r="O114" s="7" t="s">
        <v>17</v>
      </c>
      <c r="P114" s="10">
        <v>33.320338476894001</v>
      </c>
      <c r="Q114" s="29">
        <f>VLOOKUP(CurrentMtgRatesDataTable84[[#This Row],[asofdate]],S:T,2,0)</f>
        <v>0.25766810760182601</v>
      </c>
      <c r="S114" s="7" t="s">
        <v>17</v>
      </c>
      <c r="T114" s="10">
        <v>0.25766810760182601</v>
      </c>
      <c r="W114" s="7" t="s">
        <v>17</v>
      </c>
      <c r="X114" s="10">
        <v>761.68341085260897</v>
      </c>
      <c r="Y114" s="26">
        <f>VLOOKUP(CurrentMtgRatesDataTable86[[#This Row],[asofdate]],AA:AB,2,0)</f>
        <v>8.1933479384901697E-2</v>
      </c>
      <c r="AA114" s="7" t="s">
        <v>17</v>
      </c>
      <c r="AB114" s="10">
        <v>8.1933479384901697E-2</v>
      </c>
      <c r="AE114" s="7" t="s">
        <v>71</v>
      </c>
      <c r="AF114" s="10">
        <v>1.52571454190662E-2</v>
      </c>
      <c r="AG114" s="10" t="str">
        <f>YEAR(CurrentMtgRatesDataTable89[[#This Row],[asofdate]])&amp;"-"&amp;MONTH(CurrentMtgRatesDataTable89[[#This Row],[asofdate]])</f>
        <v>2006-6</v>
      </c>
      <c r="AH114" s="6">
        <f>((CurrentMtgRatesDataTable89[[#This Row],[SeriesNumValue]]-$D$1)/$D$1+1)*100</f>
        <v>101.71430279377466</v>
      </c>
      <c r="AI114" s="6">
        <f>CurrentMtgRatesDataTable89[[#This Row],[Index]]-AH115</f>
        <v>0.89733289491599066</v>
      </c>
      <c r="AJ114" s="6">
        <f>VLOOKUP(CurrentMtgRatesDataTable89[[#This Row],[asofdate]],G:H,2,0)</f>
        <v>78.735532502303599</v>
      </c>
      <c r="AK114" s="6">
        <f>VLOOKUP(CurrentMtgRatesDataTable89[[#This Row],[asofdate]],K:L,2,0)</f>
        <v>0.166487927243791</v>
      </c>
      <c r="AL114" s="6">
        <f>VLOOKUP(CurrentMtgRatesDataTable89[[#This Row],[asofdate]],O:P,2,0)</f>
        <v>37.284968784457597</v>
      </c>
      <c r="AM114" s="6">
        <f>VLOOKUP(CurrentMtgRatesDataTable89[[#This Row],[asofdate]],S:T,2,0)</f>
        <v>0.250967229847814</v>
      </c>
      <c r="AN114" s="6">
        <f>VLOOKUP(CurrentMtgRatesDataTable89[[#This Row],[asofdate]],W:X,2,0)</f>
        <v>732.29576439030302</v>
      </c>
      <c r="AO114" s="6">
        <f>VLOOKUP(CurrentMtgRatesDataTable89[[#This Row],[asofdate]],AA:AB,2,0)</f>
        <v>0.26924096627271599</v>
      </c>
    </row>
    <row r="115" spans="1:41" s="8" customFormat="1" ht="12.75">
      <c r="A115" s="7" t="s">
        <v>142</v>
      </c>
      <c r="B115" s="10">
        <v>1.41908284025984E-2</v>
      </c>
      <c r="C115" s="10" t="str">
        <f>YEAR(CurrentMtgRatesDataTable8[[#This Row],[asofdate]])&amp;"-"&amp;MONTH(CurrentMtgRatesDataTable8[[#This Row],[asofdate]])</f>
        <v>2012-7</v>
      </c>
      <c r="D115" s="6">
        <f>((CurrentMtgRatesDataTable8[[#This Row],[SeriesNumValue]]-$D$1)/$D$1+1)*100</f>
        <v>94.605522683989335</v>
      </c>
      <c r="E115" s="6"/>
      <c r="G115" s="7" t="s">
        <v>142</v>
      </c>
      <c r="H115" s="10">
        <v>80.424238430996297</v>
      </c>
      <c r="I115" s="26">
        <f>VLOOKUP(CurrentMtgRatesDataTable82[[#This Row],[asofdate]],K:L,2,0)</f>
        <v>0.22455297260877299</v>
      </c>
      <c r="K115" s="7" t="s">
        <v>142</v>
      </c>
      <c r="L115" s="29">
        <v>0.22455297260877299</v>
      </c>
      <c r="O115" s="7" t="s">
        <v>142</v>
      </c>
      <c r="P115" s="10">
        <v>33.121553145547502</v>
      </c>
      <c r="Q115" s="29">
        <f>VLOOKUP(CurrentMtgRatesDataTable84[[#This Row],[asofdate]],S:T,2,0)</f>
        <v>0.25450284175931598</v>
      </c>
      <c r="S115" s="7" t="s">
        <v>142</v>
      </c>
      <c r="T115" s="10">
        <v>0.25450284175931598</v>
      </c>
      <c r="W115" s="7" t="s">
        <v>142</v>
      </c>
      <c r="X115" s="10">
        <v>761.324488050215</v>
      </c>
      <c r="Y115" s="26">
        <f>VLOOKUP(CurrentMtgRatesDataTable86[[#This Row],[asofdate]],AA:AB,2,0)</f>
        <v>8.4418496999786194E-2</v>
      </c>
      <c r="AA115" s="7" t="s">
        <v>142</v>
      </c>
      <c r="AB115" s="10">
        <v>8.4418496999786194E-2</v>
      </c>
      <c r="AE115" s="7" t="s">
        <v>70</v>
      </c>
      <c r="AF115" s="10">
        <v>1.51225454848288E-2</v>
      </c>
      <c r="AG115" s="10" t="str">
        <f>YEAR(CurrentMtgRatesDataTable89[[#This Row],[asofdate]])&amp;"-"&amp;MONTH(CurrentMtgRatesDataTable89[[#This Row],[asofdate]])</f>
        <v>2006-5</v>
      </c>
      <c r="AH115" s="6">
        <f>((CurrentMtgRatesDataTable89[[#This Row],[SeriesNumValue]]-$D$1)/$D$1+1)*100</f>
        <v>100.81696989885867</v>
      </c>
      <c r="AI115" s="6">
        <f>CurrentMtgRatesDataTable89[[#This Row],[Index]]-AH116</f>
        <v>-4.8568161930513298</v>
      </c>
      <c r="AJ115" s="6">
        <f>VLOOKUP(CurrentMtgRatesDataTable89[[#This Row],[asofdate]],G:H,2,0)</f>
        <v>78.594347051939593</v>
      </c>
      <c r="AK115" s="6">
        <f>VLOOKUP(CurrentMtgRatesDataTable89[[#This Row],[asofdate]],K:L,2,0)</f>
        <v>0.16247581027591801</v>
      </c>
      <c r="AL115" s="6">
        <f>VLOOKUP(CurrentMtgRatesDataTable89[[#This Row],[asofdate]],O:P,2,0)</f>
        <v>37.455662044979697</v>
      </c>
      <c r="AM115" s="6">
        <f>VLOOKUP(CurrentMtgRatesDataTable89[[#This Row],[asofdate]],S:T,2,0)</f>
        <v>0.25530695689293598</v>
      </c>
      <c r="AN115" s="6">
        <f>VLOOKUP(CurrentMtgRatesDataTable89[[#This Row],[asofdate]],W:X,2,0)</f>
        <v>732.220369288553</v>
      </c>
      <c r="AO115" s="6">
        <f>VLOOKUP(CurrentMtgRatesDataTable89[[#This Row],[asofdate]],AA:AB,2,0)</f>
        <v>0.269545751649933</v>
      </c>
    </row>
    <row r="116" spans="1:41" s="8" customFormat="1" ht="12.75">
      <c r="A116" s="7" t="s">
        <v>6</v>
      </c>
      <c r="B116" s="10">
        <v>1.42525975058555E-2</v>
      </c>
      <c r="C116" s="10" t="str">
        <f>YEAR(CurrentMtgRatesDataTable8[[#This Row],[asofdate]])&amp;"-"&amp;MONTH(CurrentMtgRatesDataTable8[[#This Row],[asofdate]])</f>
        <v>2012-8</v>
      </c>
      <c r="D116" s="6">
        <f>((CurrentMtgRatesDataTable8[[#This Row],[SeriesNumValue]]-$D$1)/$D$1+1)*100</f>
        <v>95.017316705703337</v>
      </c>
      <c r="E116" s="6"/>
      <c r="G116" s="7" t="s">
        <v>6</v>
      </c>
      <c r="H116" s="10">
        <v>80.519349568409496</v>
      </c>
      <c r="I116" s="26">
        <f>VLOOKUP(CurrentMtgRatesDataTable82[[#This Row],[asofdate]],K:L,2,0)</f>
        <v>0.230359293851325</v>
      </c>
      <c r="K116" s="7" t="s">
        <v>6</v>
      </c>
      <c r="L116" s="29">
        <v>0.230359293851325</v>
      </c>
      <c r="O116" s="7" t="s">
        <v>6</v>
      </c>
      <c r="P116" s="10">
        <v>32.914525130729601</v>
      </c>
      <c r="Q116" s="29">
        <f>VLOOKUP(CurrentMtgRatesDataTable84[[#This Row],[asofdate]],S:T,2,0)</f>
        <v>0.24575163744130599</v>
      </c>
      <c r="S116" s="7" t="s">
        <v>6</v>
      </c>
      <c r="T116" s="10">
        <v>0.24575163744130599</v>
      </c>
      <c r="W116" s="7" t="s">
        <v>6</v>
      </c>
      <c r="X116" s="10">
        <v>761.20950224818</v>
      </c>
      <c r="Y116" s="26">
        <f>VLOOKUP(CurrentMtgRatesDataTable86[[#This Row],[asofdate]],AA:AB,2,0)</f>
        <v>8.33927063634268E-2</v>
      </c>
      <c r="AA116" s="7" t="s">
        <v>6</v>
      </c>
      <c r="AB116" s="10">
        <v>8.33927063634268E-2</v>
      </c>
      <c r="AE116" s="7" t="s">
        <v>69</v>
      </c>
      <c r="AF116" s="10">
        <v>1.5851067913786501E-2</v>
      </c>
      <c r="AG116" s="10" t="str">
        <f>YEAR(CurrentMtgRatesDataTable89[[#This Row],[asofdate]])&amp;"-"&amp;MONTH(CurrentMtgRatesDataTable89[[#This Row],[asofdate]])</f>
        <v>2006-4</v>
      </c>
      <c r="AH116" s="6">
        <f>((CurrentMtgRatesDataTable89[[#This Row],[SeriesNumValue]]-$D$1)/$D$1+1)*100</f>
        <v>105.67378609191</v>
      </c>
      <c r="AI116" s="6">
        <f>CurrentMtgRatesDataTable89[[#This Row],[Index]]-AH117</f>
        <v>-2.2260070397053511</v>
      </c>
      <c r="AJ116" s="6">
        <f>VLOOKUP(CurrentMtgRatesDataTable89[[#This Row],[asofdate]],G:H,2,0)</f>
        <v>78.671898299829707</v>
      </c>
      <c r="AK116" s="6">
        <f>VLOOKUP(CurrentMtgRatesDataTable89[[#This Row],[asofdate]],K:L,2,0)</f>
        <v>0.163030939666403</v>
      </c>
      <c r="AL116" s="6">
        <f>VLOOKUP(CurrentMtgRatesDataTable89[[#This Row],[asofdate]],O:P,2,0)</f>
        <v>37.352589752049496</v>
      </c>
      <c r="AM116" s="6">
        <f>VLOOKUP(CurrentMtgRatesDataTable89[[#This Row],[asofdate]],S:T,2,0)</f>
        <v>0.25720646817190801</v>
      </c>
      <c r="AN116" s="6">
        <f>VLOOKUP(CurrentMtgRatesDataTable89[[#This Row],[asofdate]],W:X,2,0)</f>
        <v>731.37187888597202</v>
      </c>
      <c r="AO116" s="6">
        <f>VLOOKUP(CurrentMtgRatesDataTable89[[#This Row],[asofdate]],AA:AB,2,0)</f>
        <v>0.27172244359806702</v>
      </c>
    </row>
    <row r="117" spans="1:41" s="8" customFormat="1" ht="12.75">
      <c r="A117" s="7" t="s">
        <v>143</v>
      </c>
      <c r="B117" s="10">
        <v>1.4331186185642801E-2</v>
      </c>
      <c r="C117" s="10" t="str">
        <f>YEAR(CurrentMtgRatesDataTable8[[#This Row],[asofdate]])&amp;"-"&amp;MONTH(CurrentMtgRatesDataTable8[[#This Row],[asofdate]])</f>
        <v>2012-9</v>
      </c>
      <c r="D117" s="6">
        <f>((CurrentMtgRatesDataTable8[[#This Row],[SeriesNumValue]]-$D$1)/$D$1+1)*100</f>
        <v>95.541241237618678</v>
      </c>
      <c r="E117" s="6"/>
      <c r="G117" s="7" t="s">
        <v>143</v>
      </c>
      <c r="H117" s="10">
        <v>80.773410645998595</v>
      </c>
      <c r="I117" s="26">
        <f>VLOOKUP(CurrentMtgRatesDataTable82[[#This Row],[asofdate]],K:L,2,0)</f>
        <v>0.241996859508816</v>
      </c>
      <c r="K117" s="7" t="s">
        <v>143</v>
      </c>
      <c r="L117" s="29">
        <v>0.241996859508816</v>
      </c>
      <c r="O117" s="7" t="s">
        <v>143</v>
      </c>
      <c r="P117" s="10">
        <v>32.834955899021203</v>
      </c>
      <c r="Q117" s="29">
        <f>VLOOKUP(CurrentMtgRatesDataTable84[[#This Row],[asofdate]],S:T,2,0)</f>
        <v>0.24307109211674099</v>
      </c>
      <c r="S117" s="7" t="s">
        <v>143</v>
      </c>
      <c r="T117" s="10">
        <v>0.24307109211674099</v>
      </c>
      <c r="W117" s="7" t="s">
        <v>143</v>
      </c>
      <c r="X117" s="10">
        <v>760.56723023696497</v>
      </c>
      <c r="Y117" s="26">
        <f>VLOOKUP(CurrentMtgRatesDataTable86[[#This Row],[asofdate]],AA:AB,2,0)</f>
        <v>8.9152463717376507E-2</v>
      </c>
      <c r="AA117" s="7" t="s">
        <v>143</v>
      </c>
      <c r="AB117" s="10">
        <v>8.9152463717376507E-2</v>
      </c>
      <c r="AE117" s="7" t="s">
        <v>68</v>
      </c>
      <c r="AF117" s="10">
        <v>1.6184968969742301E-2</v>
      </c>
      <c r="AG117" s="10" t="str">
        <f>YEAR(CurrentMtgRatesDataTable89[[#This Row],[asofdate]])&amp;"-"&amp;MONTH(CurrentMtgRatesDataTable89[[#This Row],[asofdate]])</f>
        <v>2006-3</v>
      </c>
      <c r="AH117" s="6">
        <f>((CurrentMtgRatesDataTable89[[#This Row],[SeriesNumValue]]-$D$1)/$D$1+1)*100</f>
        <v>107.89979313161535</v>
      </c>
      <c r="AI117" s="6">
        <f>CurrentMtgRatesDataTable89[[#This Row],[Index]]-AH118</f>
        <v>-4.3545995827426509</v>
      </c>
      <c r="AJ117" s="6">
        <f>VLOOKUP(CurrentMtgRatesDataTable89[[#This Row],[asofdate]],G:H,2,0)</f>
        <v>78.229708672132205</v>
      </c>
      <c r="AK117" s="6">
        <f>VLOOKUP(CurrentMtgRatesDataTable89[[#This Row],[asofdate]],K:L,2,0)</f>
        <v>0.15991961797697701</v>
      </c>
      <c r="AL117" s="6">
        <f>VLOOKUP(CurrentMtgRatesDataTable89[[#This Row],[asofdate]],O:P,2,0)</f>
        <v>37.377683504176403</v>
      </c>
      <c r="AM117" s="6">
        <f>VLOOKUP(CurrentMtgRatesDataTable89[[#This Row],[asofdate]],S:T,2,0)</f>
        <v>0.25876564659608398</v>
      </c>
      <c r="AN117" s="6">
        <f>VLOOKUP(CurrentMtgRatesDataTable89[[#This Row],[asofdate]],W:X,2,0)</f>
        <v>731.463093282675</v>
      </c>
      <c r="AO117" s="6">
        <f>VLOOKUP(CurrentMtgRatesDataTable89[[#This Row],[asofdate]],AA:AB,2,0)</f>
        <v>0.27099622377881499</v>
      </c>
    </row>
    <row r="118" spans="1:41" s="8" customFormat="1" ht="12.75">
      <c r="A118" s="7" t="s">
        <v>14</v>
      </c>
      <c r="B118" s="10">
        <v>1.3918998812950801E-2</v>
      </c>
      <c r="C118" s="10" t="str">
        <f>YEAR(CurrentMtgRatesDataTable8[[#This Row],[asofdate]])&amp;"-"&amp;MONTH(CurrentMtgRatesDataTable8[[#This Row],[asofdate]])</f>
        <v>2012-10</v>
      </c>
      <c r="D118" s="6">
        <f>((CurrentMtgRatesDataTable8[[#This Row],[SeriesNumValue]]-$D$1)/$D$1+1)*100</f>
        <v>92.793325419672001</v>
      </c>
      <c r="E118" s="6"/>
      <c r="G118" s="7" t="s">
        <v>14</v>
      </c>
      <c r="H118" s="10">
        <v>80.704770486074295</v>
      </c>
      <c r="I118" s="26">
        <f>VLOOKUP(CurrentMtgRatesDataTable82[[#This Row],[asofdate]],K:L,2,0)</f>
        <v>0.238438717743543</v>
      </c>
      <c r="K118" s="7" t="s">
        <v>14</v>
      </c>
      <c r="L118" s="29">
        <v>0.238438717743543</v>
      </c>
      <c r="O118" s="7" t="s">
        <v>14</v>
      </c>
      <c r="P118" s="10">
        <v>32.877349478281303</v>
      </c>
      <c r="Q118" s="29">
        <f>VLOOKUP(CurrentMtgRatesDataTable84[[#This Row],[asofdate]],S:T,2,0)</f>
        <v>0.245849111984763</v>
      </c>
      <c r="S118" s="7" t="s">
        <v>14</v>
      </c>
      <c r="T118" s="10">
        <v>0.245849111984763</v>
      </c>
      <c r="W118" s="7" t="s">
        <v>14</v>
      </c>
      <c r="X118" s="10">
        <v>760.08866980815606</v>
      </c>
      <c r="Y118" s="26">
        <f>VLOOKUP(CurrentMtgRatesDataTable86[[#This Row],[asofdate]],AA:AB,2,0)</f>
        <v>8.8547559149405805E-2</v>
      </c>
      <c r="AA118" s="7" t="s">
        <v>14</v>
      </c>
      <c r="AB118" s="10">
        <v>8.8547559149405805E-2</v>
      </c>
      <c r="AE118" s="7" t="s">
        <v>67</v>
      </c>
      <c r="AF118" s="10">
        <v>1.6838158907153698E-2</v>
      </c>
      <c r="AG118" s="10" t="str">
        <f>YEAR(CurrentMtgRatesDataTable89[[#This Row],[asofdate]])&amp;"-"&amp;MONTH(CurrentMtgRatesDataTable89[[#This Row],[asofdate]])</f>
        <v>2006-2</v>
      </c>
      <c r="AH118" s="6">
        <f>((CurrentMtgRatesDataTable89[[#This Row],[SeriesNumValue]]-$D$1)/$D$1+1)*100</f>
        <v>112.254392714358</v>
      </c>
      <c r="AI118" s="6">
        <f>CurrentMtgRatesDataTable89[[#This Row],[Index]]-AH119</f>
        <v>11.681889455375327</v>
      </c>
      <c r="AJ118" s="6">
        <f>VLOOKUP(CurrentMtgRatesDataTable89[[#This Row],[asofdate]],G:H,2,0)</f>
        <v>78.311410497829897</v>
      </c>
      <c r="AK118" s="6">
        <f>VLOOKUP(CurrentMtgRatesDataTable89[[#This Row],[asofdate]],K:L,2,0)</f>
        <v>0.159607300246077</v>
      </c>
      <c r="AL118" s="6">
        <f>VLOOKUP(CurrentMtgRatesDataTable89[[#This Row],[asofdate]],O:P,2,0)</f>
        <v>37.5015329261158</v>
      </c>
      <c r="AM118" s="6">
        <f>VLOOKUP(CurrentMtgRatesDataTable89[[#This Row],[asofdate]],S:T,2,0)</f>
        <v>0.25603886611316801</v>
      </c>
      <c r="AN118" s="6">
        <f>VLOOKUP(CurrentMtgRatesDataTable89[[#This Row],[asofdate]],W:X,2,0)</f>
        <v>730.87413747932897</v>
      </c>
      <c r="AO118" s="6">
        <f>VLOOKUP(CurrentMtgRatesDataTable89[[#This Row],[asofdate]],AA:AB,2,0)</f>
        <v>0.275428135379714</v>
      </c>
    </row>
    <row r="119" spans="1:41" s="8" customFormat="1" ht="12.75">
      <c r="A119" s="7" t="s">
        <v>22</v>
      </c>
      <c r="B119" s="10">
        <v>1.4659989209711699E-2</v>
      </c>
      <c r="C119" s="10" t="str">
        <f>YEAR(CurrentMtgRatesDataTable8[[#This Row],[asofdate]])&amp;"-"&amp;MONTH(CurrentMtgRatesDataTable8[[#This Row],[asofdate]])</f>
        <v>2012-11</v>
      </c>
      <c r="D119" s="6">
        <f>((CurrentMtgRatesDataTable8[[#This Row],[SeriesNumValue]]-$D$1)/$D$1+1)*100</f>
        <v>97.733261398078</v>
      </c>
      <c r="E119" s="6"/>
      <c r="G119" s="7" t="s">
        <v>22</v>
      </c>
      <c r="H119" s="10">
        <v>80.842723933208603</v>
      </c>
      <c r="I119" s="26">
        <f>VLOOKUP(CurrentMtgRatesDataTable82[[#This Row],[asofdate]],K:L,2,0)</f>
        <v>0.24248385553367199</v>
      </c>
      <c r="K119" s="7" t="s">
        <v>22</v>
      </c>
      <c r="L119" s="29">
        <v>0.24248385553367199</v>
      </c>
      <c r="O119" s="7" t="s">
        <v>22</v>
      </c>
      <c r="P119" s="10">
        <v>33.068410827015398</v>
      </c>
      <c r="Q119" s="29">
        <f>VLOOKUP(CurrentMtgRatesDataTable84[[#This Row],[asofdate]],S:T,2,0)</f>
        <v>0.253860792116615</v>
      </c>
      <c r="S119" s="7" t="s">
        <v>22</v>
      </c>
      <c r="T119" s="10">
        <v>0.253860792116615</v>
      </c>
      <c r="W119" s="7" t="s">
        <v>22</v>
      </c>
      <c r="X119" s="10">
        <v>760.12787217411596</v>
      </c>
      <c r="Y119" s="26">
        <f>VLOOKUP(CurrentMtgRatesDataTable86[[#This Row],[asofdate]],AA:AB,2,0)</f>
        <v>8.6906513841812402E-2</v>
      </c>
      <c r="AA119" s="7" t="s">
        <v>22</v>
      </c>
      <c r="AB119" s="10">
        <v>8.6906513841812402E-2</v>
      </c>
      <c r="AE119" s="7" t="s">
        <v>66</v>
      </c>
      <c r="AF119" s="10">
        <v>1.50858754888474E-2</v>
      </c>
      <c r="AG119" s="10" t="str">
        <f>YEAR(CurrentMtgRatesDataTable89[[#This Row],[asofdate]])&amp;"-"&amp;MONTH(CurrentMtgRatesDataTable89[[#This Row],[asofdate]])</f>
        <v>2006-1</v>
      </c>
      <c r="AH119" s="6">
        <f>((CurrentMtgRatesDataTable89[[#This Row],[SeriesNumValue]]-$D$1)/$D$1+1)*100</f>
        <v>100.57250325898268</v>
      </c>
      <c r="AI119" s="6">
        <f>CurrentMtgRatesDataTable89[[#This Row],[Index]]-AH120</f>
        <v>-0.79516469480398655</v>
      </c>
      <c r="AJ119" s="6">
        <f>VLOOKUP(CurrentMtgRatesDataTable89[[#This Row],[asofdate]],G:H,2,0)</f>
        <v>78.128194732343104</v>
      </c>
      <c r="AK119" s="6">
        <f>VLOOKUP(CurrentMtgRatesDataTable89[[#This Row],[asofdate]],K:L,2,0)</f>
        <v>0.159637174596993</v>
      </c>
      <c r="AL119" s="6">
        <f>VLOOKUP(CurrentMtgRatesDataTable89[[#This Row],[asofdate]],O:P,2,0)</f>
        <v>37.352959429809502</v>
      </c>
      <c r="AM119" s="6">
        <f>VLOOKUP(CurrentMtgRatesDataTable89[[#This Row],[asofdate]],S:T,2,0)</f>
        <v>0.25185729465780399</v>
      </c>
      <c r="AN119" s="6">
        <f>VLOOKUP(CurrentMtgRatesDataTable89[[#This Row],[asofdate]],W:X,2,0)</f>
        <v>731.84119056548502</v>
      </c>
      <c r="AO119" s="6">
        <f>VLOOKUP(CurrentMtgRatesDataTable89[[#This Row],[asofdate]],AA:AB,2,0)</f>
        <v>0.27252886688316702</v>
      </c>
    </row>
    <row r="120" spans="1:41" s="8" customFormat="1" ht="12.75">
      <c r="A120" s="7" t="s">
        <v>144</v>
      </c>
      <c r="B120" s="10">
        <v>1.4541719345645E-2</v>
      </c>
      <c r="C120" s="10" t="str">
        <f>YEAR(CurrentMtgRatesDataTable8[[#This Row],[asofdate]])&amp;"-"&amp;MONTH(CurrentMtgRatesDataTable8[[#This Row],[asofdate]])</f>
        <v>2012-12</v>
      </c>
      <c r="D120" s="6">
        <f>((CurrentMtgRatesDataTable8[[#This Row],[SeriesNumValue]]-$D$1)/$D$1+1)*100</f>
        <v>96.944795637633348</v>
      </c>
      <c r="E120" s="6"/>
      <c r="G120" s="7" t="s">
        <v>144</v>
      </c>
      <c r="H120" s="10">
        <v>80.865784595501793</v>
      </c>
      <c r="I120" s="26">
        <f>VLOOKUP(CurrentMtgRatesDataTable82[[#This Row],[asofdate]],K:L,2,0)</f>
        <v>0.245636407958499</v>
      </c>
      <c r="K120" s="7" t="s">
        <v>144</v>
      </c>
      <c r="L120" s="29">
        <v>0.245636407958499</v>
      </c>
      <c r="O120" s="7" t="s">
        <v>144</v>
      </c>
      <c r="P120" s="10">
        <v>33.076526998952403</v>
      </c>
      <c r="Q120" s="29">
        <f>VLOOKUP(CurrentMtgRatesDataTable84[[#This Row],[asofdate]],S:T,2,0)</f>
        <v>0.25543495238191299</v>
      </c>
      <c r="S120" s="7" t="s">
        <v>144</v>
      </c>
      <c r="T120" s="10">
        <v>0.25543495238191299</v>
      </c>
      <c r="W120" s="7" t="s">
        <v>144</v>
      </c>
      <c r="X120" s="10">
        <v>759.90495172723502</v>
      </c>
      <c r="Y120" s="26">
        <f>VLOOKUP(CurrentMtgRatesDataTable86[[#This Row],[asofdate]],AA:AB,2,0)</f>
        <v>8.9195476981251895E-2</v>
      </c>
      <c r="AA120" s="7" t="s">
        <v>144</v>
      </c>
      <c r="AB120" s="10">
        <v>8.9195476981251895E-2</v>
      </c>
      <c r="AE120" s="7" t="s">
        <v>65</v>
      </c>
      <c r="AF120" s="10">
        <v>1.5205150193068E-2</v>
      </c>
      <c r="AG120" s="10" t="str">
        <f>YEAR(CurrentMtgRatesDataTable89[[#This Row],[asofdate]])&amp;"-"&amp;MONTH(CurrentMtgRatesDataTable89[[#This Row],[asofdate]])</f>
        <v>2005-12</v>
      </c>
      <c r="AH120" s="6">
        <f>((CurrentMtgRatesDataTable89[[#This Row],[SeriesNumValue]]-$D$1)/$D$1+1)*100</f>
        <v>101.36766795378666</v>
      </c>
      <c r="AI120" s="6">
        <f>CurrentMtgRatesDataTable89[[#This Row],[Index]]-AH121</f>
        <v>-19.915191230685352</v>
      </c>
      <c r="AJ120" s="6">
        <f>VLOOKUP(CurrentMtgRatesDataTable89[[#This Row],[asofdate]],G:H,2,0)</f>
        <v>78.7208769661856</v>
      </c>
      <c r="AK120" s="6">
        <f>VLOOKUP(CurrentMtgRatesDataTable89[[#This Row],[asofdate]],K:L,2,0)</f>
        <v>0.174025887847987</v>
      </c>
      <c r="AL120" s="6">
        <f>VLOOKUP(CurrentMtgRatesDataTable89[[#This Row],[asofdate]],O:P,2,0)</f>
        <v>37.331752401609997</v>
      </c>
      <c r="AM120" s="6">
        <f>VLOOKUP(CurrentMtgRatesDataTable89[[#This Row],[asofdate]],S:T,2,0)</f>
        <v>0.20745068367851</v>
      </c>
      <c r="AN120" s="6">
        <f>VLOOKUP(CurrentMtgRatesDataTable89[[#This Row],[asofdate]],W:X,2,0)</f>
        <v>730.26522367447501</v>
      </c>
      <c r="AO120" s="6">
        <f>VLOOKUP(CurrentMtgRatesDataTable89[[#This Row],[asofdate]],AA:AB,2,0)</f>
        <v>0.28542044215849499</v>
      </c>
    </row>
    <row r="121" spans="1:41" s="8" customFormat="1" ht="12.75">
      <c r="A121" s="7" t="s">
        <v>145</v>
      </c>
      <c r="B121" s="10">
        <v>1.4335152659645699E-2</v>
      </c>
      <c r="C121" s="10" t="str">
        <f>YEAR(CurrentMtgRatesDataTable8[[#This Row],[asofdate]])&amp;"-"&amp;MONTH(CurrentMtgRatesDataTable8[[#This Row],[asofdate]])</f>
        <v>2013-1</v>
      </c>
      <c r="D121" s="6">
        <f>((CurrentMtgRatesDataTable8[[#This Row],[SeriesNumValue]]-$D$1)/$D$1+1)*100</f>
        <v>95.567684397638004</v>
      </c>
      <c r="E121" s="6"/>
      <c r="G121" s="7" t="s">
        <v>145</v>
      </c>
      <c r="H121" s="10">
        <v>80.9254459604293</v>
      </c>
      <c r="I121" s="26">
        <f>VLOOKUP(CurrentMtgRatesDataTable82[[#This Row],[asofdate]],K:L,2,0)</f>
        <v>0.24750843494761501</v>
      </c>
      <c r="K121" s="7" t="s">
        <v>145</v>
      </c>
      <c r="L121" s="29">
        <v>0.24750843494761501</v>
      </c>
      <c r="O121" s="7" t="s">
        <v>145</v>
      </c>
      <c r="P121" s="10">
        <v>33.1249469903779</v>
      </c>
      <c r="Q121" s="29">
        <f>VLOOKUP(CurrentMtgRatesDataTable84[[#This Row],[asofdate]],S:T,2,0)</f>
        <v>0.255612831060195</v>
      </c>
      <c r="S121" s="7" t="s">
        <v>145</v>
      </c>
      <c r="T121" s="10">
        <v>0.255612831060195</v>
      </c>
      <c r="W121" s="7" t="s">
        <v>145</v>
      </c>
      <c r="X121" s="10">
        <v>759.65139395201004</v>
      </c>
      <c r="Y121" s="26">
        <f>VLOOKUP(CurrentMtgRatesDataTable86[[#This Row],[asofdate]],AA:AB,2,0)</f>
        <v>8.7851184039050303E-2</v>
      </c>
      <c r="AA121" s="7" t="s">
        <v>145</v>
      </c>
      <c r="AB121" s="10">
        <v>8.7851184039050303E-2</v>
      </c>
      <c r="AE121" s="7" t="s">
        <v>64</v>
      </c>
      <c r="AF121" s="10">
        <v>1.8192428877670801E-2</v>
      </c>
      <c r="AG121" s="10" t="str">
        <f>YEAR(CurrentMtgRatesDataTable89[[#This Row],[asofdate]])&amp;"-"&amp;MONTH(CurrentMtgRatesDataTable89[[#This Row],[asofdate]])</f>
        <v>2005-11</v>
      </c>
      <c r="AH121" s="6">
        <f>((CurrentMtgRatesDataTable89[[#This Row],[SeriesNumValue]]-$D$1)/$D$1+1)*100</f>
        <v>121.28285918447202</v>
      </c>
      <c r="AI121" s="6">
        <f>CurrentMtgRatesDataTable89[[#This Row],[Index]]-AH122</f>
        <v>-5.2736780293620029</v>
      </c>
      <c r="AJ121" s="6">
        <f>VLOOKUP(CurrentMtgRatesDataTable89[[#This Row],[asofdate]],G:H,2,0)</f>
        <v>79.707877334763694</v>
      </c>
      <c r="AK121" s="6">
        <f>VLOOKUP(CurrentMtgRatesDataTable89[[#This Row],[asofdate]],K:L,2,0)</f>
        <v>0.20403530410173701</v>
      </c>
      <c r="AL121" s="6">
        <f>VLOOKUP(CurrentMtgRatesDataTable89[[#This Row],[asofdate]],O:P,2,0)</f>
        <v>37.292560707621398</v>
      </c>
      <c r="AM121" s="6">
        <f>VLOOKUP(CurrentMtgRatesDataTable89[[#This Row],[asofdate]],S:T,2,0)</f>
        <v>9.4940112137955404E-2</v>
      </c>
      <c r="AN121" s="6">
        <f>VLOOKUP(CurrentMtgRatesDataTable89[[#This Row],[asofdate]],W:X,2,0)</f>
        <v>728.31425128392505</v>
      </c>
      <c r="AO121" s="6">
        <f>VLOOKUP(CurrentMtgRatesDataTable89[[#This Row],[asofdate]],AA:AB,2,0)</f>
        <v>0.29282399528074898</v>
      </c>
    </row>
    <row r="122" spans="1:41" s="8" customFormat="1" ht="12.75">
      <c r="A122" s="7" t="s">
        <v>18</v>
      </c>
      <c r="B122" s="10">
        <v>1.41313947384549E-2</v>
      </c>
      <c r="C122" s="10" t="str">
        <f>YEAR(CurrentMtgRatesDataTable8[[#This Row],[asofdate]])&amp;"-"&amp;MONTH(CurrentMtgRatesDataTable8[[#This Row],[asofdate]])</f>
        <v>2013-2</v>
      </c>
      <c r="D122" s="6">
        <f>((CurrentMtgRatesDataTable8[[#This Row],[SeriesNumValue]]-$D$1)/$D$1+1)*100</f>
        <v>94.209298256365997</v>
      </c>
      <c r="E122" s="6"/>
      <c r="G122" s="7" t="s">
        <v>18</v>
      </c>
      <c r="H122" s="10">
        <v>80.800079255792397</v>
      </c>
      <c r="I122" s="26">
        <f>VLOOKUP(CurrentMtgRatesDataTable82[[#This Row],[asofdate]],K:L,2,0)</f>
        <v>0.248337726838911</v>
      </c>
      <c r="K122" s="7" t="s">
        <v>18</v>
      </c>
      <c r="L122" s="29">
        <v>0.248337726838911</v>
      </c>
      <c r="O122" s="7" t="s">
        <v>18</v>
      </c>
      <c r="P122" s="10">
        <v>33.236988614541303</v>
      </c>
      <c r="Q122" s="29">
        <f>VLOOKUP(CurrentMtgRatesDataTable84[[#This Row],[asofdate]],S:T,2,0)</f>
        <v>0.26462985808078898</v>
      </c>
      <c r="S122" s="7" t="s">
        <v>18</v>
      </c>
      <c r="T122" s="10">
        <v>0.26462985808078898</v>
      </c>
      <c r="W122" s="7" t="s">
        <v>18</v>
      </c>
      <c r="X122" s="10">
        <v>758.83203277396206</v>
      </c>
      <c r="Y122" s="26">
        <f>VLOOKUP(CurrentMtgRatesDataTable86[[#This Row],[asofdate]],AA:AB,2,0)</f>
        <v>9.5024813225718804E-2</v>
      </c>
      <c r="AA122" s="7" t="s">
        <v>18</v>
      </c>
      <c r="AB122" s="10">
        <v>9.5024813225718804E-2</v>
      </c>
      <c r="AE122" s="7" t="s">
        <v>63</v>
      </c>
      <c r="AF122" s="10">
        <v>1.89834805820751E-2</v>
      </c>
      <c r="AG122" s="10" t="str">
        <f>YEAR(CurrentMtgRatesDataTable89[[#This Row],[asofdate]])&amp;"-"&amp;MONTH(CurrentMtgRatesDataTable89[[#This Row],[asofdate]])</f>
        <v>2005-10</v>
      </c>
      <c r="AH122" s="6">
        <f>((CurrentMtgRatesDataTable89[[#This Row],[SeriesNumValue]]-$D$1)/$D$1+1)*100</f>
        <v>126.55653721383402</v>
      </c>
      <c r="AI122" s="6">
        <f>CurrentMtgRatesDataTable89[[#This Row],[Index]]-AH123</f>
        <v>4.2880653348506854</v>
      </c>
      <c r="AJ122" s="6">
        <f>VLOOKUP(CurrentMtgRatesDataTable89[[#This Row],[asofdate]],G:H,2,0)</f>
        <v>79.923493325865195</v>
      </c>
      <c r="AK122" s="6">
        <f>VLOOKUP(CurrentMtgRatesDataTable89[[#This Row],[asofdate]],K:L,2,0)</f>
        <v>0.21644067259883701</v>
      </c>
      <c r="AL122" s="6">
        <f>VLOOKUP(CurrentMtgRatesDataTable89[[#This Row],[asofdate]],O:P,2,0)</f>
        <v>36.383653975406801</v>
      </c>
      <c r="AM122" s="6">
        <f>VLOOKUP(CurrentMtgRatesDataTable89[[#This Row],[asofdate]],S:T,2,0)</f>
        <v>4.7987353312741503E-2</v>
      </c>
      <c r="AN122" s="6">
        <f>VLOOKUP(CurrentMtgRatesDataTable89[[#This Row],[asofdate]],W:X,2,0)</f>
        <v>726.92812366023202</v>
      </c>
      <c r="AO122" s="6">
        <f>VLOOKUP(CurrentMtgRatesDataTable89[[#This Row],[asofdate]],AA:AB,2,0)</f>
        <v>0.307866686997112</v>
      </c>
    </row>
    <row r="123" spans="1:41" s="8" customFormat="1" ht="12.75">
      <c r="A123" s="7" t="s">
        <v>19</v>
      </c>
      <c r="B123" s="10">
        <v>1.3987396579261201E-2</v>
      </c>
      <c r="C123" s="10" t="str">
        <f>YEAR(CurrentMtgRatesDataTable8[[#This Row],[asofdate]])&amp;"-"&amp;MONTH(CurrentMtgRatesDataTable8[[#This Row],[asofdate]])</f>
        <v>2013-3</v>
      </c>
      <c r="D123" s="6">
        <f>((CurrentMtgRatesDataTable8[[#This Row],[SeriesNumValue]]-$D$1)/$D$1+1)*100</f>
        <v>93.249310528408017</v>
      </c>
      <c r="E123" s="6"/>
      <c r="G123" s="7" t="s">
        <v>19</v>
      </c>
      <c r="H123" s="10">
        <v>81.043675117375997</v>
      </c>
      <c r="I123" s="26">
        <f>VLOOKUP(CurrentMtgRatesDataTable82[[#This Row],[asofdate]],K:L,2,0)</f>
        <v>0.24920567214137601</v>
      </c>
      <c r="K123" s="7" t="s">
        <v>19</v>
      </c>
      <c r="L123" s="29">
        <v>0.24920567214137601</v>
      </c>
      <c r="O123" s="7" t="s">
        <v>19</v>
      </c>
      <c r="P123" s="10">
        <v>33.429210541255898</v>
      </c>
      <c r="Q123" s="29">
        <f>VLOOKUP(CurrentMtgRatesDataTable84[[#This Row],[asofdate]],S:T,2,0)</f>
        <v>0.26777968249987799</v>
      </c>
      <c r="S123" s="7" t="s">
        <v>19</v>
      </c>
      <c r="T123" s="10">
        <v>0.26777968249987799</v>
      </c>
      <c r="W123" s="7" t="s">
        <v>19</v>
      </c>
      <c r="X123" s="10">
        <v>758.30996785926004</v>
      </c>
      <c r="Y123" s="26">
        <f>VLOOKUP(CurrentMtgRatesDataTable86[[#This Row],[asofdate]],AA:AB,2,0)</f>
        <v>9.6988005222013604E-2</v>
      </c>
      <c r="AA123" s="7" t="s">
        <v>19</v>
      </c>
      <c r="AB123" s="10">
        <v>9.6988005222013604E-2</v>
      </c>
      <c r="AE123" s="7" t="s">
        <v>62</v>
      </c>
      <c r="AF123" s="10">
        <v>1.8340270781847499E-2</v>
      </c>
      <c r="AG123" s="10" t="str">
        <f>YEAR(CurrentMtgRatesDataTable89[[#This Row],[asofdate]])&amp;"-"&amp;MONTH(CurrentMtgRatesDataTable89[[#This Row],[asofdate]])</f>
        <v>2005-9</v>
      </c>
      <c r="AH123" s="6">
        <f>((CurrentMtgRatesDataTable89[[#This Row],[SeriesNumValue]]-$D$1)/$D$1+1)*100</f>
        <v>122.26847187898333</v>
      </c>
      <c r="AI123" s="6">
        <f>CurrentMtgRatesDataTable89[[#This Row],[Index]]-AH124</f>
        <v>-8.6933922804073376</v>
      </c>
      <c r="AJ123" s="6">
        <f>VLOOKUP(CurrentMtgRatesDataTable89[[#This Row],[asofdate]],G:H,2,0)</f>
        <v>79.800127622255999</v>
      </c>
      <c r="AK123" s="6">
        <f>VLOOKUP(CurrentMtgRatesDataTable89[[#This Row],[asofdate]],K:L,2,0)</f>
        <v>0.20901707282761001</v>
      </c>
      <c r="AL123" s="6">
        <f>VLOOKUP(CurrentMtgRatesDataTable89[[#This Row],[asofdate]],O:P,2,0)</f>
        <v>35.1480749189747</v>
      </c>
      <c r="AM123" s="6">
        <f>VLOOKUP(CurrentMtgRatesDataTable89[[#This Row],[asofdate]],S:T,2,0)</f>
        <v>2.68399820380428E-2</v>
      </c>
      <c r="AN123" s="6">
        <f>VLOOKUP(CurrentMtgRatesDataTable89[[#This Row],[asofdate]],W:X,2,0)</f>
        <v>728.11888488396903</v>
      </c>
      <c r="AO123" s="6">
        <f>VLOOKUP(CurrentMtgRatesDataTable89[[#This Row],[asofdate]],AA:AB,2,0)</f>
        <v>0.29226453331797803</v>
      </c>
    </row>
    <row r="124" spans="1:41" s="8" customFormat="1" ht="12.75">
      <c r="A124" s="7" t="s">
        <v>15</v>
      </c>
      <c r="B124" s="10">
        <v>1.4081346589350801E-2</v>
      </c>
      <c r="C124" s="10" t="str">
        <f>YEAR(CurrentMtgRatesDataTable8[[#This Row],[asofdate]])&amp;"-"&amp;MONTH(CurrentMtgRatesDataTable8[[#This Row],[asofdate]])</f>
        <v>2013-4</v>
      </c>
      <c r="D124" s="6">
        <f>((CurrentMtgRatesDataTable8[[#This Row],[SeriesNumValue]]-$D$1)/$D$1+1)*100</f>
        <v>93.875643929005335</v>
      </c>
      <c r="E124" s="6"/>
      <c r="G124" s="7" t="s">
        <v>15</v>
      </c>
      <c r="H124" s="10">
        <v>81.199799681071894</v>
      </c>
      <c r="I124" s="26">
        <f>VLOOKUP(CurrentMtgRatesDataTable82[[#This Row],[asofdate]],K:L,2,0)</f>
        <v>0.25702421178178703</v>
      </c>
      <c r="K124" s="7" t="s">
        <v>15</v>
      </c>
      <c r="L124" s="29">
        <v>0.25702421178178703</v>
      </c>
      <c r="O124" s="7" t="s">
        <v>15</v>
      </c>
      <c r="P124" s="10">
        <v>33.479006651971702</v>
      </c>
      <c r="Q124" s="29">
        <f>VLOOKUP(CurrentMtgRatesDataTable84[[#This Row],[asofdate]],S:T,2,0)</f>
        <v>0.26708469414027702</v>
      </c>
      <c r="S124" s="7" t="s">
        <v>15</v>
      </c>
      <c r="T124" s="10">
        <v>0.26708469414027702</v>
      </c>
      <c r="W124" s="7" t="s">
        <v>15</v>
      </c>
      <c r="X124" s="10">
        <v>758.50153581532902</v>
      </c>
      <c r="Y124" s="26">
        <f>VLOOKUP(CurrentMtgRatesDataTable86[[#This Row],[asofdate]],AA:AB,2,0)</f>
        <v>9.1597013504822702E-2</v>
      </c>
      <c r="AA124" s="7" t="s">
        <v>15</v>
      </c>
      <c r="AB124" s="10">
        <v>9.1597013504822702E-2</v>
      </c>
      <c r="AE124" s="7" t="s">
        <v>61</v>
      </c>
      <c r="AF124" s="10">
        <v>1.9644279623908599E-2</v>
      </c>
      <c r="AG124" s="10" t="str">
        <f>YEAR(CurrentMtgRatesDataTable89[[#This Row],[asofdate]])&amp;"-"&amp;MONTH(CurrentMtgRatesDataTable89[[#This Row],[asofdate]])</f>
        <v>2005-8</v>
      </c>
      <c r="AH124" s="6">
        <f>((CurrentMtgRatesDataTable89[[#This Row],[SeriesNumValue]]-$D$1)/$D$1+1)*100</f>
        <v>130.96186415939067</v>
      </c>
      <c r="AI124" s="6">
        <f>CurrentMtgRatesDataTable89[[#This Row],[Index]]-AH125</f>
        <v>-11.073182021811334</v>
      </c>
      <c r="AJ124" s="6">
        <f>VLOOKUP(CurrentMtgRatesDataTable89[[#This Row],[asofdate]],G:H,2,0)</f>
        <v>79.8624128683972</v>
      </c>
      <c r="AK124" s="6">
        <f>VLOOKUP(CurrentMtgRatesDataTable89[[#This Row],[asofdate]],K:L,2,0)</f>
        <v>0.214649589433586</v>
      </c>
      <c r="AL124" s="6">
        <f>VLOOKUP(CurrentMtgRatesDataTable89[[#This Row],[asofdate]],O:P,2,0)</f>
        <v>35.077215179314997</v>
      </c>
      <c r="AM124" s="6">
        <f>VLOOKUP(CurrentMtgRatesDataTable89[[#This Row],[asofdate]],S:T,2,0)</f>
        <v>2.0740391863012599E-2</v>
      </c>
      <c r="AN124" s="6">
        <f>VLOOKUP(CurrentMtgRatesDataTable89[[#This Row],[asofdate]],W:X,2,0)</f>
        <v>727.32930770411701</v>
      </c>
      <c r="AO124" s="6">
        <f>VLOOKUP(CurrentMtgRatesDataTable89[[#This Row],[asofdate]],AA:AB,2,0)</f>
        <v>0.30540869486486999</v>
      </c>
    </row>
    <row r="125" spans="1:41" s="8" customFormat="1" ht="12.75">
      <c r="A125" s="7" t="s">
        <v>7</v>
      </c>
      <c r="B125" s="10">
        <v>1.48366985334087E-2</v>
      </c>
      <c r="C125" s="10" t="str">
        <f>YEAR(CurrentMtgRatesDataTable8[[#This Row],[asofdate]])&amp;"-"&amp;MONTH(CurrentMtgRatesDataTable8[[#This Row],[asofdate]])</f>
        <v>2013-5</v>
      </c>
      <c r="D125" s="6">
        <f>((CurrentMtgRatesDataTable8[[#This Row],[SeriesNumValue]]-$D$1)/$D$1+1)*100</f>
        <v>98.911323556058008</v>
      </c>
      <c r="E125" s="6"/>
      <c r="G125" s="7" t="s">
        <v>7</v>
      </c>
      <c r="H125" s="10">
        <v>81.325179322753797</v>
      </c>
      <c r="I125" s="26">
        <f>VLOOKUP(CurrentMtgRatesDataTable82[[#This Row],[asofdate]],K:L,2,0)</f>
        <v>0.262825288107358</v>
      </c>
      <c r="K125" s="7" t="s">
        <v>7</v>
      </c>
      <c r="L125" s="29">
        <v>0.262825288107358</v>
      </c>
      <c r="O125" s="7" t="s">
        <v>7</v>
      </c>
      <c r="P125" s="10">
        <v>33.5566306336381</v>
      </c>
      <c r="Q125" s="29">
        <f>VLOOKUP(CurrentMtgRatesDataTable84[[#This Row],[asofdate]],S:T,2,0)</f>
        <v>0.26794335903761601</v>
      </c>
      <c r="S125" s="7" t="s">
        <v>7</v>
      </c>
      <c r="T125" s="10">
        <v>0.26794335903761601</v>
      </c>
      <c r="W125" s="7" t="s">
        <v>7</v>
      </c>
      <c r="X125" s="10">
        <v>758.42291222221195</v>
      </c>
      <c r="Y125" s="26">
        <f>VLOOKUP(CurrentMtgRatesDataTable86[[#This Row],[asofdate]],AA:AB,2,0)</f>
        <v>9.3295068554112501E-2</v>
      </c>
      <c r="AA125" s="7" t="s">
        <v>7</v>
      </c>
      <c r="AB125" s="10">
        <v>9.3295068554112501E-2</v>
      </c>
      <c r="AE125" s="7" t="s">
        <v>60</v>
      </c>
      <c r="AF125" s="10">
        <v>2.1305256927180299E-2</v>
      </c>
      <c r="AG125" s="10" t="str">
        <f>YEAR(CurrentMtgRatesDataTable89[[#This Row],[asofdate]])&amp;"-"&amp;MONTH(CurrentMtgRatesDataTable89[[#This Row],[asofdate]])</f>
        <v>2005-7</v>
      </c>
      <c r="AH125" s="6">
        <f>((CurrentMtgRatesDataTable89[[#This Row],[SeriesNumValue]]-$D$1)/$D$1+1)*100</f>
        <v>142.03504618120201</v>
      </c>
      <c r="AI125" s="6">
        <f>CurrentMtgRatesDataTable89[[#This Row],[Index]]-AH126</f>
        <v>3.1544608154299851</v>
      </c>
      <c r="AJ125" s="6">
        <f>VLOOKUP(CurrentMtgRatesDataTable89[[#This Row],[asofdate]],G:H,2,0)</f>
        <v>80.924093980399604</v>
      </c>
      <c r="AK125" s="6">
        <f>VLOOKUP(CurrentMtgRatesDataTable89[[#This Row],[asofdate]],K:L,2,0)</f>
        <v>0.234948394132272</v>
      </c>
      <c r="AL125" s="6">
        <f>VLOOKUP(CurrentMtgRatesDataTable89[[#This Row],[asofdate]],O:P,2,0)</f>
        <v>35.622831536056303</v>
      </c>
      <c r="AM125" s="6">
        <f>VLOOKUP(CurrentMtgRatesDataTable89[[#This Row],[asofdate]],S:T,2,0)</f>
        <v>2.39749129907815E-2</v>
      </c>
      <c r="AN125" s="6">
        <f>VLOOKUP(CurrentMtgRatesDataTable89[[#This Row],[asofdate]],W:X,2,0)</f>
        <v>725.24515758187999</v>
      </c>
      <c r="AO125" s="6">
        <f>VLOOKUP(CurrentMtgRatesDataTable89[[#This Row],[asofdate]],AA:AB,2,0)</f>
        <v>0.31626561898460898</v>
      </c>
    </row>
    <row r="126" spans="1:41" s="8" customFormat="1" ht="12.75">
      <c r="A126" s="7" t="s">
        <v>146</v>
      </c>
      <c r="B126" s="10">
        <v>1.5413706581738599E-2</v>
      </c>
      <c r="C126" s="10" t="str">
        <f>YEAR(CurrentMtgRatesDataTable8[[#This Row],[asofdate]])&amp;"-"&amp;MONTH(CurrentMtgRatesDataTable8[[#This Row],[asofdate]])</f>
        <v>2013-6</v>
      </c>
      <c r="D126" s="6">
        <f>((CurrentMtgRatesDataTable8[[#This Row],[SeriesNumValue]]-$D$1)/$D$1+1)*100</f>
        <v>102.75804387825733</v>
      </c>
      <c r="E126" s="6"/>
      <c r="G126" s="7" t="s">
        <v>146</v>
      </c>
      <c r="H126" s="10">
        <v>81.560995062085496</v>
      </c>
      <c r="I126" s="26">
        <f>VLOOKUP(CurrentMtgRatesDataTable82[[#This Row],[asofdate]],K:L,2,0)</f>
        <v>0.27245016612395301</v>
      </c>
      <c r="K126" s="7" t="s">
        <v>146</v>
      </c>
      <c r="L126" s="29">
        <v>0.27245016612395301</v>
      </c>
      <c r="O126" s="7" t="s">
        <v>146</v>
      </c>
      <c r="P126" s="10">
        <v>33.442751747550503</v>
      </c>
      <c r="Q126" s="29">
        <f>VLOOKUP(CurrentMtgRatesDataTable84[[#This Row],[asofdate]],S:T,2,0)</f>
        <v>0.26164688930527003</v>
      </c>
      <c r="S126" s="7" t="s">
        <v>146</v>
      </c>
      <c r="T126" s="10">
        <v>0.26164688930527003</v>
      </c>
      <c r="W126" s="7" t="s">
        <v>146</v>
      </c>
      <c r="X126" s="10">
        <v>758.39409782383098</v>
      </c>
      <c r="Y126" s="26">
        <f>VLOOKUP(CurrentMtgRatesDataTable86[[#This Row],[asofdate]],AA:AB,2,0)</f>
        <v>9.4257525505838602E-2</v>
      </c>
      <c r="AA126" s="7" t="s">
        <v>146</v>
      </c>
      <c r="AB126" s="10">
        <v>9.4257525505838602E-2</v>
      </c>
      <c r="AE126" s="7" t="s">
        <v>59</v>
      </c>
      <c r="AF126" s="10">
        <v>2.0832087804865802E-2</v>
      </c>
      <c r="AG126" s="10" t="str">
        <f>YEAR(CurrentMtgRatesDataTable89[[#This Row],[asofdate]])&amp;"-"&amp;MONTH(CurrentMtgRatesDataTable89[[#This Row],[asofdate]])</f>
        <v>2005-6</v>
      </c>
      <c r="AH126" s="6">
        <f>((CurrentMtgRatesDataTable89[[#This Row],[SeriesNumValue]]-$D$1)/$D$1+1)*100</f>
        <v>138.88058536577202</v>
      </c>
      <c r="AI126" s="6">
        <f>CurrentMtgRatesDataTable89[[#This Row],[Index]]-AH127</f>
        <v>16.902729397636676</v>
      </c>
      <c r="AJ126" s="6">
        <f>VLOOKUP(CurrentMtgRatesDataTable89[[#This Row],[asofdate]],G:H,2,0)</f>
        <v>80.948951507975195</v>
      </c>
      <c r="AK126" s="6">
        <f>VLOOKUP(CurrentMtgRatesDataTable89[[#This Row],[asofdate]],K:L,2,0)</f>
        <v>0.24199028870644701</v>
      </c>
      <c r="AL126" s="6">
        <f>VLOOKUP(CurrentMtgRatesDataTable89[[#This Row],[asofdate]],O:P,2,0)</f>
        <v>36.1993382197549</v>
      </c>
      <c r="AM126" s="6">
        <f>VLOOKUP(CurrentMtgRatesDataTable89[[#This Row],[asofdate]],S:T,2,0)</f>
        <v>2.4888563661056001E-2</v>
      </c>
      <c r="AN126" s="6">
        <f>VLOOKUP(CurrentMtgRatesDataTable89[[#This Row],[asofdate]],W:X,2,0)</f>
        <v>724.54450005986598</v>
      </c>
      <c r="AO126" s="6">
        <f>VLOOKUP(CurrentMtgRatesDataTable89[[#This Row],[asofdate]],AA:AB,2,0)</f>
        <v>0.31915669681855002</v>
      </c>
    </row>
    <row r="127" spans="1:41" s="8" customFormat="1" ht="12.75">
      <c r="A127" s="7" t="s">
        <v>10</v>
      </c>
      <c r="B127" s="10">
        <v>1.3647562689271499E-2</v>
      </c>
      <c r="C127" s="10" t="str">
        <f>YEAR(CurrentMtgRatesDataTable8[[#This Row],[asofdate]])&amp;"-"&amp;MONTH(CurrentMtgRatesDataTable8[[#This Row],[asofdate]])</f>
        <v>2013-7</v>
      </c>
      <c r="D127" s="6">
        <f>((CurrentMtgRatesDataTable8[[#This Row],[SeriesNumValue]]-$D$1)/$D$1+1)*100</f>
        <v>90.983751261809999</v>
      </c>
      <c r="E127" s="6"/>
      <c r="G127" s="7" t="s">
        <v>10</v>
      </c>
      <c r="H127" s="10">
        <v>81.788158152840097</v>
      </c>
      <c r="I127" s="26">
        <f>VLOOKUP(CurrentMtgRatesDataTable82[[#This Row],[asofdate]],K:L,2,0)</f>
        <v>0.28535356918134203</v>
      </c>
      <c r="K127" s="7" t="s">
        <v>10</v>
      </c>
      <c r="L127" s="29">
        <v>0.28535356918134203</v>
      </c>
      <c r="O127" s="7" t="s">
        <v>10</v>
      </c>
      <c r="P127" s="10">
        <v>33.228820554415002</v>
      </c>
      <c r="Q127" s="29">
        <f>VLOOKUP(CurrentMtgRatesDataTable84[[#This Row],[asofdate]],S:T,2,0)</f>
        <v>0.25208629868176302</v>
      </c>
      <c r="S127" s="7" t="s">
        <v>10</v>
      </c>
      <c r="T127" s="10">
        <v>0.25208629868176302</v>
      </c>
      <c r="W127" s="7" t="s">
        <v>10</v>
      </c>
      <c r="X127" s="10">
        <v>758.28630946198598</v>
      </c>
      <c r="Y127" s="26">
        <f>VLOOKUP(CurrentMtgRatesDataTable86[[#This Row],[asofdate]],AA:AB,2,0)</f>
        <v>9.6568724354419794E-2</v>
      </c>
      <c r="AA127" s="7" t="s">
        <v>10</v>
      </c>
      <c r="AB127" s="10">
        <v>9.6568724354419794E-2</v>
      </c>
      <c r="AE127" s="7" t="s">
        <v>58</v>
      </c>
      <c r="AF127" s="10">
        <v>1.8296678395220301E-2</v>
      </c>
      <c r="AG127" s="10" t="str">
        <f>YEAR(CurrentMtgRatesDataTable89[[#This Row],[asofdate]])&amp;"-"&amp;MONTH(CurrentMtgRatesDataTable89[[#This Row],[asofdate]])</f>
        <v>2005-5</v>
      </c>
      <c r="AH127" s="6">
        <f>((CurrentMtgRatesDataTable89[[#This Row],[SeriesNumValue]]-$D$1)/$D$1+1)*100</f>
        <v>121.97785596813534</v>
      </c>
      <c r="AI127" s="6">
        <f>CurrentMtgRatesDataTable89[[#This Row],[Index]]-AH128</f>
        <v>-10.866807213664657</v>
      </c>
      <c r="AJ127" s="6">
        <f>VLOOKUP(CurrentMtgRatesDataTable89[[#This Row],[asofdate]],G:H,2,0)</f>
        <v>80.691921534860796</v>
      </c>
      <c r="AK127" s="6">
        <f>VLOOKUP(CurrentMtgRatesDataTable89[[#This Row],[asofdate]],K:L,2,0)</f>
        <v>0.234305230431572</v>
      </c>
      <c r="AL127" s="6">
        <f>VLOOKUP(CurrentMtgRatesDataTable89[[#This Row],[asofdate]],O:P,2,0)</f>
        <v>36.327186002251203</v>
      </c>
      <c r="AM127" s="6">
        <f>VLOOKUP(CurrentMtgRatesDataTable89[[#This Row],[asofdate]],S:T,2,0)</f>
        <v>2.02201237207651E-2</v>
      </c>
      <c r="AN127" s="6">
        <f>VLOOKUP(CurrentMtgRatesDataTable89[[#This Row],[asofdate]],W:X,2,0)</f>
        <v>725.45547752792004</v>
      </c>
      <c r="AO127" s="6">
        <f>VLOOKUP(CurrentMtgRatesDataTable89[[#This Row],[asofdate]],AA:AB,2,0)</f>
        <v>0.31191876727622397</v>
      </c>
    </row>
    <row r="128" spans="1:41" s="8" customFormat="1" ht="12.75">
      <c r="A128" s="7" t="s">
        <v>23</v>
      </c>
      <c r="B128" s="10">
        <v>1.2469920234914901E-2</v>
      </c>
      <c r="C128" s="10" t="str">
        <f>YEAR(CurrentMtgRatesDataTable8[[#This Row],[asofdate]])&amp;"-"&amp;MONTH(CurrentMtgRatesDataTable8[[#This Row],[asofdate]])</f>
        <v>2013-8</v>
      </c>
      <c r="D128" s="6">
        <f>((CurrentMtgRatesDataTable8[[#This Row],[SeriesNumValue]]-$D$1)/$D$1+1)*100</f>
        <v>83.132801566099346</v>
      </c>
      <c r="E128" s="6"/>
      <c r="G128" s="7" t="s">
        <v>23</v>
      </c>
      <c r="H128" s="10">
        <v>81.827547469885204</v>
      </c>
      <c r="I128" s="26">
        <f>VLOOKUP(CurrentMtgRatesDataTable82[[#This Row],[asofdate]],K:L,2,0)</f>
        <v>0.28462114980755299</v>
      </c>
      <c r="K128" s="7" t="s">
        <v>23</v>
      </c>
      <c r="L128" s="29">
        <v>0.28462114980755299</v>
      </c>
      <c r="O128" s="7" t="s">
        <v>23</v>
      </c>
      <c r="P128" s="10">
        <v>33.415238721331797</v>
      </c>
      <c r="Q128" s="29">
        <f>VLOOKUP(CurrentMtgRatesDataTable84[[#This Row],[asofdate]],S:T,2,0)</f>
        <v>0.26111500363976398</v>
      </c>
      <c r="S128" s="7" t="s">
        <v>23</v>
      </c>
      <c r="T128" s="10">
        <v>0.26111500363976398</v>
      </c>
      <c r="W128" s="7" t="s">
        <v>23</v>
      </c>
      <c r="X128" s="10">
        <v>757.91787250439097</v>
      </c>
      <c r="Y128" s="26">
        <f>VLOOKUP(CurrentMtgRatesDataTable86[[#This Row],[asofdate]],AA:AB,2,0)</f>
        <v>9.7421246941441803E-2</v>
      </c>
      <c r="AA128" s="7" t="s">
        <v>23</v>
      </c>
      <c r="AB128" s="10">
        <v>9.7421246941441803E-2</v>
      </c>
      <c r="AE128" s="7" t="s">
        <v>57</v>
      </c>
      <c r="AF128" s="10">
        <v>1.992669947727E-2</v>
      </c>
      <c r="AG128" s="10" t="str">
        <f>YEAR(CurrentMtgRatesDataTable89[[#This Row],[asofdate]])&amp;"-"&amp;MONTH(CurrentMtgRatesDataTable89[[#This Row],[asofdate]])</f>
        <v>2005-4</v>
      </c>
      <c r="AH128" s="6">
        <f>((CurrentMtgRatesDataTable89[[#This Row],[SeriesNumValue]]-$D$1)/$D$1+1)*100</f>
        <v>132.8446631818</v>
      </c>
      <c r="AI128" s="6">
        <f>CurrentMtgRatesDataTable89[[#This Row],[Index]]-AH129</f>
        <v>-4.0947310402020207</v>
      </c>
      <c r="AJ128" s="6">
        <f>VLOOKUP(CurrentMtgRatesDataTable89[[#This Row],[asofdate]],G:H,2,0)</f>
        <v>80.895125662890706</v>
      </c>
      <c r="AK128" s="6">
        <f>VLOOKUP(CurrentMtgRatesDataTable89[[#This Row],[asofdate]],K:L,2,0)</f>
        <v>0.245931688961815</v>
      </c>
      <c r="AL128" s="6">
        <f>VLOOKUP(CurrentMtgRatesDataTable89[[#This Row],[asofdate]],O:P,2,0)</f>
        <v>36.597130219793101</v>
      </c>
      <c r="AM128" s="6">
        <f>VLOOKUP(CurrentMtgRatesDataTable89[[#This Row],[asofdate]],S:T,2,0)</f>
        <v>2.0414171190781299E-2</v>
      </c>
      <c r="AN128" s="6">
        <f>VLOOKUP(CurrentMtgRatesDataTable89[[#This Row],[asofdate]],W:X,2,0)</f>
        <v>725.25839259543602</v>
      </c>
      <c r="AO128" s="6">
        <f>VLOOKUP(CurrentMtgRatesDataTable89[[#This Row],[asofdate]],AA:AB,2,0)</f>
        <v>0.31175809732214199</v>
      </c>
    </row>
    <row r="129" spans="1:41" s="8" customFormat="1" ht="12.75">
      <c r="A129" s="7" t="s">
        <v>147</v>
      </c>
      <c r="B129" s="10">
        <v>1.3768461724071E-2</v>
      </c>
      <c r="C129" s="10" t="str">
        <f>YEAR(CurrentMtgRatesDataTable8[[#This Row],[asofdate]])&amp;"-"&amp;MONTH(CurrentMtgRatesDataTable8[[#This Row],[asofdate]])</f>
        <v>2013-9</v>
      </c>
      <c r="D129" s="6">
        <f>((CurrentMtgRatesDataTable8[[#This Row],[SeriesNumValue]]-$D$1)/$D$1+1)*100</f>
        <v>91.789744827140012</v>
      </c>
      <c r="E129" s="6"/>
      <c r="G129" s="7" t="s">
        <v>147</v>
      </c>
      <c r="H129" s="10">
        <v>81.917771600137101</v>
      </c>
      <c r="I129" s="26">
        <f>VLOOKUP(CurrentMtgRatesDataTable82[[#This Row],[asofdate]],K:L,2,0)</f>
        <v>0.29030501171380202</v>
      </c>
      <c r="K129" s="7" t="s">
        <v>147</v>
      </c>
      <c r="L129" s="29">
        <v>0.29030501171380202</v>
      </c>
      <c r="O129" s="7" t="s">
        <v>147</v>
      </c>
      <c r="P129" s="10">
        <v>34.041078566184702</v>
      </c>
      <c r="Q129" s="29">
        <f>VLOOKUP(CurrentMtgRatesDataTable84[[#This Row],[asofdate]],S:T,2,0)</f>
        <v>0.28421617550554501</v>
      </c>
      <c r="S129" s="7" t="s">
        <v>147</v>
      </c>
      <c r="T129" s="10">
        <v>0.28421617550554501</v>
      </c>
      <c r="W129" s="7" t="s">
        <v>147</v>
      </c>
      <c r="X129" s="10">
        <v>756.653444016501</v>
      </c>
      <c r="Y129" s="26">
        <f>VLOOKUP(CurrentMtgRatesDataTable86[[#This Row],[asofdate]],AA:AB,2,0)</f>
        <v>0.10239949086036899</v>
      </c>
      <c r="AA129" s="7" t="s">
        <v>147</v>
      </c>
      <c r="AB129" s="10">
        <v>0.10239949086036899</v>
      </c>
      <c r="AE129" s="7" t="s">
        <v>56</v>
      </c>
      <c r="AF129" s="10">
        <v>2.0540909133300301E-2</v>
      </c>
      <c r="AG129" s="10" t="str">
        <f>YEAR(CurrentMtgRatesDataTable89[[#This Row],[asofdate]])&amp;"-"&amp;MONTH(CurrentMtgRatesDataTable89[[#This Row],[asofdate]])</f>
        <v>2005-3</v>
      </c>
      <c r="AH129" s="6">
        <f>((CurrentMtgRatesDataTable89[[#This Row],[SeriesNumValue]]-$D$1)/$D$1+1)*100</f>
        <v>136.93939422200202</v>
      </c>
      <c r="AI129" s="6">
        <f>CurrentMtgRatesDataTable89[[#This Row],[Index]]-AH130</f>
        <v>-1.5405355407626473</v>
      </c>
      <c r="AJ129" s="6">
        <f>VLOOKUP(CurrentMtgRatesDataTable89[[#This Row],[asofdate]],G:H,2,0)</f>
        <v>80.932832463711193</v>
      </c>
      <c r="AK129" s="6">
        <f>VLOOKUP(CurrentMtgRatesDataTable89[[#This Row],[asofdate]],K:L,2,0)</f>
        <v>0.249163412035458</v>
      </c>
      <c r="AL129" s="6">
        <f>VLOOKUP(CurrentMtgRatesDataTable89[[#This Row],[asofdate]],O:P,2,0)</f>
        <v>36.536528015982903</v>
      </c>
      <c r="AM129" s="6">
        <f>VLOOKUP(CurrentMtgRatesDataTable89[[#This Row],[asofdate]],S:T,2,0)</f>
        <v>2.2787597421070799E-2</v>
      </c>
      <c r="AN129" s="6">
        <f>VLOOKUP(CurrentMtgRatesDataTable89[[#This Row],[asofdate]],W:X,2,0)</f>
        <v>723.64106546829998</v>
      </c>
      <c r="AO129" s="6">
        <f>VLOOKUP(CurrentMtgRatesDataTable89[[#This Row],[asofdate]],AA:AB,2,0)</f>
        <v>0.325365720667595</v>
      </c>
    </row>
    <row r="130" spans="1:41" s="8" customFormat="1" ht="12.75">
      <c r="A130" s="7" t="s">
        <v>11</v>
      </c>
      <c r="B130" s="10">
        <v>1.5156340459755E-2</v>
      </c>
      <c r="C130" s="10" t="str">
        <f>YEAR(CurrentMtgRatesDataTable8[[#This Row],[asofdate]])&amp;"-"&amp;MONTH(CurrentMtgRatesDataTable8[[#This Row],[asofdate]])</f>
        <v>2013-10</v>
      </c>
      <c r="D130" s="6">
        <f>((CurrentMtgRatesDataTable8[[#This Row],[SeriesNumValue]]-$D$1)/$D$1+1)*100</f>
        <v>101.0422697317</v>
      </c>
      <c r="E130" s="6"/>
      <c r="G130" s="7" t="s">
        <v>11</v>
      </c>
      <c r="H130" s="10">
        <v>81.926585922395802</v>
      </c>
      <c r="I130" s="26">
        <f>VLOOKUP(CurrentMtgRatesDataTable82[[#This Row],[asofdate]],K:L,2,0)</f>
        <v>0.29249498292353099</v>
      </c>
      <c r="K130" s="7" t="s">
        <v>11</v>
      </c>
      <c r="L130" s="29">
        <v>0.29249498292353099</v>
      </c>
      <c r="O130" s="7" t="s">
        <v>11</v>
      </c>
      <c r="P130" s="10">
        <v>34.357406516104902</v>
      </c>
      <c r="Q130" s="29">
        <f>VLOOKUP(CurrentMtgRatesDataTable84[[#This Row],[asofdate]],S:T,2,0)</f>
        <v>0.29325545251212798</v>
      </c>
      <c r="S130" s="7" t="s">
        <v>11</v>
      </c>
      <c r="T130" s="10">
        <v>0.29325545251212798</v>
      </c>
      <c r="W130" s="7" t="s">
        <v>11</v>
      </c>
      <c r="X130" s="10">
        <v>755.18299575253604</v>
      </c>
      <c r="Y130" s="26">
        <f>VLOOKUP(CurrentMtgRatesDataTable86[[#This Row],[asofdate]],AA:AB,2,0)</f>
        <v>0.111573251117844</v>
      </c>
      <c r="AA130" s="7" t="s">
        <v>11</v>
      </c>
      <c r="AB130" s="10">
        <v>0.111573251117844</v>
      </c>
      <c r="AE130" s="7" t="s">
        <v>55</v>
      </c>
      <c r="AF130" s="10">
        <v>2.0771989464414699E-2</v>
      </c>
      <c r="AG130" s="10" t="str">
        <f>YEAR(CurrentMtgRatesDataTable89[[#This Row],[asofdate]])&amp;"-"&amp;MONTH(CurrentMtgRatesDataTable89[[#This Row],[asofdate]])</f>
        <v>2005-2</v>
      </c>
      <c r="AH130" s="6">
        <f>((CurrentMtgRatesDataTable89[[#This Row],[SeriesNumValue]]-$D$1)/$D$1+1)*100</f>
        <v>138.47992976276467</v>
      </c>
      <c r="AI130" s="6">
        <f>CurrentMtgRatesDataTable89[[#This Row],[Index]]-AH131</f>
        <v>-1.8273430075039983</v>
      </c>
      <c r="AJ130" s="6">
        <f>VLOOKUP(CurrentMtgRatesDataTable89[[#This Row],[asofdate]],G:H,2,0)</f>
        <v>80.988234268140602</v>
      </c>
      <c r="AK130" s="6">
        <f>VLOOKUP(CurrentMtgRatesDataTable89[[#This Row],[asofdate]],K:L,2,0)</f>
        <v>0.26359078536765701</v>
      </c>
      <c r="AL130" s="6">
        <f>VLOOKUP(CurrentMtgRatesDataTable89[[#This Row],[asofdate]],O:P,2,0)</f>
        <v>36.021234313297398</v>
      </c>
      <c r="AM130" s="6">
        <f>VLOOKUP(CurrentMtgRatesDataTable89[[#This Row],[asofdate]],S:T,2,0)</f>
        <v>2.15048269951971E-2</v>
      </c>
      <c r="AN130" s="6">
        <f>VLOOKUP(CurrentMtgRatesDataTable89[[#This Row],[asofdate]],W:X,2,0)</f>
        <v>721.85201991281099</v>
      </c>
      <c r="AO130" s="6">
        <f>VLOOKUP(CurrentMtgRatesDataTable89[[#This Row],[asofdate]],AA:AB,2,0)</f>
        <v>0.33234768002944598</v>
      </c>
    </row>
    <row r="131" spans="1:41" s="8" customFormat="1" ht="12.75">
      <c r="A131" s="7" t="s">
        <v>20</v>
      </c>
      <c r="B131" s="10">
        <v>1.6601946320048199E-2</v>
      </c>
      <c r="C131" s="10" t="str">
        <f>YEAR(CurrentMtgRatesDataTable8[[#This Row],[asofdate]])&amp;"-"&amp;MONTH(CurrentMtgRatesDataTable8[[#This Row],[asofdate]])</f>
        <v>2013-11</v>
      </c>
      <c r="D131" s="6">
        <f>((CurrentMtgRatesDataTable8[[#This Row],[SeriesNumValue]]-$D$1)/$D$1+1)*100</f>
        <v>110.67964213365467</v>
      </c>
      <c r="E131" s="6"/>
      <c r="G131" s="7" t="s">
        <v>20</v>
      </c>
      <c r="H131" s="10">
        <v>81.996335409421604</v>
      </c>
      <c r="I131" s="26">
        <f>VLOOKUP(CurrentMtgRatesDataTable82[[#This Row],[asofdate]],K:L,2,0)</f>
        <v>0.29852906705149401</v>
      </c>
      <c r="K131" s="7" t="s">
        <v>20</v>
      </c>
      <c r="L131" s="29">
        <v>0.29852906705149401</v>
      </c>
      <c r="O131" s="7" t="s">
        <v>20</v>
      </c>
      <c r="P131" s="10">
        <v>34.6478974941895</v>
      </c>
      <c r="Q131" s="29">
        <f>VLOOKUP(CurrentMtgRatesDataTable84[[#This Row],[asofdate]],S:T,2,0)</f>
        <v>0.30468729593251298</v>
      </c>
      <c r="S131" s="7" t="s">
        <v>20</v>
      </c>
      <c r="T131" s="10">
        <v>0.30468729593251298</v>
      </c>
      <c r="W131" s="7" t="s">
        <v>20</v>
      </c>
      <c r="X131" s="10">
        <v>754.18465937431802</v>
      </c>
      <c r="Y131" s="26">
        <f>VLOOKUP(CurrentMtgRatesDataTable86[[#This Row],[asofdate]],AA:AB,2,0)</f>
        <v>0.118031852586022</v>
      </c>
      <c r="AA131" s="7" t="s">
        <v>20</v>
      </c>
      <c r="AB131" s="10">
        <v>0.118031852586022</v>
      </c>
      <c r="AE131" s="7" t="s">
        <v>54</v>
      </c>
      <c r="AF131" s="10">
        <v>2.10460909155403E-2</v>
      </c>
      <c r="AG131" s="10" t="str">
        <f>YEAR(CurrentMtgRatesDataTable89[[#This Row],[asofdate]])&amp;"-"&amp;MONTH(CurrentMtgRatesDataTable89[[#This Row],[asofdate]])</f>
        <v>2005-1</v>
      </c>
      <c r="AH131" s="6">
        <f>((CurrentMtgRatesDataTable89[[#This Row],[SeriesNumValue]]-$D$1)/$D$1+1)*100</f>
        <v>140.30727277026867</v>
      </c>
      <c r="AI131" s="6">
        <f>CurrentMtgRatesDataTable89[[#This Row],[Index]]-AH132</f>
        <v>-0.84402962013999172</v>
      </c>
      <c r="AJ131" s="6">
        <f>VLOOKUP(CurrentMtgRatesDataTable89[[#This Row],[asofdate]],G:H,2,0)</f>
        <v>81.184090206536396</v>
      </c>
      <c r="AK131" s="6">
        <f>VLOOKUP(CurrentMtgRatesDataTable89[[#This Row],[asofdate]],K:L,2,0)</f>
        <v>0.27546927529221299</v>
      </c>
      <c r="AL131" s="6">
        <f>VLOOKUP(CurrentMtgRatesDataTable89[[#This Row],[asofdate]],O:P,2,0)</f>
        <v>36.113002367630003</v>
      </c>
      <c r="AM131" s="6">
        <f>VLOOKUP(CurrentMtgRatesDataTable89[[#This Row],[asofdate]],S:T,2,0)</f>
        <v>2.1384716547729901E-2</v>
      </c>
      <c r="AN131" s="6">
        <f>VLOOKUP(CurrentMtgRatesDataTable89[[#This Row],[asofdate]],W:X,2,0)</f>
        <v>721.96599739441297</v>
      </c>
      <c r="AO131" s="6">
        <f>VLOOKUP(CurrentMtgRatesDataTable89[[#This Row],[asofdate]],AA:AB,2,0)</f>
        <v>0.32923258254458498</v>
      </c>
    </row>
    <row r="132" spans="1:41" s="8" customFormat="1" ht="12.75">
      <c r="A132" s="7" t="s">
        <v>148</v>
      </c>
      <c r="B132" s="10">
        <v>1.74052809343711E-2</v>
      </c>
      <c r="C132" s="10" t="str">
        <f>YEAR(CurrentMtgRatesDataTable8[[#This Row],[asofdate]])&amp;"-"&amp;MONTH(CurrentMtgRatesDataTable8[[#This Row],[asofdate]])</f>
        <v>2013-12</v>
      </c>
      <c r="D132" s="6">
        <f>((CurrentMtgRatesDataTable8[[#This Row],[SeriesNumValue]]-$D$1)/$D$1+1)*100</f>
        <v>116.03520622914067</v>
      </c>
      <c r="E132" s="6"/>
      <c r="G132" s="7" t="s">
        <v>148</v>
      </c>
      <c r="H132" s="10">
        <v>81.889913557659895</v>
      </c>
      <c r="I132" s="26">
        <f>VLOOKUP(CurrentMtgRatesDataTable82[[#This Row],[asofdate]],K:L,2,0)</f>
        <v>0.29679403380057001</v>
      </c>
      <c r="K132" s="7" t="s">
        <v>148</v>
      </c>
      <c r="L132" s="29">
        <v>0.29679403380057001</v>
      </c>
      <c r="O132" s="7" t="s">
        <v>148</v>
      </c>
      <c r="P132" s="10">
        <v>34.626736713885698</v>
      </c>
      <c r="Q132" s="29">
        <f>VLOOKUP(CurrentMtgRatesDataTable84[[#This Row],[asofdate]],S:T,2,0)</f>
        <v>0.30500668615603299</v>
      </c>
      <c r="S132" s="7" t="s">
        <v>148</v>
      </c>
      <c r="T132" s="10">
        <v>0.30500668615603299</v>
      </c>
      <c r="W132" s="7" t="s">
        <v>148</v>
      </c>
      <c r="X132" s="10">
        <v>753.468255047605</v>
      </c>
      <c r="Y132" s="26">
        <f>VLOOKUP(CurrentMtgRatesDataTable86[[#This Row],[asofdate]],AA:AB,2,0)</f>
        <v>0.122565766652004</v>
      </c>
      <c r="AA132" s="7" t="s">
        <v>148</v>
      </c>
      <c r="AB132" s="10">
        <v>0.122565766652004</v>
      </c>
      <c r="AE132" s="7" t="s">
        <v>53</v>
      </c>
      <c r="AF132" s="10">
        <v>2.11726953585613E-2</v>
      </c>
      <c r="AG132" s="10" t="str">
        <f>YEAR(CurrentMtgRatesDataTable89[[#This Row],[asofdate]])&amp;"-"&amp;MONTH(CurrentMtgRatesDataTable89[[#This Row],[asofdate]])</f>
        <v>2004-12</v>
      </c>
      <c r="AH132" s="6">
        <f>((CurrentMtgRatesDataTable89[[#This Row],[SeriesNumValue]]-$D$1)/$D$1+1)*100</f>
        <v>141.15130239040866</v>
      </c>
      <c r="AI132" s="6">
        <f>CurrentMtgRatesDataTable89[[#This Row],[Index]]-AH133</f>
        <v>-4.8121102030293628</v>
      </c>
      <c r="AJ132" s="6">
        <f>VLOOKUP(CurrentMtgRatesDataTable89[[#This Row],[asofdate]],G:H,2,0)</f>
        <v>80.785488014978796</v>
      </c>
      <c r="AK132" s="6">
        <f>VLOOKUP(CurrentMtgRatesDataTable89[[#This Row],[asofdate]],K:L,2,0)</f>
        <v>0.25927423449241599</v>
      </c>
      <c r="AL132" s="6">
        <f>VLOOKUP(CurrentMtgRatesDataTable89[[#This Row],[asofdate]],O:P,2,0)</f>
        <v>36.111274732319899</v>
      </c>
      <c r="AM132" s="6">
        <f>VLOOKUP(CurrentMtgRatesDataTable89[[#This Row],[asofdate]],S:T,2,0)</f>
        <v>2.0322416607770299E-2</v>
      </c>
      <c r="AN132" s="6">
        <f>VLOOKUP(CurrentMtgRatesDataTable89[[#This Row],[asofdate]],W:X,2,0)</f>
        <v>721.50859125420595</v>
      </c>
      <c r="AO132" s="6">
        <f>VLOOKUP(CurrentMtgRatesDataTable89[[#This Row],[asofdate]],AA:AB,2,0)</f>
        <v>0.33226636417420502</v>
      </c>
    </row>
    <row r="133" spans="1:41" s="8" customFormat="1" ht="12.75">
      <c r="A133" s="7" t="s">
        <v>149</v>
      </c>
      <c r="B133" s="10">
        <v>1.5698185728227902E-2</v>
      </c>
      <c r="C133" s="10" t="str">
        <f>YEAR(CurrentMtgRatesDataTable8[[#This Row],[asofdate]])&amp;"-"&amp;MONTH(CurrentMtgRatesDataTable8[[#This Row],[asofdate]])</f>
        <v>2014-1</v>
      </c>
      <c r="D133" s="6">
        <f>((CurrentMtgRatesDataTable8[[#This Row],[SeriesNumValue]]-$D$1)/$D$1+1)*100</f>
        <v>104.65457152151936</v>
      </c>
      <c r="E133" s="6"/>
      <c r="G133" s="7" t="s">
        <v>149</v>
      </c>
      <c r="H133" s="10">
        <v>81.982052928115394</v>
      </c>
      <c r="I133" s="26">
        <f>VLOOKUP(CurrentMtgRatesDataTable82[[#This Row],[asofdate]],K:L,2,0)</f>
        <v>0.299194151155105</v>
      </c>
      <c r="K133" s="7" t="s">
        <v>149</v>
      </c>
      <c r="L133" s="29">
        <v>0.299194151155105</v>
      </c>
      <c r="O133" s="7" t="s">
        <v>149</v>
      </c>
      <c r="P133" s="10">
        <v>34.566720754788797</v>
      </c>
      <c r="Q133" s="29">
        <f>VLOOKUP(CurrentMtgRatesDataTable84[[#This Row],[asofdate]],S:T,2,0)</f>
        <v>0.30216401668491399</v>
      </c>
      <c r="S133" s="7" t="s">
        <v>149</v>
      </c>
      <c r="T133" s="10">
        <v>0.30216401668491399</v>
      </c>
      <c r="W133" s="7" t="s">
        <v>149</v>
      </c>
      <c r="X133" s="10">
        <v>753.53265606586206</v>
      </c>
      <c r="Y133" s="26">
        <f>VLOOKUP(CurrentMtgRatesDataTable86[[#This Row],[asofdate]],AA:AB,2,0)</f>
        <v>0.12335834868330101</v>
      </c>
      <c r="AA133" s="7" t="s">
        <v>149</v>
      </c>
      <c r="AB133" s="10">
        <v>0.12335834868330101</v>
      </c>
      <c r="AE133" s="7" t="s">
        <v>52</v>
      </c>
      <c r="AF133" s="10">
        <v>2.18945118890157E-2</v>
      </c>
      <c r="AG133" s="10" t="str">
        <f>YEAR(CurrentMtgRatesDataTable89[[#This Row],[asofdate]])&amp;"-"&amp;MONTH(CurrentMtgRatesDataTable89[[#This Row],[asofdate]])</f>
        <v>2004-11</v>
      </c>
      <c r="AH133" s="6">
        <f>((CurrentMtgRatesDataTable89[[#This Row],[SeriesNumValue]]-$D$1)/$D$1+1)*100</f>
        <v>145.96341259343802</v>
      </c>
      <c r="AI133" s="6">
        <f>CurrentMtgRatesDataTable89[[#This Row],[Index]]-AH134</f>
        <v>-4.2427682041106607</v>
      </c>
      <c r="AJ133" s="6">
        <f>VLOOKUP(CurrentMtgRatesDataTable89[[#This Row],[asofdate]],G:H,2,0)</f>
        <v>81.059375355118405</v>
      </c>
      <c r="AK133" s="6">
        <f>VLOOKUP(CurrentMtgRatesDataTable89[[#This Row],[asofdate]],K:L,2,0)</f>
        <v>0.27010544272213999</v>
      </c>
      <c r="AL133" s="6">
        <f>VLOOKUP(CurrentMtgRatesDataTable89[[#This Row],[asofdate]],O:P,2,0)</f>
        <v>36.037229832655903</v>
      </c>
      <c r="AM133" s="6">
        <f>VLOOKUP(CurrentMtgRatesDataTable89[[#This Row],[asofdate]],S:T,2,0)</f>
        <v>2.3836089043189498E-2</v>
      </c>
      <c r="AN133" s="6">
        <f>VLOOKUP(CurrentMtgRatesDataTable89[[#This Row],[asofdate]],W:X,2,0)</f>
        <v>720.95368415043401</v>
      </c>
      <c r="AO133" s="6">
        <f>VLOOKUP(CurrentMtgRatesDataTable89[[#This Row],[asofdate]],AA:AB,2,0)</f>
        <v>0.341747031945347</v>
      </c>
    </row>
    <row r="134" spans="1:41" s="8" customFormat="1" ht="12.75">
      <c r="A134" s="7" t="s">
        <v>150</v>
      </c>
      <c r="B134" s="10">
        <v>1.55164512382632E-2</v>
      </c>
      <c r="C134" s="10" t="str">
        <f>YEAR(CurrentMtgRatesDataTable8[[#This Row],[asofdate]])&amp;"-"&amp;MONTH(CurrentMtgRatesDataTable8[[#This Row],[asofdate]])</f>
        <v>2014-2</v>
      </c>
      <c r="D134" s="6">
        <f>((CurrentMtgRatesDataTable8[[#This Row],[SeriesNumValue]]-$D$1)/$D$1+1)*100</f>
        <v>103.443008255088</v>
      </c>
      <c r="E134" s="6"/>
      <c r="G134" s="7" t="s">
        <v>150</v>
      </c>
      <c r="H134" s="10">
        <v>82.054188818201595</v>
      </c>
      <c r="I134" s="26">
        <f>VLOOKUP(CurrentMtgRatesDataTable82[[#This Row],[asofdate]],K:L,2,0)</f>
        <v>0.29731849479854999</v>
      </c>
      <c r="K134" s="7" t="s">
        <v>150</v>
      </c>
      <c r="L134" s="29">
        <v>0.29731849479854999</v>
      </c>
      <c r="O134" s="7" t="s">
        <v>150</v>
      </c>
      <c r="P134" s="10">
        <v>34.760538975541799</v>
      </c>
      <c r="Q134" s="29">
        <f>VLOOKUP(CurrentMtgRatesDataTable84[[#This Row],[asofdate]],S:T,2,0)</f>
        <v>0.31113505275696202</v>
      </c>
      <c r="S134" s="7" t="s">
        <v>150</v>
      </c>
      <c r="T134" s="10">
        <v>0.31113505275696202</v>
      </c>
      <c r="W134" s="7" t="s">
        <v>150</v>
      </c>
      <c r="X134" s="10">
        <v>752.81192436969502</v>
      </c>
      <c r="Y134" s="26">
        <f>VLOOKUP(CurrentMtgRatesDataTable86[[#This Row],[asofdate]],AA:AB,2,0)</f>
        <v>0.12799062962632901</v>
      </c>
      <c r="AA134" s="7" t="s">
        <v>150</v>
      </c>
      <c r="AB134" s="10">
        <v>0.12799062962632901</v>
      </c>
      <c r="AE134" s="7" t="s">
        <v>51</v>
      </c>
      <c r="AF134" s="10">
        <v>2.25309271196323E-2</v>
      </c>
      <c r="AG134" s="10" t="str">
        <f>YEAR(CurrentMtgRatesDataTable89[[#This Row],[asofdate]])&amp;"-"&amp;MONTH(CurrentMtgRatesDataTable89[[#This Row],[asofdate]])</f>
        <v>2004-10</v>
      </c>
      <c r="AH134" s="6">
        <f>((CurrentMtgRatesDataTable89[[#This Row],[SeriesNumValue]]-$D$1)/$D$1+1)*100</f>
        <v>150.20618079754868</v>
      </c>
      <c r="AI134" s="6">
        <f>CurrentMtgRatesDataTable89[[#This Row],[Index]]-AH135</f>
        <v>-4.5912796032726249</v>
      </c>
      <c r="AJ134" s="6">
        <f>VLOOKUP(CurrentMtgRatesDataTable89[[#This Row],[asofdate]],G:H,2,0)</f>
        <v>81.278021286029201</v>
      </c>
      <c r="AK134" s="6">
        <f>VLOOKUP(CurrentMtgRatesDataTable89[[#This Row],[asofdate]],K:L,2,0)</f>
        <v>0.276682221848848</v>
      </c>
      <c r="AL134" s="6">
        <f>VLOOKUP(CurrentMtgRatesDataTable89[[#This Row],[asofdate]],O:P,2,0)</f>
        <v>36.140491978410601</v>
      </c>
      <c r="AM134" s="6">
        <f>VLOOKUP(CurrentMtgRatesDataTable89[[#This Row],[asofdate]],S:T,2,0)</f>
        <v>2.2700215079383398E-2</v>
      </c>
      <c r="AN134" s="6">
        <f>VLOOKUP(CurrentMtgRatesDataTable89[[#This Row],[asofdate]],W:X,2,0)</f>
        <v>720.93113561545397</v>
      </c>
      <c r="AO134" s="6">
        <f>VLOOKUP(CurrentMtgRatesDataTable89[[#This Row],[asofdate]],AA:AB,2,0)</f>
        <v>0.33728725379950802</v>
      </c>
    </row>
    <row r="135" spans="1:41" s="8" customFormat="1" ht="12.75">
      <c r="A135" s="7" t="s">
        <v>151</v>
      </c>
      <c r="B135" s="10">
        <v>1.6884764231063599E-2</v>
      </c>
      <c r="C135" s="10" t="str">
        <f>YEAR(CurrentMtgRatesDataTable8[[#This Row],[asofdate]])&amp;"-"&amp;MONTH(CurrentMtgRatesDataTable8[[#This Row],[asofdate]])</f>
        <v>2014-3</v>
      </c>
      <c r="D135" s="6">
        <f>((CurrentMtgRatesDataTable8[[#This Row],[SeriesNumValue]]-$D$1)/$D$1+1)*100</f>
        <v>112.56509487375732</v>
      </c>
      <c r="E135" s="6"/>
      <c r="G135" s="7" t="s">
        <v>151</v>
      </c>
      <c r="H135" s="10">
        <v>81.851194537145602</v>
      </c>
      <c r="I135" s="26">
        <f>VLOOKUP(CurrentMtgRatesDataTable82[[#This Row],[asofdate]],K:L,2,0)</f>
        <v>0.29247281839506201</v>
      </c>
      <c r="K135" s="7" t="s">
        <v>151</v>
      </c>
      <c r="L135" s="29">
        <v>0.29247281839506201</v>
      </c>
      <c r="O135" s="7" t="s">
        <v>151</v>
      </c>
      <c r="P135" s="10">
        <v>35.096621359252701</v>
      </c>
      <c r="Q135" s="29">
        <f>VLOOKUP(CurrentMtgRatesDataTable84[[#This Row],[asofdate]],S:T,2,0)</f>
        <v>0.32592044220524802</v>
      </c>
      <c r="S135" s="7" t="s">
        <v>151</v>
      </c>
      <c r="T135" s="10">
        <v>0.32592044220524802</v>
      </c>
      <c r="W135" s="7" t="s">
        <v>151</v>
      </c>
      <c r="X135" s="10">
        <v>752.01745988927803</v>
      </c>
      <c r="Y135" s="26">
        <f>VLOOKUP(CurrentMtgRatesDataTable86[[#This Row],[asofdate]],AA:AB,2,0)</f>
        <v>0.13383175443081299</v>
      </c>
      <c r="AA135" s="7" t="s">
        <v>151</v>
      </c>
      <c r="AB135" s="10">
        <v>0.13383175443081299</v>
      </c>
      <c r="AE135" s="7" t="s">
        <v>50</v>
      </c>
      <c r="AF135" s="10">
        <v>2.3219619060123198E-2</v>
      </c>
      <c r="AG135" s="10" t="str">
        <f>YEAR(CurrentMtgRatesDataTable89[[#This Row],[asofdate]])&amp;"-"&amp;MONTH(CurrentMtgRatesDataTable89[[#This Row],[asofdate]])</f>
        <v>2004-9</v>
      </c>
      <c r="AH135" s="6">
        <f>((CurrentMtgRatesDataTable89[[#This Row],[SeriesNumValue]]-$D$1)/$D$1+1)*100</f>
        <v>154.79746040082131</v>
      </c>
      <c r="AI135" s="6">
        <f>CurrentMtgRatesDataTable89[[#This Row],[Index]]-AH136</f>
        <v>15.724453355831287</v>
      </c>
      <c r="AJ135" s="6">
        <f>VLOOKUP(CurrentMtgRatesDataTable89[[#This Row],[asofdate]],G:H,2,0)</f>
        <v>81.575997037203607</v>
      </c>
      <c r="AK135" s="6">
        <f>VLOOKUP(CurrentMtgRatesDataTable89[[#This Row],[asofdate]],K:L,2,0)</f>
        <v>0.28350793370687299</v>
      </c>
      <c r="AL135" s="6">
        <f>VLOOKUP(CurrentMtgRatesDataTable89[[#This Row],[asofdate]],O:P,2,0)</f>
        <v>36.725585962012303</v>
      </c>
      <c r="AM135" s="6">
        <f>VLOOKUP(CurrentMtgRatesDataTable89[[#This Row],[asofdate]],S:T,2,0)</f>
        <v>2.4399357804312901E-2</v>
      </c>
      <c r="AN135" s="6">
        <f>VLOOKUP(CurrentMtgRatesDataTable89[[#This Row],[asofdate]],W:X,2,0)</f>
        <v>719.79489214723901</v>
      </c>
      <c r="AO135" s="6">
        <f>VLOOKUP(CurrentMtgRatesDataTable89[[#This Row],[asofdate]],AA:AB,2,0)</f>
        <v>0.34861427310826099</v>
      </c>
    </row>
    <row r="136" spans="1:41" s="8" customFormat="1" ht="12.75">
      <c r="A136" s="7" t="s">
        <v>12</v>
      </c>
      <c r="B136" s="10">
        <v>1.7375950434527401E-2</v>
      </c>
      <c r="C136" s="10" t="str">
        <f>YEAR(CurrentMtgRatesDataTable8[[#This Row],[asofdate]])&amp;"-"&amp;MONTH(CurrentMtgRatesDataTable8[[#This Row],[asofdate]])</f>
        <v>2014-4</v>
      </c>
      <c r="D136" s="6">
        <f>((CurrentMtgRatesDataTable8[[#This Row],[SeriesNumValue]]-$D$1)/$D$1+1)*100</f>
        <v>115.83966956351601</v>
      </c>
      <c r="E136" s="6"/>
      <c r="G136" s="7" t="s">
        <v>12</v>
      </c>
      <c r="H136" s="10">
        <v>82.221632922201394</v>
      </c>
      <c r="I136" s="26">
        <f>VLOOKUP(CurrentMtgRatesDataTable82[[#This Row],[asofdate]],K:L,2,0)</f>
        <v>0.302228602571813</v>
      </c>
      <c r="K136" s="7" t="s">
        <v>12</v>
      </c>
      <c r="L136" s="29">
        <v>0.302228602571813</v>
      </c>
      <c r="O136" s="7" t="s">
        <v>12</v>
      </c>
      <c r="P136" s="10">
        <v>34.816199864300501</v>
      </c>
      <c r="Q136" s="29">
        <f>VLOOKUP(CurrentMtgRatesDataTable84[[#This Row],[asofdate]],S:T,2,0)</f>
        <v>0.30845170445324599</v>
      </c>
      <c r="S136" s="7" t="s">
        <v>12</v>
      </c>
      <c r="T136" s="10">
        <v>0.30845170445324599</v>
      </c>
      <c r="W136" s="7" t="s">
        <v>12</v>
      </c>
      <c r="X136" s="10">
        <v>751.46240213519695</v>
      </c>
      <c r="Y136" s="26">
        <f>VLOOKUP(CurrentMtgRatesDataTable86[[#This Row],[asofdate]],AA:AB,2,0)</f>
        <v>0.136759922124324</v>
      </c>
      <c r="AA136" s="7" t="s">
        <v>12</v>
      </c>
      <c r="AB136" s="10">
        <v>0.136759922124324</v>
      </c>
      <c r="AE136" s="7" t="s">
        <v>49</v>
      </c>
      <c r="AF136" s="10">
        <v>2.0860951056748501E-2</v>
      </c>
      <c r="AG136" s="10" t="str">
        <f>YEAR(CurrentMtgRatesDataTable89[[#This Row],[asofdate]])&amp;"-"&amp;MONTH(CurrentMtgRatesDataTable89[[#This Row],[asofdate]])</f>
        <v>2004-8</v>
      </c>
      <c r="AH136" s="6">
        <f>((CurrentMtgRatesDataTable89[[#This Row],[SeriesNumValue]]-$D$1)/$D$1+1)*100</f>
        <v>139.07300704499002</v>
      </c>
      <c r="AI136" s="6">
        <f>CurrentMtgRatesDataTable89[[#This Row],[Index]]-AH137</f>
        <v>23.851179858696014</v>
      </c>
      <c r="AJ136" s="6">
        <f>VLOOKUP(CurrentMtgRatesDataTable89[[#This Row],[asofdate]],G:H,2,0)</f>
        <v>81.370157030041597</v>
      </c>
      <c r="AK136" s="6">
        <f>VLOOKUP(CurrentMtgRatesDataTable89[[#This Row],[asofdate]],K:L,2,0)</f>
        <v>0.28323862382710902</v>
      </c>
      <c r="AL136" s="6">
        <f>VLOOKUP(CurrentMtgRatesDataTable89[[#This Row],[asofdate]],O:P,2,0)</f>
        <v>36.203803583517697</v>
      </c>
      <c r="AM136" s="6">
        <f>VLOOKUP(CurrentMtgRatesDataTable89[[#This Row],[asofdate]],S:T,2,0)</f>
        <v>2.66844067861104E-2</v>
      </c>
      <c r="AN136" s="6">
        <f>VLOOKUP(CurrentMtgRatesDataTable89[[#This Row],[asofdate]],W:X,2,0)</f>
        <v>720.06039635737204</v>
      </c>
      <c r="AO136" s="6">
        <f>VLOOKUP(CurrentMtgRatesDataTable89[[#This Row],[asofdate]],AA:AB,2,0)</f>
        <v>0.34681408931864999</v>
      </c>
    </row>
    <row r="137" spans="1:41" s="8" customFormat="1" ht="12.75">
      <c r="A137" s="7" t="s">
        <v>24</v>
      </c>
      <c r="B137" s="10">
        <v>1.7108265313383102E-2</v>
      </c>
      <c r="C137" s="10" t="str">
        <f>YEAR(CurrentMtgRatesDataTable8[[#This Row],[asofdate]])&amp;"-"&amp;MONTH(CurrentMtgRatesDataTable8[[#This Row],[asofdate]])</f>
        <v>2014-5</v>
      </c>
      <c r="D137" s="6">
        <f>((CurrentMtgRatesDataTable8[[#This Row],[SeriesNumValue]]-$D$1)/$D$1+1)*100</f>
        <v>114.0551020892207</v>
      </c>
      <c r="E137" s="6"/>
      <c r="G137" s="7" t="s">
        <v>24</v>
      </c>
      <c r="H137" s="10">
        <v>82.444770178795594</v>
      </c>
      <c r="I137" s="26">
        <f>VLOOKUP(CurrentMtgRatesDataTable82[[#This Row],[asofdate]],K:L,2,0)</f>
        <v>0.30811744878997599</v>
      </c>
      <c r="K137" s="7" t="s">
        <v>24</v>
      </c>
      <c r="L137" s="29">
        <v>0.30811744878997599</v>
      </c>
      <c r="O137" s="7" t="s">
        <v>24</v>
      </c>
      <c r="P137" s="10">
        <v>34.675439008071699</v>
      </c>
      <c r="Q137" s="29">
        <f>VLOOKUP(CurrentMtgRatesDataTable84[[#This Row],[asofdate]],S:T,2,0)</f>
        <v>0.29976463477048398</v>
      </c>
      <c r="S137" s="7" t="s">
        <v>24</v>
      </c>
      <c r="T137" s="10">
        <v>0.29976463477048398</v>
      </c>
      <c r="W137" s="7" t="s">
        <v>24</v>
      </c>
      <c r="X137" s="10">
        <v>751.61350922535496</v>
      </c>
      <c r="Y137" s="26">
        <f>VLOOKUP(CurrentMtgRatesDataTable86[[#This Row],[asofdate]],AA:AB,2,0)</f>
        <v>0.13767192714339599</v>
      </c>
      <c r="AA137" s="7" t="s">
        <v>24</v>
      </c>
      <c r="AB137" s="10">
        <v>0.13767192714339599</v>
      </c>
      <c r="AE137" s="7" t="s">
        <v>48</v>
      </c>
      <c r="AF137" s="10">
        <v>1.72832740779441E-2</v>
      </c>
      <c r="AG137" s="10" t="str">
        <f>YEAR(CurrentMtgRatesDataTable89[[#This Row],[asofdate]])&amp;"-"&amp;MONTH(CurrentMtgRatesDataTable89[[#This Row],[asofdate]])</f>
        <v>2004-7</v>
      </c>
      <c r="AH137" s="6">
        <f>((CurrentMtgRatesDataTable89[[#This Row],[SeriesNumValue]]-$D$1)/$D$1+1)*100</f>
        <v>115.22182718629401</v>
      </c>
      <c r="AI137" s="6">
        <f>CurrentMtgRatesDataTable89[[#This Row],[Index]]-AH138</f>
        <v>-0.36867647624532651</v>
      </c>
      <c r="AJ137" s="6">
        <f>VLOOKUP(CurrentMtgRatesDataTable89[[#This Row],[asofdate]],G:H,2,0)</f>
        <v>80.928474194542702</v>
      </c>
      <c r="AK137" s="6">
        <f>VLOOKUP(CurrentMtgRatesDataTable89[[#This Row],[asofdate]],K:L,2,0)</f>
        <v>0.26657924381296499</v>
      </c>
      <c r="AL137" s="6">
        <f>VLOOKUP(CurrentMtgRatesDataTable89[[#This Row],[asofdate]],O:P,2,0)</f>
        <v>34.997883140806501</v>
      </c>
      <c r="AM137" s="6">
        <f>VLOOKUP(CurrentMtgRatesDataTable89[[#This Row],[asofdate]],S:T,2,0)</f>
        <v>1.9710786588140499E-2</v>
      </c>
      <c r="AN137" s="6">
        <f>VLOOKUP(CurrentMtgRatesDataTable89[[#This Row],[asofdate]],W:X,2,0)</f>
        <v>722.99550607406604</v>
      </c>
      <c r="AO137" s="6">
        <f>VLOOKUP(CurrentMtgRatesDataTable89[[#This Row],[asofdate]],AA:AB,2,0)</f>
        <v>0.32135696326174201</v>
      </c>
    </row>
    <row r="138" spans="1:41" s="8" customFormat="1" ht="12.75">
      <c r="A138" s="7" t="s">
        <v>152</v>
      </c>
      <c r="B138" s="10">
        <v>1.8082572305789399E-2</v>
      </c>
      <c r="C138" s="10" t="str">
        <f>YEAR(CurrentMtgRatesDataTable8[[#This Row],[asofdate]])&amp;"-"&amp;MONTH(CurrentMtgRatesDataTable8[[#This Row],[asofdate]])</f>
        <v>2014-6</v>
      </c>
      <c r="D138" s="6">
        <f>((CurrentMtgRatesDataTable8[[#This Row],[SeriesNumValue]]-$D$1)/$D$1+1)*100</f>
        <v>120.550482038596</v>
      </c>
      <c r="E138" s="6"/>
      <c r="G138" s="7" t="s">
        <v>152</v>
      </c>
      <c r="H138" s="10">
        <v>82.674402698184494</v>
      </c>
      <c r="I138" s="26">
        <f>VLOOKUP(CurrentMtgRatesDataTable82[[#This Row],[asofdate]],K:L,2,0)</f>
        <v>0.31529051664060898</v>
      </c>
      <c r="K138" s="7" t="s">
        <v>152</v>
      </c>
      <c r="L138" s="29">
        <v>0.31529051664060898</v>
      </c>
      <c r="O138" s="7" t="s">
        <v>152</v>
      </c>
      <c r="P138" s="10">
        <v>34.658856260085599</v>
      </c>
      <c r="Q138" s="29">
        <f>VLOOKUP(CurrentMtgRatesDataTable84[[#This Row],[asofdate]],S:T,2,0)</f>
        <v>0.298833133468625</v>
      </c>
      <c r="S138" s="7" t="s">
        <v>152</v>
      </c>
      <c r="T138" s="10">
        <v>0.298833133468625</v>
      </c>
      <c r="W138" s="7" t="s">
        <v>152</v>
      </c>
      <c r="X138" s="10">
        <v>751.34175746954998</v>
      </c>
      <c r="Y138" s="26">
        <f>VLOOKUP(CurrentMtgRatesDataTable86[[#This Row],[asofdate]],AA:AB,2,0)</f>
        <v>0.140406014613213</v>
      </c>
      <c r="AA138" s="7" t="s">
        <v>152</v>
      </c>
      <c r="AB138" s="10">
        <v>0.140406014613213</v>
      </c>
      <c r="AE138" s="7" t="s">
        <v>47</v>
      </c>
      <c r="AF138" s="10">
        <v>1.73385755493809E-2</v>
      </c>
      <c r="AG138" s="10" t="str">
        <f>YEAR(CurrentMtgRatesDataTable89[[#This Row],[asofdate]])&amp;"-"&amp;MONTH(CurrentMtgRatesDataTable89[[#This Row],[asofdate]])</f>
        <v>2004-6</v>
      </c>
      <c r="AH138" s="6">
        <f>((CurrentMtgRatesDataTable89[[#This Row],[SeriesNumValue]]-$D$1)/$D$1+1)*100</f>
        <v>115.59050366253933</v>
      </c>
      <c r="AI138" s="6">
        <f>CurrentMtgRatesDataTable89[[#This Row],[Index]]-AH139</f>
        <v>-26.203773071490673</v>
      </c>
      <c r="AJ138" s="6">
        <f>VLOOKUP(CurrentMtgRatesDataTable89[[#This Row],[asofdate]],G:H,2,0)</f>
        <v>80.961446646453098</v>
      </c>
      <c r="AK138" s="6">
        <f>VLOOKUP(CurrentMtgRatesDataTable89[[#This Row],[asofdate]],K:L,2,0)</f>
        <v>0.25982658462066799</v>
      </c>
      <c r="AL138" s="6">
        <f>VLOOKUP(CurrentMtgRatesDataTable89[[#This Row],[asofdate]],O:P,2,0)</f>
        <v>35.515935884053597</v>
      </c>
      <c r="AM138" s="6">
        <f>VLOOKUP(CurrentMtgRatesDataTable89[[#This Row],[asofdate]],S:T,2,0)</f>
        <v>1.8930552643063699E-2</v>
      </c>
      <c r="AN138" s="6">
        <f>VLOOKUP(CurrentMtgRatesDataTable89[[#This Row],[asofdate]],W:X,2,0)</f>
        <v>724.09334327372198</v>
      </c>
      <c r="AO138" s="6">
        <f>VLOOKUP(CurrentMtgRatesDataTable89[[#This Row],[asofdate]],AA:AB,2,0)</f>
        <v>0.31186678823312403</v>
      </c>
    </row>
    <row r="139" spans="1:41" s="8" customFormat="1" ht="12.75">
      <c r="A139" s="7" t="s">
        <v>13</v>
      </c>
      <c r="B139" s="10">
        <v>1.85862565826246E-2</v>
      </c>
      <c r="C139" s="10" t="str">
        <f>YEAR(CurrentMtgRatesDataTable8[[#This Row],[asofdate]])&amp;"-"&amp;MONTH(CurrentMtgRatesDataTable8[[#This Row],[asofdate]])</f>
        <v>2014-7</v>
      </c>
      <c r="D139" s="6">
        <f>((CurrentMtgRatesDataTable8[[#This Row],[SeriesNumValue]]-$D$1)/$D$1+1)*100</f>
        <v>123.90837721749735</v>
      </c>
      <c r="E139" s="6"/>
      <c r="G139" s="7" t="s">
        <v>13</v>
      </c>
      <c r="H139" s="10">
        <v>82.820685947159305</v>
      </c>
      <c r="I139" s="26">
        <f>VLOOKUP(CurrentMtgRatesDataTable82[[#This Row],[asofdate]],K:L,2,0)</f>
        <v>0.318890965784143</v>
      </c>
      <c r="K139" s="7" t="s">
        <v>13</v>
      </c>
      <c r="L139" s="29">
        <v>0.318890965784143</v>
      </c>
      <c r="O139" s="7" t="s">
        <v>13</v>
      </c>
      <c r="P139" s="10">
        <v>34.4686582543032</v>
      </c>
      <c r="Q139" s="29">
        <f>VLOOKUP(CurrentMtgRatesDataTable84[[#This Row],[asofdate]],S:T,2,0)</f>
        <v>0.29227305708170098</v>
      </c>
      <c r="S139" s="7" t="s">
        <v>13</v>
      </c>
      <c r="T139" s="10">
        <v>0.29227305708170098</v>
      </c>
      <c r="W139" s="7" t="s">
        <v>13</v>
      </c>
      <c r="X139" s="10">
        <v>751.34370293627205</v>
      </c>
      <c r="Y139" s="26">
        <f>VLOOKUP(CurrentMtgRatesDataTable86[[#This Row],[asofdate]],AA:AB,2,0)</f>
        <v>0.14279391661367599</v>
      </c>
      <c r="AA139" s="7" t="s">
        <v>13</v>
      </c>
      <c r="AB139" s="10">
        <v>0.14279391661367599</v>
      </c>
      <c r="AE139" s="7" t="s">
        <v>46</v>
      </c>
      <c r="AF139" s="10">
        <v>2.1269141510104499E-2</v>
      </c>
      <c r="AG139" s="10" t="str">
        <f>YEAR(CurrentMtgRatesDataTable89[[#This Row],[asofdate]])&amp;"-"&amp;MONTH(CurrentMtgRatesDataTable89[[#This Row],[asofdate]])</f>
        <v>2004-5</v>
      </c>
      <c r="AH139" s="6">
        <f>((CurrentMtgRatesDataTable89[[#This Row],[SeriesNumValue]]-$D$1)/$D$1+1)*100</f>
        <v>141.79427673403001</v>
      </c>
      <c r="AI139" s="6">
        <f>CurrentMtgRatesDataTable89[[#This Row],[Index]]-AH140</f>
        <v>-2.5422019632153479</v>
      </c>
      <c r="AJ139" s="6">
        <f>VLOOKUP(CurrentMtgRatesDataTable89[[#This Row],[asofdate]],G:H,2,0)</f>
        <v>81.176434819561706</v>
      </c>
      <c r="AK139" s="6">
        <f>VLOOKUP(CurrentMtgRatesDataTable89[[#This Row],[asofdate]],K:L,2,0)</f>
        <v>0.27051249930375898</v>
      </c>
      <c r="AL139" s="6">
        <f>VLOOKUP(CurrentMtgRatesDataTable89[[#This Row],[asofdate]],O:P,2,0)</f>
        <v>35.983860754805796</v>
      </c>
      <c r="AM139" s="6">
        <f>VLOOKUP(CurrentMtgRatesDataTable89[[#This Row],[asofdate]],S:T,2,0)</f>
        <v>2.0473067086164198E-2</v>
      </c>
      <c r="AN139" s="6">
        <f>VLOOKUP(CurrentMtgRatesDataTable89[[#This Row],[asofdate]],W:X,2,0)</f>
        <v>723.07301547125496</v>
      </c>
      <c r="AO139" s="6">
        <f>VLOOKUP(CurrentMtgRatesDataTable89[[#This Row],[asofdate]],AA:AB,2,0)</f>
        <v>0.31650083814304297</v>
      </c>
    </row>
    <row r="140" spans="1:41" s="8" customFormat="1" ht="12.75">
      <c r="A140" s="7" t="s">
        <v>21</v>
      </c>
      <c r="B140" s="10">
        <v>1.78251707128806E-2</v>
      </c>
      <c r="C140" s="10" t="str">
        <f>YEAR(CurrentMtgRatesDataTable8[[#This Row],[asofdate]])&amp;"-"&amp;MONTH(CurrentMtgRatesDataTable8[[#This Row],[asofdate]])</f>
        <v>2014-8</v>
      </c>
      <c r="D140" s="6">
        <f>((CurrentMtgRatesDataTable8[[#This Row],[SeriesNumValue]]-$D$1)/$D$1+1)*100</f>
        <v>118.83447141920401</v>
      </c>
      <c r="E140" s="6"/>
      <c r="G140" s="7" t="s">
        <v>21</v>
      </c>
      <c r="H140" s="10">
        <v>82.756707604475196</v>
      </c>
      <c r="I140" s="26">
        <f>VLOOKUP(CurrentMtgRatesDataTable82[[#This Row],[asofdate]],K:L,2,0)</f>
        <v>0.31712089095884999</v>
      </c>
      <c r="K140" s="7" t="s">
        <v>21</v>
      </c>
      <c r="L140" s="29">
        <v>0.31712089095884999</v>
      </c>
      <c r="O140" s="7" t="s">
        <v>21</v>
      </c>
      <c r="P140" s="10">
        <v>34.322739398973098</v>
      </c>
      <c r="Q140" s="29">
        <f>VLOOKUP(CurrentMtgRatesDataTable84[[#This Row],[asofdate]],S:T,2,0)</f>
        <v>0.28910327833000299</v>
      </c>
      <c r="S140" s="7" t="s">
        <v>21</v>
      </c>
      <c r="T140" s="10">
        <v>0.28910327833000299</v>
      </c>
      <c r="W140" s="7" t="s">
        <v>21</v>
      </c>
      <c r="X140" s="10">
        <v>751.498973209101</v>
      </c>
      <c r="Y140" s="26">
        <f>VLOOKUP(CurrentMtgRatesDataTable86[[#This Row],[asofdate]],AA:AB,2,0)</f>
        <v>0.14209050325703601</v>
      </c>
      <c r="AA140" s="7" t="s">
        <v>21</v>
      </c>
      <c r="AB140" s="10">
        <v>0.14209050325703601</v>
      </c>
      <c r="AE140" s="7" t="s">
        <v>45</v>
      </c>
      <c r="AF140" s="10">
        <v>2.1650471804586801E-2</v>
      </c>
      <c r="AG140" s="10" t="str">
        <f>YEAR(CurrentMtgRatesDataTable89[[#This Row],[asofdate]])&amp;"-"&amp;MONTH(CurrentMtgRatesDataTable89[[#This Row],[asofdate]])</f>
        <v>2004-4</v>
      </c>
      <c r="AH140" s="6">
        <f>((CurrentMtgRatesDataTable89[[#This Row],[SeriesNumValue]]-$D$1)/$D$1+1)*100</f>
        <v>144.33647869724535</v>
      </c>
      <c r="AI140" s="6">
        <f>CurrentMtgRatesDataTable89[[#This Row],[Index]]-AH141</f>
        <v>5.2423705586766971</v>
      </c>
      <c r="AJ140" s="6">
        <f>VLOOKUP(CurrentMtgRatesDataTable89[[#This Row],[asofdate]],G:H,2,0)</f>
        <v>81.281712793482995</v>
      </c>
      <c r="AK140" s="6">
        <f>VLOOKUP(CurrentMtgRatesDataTable89[[#This Row],[asofdate]],K:L,2,0)</f>
        <v>0.27539401933822999</v>
      </c>
      <c r="AL140" s="6">
        <f>VLOOKUP(CurrentMtgRatesDataTable89[[#This Row],[asofdate]],O:P,2,0)</f>
        <v>35.641148466163102</v>
      </c>
      <c r="AM140" s="6">
        <f>VLOOKUP(CurrentMtgRatesDataTable89[[#This Row],[asofdate]],S:T,2,0)</f>
        <v>2.1383212133889301E-2</v>
      </c>
      <c r="AN140" s="6">
        <f>VLOOKUP(CurrentMtgRatesDataTable89[[#This Row],[asofdate]],W:X,2,0)</f>
        <v>721.56682125767895</v>
      </c>
      <c r="AO140" s="6">
        <f>VLOOKUP(CurrentMtgRatesDataTable89[[#This Row],[asofdate]],AA:AB,2,0)</f>
        <v>0.32412171144143798</v>
      </c>
    </row>
    <row r="141" spans="1:41" s="8" customFormat="1" ht="12.75">
      <c r="A141" s="7" t="s">
        <v>153</v>
      </c>
      <c r="B141" s="10">
        <v>1.7808186457583499E-2</v>
      </c>
      <c r="C141" s="10" t="str">
        <f>YEAR(CurrentMtgRatesDataTable8[[#This Row],[asofdate]])&amp;"-"&amp;MONTH(CurrentMtgRatesDataTable8[[#This Row],[asofdate]])</f>
        <v>2014-9</v>
      </c>
      <c r="D141" s="6">
        <f>((CurrentMtgRatesDataTable8[[#This Row],[SeriesNumValue]]-$D$1)/$D$1+1)*100</f>
        <v>118.72124305055667</v>
      </c>
      <c r="E141" s="6"/>
      <c r="G141" s="7" t="s">
        <v>153</v>
      </c>
      <c r="H141" s="10">
        <v>82.692210236918498</v>
      </c>
      <c r="I141" s="26">
        <f>VLOOKUP(CurrentMtgRatesDataTable82[[#This Row],[asofdate]],K:L,2,0)</f>
        <v>0.31232376366550701</v>
      </c>
      <c r="K141" s="7" t="s">
        <v>153</v>
      </c>
      <c r="L141" s="29">
        <v>0.31232376366550701</v>
      </c>
      <c r="O141" s="7" t="s">
        <v>153</v>
      </c>
      <c r="P141" s="10">
        <v>34.444270971612397</v>
      </c>
      <c r="Q141" s="29">
        <f>VLOOKUP(CurrentMtgRatesDataTable84[[#This Row],[asofdate]],S:T,2,0)</f>
        <v>0.29253583430136998</v>
      </c>
      <c r="S141" s="7" t="s">
        <v>153</v>
      </c>
      <c r="T141" s="10">
        <v>0.29253583430136998</v>
      </c>
      <c r="W141" s="7" t="s">
        <v>153</v>
      </c>
      <c r="X141" s="10">
        <v>750.91192928423595</v>
      </c>
      <c r="Y141" s="26">
        <f>VLOOKUP(CurrentMtgRatesDataTable86[[#This Row],[asofdate]],AA:AB,2,0)</f>
        <v>0.14664067232707501</v>
      </c>
      <c r="AA141" s="7" t="s">
        <v>153</v>
      </c>
      <c r="AB141" s="10">
        <v>0.14664067232707501</v>
      </c>
      <c r="AE141" s="7" t="s">
        <v>44</v>
      </c>
      <c r="AF141" s="10">
        <v>2.0864116220785298E-2</v>
      </c>
      <c r="AG141" s="10" t="str">
        <f>YEAR(CurrentMtgRatesDataTable89[[#This Row],[asofdate]])&amp;"-"&amp;MONTH(CurrentMtgRatesDataTable89[[#This Row],[asofdate]])</f>
        <v>2004-3</v>
      </c>
      <c r="AH141" s="6">
        <f>((CurrentMtgRatesDataTable89[[#This Row],[SeriesNumValue]]-$D$1)/$D$1+1)*100</f>
        <v>139.09410813856866</v>
      </c>
      <c r="AI141" s="6">
        <f>CurrentMtgRatesDataTable89[[#This Row],[Index]]-AH142</f>
        <v>0.9470668245772913</v>
      </c>
      <c r="AJ141" s="6">
        <f>VLOOKUP(CurrentMtgRatesDataTable89[[#This Row],[asofdate]],G:H,2,0)</f>
        <v>80.826462677668502</v>
      </c>
      <c r="AK141" s="6">
        <f>VLOOKUP(CurrentMtgRatesDataTable89[[#This Row],[asofdate]],K:L,2,0)</f>
        <v>0.26366024772207802</v>
      </c>
      <c r="AL141" s="6">
        <f>VLOOKUP(CurrentMtgRatesDataTable89[[#This Row],[asofdate]],O:P,2,0)</f>
        <v>33.128991607908802</v>
      </c>
      <c r="AM141" s="6">
        <f>VLOOKUP(CurrentMtgRatesDataTable89[[#This Row],[asofdate]],S:T,2,0)</f>
        <v>2.4328764311436001E-2</v>
      </c>
      <c r="AN141" s="6">
        <f>VLOOKUP(CurrentMtgRatesDataTable89[[#This Row],[asofdate]],W:X,2,0)</f>
        <v>722.9204500907</v>
      </c>
      <c r="AO141" s="6">
        <f>VLOOKUP(CurrentMtgRatesDataTable89[[#This Row],[asofdate]],AA:AB,2,0)</f>
        <v>0.32020990049907999</v>
      </c>
    </row>
    <row r="142" spans="1:41" s="8" customFormat="1" ht="12.75">
      <c r="A142" s="7" t="s">
        <v>8</v>
      </c>
      <c r="B142" s="10">
        <v>1.78819828081676E-2</v>
      </c>
      <c r="C142" s="10" t="str">
        <f>YEAR(CurrentMtgRatesDataTable8[[#This Row],[asofdate]])&amp;"-"&amp;MONTH(CurrentMtgRatesDataTable8[[#This Row],[asofdate]])</f>
        <v>2014-10</v>
      </c>
      <c r="D142" s="6">
        <f>((CurrentMtgRatesDataTable8[[#This Row],[SeriesNumValue]]-$D$1)/$D$1+1)*100</f>
        <v>119.21321872111734</v>
      </c>
      <c r="E142" s="6"/>
      <c r="G142" s="7" t="s">
        <v>8</v>
      </c>
      <c r="H142" s="10">
        <v>82.721770883828398</v>
      </c>
      <c r="I142" s="26">
        <f>VLOOKUP(CurrentMtgRatesDataTable82[[#This Row],[asofdate]],K:L,2,0)</f>
        <v>0.31567362475419602</v>
      </c>
      <c r="K142" s="7" t="s">
        <v>8</v>
      </c>
      <c r="L142" s="29">
        <v>0.31567362475419602</v>
      </c>
      <c r="O142" s="7" t="s">
        <v>8</v>
      </c>
      <c r="P142" s="10">
        <v>34.609191959171703</v>
      </c>
      <c r="Q142" s="29">
        <f>VLOOKUP(CurrentMtgRatesDataTable84[[#This Row],[asofdate]],S:T,2,0)</f>
        <v>0.30128149535438498</v>
      </c>
      <c r="S142" s="7" t="s">
        <v>8</v>
      </c>
      <c r="T142" s="10">
        <v>0.30128149535438498</v>
      </c>
      <c r="W142" s="7" t="s">
        <v>8</v>
      </c>
      <c r="X142" s="10">
        <v>750.89361801650398</v>
      </c>
      <c r="Y142" s="26">
        <f>VLOOKUP(CurrentMtgRatesDataTable86[[#This Row],[asofdate]],AA:AB,2,0)</f>
        <v>0.14738678015895099</v>
      </c>
      <c r="AA142" s="7" t="s">
        <v>8</v>
      </c>
      <c r="AB142" s="10">
        <v>0.14738678015895099</v>
      </c>
      <c r="AE142" s="7" t="s">
        <v>43</v>
      </c>
      <c r="AF142" s="10">
        <v>2.0722056197098701E-2</v>
      </c>
      <c r="AG142" s="10" t="str">
        <f>YEAR(CurrentMtgRatesDataTable89[[#This Row],[asofdate]])&amp;"-"&amp;MONTH(CurrentMtgRatesDataTable89[[#This Row],[asofdate]])</f>
        <v>2004-2</v>
      </c>
      <c r="AH142" s="6">
        <f>((CurrentMtgRatesDataTable89[[#This Row],[SeriesNumValue]]-$D$1)/$D$1+1)*100</f>
        <v>138.14704131399137</v>
      </c>
      <c r="AI142" s="6">
        <f>CurrentMtgRatesDataTable89[[#This Row],[Index]]-AH143</f>
        <v>-4.6609955109479699</v>
      </c>
      <c r="AJ142" s="6">
        <f>VLOOKUP(CurrentMtgRatesDataTable89[[#This Row],[asofdate]],G:H,2,0)</f>
        <v>81.113652198567294</v>
      </c>
      <c r="AK142" s="6">
        <f>VLOOKUP(CurrentMtgRatesDataTable89[[#This Row],[asofdate]],K:L,2,0)</f>
        <v>0.279273746865356</v>
      </c>
      <c r="AL142" s="6">
        <f>VLOOKUP(CurrentMtgRatesDataTable89[[#This Row],[asofdate]],O:P,2,0)</f>
        <v>34.270437676693597</v>
      </c>
      <c r="AM142" s="6">
        <f>VLOOKUP(CurrentMtgRatesDataTable89[[#This Row],[asofdate]],S:T,2,0)</f>
        <v>2.56930597823848E-2</v>
      </c>
      <c r="AN142" s="6">
        <f>VLOOKUP(CurrentMtgRatesDataTable89[[#This Row],[asofdate]],W:X,2,0)</f>
        <v>721.12735756326401</v>
      </c>
      <c r="AO142" s="6">
        <f>VLOOKUP(CurrentMtgRatesDataTable89[[#This Row],[asofdate]],AA:AB,2,0)</f>
        <v>0.33004652003424001</v>
      </c>
    </row>
    <row r="143" spans="1:41" s="8" customFormat="1" ht="12.75">
      <c r="A143" s="7" t="s">
        <v>154</v>
      </c>
      <c r="B143" s="10">
        <v>1.8450502596294101E-2</v>
      </c>
      <c r="C143" s="10" t="str">
        <f>YEAR(CurrentMtgRatesDataTable8[[#This Row],[asofdate]])&amp;"-"&amp;MONTH(CurrentMtgRatesDataTable8[[#This Row],[asofdate]])</f>
        <v>2014-11</v>
      </c>
      <c r="D143" s="6">
        <f>((CurrentMtgRatesDataTable8[[#This Row],[SeriesNumValue]]-$D$1)/$D$1+1)*100</f>
        <v>123.00335064196068</v>
      </c>
      <c r="E143" s="6"/>
      <c r="G143" s="7" t="s">
        <v>154</v>
      </c>
      <c r="H143" s="10">
        <v>82.803884256575003</v>
      </c>
      <c r="I143" s="26">
        <f>VLOOKUP(CurrentMtgRatesDataTable82[[#This Row],[asofdate]],K:L,2,0)</f>
        <v>0.32254787448740702</v>
      </c>
      <c r="K143" s="7" t="s">
        <v>154</v>
      </c>
      <c r="L143" s="29">
        <v>0.32254787448740702</v>
      </c>
      <c r="O143" s="7" t="s">
        <v>154</v>
      </c>
      <c r="P143" s="10">
        <v>34.798083340824199</v>
      </c>
      <c r="Q143" s="29">
        <f>VLOOKUP(CurrentMtgRatesDataTable84[[#This Row],[asofdate]],S:T,2,0)</f>
        <v>0.309418365078864</v>
      </c>
      <c r="S143" s="7" t="s">
        <v>154</v>
      </c>
      <c r="T143" s="10">
        <v>0.309418365078864</v>
      </c>
      <c r="W143" s="7" t="s">
        <v>154</v>
      </c>
      <c r="X143" s="10">
        <v>749.74150806912701</v>
      </c>
      <c r="Y143" s="26">
        <f>VLOOKUP(CurrentMtgRatesDataTable86[[#This Row],[asofdate]],AA:AB,2,0)</f>
        <v>0.15611748121786001</v>
      </c>
      <c r="AA143" s="7" t="s">
        <v>154</v>
      </c>
      <c r="AB143" s="10">
        <v>0.15611748121786001</v>
      </c>
      <c r="AE143" s="7" t="s">
        <v>42</v>
      </c>
      <c r="AF143" s="10">
        <v>2.14212055237409E-2</v>
      </c>
      <c r="AG143" s="10" t="str">
        <f>YEAR(CurrentMtgRatesDataTable89[[#This Row],[asofdate]])&amp;"-"&amp;MONTH(CurrentMtgRatesDataTable89[[#This Row],[asofdate]])</f>
        <v>2004-1</v>
      </c>
      <c r="AH143" s="6">
        <f>((CurrentMtgRatesDataTable89[[#This Row],[SeriesNumValue]]-$D$1)/$D$1+1)*100</f>
        <v>142.80803682493934</v>
      </c>
      <c r="AI143" s="6">
        <f>CurrentMtgRatesDataTable89[[#This Row],[Index]]-AH144</f>
        <v>-2.7261115394026945</v>
      </c>
      <c r="AJ143" s="6">
        <f>VLOOKUP(CurrentMtgRatesDataTable89[[#This Row],[asofdate]],G:H,2,0)</f>
        <v>81.566299959188299</v>
      </c>
      <c r="AK143" s="6">
        <f>VLOOKUP(CurrentMtgRatesDataTable89[[#This Row],[asofdate]],K:L,2,0)</f>
        <v>0.29070058027366003</v>
      </c>
      <c r="AL143" s="6">
        <f>VLOOKUP(CurrentMtgRatesDataTable89[[#This Row],[asofdate]],O:P,2,0)</f>
        <v>36.105752730096498</v>
      </c>
      <c r="AM143" s="6">
        <f>VLOOKUP(CurrentMtgRatesDataTable89[[#This Row],[asofdate]],S:T,2,0)</f>
        <v>2.07685482202341E-2</v>
      </c>
      <c r="AN143" s="6">
        <f>VLOOKUP(CurrentMtgRatesDataTable89[[#This Row],[asofdate]],W:X,2,0)</f>
        <v>720.53281333500604</v>
      </c>
      <c r="AO143" s="6">
        <f>VLOOKUP(CurrentMtgRatesDataTable89[[#This Row],[asofdate]],AA:AB,2,0)</f>
        <v>0.33824400161048002</v>
      </c>
    </row>
    <row r="144" spans="1:41" s="8" customFormat="1" ht="12.75">
      <c r="A144" s="7" t="s">
        <v>16</v>
      </c>
      <c r="B144" s="10">
        <v>1.8848009868152601E-2</v>
      </c>
      <c r="C144" s="10" t="str">
        <f>YEAR(CurrentMtgRatesDataTable8[[#This Row],[asofdate]])&amp;"-"&amp;MONTH(CurrentMtgRatesDataTable8[[#This Row],[asofdate]])</f>
        <v>2014-12</v>
      </c>
      <c r="D144" s="6">
        <f>((CurrentMtgRatesDataTable8[[#This Row],[SeriesNumValue]]-$D$1)/$D$1+1)*100</f>
        <v>125.65339912101734</v>
      </c>
      <c r="E144" s="6"/>
      <c r="G144" s="7" t="s">
        <v>16</v>
      </c>
      <c r="H144" s="10">
        <v>82.648163721352205</v>
      </c>
      <c r="I144" s="26">
        <f>VLOOKUP(CurrentMtgRatesDataTable82[[#This Row],[asofdate]],K:L,2,0)</f>
        <v>0.318264635028014</v>
      </c>
      <c r="K144" s="7" t="s">
        <v>16</v>
      </c>
      <c r="L144" s="29">
        <v>0.318264635028014</v>
      </c>
      <c r="O144" s="7" t="s">
        <v>16</v>
      </c>
      <c r="P144" s="10">
        <v>34.846015078951801</v>
      </c>
      <c r="Q144" s="29">
        <f>VLOOKUP(CurrentMtgRatesDataTable84[[#This Row],[asofdate]],S:T,2,0)</f>
        <v>0.31245467786157399</v>
      </c>
      <c r="S144" s="7" t="s">
        <v>16</v>
      </c>
      <c r="T144" s="10">
        <v>0.31245467786157399</v>
      </c>
      <c r="W144" s="7" t="s">
        <v>16</v>
      </c>
      <c r="X144" s="10">
        <v>749.85349083339599</v>
      </c>
      <c r="Y144" s="26">
        <f>VLOOKUP(CurrentMtgRatesDataTable86[[#This Row],[asofdate]],AA:AB,2,0)</f>
        <v>0.154702803202766</v>
      </c>
      <c r="AA144" s="7" t="s">
        <v>16</v>
      </c>
      <c r="AB144" s="10">
        <v>0.154702803202766</v>
      </c>
      <c r="AE144" s="7" t="s">
        <v>41</v>
      </c>
      <c r="AF144" s="10">
        <v>2.18301222546513E-2</v>
      </c>
      <c r="AG144" s="10" t="str">
        <f>YEAR(CurrentMtgRatesDataTable89[[#This Row],[asofdate]])&amp;"-"&amp;MONTH(CurrentMtgRatesDataTable89[[#This Row],[asofdate]])</f>
        <v>2003-12</v>
      </c>
      <c r="AH144" s="6">
        <f>((CurrentMtgRatesDataTable89[[#This Row],[SeriesNumValue]]-$D$1)/$D$1+1)*100</f>
        <v>145.53414836434203</v>
      </c>
      <c r="AI144" s="6">
        <f>CurrentMtgRatesDataTable89[[#This Row],[Index]]-AH145</f>
        <v>1.7067364409953711</v>
      </c>
      <c r="AJ144" s="6">
        <f>VLOOKUP(CurrentMtgRatesDataTable89[[#This Row],[asofdate]],G:H,2,0)</f>
        <v>81.864228322339997</v>
      </c>
      <c r="AK144" s="6">
        <f>VLOOKUP(CurrentMtgRatesDataTable89[[#This Row],[asofdate]],K:L,2,0)</f>
        <v>0.29608287862933402</v>
      </c>
      <c r="AL144" s="6">
        <f>VLOOKUP(CurrentMtgRatesDataTable89[[#This Row],[asofdate]],O:P,2,0)</f>
        <v>36.5193753202172</v>
      </c>
      <c r="AM144" s="6">
        <f>VLOOKUP(CurrentMtgRatesDataTable89[[#This Row],[asofdate]],S:T,2,0)</f>
        <v>2.16589958788652E-2</v>
      </c>
      <c r="AN144" s="6">
        <f>VLOOKUP(CurrentMtgRatesDataTable89[[#This Row],[asofdate]],W:X,2,0)</f>
        <v>720.40995221006699</v>
      </c>
      <c r="AO144" s="6">
        <f>VLOOKUP(CurrentMtgRatesDataTable89[[#This Row],[asofdate]],AA:AB,2,0)</f>
        <v>0.33962917429332001</v>
      </c>
    </row>
    <row r="145" spans="1:41" s="8" customFormat="1" ht="12.75">
      <c r="A145" s="7" t="s">
        <v>155</v>
      </c>
      <c r="B145" s="10">
        <v>1.8665764870618599E-2</v>
      </c>
      <c r="C145" s="10" t="str">
        <f>YEAR(CurrentMtgRatesDataTable8[[#This Row],[asofdate]])&amp;"-"&amp;MONTH(CurrentMtgRatesDataTable8[[#This Row],[asofdate]])</f>
        <v>2015-1</v>
      </c>
      <c r="D145" s="6">
        <f>((CurrentMtgRatesDataTable8[[#This Row],[SeriesNumValue]]-$D$1)/$D$1+1)*100</f>
        <v>124.43843247079067</v>
      </c>
      <c r="E145" s="6"/>
      <c r="G145" s="7" t="s">
        <v>155</v>
      </c>
      <c r="H145" s="10">
        <v>82.726547150692298</v>
      </c>
      <c r="I145" s="26">
        <f>VLOOKUP(CurrentMtgRatesDataTable82[[#This Row],[asofdate]],K:L,2,0)</f>
        <v>0.32029318763412001</v>
      </c>
      <c r="K145" s="7" t="s">
        <v>155</v>
      </c>
      <c r="L145" s="29">
        <v>0.32029318763412001</v>
      </c>
      <c r="O145" s="7" t="s">
        <v>155</v>
      </c>
      <c r="P145" s="10">
        <v>34.824509834090797</v>
      </c>
      <c r="Q145" s="29">
        <f>VLOOKUP(CurrentMtgRatesDataTable84[[#This Row],[asofdate]],S:T,2,0)</f>
        <v>0.31220120325231998</v>
      </c>
      <c r="S145" s="7" t="s">
        <v>155</v>
      </c>
      <c r="T145" s="10">
        <v>0.31220120325231998</v>
      </c>
      <c r="W145" s="7" t="s">
        <v>155</v>
      </c>
      <c r="X145" s="10">
        <v>749.71315485187995</v>
      </c>
      <c r="Y145" s="26">
        <f>VLOOKUP(CurrentMtgRatesDataTable86[[#This Row],[asofdate]],AA:AB,2,0)</f>
        <v>0.15558820493379799</v>
      </c>
      <c r="AA145" s="7" t="s">
        <v>155</v>
      </c>
      <c r="AB145" s="10">
        <v>0.15558820493379799</v>
      </c>
      <c r="AE145" s="7" t="s">
        <v>40</v>
      </c>
      <c r="AF145" s="10">
        <v>2.1574111788502E-2</v>
      </c>
      <c r="AG145" s="10" t="str">
        <f>YEAR(CurrentMtgRatesDataTable89[[#This Row],[asofdate]])&amp;"-"&amp;MONTH(CurrentMtgRatesDataTable89[[#This Row],[asofdate]])</f>
        <v>2003-11</v>
      </c>
      <c r="AH145" s="6">
        <f>((CurrentMtgRatesDataTable89[[#This Row],[SeriesNumValue]]-$D$1)/$D$1+1)*100</f>
        <v>143.82741192334666</v>
      </c>
      <c r="AI145" s="6">
        <f>CurrentMtgRatesDataTable89[[#This Row],[Index]]-AH146</f>
        <v>33.164769922987986</v>
      </c>
      <c r="AJ145" s="6">
        <f>VLOOKUP(CurrentMtgRatesDataTable89[[#This Row],[asofdate]],G:H,2,0)</f>
        <v>81.964228940536998</v>
      </c>
      <c r="AK145" s="6">
        <f>VLOOKUP(CurrentMtgRatesDataTable89[[#This Row],[asofdate]],K:L,2,0)</f>
        <v>0.30202605452215497</v>
      </c>
      <c r="AL145" s="6">
        <f>VLOOKUP(CurrentMtgRatesDataTable89[[#This Row],[asofdate]],O:P,2,0)</f>
        <v>35.411302149846499</v>
      </c>
      <c r="AM145" s="6">
        <f>VLOOKUP(CurrentMtgRatesDataTable89[[#This Row],[asofdate]],S:T,2,0)</f>
        <v>2.1167569446924599E-2</v>
      </c>
      <c r="AN145" s="6">
        <f>VLOOKUP(CurrentMtgRatesDataTable89[[#This Row],[asofdate]],W:X,2,0)</f>
        <v>719.09071003198596</v>
      </c>
      <c r="AO145" s="6">
        <f>VLOOKUP(CurrentMtgRatesDataTable89[[#This Row],[asofdate]],AA:AB,2,0)</f>
        <v>0.34444111149615098</v>
      </c>
    </row>
    <row r="146" spans="1:41" s="8" customFormat="1" ht="12.75">
      <c r="A146" s="7" t="s">
        <v>156</v>
      </c>
      <c r="B146" s="10">
        <v>1.9502418205538101E-2</v>
      </c>
      <c r="C146" s="10" t="str">
        <f>YEAR(CurrentMtgRatesDataTable8[[#This Row],[asofdate]])&amp;"-"&amp;MONTH(CurrentMtgRatesDataTable8[[#This Row],[asofdate]])</f>
        <v>2015-2</v>
      </c>
      <c r="D146" s="6">
        <f>((CurrentMtgRatesDataTable8[[#This Row],[SeriesNumValue]]-$D$1)/$D$1+1)*100</f>
        <v>130.01612137025401</v>
      </c>
      <c r="E146" s="6"/>
      <c r="G146" s="7" t="s">
        <v>156</v>
      </c>
      <c r="H146" s="10">
        <v>82.797442291647002</v>
      </c>
      <c r="I146" s="26">
        <f>VLOOKUP(CurrentMtgRatesDataTable82[[#This Row],[asofdate]],K:L,2,0)</f>
        <v>0.32639568948507103</v>
      </c>
      <c r="K146" s="7" t="s">
        <v>156</v>
      </c>
      <c r="L146" s="29">
        <v>0.32639568948507103</v>
      </c>
      <c r="O146" s="7" t="s">
        <v>156</v>
      </c>
      <c r="P146" s="10">
        <v>34.977091666452097</v>
      </c>
      <c r="Q146" s="29">
        <f>VLOOKUP(CurrentMtgRatesDataTable84[[#This Row],[asofdate]],S:T,2,0)</f>
        <v>0.31891544150436202</v>
      </c>
      <c r="S146" s="7" t="s">
        <v>156</v>
      </c>
      <c r="T146" s="10">
        <v>0.31891544150436202</v>
      </c>
      <c r="W146" s="7" t="s">
        <v>156</v>
      </c>
      <c r="X146" s="10">
        <v>749.19541878162897</v>
      </c>
      <c r="Y146" s="26">
        <f>VLOOKUP(CurrentMtgRatesDataTable86[[#This Row],[asofdate]],AA:AB,2,0)</f>
        <v>0.15820396976652601</v>
      </c>
      <c r="AA146" s="7" t="s">
        <v>156</v>
      </c>
      <c r="AB146" s="10">
        <v>0.15820396976652601</v>
      </c>
      <c r="AE146" s="7" t="s">
        <v>39</v>
      </c>
      <c r="AF146" s="10">
        <v>1.65993963000538E-2</v>
      </c>
      <c r="AG146" s="10" t="str">
        <f>YEAR(CurrentMtgRatesDataTable89[[#This Row],[asofdate]])&amp;"-"&amp;MONTH(CurrentMtgRatesDataTable89[[#This Row],[asofdate]])</f>
        <v>2003-10</v>
      </c>
      <c r="AH146" s="6">
        <f>((CurrentMtgRatesDataTable89[[#This Row],[SeriesNumValue]]-$D$1)/$D$1+1)*100</f>
        <v>110.66264200035867</v>
      </c>
      <c r="AI146" s="6">
        <f>CurrentMtgRatesDataTable89[[#This Row],[Index]]-AH147</f>
        <v>-6.1485520092919757</v>
      </c>
      <c r="AJ146" s="6">
        <f>VLOOKUP(CurrentMtgRatesDataTable89[[#This Row],[asofdate]],G:H,2,0)</f>
        <v>81.320760062110907</v>
      </c>
      <c r="AK146" s="6">
        <f>VLOOKUP(CurrentMtgRatesDataTable89[[#This Row],[asofdate]],K:L,2,0)</f>
        <v>0.277259359255842</v>
      </c>
      <c r="AL146" s="6">
        <f>VLOOKUP(CurrentMtgRatesDataTable89[[#This Row],[asofdate]],O:P,2,0)</f>
        <v>34.340700588560999</v>
      </c>
      <c r="AM146" s="6">
        <f>VLOOKUP(CurrentMtgRatesDataTable89[[#This Row],[asofdate]],S:T,2,0)</f>
        <v>1.60589800396303E-2</v>
      </c>
      <c r="AN146" s="6">
        <f>VLOOKUP(CurrentMtgRatesDataTable89[[#This Row],[asofdate]],W:X,2,0)</f>
        <v>722.36621872594401</v>
      </c>
      <c r="AO146" s="6">
        <f>VLOOKUP(CurrentMtgRatesDataTable89[[#This Row],[asofdate]],AA:AB,2,0)</f>
        <v>0.32553899803949699</v>
      </c>
    </row>
    <row r="147" spans="1:41" s="8" customFormat="1" ht="12.75">
      <c r="A147" s="7" t="s">
        <v>157</v>
      </c>
      <c r="B147" s="10">
        <v>1.9353094342445299E-2</v>
      </c>
      <c r="C147" s="10" t="str">
        <f>YEAR(CurrentMtgRatesDataTable8[[#This Row],[asofdate]])&amp;"-"&amp;MONTH(CurrentMtgRatesDataTable8[[#This Row],[asofdate]])</f>
        <v>2015-3</v>
      </c>
      <c r="D147" s="6">
        <f>((CurrentMtgRatesDataTable8[[#This Row],[SeriesNumValue]]-$D$1)/$D$1+1)*100</f>
        <v>129.02062894963532</v>
      </c>
      <c r="E147" s="6"/>
      <c r="G147" s="7" t="s">
        <v>157</v>
      </c>
      <c r="H147" s="10">
        <v>82.670412455831396</v>
      </c>
      <c r="I147" s="26">
        <f>VLOOKUP(CurrentMtgRatesDataTable82[[#This Row],[asofdate]],K:L,2,0)</f>
        <v>0.31944629098959199</v>
      </c>
      <c r="K147" s="7" t="s">
        <v>157</v>
      </c>
      <c r="L147" s="29">
        <v>0.31944629098959199</v>
      </c>
      <c r="O147" s="7" t="s">
        <v>157</v>
      </c>
      <c r="P147" s="10">
        <v>35.030167018357901</v>
      </c>
      <c r="Q147" s="29">
        <f>VLOOKUP(CurrentMtgRatesDataTable84[[#This Row],[asofdate]],S:T,2,0)</f>
        <v>0.32259034578546503</v>
      </c>
      <c r="S147" s="7" t="s">
        <v>157</v>
      </c>
      <c r="T147" s="10">
        <v>0.32259034578546503</v>
      </c>
      <c r="W147" s="7" t="s">
        <v>157</v>
      </c>
      <c r="X147" s="10">
        <v>749.12841065391603</v>
      </c>
      <c r="Y147" s="26">
        <f>VLOOKUP(CurrentMtgRatesDataTable86[[#This Row],[asofdate]],AA:AB,2,0)</f>
        <v>0.16075689815949701</v>
      </c>
      <c r="AA147" s="7" t="s">
        <v>157</v>
      </c>
      <c r="AB147" s="10">
        <v>0.16075689815949701</v>
      </c>
      <c r="AE147" s="7" t="s">
        <v>38</v>
      </c>
      <c r="AF147" s="10">
        <v>1.7521679101447599E-2</v>
      </c>
      <c r="AG147" s="10" t="str">
        <f>YEAR(CurrentMtgRatesDataTable89[[#This Row],[asofdate]])&amp;"-"&amp;MONTH(CurrentMtgRatesDataTable89[[#This Row],[asofdate]])</f>
        <v>2003-9</v>
      </c>
      <c r="AH147" s="6">
        <f>((CurrentMtgRatesDataTable89[[#This Row],[SeriesNumValue]]-$D$1)/$D$1+1)*100</f>
        <v>116.81119400965065</v>
      </c>
      <c r="AI147" s="6">
        <f>CurrentMtgRatesDataTable89[[#This Row],[Index]]-AH148</f>
        <v>-27.004643606159362</v>
      </c>
      <c r="AJ147" s="6">
        <f>VLOOKUP(CurrentMtgRatesDataTable89[[#This Row],[asofdate]],G:H,2,0)</f>
        <v>81.227017736325195</v>
      </c>
      <c r="AK147" s="6">
        <f>VLOOKUP(CurrentMtgRatesDataTable89[[#This Row],[asofdate]],K:L,2,0)</f>
        <v>0.26227784163185702</v>
      </c>
      <c r="AL147" s="6">
        <f>VLOOKUP(CurrentMtgRatesDataTable89[[#This Row],[asofdate]],O:P,2,0)</f>
        <v>33.486119352874702</v>
      </c>
      <c r="AM147" s="6">
        <f>VLOOKUP(CurrentMtgRatesDataTable89[[#This Row],[asofdate]],S:T,2,0)</f>
        <v>1.3995634497627101E-2</v>
      </c>
      <c r="AN147" s="6">
        <f>VLOOKUP(CurrentMtgRatesDataTable89[[#This Row],[asofdate]],W:X,2,0)</f>
        <v>724.69367741606698</v>
      </c>
      <c r="AO147" s="6">
        <f>VLOOKUP(CurrentMtgRatesDataTable89[[#This Row],[asofdate]],AA:AB,2,0)</f>
        <v>0.30671224499643901</v>
      </c>
    </row>
    <row r="148" spans="1:41" s="8" customFormat="1" ht="12.75">
      <c r="A148" s="7" t="s">
        <v>29</v>
      </c>
      <c r="B148" s="10">
        <v>1.7730220299065898E-2</v>
      </c>
      <c r="C148" s="10" t="str">
        <f>YEAR(CurrentMtgRatesDataTable8[[#This Row],[asofdate]])&amp;"-"&amp;MONTH(CurrentMtgRatesDataTable8[[#This Row],[asofdate]])</f>
        <v>2015-4</v>
      </c>
      <c r="D148" s="6">
        <f>((CurrentMtgRatesDataTable8[[#This Row],[SeriesNumValue]]-$D$1)/$D$1+1)*100</f>
        <v>118.20146866043932</v>
      </c>
      <c r="E148" s="6"/>
      <c r="G148" s="7" t="s">
        <v>29</v>
      </c>
      <c r="H148" s="10">
        <v>82.944046147233095</v>
      </c>
      <c r="I148" s="26">
        <f>VLOOKUP(CurrentMtgRatesDataTable82[[#This Row],[asofdate]],K:L,2,0)</f>
        <v>0.32942245001412301</v>
      </c>
      <c r="K148" s="7" t="s">
        <v>29</v>
      </c>
      <c r="L148" s="29">
        <v>0.32942245001412301</v>
      </c>
      <c r="O148" s="7" t="s">
        <v>29</v>
      </c>
      <c r="P148" s="10">
        <v>34.5918772932</v>
      </c>
      <c r="Q148" s="29">
        <f>VLOOKUP(CurrentMtgRatesDataTable84[[#This Row],[asofdate]],S:T,2,0)</f>
        <v>0.302200706894452</v>
      </c>
      <c r="S148" s="7" t="s">
        <v>29</v>
      </c>
      <c r="T148" s="10">
        <v>0.302200706894452</v>
      </c>
      <c r="W148" s="7" t="s">
        <v>29</v>
      </c>
      <c r="X148" s="10">
        <v>750.551434296298</v>
      </c>
      <c r="Y148" s="26">
        <f>VLOOKUP(CurrentMtgRatesDataTable86[[#This Row],[asofdate]],AA:AB,2,0)</f>
        <v>0.14698447110622201</v>
      </c>
      <c r="AA148" s="7" t="s">
        <v>29</v>
      </c>
      <c r="AB148" s="10">
        <v>0.14698447110622201</v>
      </c>
      <c r="AE148" s="7" t="s">
        <v>37</v>
      </c>
      <c r="AF148" s="10">
        <v>2.1572375642371501E-2</v>
      </c>
      <c r="AG148" s="10" t="str">
        <f>YEAR(CurrentMtgRatesDataTable89[[#This Row],[asofdate]])&amp;"-"&amp;MONTH(CurrentMtgRatesDataTable89[[#This Row],[asofdate]])</f>
        <v>2003-8</v>
      </c>
      <c r="AH148" s="6">
        <f>((CurrentMtgRatesDataTable89[[#This Row],[SeriesNumValue]]-$D$1)/$D$1+1)*100</f>
        <v>143.81583761581001</v>
      </c>
      <c r="AI148" s="6">
        <f>CurrentMtgRatesDataTable89[[#This Row],[Index]]-AH149</f>
        <v>-7.0524786470119807</v>
      </c>
      <c r="AJ148" s="6">
        <f>VLOOKUP(CurrentMtgRatesDataTable89[[#This Row],[asofdate]],G:H,2,0)</f>
        <v>81.296483519552396</v>
      </c>
      <c r="AK148" s="6">
        <f>VLOOKUP(CurrentMtgRatesDataTable89[[#This Row],[asofdate]],K:L,2,0)</f>
        <v>0.26159531298609601</v>
      </c>
      <c r="AL148" s="6">
        <f>VLOOKUP(CurrentMtgRatesDataTable89[[#This Row],[asofdate]],O:P,2,0)</f>
        <v>33.501180220584502</v>
      </c>
      <c r="AM148" s="6">
        <f>VLOOKUP(CurrentMtgRatesDataTable89[[#This Row],[asofdate]],S:T,2,0)</f>
        <v>1.3216576425238401E-2</v>
      </c>
      <c r="AN148" s="6">
        <f>VLOOKUP(CurrentMtgRatesDataTable89[[#This Row],[asofdate]],W:X,2,0)</f>
        <v>724.12904796089799</v>
      </c>
      <c r="AO148" s="6">
        <f>VLOOKUP(CurrentMtgRatesDataTable89[[#This Row],[asofdate]],AA:AB,2,0)</f>
        <v>0.310151776706795</v>
      </c>
    </row>
    <row r="149" spans="1:41" s="8" customFormat="1" ht="12.75">
      <c r="A149" s="7" t="s">
        <v>30</v>
      </c>
      <c r="B149" s="10">
        <v>1.79100237130203E-2</v>
      </c>
      <c r="C149" s="10" t="str">
        <f>YEAR(CurrentMtgRatesDataTable8[[#This Row],[asofdate]])&amp;"-"&amp;MONTH(CurrentMtgRatesDataTable8[[#This Row],[asofdate]])</f>
        <v>2015-5</v>
      </c>
      <c r="D149" s="6">
        <f>((CurrentMtgRatesDataTable8[[#This Row],[SeriesNumValue]]-$D$1)/$D$1+1)*100</f>
        <v>119.40015808680199</v>
      </c>
      <c r="E149" s="6"/>
      <c r="G149" s="7" t="s">
        <v>30</v>
      </c>
      <c r="H149" s="10">
        <v>82.914251622219993</v>
      </c>
      <c r="I149" s="26">
        <f>VLOOKUP(CurrentMtgRatesDataTable82[[#This Row],[asofdate]],K:L,2,0)</f>
        <v>0.32905687634557701</v>
      </c>
      <c r="K149" s="7" t="s">
        <v>30</v>
      </c>
      <c r="L149" s="29">
        <v>0.32905687634557701</v>
      </c>
      <c r="O149" s="7" t="s">
        <v>30</v>
      </c>
      <c r="P149" s="10">
        <v>34.608345578366901</v>
      </c>
      <c r="Q149" s="29">
        <f>VLOOKUP(CurrentMtgRatesDataTable84[[#This Row],[asofdate]],S:T,2,0)</f>
        <v>0.30210027734452</v>
      </c>
      <c r="S149" s="7" t="s">
        <v>30</v>
      </c>
      <c r="T149" s="10">
        <v>0.30210027734452</v>
      </c>
      <c r="W149" s="7" t="s">
        <v>30</v>
      </c>
      <c r="X149" s="10">
        <v>751.42302592643603</v>
      </c>
      <c r="Y149" s="26">
        <f>VLOOKUP(CurrentMtgRatesDataTable86[[#This Row],[asofdate]],AA:AB,2,0)</f>
        <v>0.14202706216225799</v>
      </c>
      <c r="AA149" s="7" t="s">
        <v>30</v>
      </c>
      <c r="AB149" s="10">
        <v>0.14202706216225799</v>
      </c>
      <c r="AE149" s="7" t="s">
        <v>36</v>
      </c>
      <c r="AF149" s="10">
        <v>2.2630247439423299E-2</v>
      </c>
      <c r="AG149" s="10" t="str">
        <f>YEAR(CurrentMtgRatesDataTable89[[#This Row],[asofdate]])&amp;"-"&amp;MONTH(CurrentMtgRatesDataTable89[[#This Row],[asofdate]])</f>
        <v>2003-7</v>
      </c>
      <c r="AH149" s="6">
        <f>((CurrentMtgRatesDataTable89[[#This Row],[SeriesNumValue]]-$D$1)/$D$1+1)*100</f>
        <v>150.86831626282199</v>
      </c>
      <c r="AI149" s="6">
        <f>CurrentMtgRatesDataTable89[[#This Row],[Index]]-AH150</f>
        <v>10.773195673281975</v>
      </c>
      <c r="AJ149" s="6">
        <f>VLOOKUP(CurrentMtgRatesDataTable89[[#This Row],[asofdate]],G:H,2,0)</f>
        <v>81.557650650953207</v>
      </c>
      <c r="AK149" s="6">
        <f>VLOOKUP(CurrentMtgRatesDataTable89[[#This Row],[asofdate]],K:L,2,0)</f>
        <v>0.271915360199874</v>
      </c>
      <c r="AL149" s="6">
        <f>VLOOKUP(CurrentMtgRatesDataTable89[[#This Row],[asofdate]],O:P,2,0)</f>
        <v>34.144864022931102</v>
      </c>
      <c r="AM149" s="6">
        <f>VLOOKUP(CurrentMtgRatesDataTable89[[#This Row],[asofdate]],S:T,2,0)</f>
        <v>1.2643328295785501E-2</v>
      </c>
      <c r="AN149" s="6">
        <f>VLOOKUP(CurrentMtgRatesDataTable89[[#This Row],[asofdate]],W:X,2,0)</f>
        <v>722.25913495194504</v>
      </c>
      <c r="AO149" s="6">
        <f>VLOOKUP(CurrentMtgRatesDataTable89[[#This Row],[asofdate]],AA:AB,2,0)</f>
        <v>0.32364561822268501</v>
      </c>
    </row>
    <row r="150" spans="1:41" s="8" customFormat="1" ht="12.75">
      <c r="A150" s="7" t="s">
        <v>31</v>
      </c>
      <c r="B150" s="10">
        <v>1.7843633851479499E-2</v>
      </c>
      <c r="C150" s="10" t="str">
        <f>YEAR(CurrentMtgRatesDataTable8[[#This Row],[asofdate]])&amp;"-"&amp;MONTH(CurrentMtgRatesDataTable8[[#This Row],[asofdate]])</f>
        <v>2015-6</v>
      </c>
      <c r="D150" s="6">
        <f>((CurrentMtgRatesDataTable8[[#This Row],[SeriesNumValue]]-$D$1)/$D$1+1)*100</f>
        <v>118.95755900986333</v>
      </c>
      <c r="E150" s="6"/>
      <c r="G150" s="7" t="s">
        <v>31</v>
      </c>
      <c r="H150" s="10">
        <v>82.9819085141187</v>
      </c>
      <c r="I150" s="26">
        <f>VLOOKUP(CurrentMtgRatesDataTable82[[#This Row],[asofdate]],K:L,2,0)</f>
        <v>0.32889571790605499</v>
      </c>
      <c r="K150" s="7" t="s">
        <v>31</v>
      </c>
      <c r="L150" s="29">
        <v>0.32889571790605499</v>
      </c>
      <c r="O150" s="7" t="s">
        <v>31</v>
      </c>
      <c r="P150" s="10">
        <v>34.4808601960058</v>
      </c>
      <c r="Q150" s="29">
        <f>VLOOKUP(CurrentMtgRatesDataTable84[[#This Row],[asofdate]],S:T,2,0)</f>
        <v>0.29706452342619799</v>
      </c>
      <c r="S150" s="7" t="s">
        <v>31</v>
      </c>
      <c r="T150" s="10">
        <v>0.29706452342619799</v>
      </c>
      <c r="W150" s="7" t="s">
        <v>31</v>
      </c>
      <c r="X150" s="10">
        <v>751.75513731710396</v>
      </c>
      <c r="Y150" s="26">
        <f>VLOOKUP(CurrentMtgRatesDataTable86[[#This Row],[asofdate]],AA:AB,2,0)</f>
        <v>0.14208337458509299</v>
      </c>
      <c r="AA150" s="7" t="s">
        <v>31</v>
      </c>
      <c r="AB150" s="10">
        <v>0.14208337458509299</v>
      </c>
      <c r="AE150" s="7" t="s">
        <v>35</v>
      </c>
      <c r="AF150" s="10">
        <v>2.1014268088431001E-2</v>
      </c>
      <c r="AG150" s="10" t="str">
        <f>YEAR(CurrentMtgRatesDataTable89[[#This Row],[asofdate]])&amp;"-"&amp;MONTH(CurrentMtgRatesDataTable89[[#This Row],[asofdate]])</f>
        <v>2003-6</v>
      </c>
      <c r="AH150" s="6">
        <f>((CurrentMtgRatesDataTable89[[#This Row],[SeriesNumValue]]-$D$1)/$D$1+1)*100</f>
        <v>140.09512058954002</v>
      </c>
      <c r="AI150" s="6">
        <f>CurrentMtgRatesDataTable89[[#This Row],[Index]]-AH151</f>
        <v>-3.2606182587846604</v>
      </c>
      <c r="AJ150" s="6">
        <f>VLOOKUP(CurrentMtgRatesDataTable89[[#This Row],[asofdate]],G:H,2,0)</f>
        <v>81.618502130391803</v>
      </c>
      <c r="AK150" s="6">
        <f>VLOOKUP(CurrentMtgRatesDataTable89[[#This Row],[asofdate]],K:L,2,0)</f>
        <v>0.26817431712256601</v>
      </c>
      <c r="AL150" s="6">
        <f>VLOOKUP(CurrentMtgRatesDataTable89[[#This Row],[asofdate]],O:P,2,0)</f>
        <v>33.725544414496198</v>
      </c>
      <c r="AM150" s="6">
        <f>VLOOKUP(CurrentMtgRatesDataTable89[[#This Row],[asofdate]],S:T,2,0)</f>
        <v>1.1152224581714301E-2</v>
      </c>
      <c r="AN150" s="6">
        <f>VLOOKUP(CurrentMtgRatesDataTable89[[#This Row],[asofdate]],W:X,2,0)</f>
        <v>722.76732830110905</v>
      </c>
      <c r="AO150" s="6">
        <f>VLOOKUP(CurrentMtgRatesDataTable89[[#This Row],[asofdate]],AA:AB,2,0)</f>
        <v>0.31742951631942301</v>
      </c>
    </row>
    <row r="151" spans="1:41" s="8" customFormat="1" ht="12.75">
      <c r="A151" s="31" t="s">
        <v>179</v>
      </c>
      <c r="B151" s="32">
        <v>1.6458059896986101E-2</v>
      </c>
      <c r="C151" s="33" t="str">
        <f>YEAR(CurrentMtgRatesDataTable8[[#This Row],[asofdate]])&amp;"-"&amp;MONTH(CurrentMtgRatesDataTable8[[#This Row],[asofdate]])</f>
        <v>2015-7</v>
      </c>
      <c r="D151" s="11">
        <f>((CurrentMtgRatesDataTable8[[#This Row],[SeriesNumValue]]-$D$1)/$D$1+1)*100</f>
        <v>109.72039931324066</v>
      </c>
      <c r="E151" s="6"/>
      <c r="G151" s="31" t="s">
        <v>179</v>
      </c>
      <c r="H151" s="32">
        <v>83.002963149384598</v>
      </c>
      <c r="I151" s="26">
        <f>VLOOKUP(CurrentMtgRatesDataTable82[[#This Row],[asofdate]],K:L,2,0)</f>
        <v>0.32916665260221001</v>
      </c>
      <c r="K151" s="31" t="s">
        <v>179</v>
      </c>
      <c r="L151" s="34">
        <v>0.32916665260221001</v>
      </c>
      <c r="O151" s="31" t="s">
        <v>179</v>
      </c>
      <c r="P151" s="32">
        <v>34.176472196339503</v>
      </c>
      <c r="Q151" s="29">
        <f>VLOOKUP(CurrentMtgRatesDataTable84[[#This Row],[asofdate]],S:T,2,0)</f>
        <v>0.28482112233552798</v>
      </c>
      <c r="S151" s="31" t="s">
        <v>179</v>
      </c>
      <c r="T151" s="32">
        <v>0.28482112233552798</v>
      </c>
      <c r="W151" s="31" t="s">
        <v>179</v>
      </c>
      <c r="X151" s="32">
        <v>752.47879843973897</v>
      </c>
      <c r="Y151" s="26">
        <f>VLOOKUP(CurrentMtgRatesDataTable86[[#This Row],[asofdate]],AA:AB,2,0)</f>
        <v>0.138264539709097</v>
      </c>
      <c r="AA151" s="31" t="s">
        <v>179</v>
      </c>
      <c r="AB151" s="32">
        <v>0.138264539709097</v>
      </c>
      <c r="AE151" s="31" t="s">
        <v>33</v>
      </c>
      <c r="AF151" s="32">
        <v>2.1503360827248699E-2</v>
      </c>
      <c r="AG151" s="33" t="str">
        <f>YEAR(CurrentMtgRatesDataTable89[[#This Row],[asofdate]])&amp;"-"&amp;MONTH(CurrentMtgRatesDataTable89[[#This Row],[asofdate]])</f>
        <v>2003-5</v>
      </c>
      <c r="AH151" s="11">
        <f>((CurrentMtgRatesDataTable89[[#This Row],[SeriesNumValue]]-$D$1)/$D$1+1)*100</f>
        <v>143.35573884832468</v>
      </c>
      <c r="AI151" s="11">
        <f>CurrentMtgRatesDataTable89[[#This Row],[Index]]-AH152</f>
        <v>143.35573884832468</v>
      </c>
      <c r="AJ151" s="11">
        <f>VLOOKUP(CurrentMtgRatesDataTable89[[#This Row],[asofdate]],G:H,2,0)</f>
        <v>81.538852649696196</v>
      </c>
      <c r="AK151" s="11">
        <f>VLOOKUP(CurrentMtgRatesDataTable89[[#This Row],[asofdate]],K:L,2,0)</f>
        <v>0.27376208038861399</v>
      </c>
      <c r="AL151" s="11">
        <f>VLOOKUP(CurrentMtgRatesDataTable89[[#This Row],[asofdate]],O:P,2,0)</f>
        <v>33.491005416991001</v>
      </c>
      <c r="AM151" s="11">
        <f>VLOOKUP(CurrentMtgRatesDataTable89[[#This Row],[asofdate]],S:T,2,0)</f>
        <v>1.32135014796563E-2</v>
      </c>
      <c r="AN151" s="11">
        <f>VLOOKUP(CurrentMtgRatesDataTable89[[#This Row],[asofdate]],W:X,2,0)</f>
        <v>721.81850787939095</v>
      </c>
      <c r="AO151" s="11">
        <f>VLOOKUP(CurrentMtgRatesDataTable89[[#This Row],[asofdate]],AA:AB,2,0)</f>
        <v>0.32555257693198197</v>
      </c>
    </row>
    <row r="152" spans="1:41">
      <c r="A152" s="6"/>
      <c r="B152" s="6"/>
      <c r="C152" s="6"/>
      <c r="D152" s="6"/>
      <c r="E152" s="6"/>
      <c r="I152" s="27"/>
      <c r="Y152" s="27"/>
      <c r="AJ152" s="8"/>
      <c r="AK152" s="8"/>
      <c r="AL152" s="8"/>
      <c r="AM152" s="8"/>
      <c r="AN152" s="8"/>
      <c r="AO152" s="8"/>
    </row>
    <row r="153" spans="1:41">
      <c r="A153" s="6"/>
      <c r="B153" s="6"/>
      <c r="C153" s="6"/>
      <c r="D153" s="6"/>
      <c r="E153" s="6"/>
    </row>
    <row r="154" spans="1:41">
      <c r="A154" s="6"/>
      <c r="B154" s="6"/>
      <c r="C154" s="6"/>
      <c r="D154" s="6"/>
      <c r="E154" s="6"/>
    </row>
    <row r="155" spans="1:41">
      <c r="A155" s="6"/>
      <c r="B155" s="6"/>
      <c r="C155" s="6"/>
      <c r="D155" s="6"/>
      <c r="E155" s="6"/>
    </row>
    <row r="156" spans="1:41">
      <c r="A156" s="6"/>
      <c r="B156" s="6"/>
      <c r="C156" s="6"/>
      <c r="D156" s="6"/>
      <c r="E156" s="6"/>
    </row>
    <row r="157" spans="1:41">
      <c r="A157" s="6"/>
      <c r="B157" s="6"/>
      <c r="C157" s="6"/>
      <c r="D157" s="6"/>
      <c r="E157" s="6"/>
    </row>
    <row r="158" spans="1:41">
      <c r="A158" s="6"/>
      <c r="B158" s="6"/>
      <c r="C158" s="6"/>
      <c r="D158" s="6"/>
      <c r="E158" s="6"/>
    </row>
    <row r="159" spans="1:41">
      <c r="A159" s="6"/>
      <c r="B159" s="6"/>
      <c r="C159" s="6"/>
      <c r="D159" s="6"/>
      <c r="E159" s="6"/>
    </row>
    <row r="160" spans="1:41">
      <c r="A160" s="6"/>
      <c r="B160" s="6"/>
      <c r="C160" s="6"/>
      <c r="D160" s="6"/>
      <c r="E160" s="6"/>
    </row>
    <row r="161" spans="1:5">
      <c r="A161" s="6"/>
      <c r="B161" s="6"/>
      <c r="C161" s="6"/>
      <c r="D161" s="6"/>
      <c r="E161" s="6"/>
    </row>
    <row r="162" spans="1:5">
      <c r="A162" s="6"/>
      <c r="B162" s="6"/>
      <c r="C162" s="6"/>
      <c r="D162" s="6"/>
      <c r="E162" s="6"/>
    </row>
    <row r="163" spans="1:5">
      <c r="A163" s="6"/>
      <c r="B163" s="6"/>
      <c r="C163" s="6"/>
      <c r="D163" s="6"/>
      <c r="E163" s="6"/>
    </row>
    <row r="164" spans="1:5">
      <c r="A164" s="6"/>
      <c r="B164" s="6"/>
      <c r="C164" s="6"/>
      <c r="D164" s="6"/>
      <c r="E164" s="6"/>
    </row>
    <row r="165" spans="1:5">
      <c r="A165" s="6"/>
      <c r="B165" s="6"/>
      <c r="C165" s="6"/>
      <c r="D165" s="6"/>
      <c r="E165" s="6"/>
    </row>
    <row r="166" spans="1:5">
      <c r="A166" s="6"/>
      <c r="B166" s="6"/>
      <c r="C166" s="6"/>
      <c r="D166" s="6"/>
      <c r="E166" s="6"/>
    </row>
    <row r="167" spans="1:5">
      <c r="A167" s="6"/>
      <c r="B167" s="6"/>
      <c r="C167" s="6"/>
      <c r="D167" s="6"/>
      <c r="E167" s="6"/>
    </row>
    <row r="168" spans="1:5">
      <c r="A168" s="6"/>
      <c r="B168" s="6"/>
      <c r="C168" s="6"/>
      <c r="D168" s="6"/>
      <c r="E168" s="6"/>
    </row>
    <row r="169" spans="1:5">
      <c r="A169" s="6"/>
      <c r="B169" s="6"/>
      <c r="C169" s="6"/>
      <c r="D169" s="6"/>
      <c r="E169" s="6"/>
    </row>
    <row r="170" spans="1:5">
      <c r="A170" s="6"/>
      <c r="B170" s="6"/>
      <c r="C170" s="6"/>
      <c r="D170" s="6"/>
      <c r="E170" s="6"/>
    </row>
    <row r="171" spans="1:5">
      <c r="A171" s="6"/>
      <c r="B171" s="6"/>
      <c r="C171" s="6"/>
      <c r="D171" s="6"/>
      <c r="E171" s="6"/>
    </row>
    <row r="172" spans="1:5">
      <c r="A172" s="6"/>
      <c r="B172" s="6"/>
      <c r="C172" s="6"/>
      <c r="D172" s="6"/>
      <c r="E172" s="6"/>
    </row>
    <row r="173" spans="1:5">
      <c r="A173" s="6"/>
      <c r="B173" s="6"/>
      <c r="C173" s="6"/>
      <c r="D173" s="6"/>
      <c r="E173" s="6"/>
    </row>
    <row r="174" spans="1:5">
      <c r="A174" s="6"/>
      <c r="B174" s="6"/>
      <c r="C174" s="6"/>
      <c r="D174" s="6"/>
      <c r="E174" s="6"/>
    </row>
    <row r="175" spans="1:5">
      <c r="A175" s="6"/>
      <c r="B175" s="6"/>
      <c r="C175" s="6"/>
      <c r="D175" s="6"/>
      <c r="E175" s="6"/>
    </row>
    <row r="176" spans="1:5">
      <c r="A176" s="6"/>
      <c r="B176" s="6"/>
      <c r="C176" s="6"/>
      <c r="D176" s="6"/>
      <c r="E176" s="6"/>
    </row>
    <row r="177" spans="1:5">
      <c r="A177" s="6"/>
      <c r="B177" s="6"/>
      <c r="C177" s="6"/>
      <c r="D177" s="6"/>
      <c r="E177" s="6"/>
    </row>
    <row r="178" spans="1:5">
      <c r="A178" s="6"/>
      <c r="B178" s="6"/>
      <c r="C178" s="6"/>
      <c r="D178" s="6"/>
      <c r="E178" s="6"/>
    </row>
    <row r="179" spans="1:5">
      <c r="A179" s="6"/>
      <c r="B179" s="6"/>
      <c r="C179" s="6"/>
      <c r="D179" s="6"/>
      <c r="E179" s="6"/>
    </row>
    <row r="180" spans="1:5">
      <c r="A180" s="6"/>
      <c r="B180" s="6"/>
      <c r="C180" s="6"/>
      <c r="D180" s="6"/>
      <c r="E180" s="6"/>
    </row>
    <row r="181" spans="1:5">
      <c r="A181" s="6"/>
      <c r="B181" s="6"/>
      <c r="C181" s="6"/>
      <c r="D181" s="6"/>
      <c r="E181" s="6"/>
    </row>
    <row r="182" spans="1:5">
      <c r="A182" s="6"/>
      <c r="B182" s="6"/>
      <c r="C182" s="6"/>
      <c r="D182" s="6"/>
      <c r="E182" s="6"/>
    </row>
    <row r="183" spans="1:5">
      <c r="A183" s="6"/>
      <c r="B183" s="6"/>
      <c r="C183" s="6"/>
      <c r="D183" s="6"/>
      <c r="E183" s="6"/>
    </row>
    <row r="184" spans="1:5">
      <c r="A184" s="6"/>
      <c r="B184" s="6"/>
      <c r="C184" s="6"/>
      <c r="D184" s="6"/>
      <c r="E184" s="6"/>
    </row>
    <row r="185" spans="1:5">
      <c r="A185" s="6"/>
      <c r="B185" s="6"/>
      <c r="C185" s="6"/>
      <c r="D185" s="6"/>
      <c r="E185" s="6"/>
    </row>
    <row r="186" spans="1:5">
      <c r="A186" s="6"/>
      <c r="B186" s="6"/>
      <c r="C186" s="6"/>
      <c r="D186" s="6"/>
      <c r="E186" s="6"/>
    </row>
    <row r="187" spans="1:5">
      <c r="A187" s="6"/>
      <c r="B187" s="6"/>
      <c r="C187" s="6"/>
      <c r="D187" s="6"/>
      <c r="E187" s="6"/>
    </row>
    <row r="188" spans="1:5">
      <c r="A188" s="6"/>
      <c r="B188" s="6"/>
      <c r="C188" s="6"/>
      <c r="D188" s="6"/>
      <c r="E188" s="6"/>
    </row>
    <row r="189" spans="1:5">
      <c r="A189" s="6"/>
      <c r="B189" s="6"/>
      <c r="C189" s="6"/>
      <c r="D189" s="6"/>
      <c r="E189" s="6"/>
    </row>
    <row r="190" spans="1:5">
      <c r="A190" s="6"/>
      <c r="B190" s="6"/>
      <c r="C190" s="6"/>
      <c r="D190" s="6"/>
      <c r="E190" s="6"/>
    </row>
    <row r="191" spans="1:5">
      <c r="A191" s="8"/>
      <c r="B191" s="8"/>
      <c r="C191" s="8"/>
      <c r="D191" s="8"/>
      <c r="E191" s="8"/>
    </row>
    <row r="192" spans="1:5">
      <c r="A192" s="8"/>
      <c r="B192" s="8"/>
      <c r="C192" s="8"/>
      <c r="D192" s="8"/>
      <c r="E192" s="8"/>
    </row>
    <row r="193" spans="1:5">
      <c r="A193" s="8"/>
      <c r="B193" s="8"/>
      <c r="C193" s="8"/>
      <c r="D193" s="8"/>
      <c r="E193" s="8"/>
    </row>
    <row r="194" spans="1:5">
      <c r="A194" s="8"/>
      <c r="B194" s="8"/>
      <c r="C194" s="8"/>
      <c r="D194" s="8"/>
      <c r="E194" s="8"/>
    </row>
    <row r="195" spans="1:5">
      <c r="A195" s="8"/>
      <c r="B195" s="8"/>
      <c r="C195" s="8"/>
      <c r="D195" s="8"/>
      <c r="E195" s="8"/>
    </row>
    <row r="196" spans="1:5">
      <c r="A196" s="8"/>
      <c r="B196" s="8"/>
      <c r="C196" s="8"/>
      <c r="D196" s="8"/>
      <c r="E196" s="8"/>
    </row>
    <row r="197" spans="1:5">
      <c r="A197" s="8"/>
      <c r="B197" s="8"/>
      <c r="C197" s="8"/>
      <c r="D197" s="8"/>
      <c r="E197" s="8"/>
    </row>
    <row r="198" spans="1:5">
      <c r="A198" s="8"/>
      <c r="B198" s="8"/>
      <c r="C198" s="8"/>
      <c r="D198" s="8"/>
      <c r="E198" s="8"/>
    </row>
    <row r="199" spans="1:5">
      <c r="A199" s="8"/>
      <c r="B199" s="8"/>
      <c r="C199" s="8"/>
      <c r="D199" s="8"/>
      <c r="E199" s="8"/>
    </row>
    <row r="200" spans="1:5">
      <c r="A200" s="8"/>
      <c r="B200" s="8"/>
      <c r="C200" s="8"/>
      <c r="D200" s="8"/>
      <c r="E200" s="8"/>
    </row>
    <row r="201" spans="1:5">
      <c r="A201" s="8"/>
      <c r="B201" s="8"/>
      <c r="C201" s="8"/>
      <c r="D201" s="8"/>
      <c r="E201" s="8"/>
    </row>
    <row r="202" spans="1:5">
      <c r="A202" s="8"/>
      <c r="B202" s="8"/>
      <c r="C202" s="8"/>
      <c r="D202" s="8"/>
      <c r="E202" s="8"/>
    </row>
    <row r="203" spans="1:5">
      <c r="A203" s="8"/>
      <c r="B203" s="8"/>
      <c r="C203" s="8"/>
      <c r="D203" s="8"/>
      <c r="E203" s="8"/>
    </row>
    <row r="204" spans="1:5">
      <c r="A204" s="8"/>
      <c r="B204" s="8"/>
      <c r="C204" s="8"/>
      <c r="D204" s="8"/>
      <c r="E204" s="8"/>
    </row>
    <row r="205" spans="1:5">
      <c r="A205" s="8"/>
      <c r="B205" s="8"/>
      <c r="C205" s="8"/>
      <c r="D205" s="8"/>
      <c r="E205" s="8"/>
    </row>
    <row r="206" spans="1:5">
      <c r="A206" s="8"/>
      <c r="B206" s="8"/>
      <c r="C206" s="8"/>
      <c r="D206" s="8"/>
      <c r="E206" s="8"/>
    </row>
    <row r="207" spans="1:5">
      <c r="A207" s="8"/>
      <c r="B207" s="8"/>
      <c r="C207" s="8"/>
      <c r="D207" s="8"/>
      <c r="E207" s="8"/>
    </row>
    <row r="208" spans="1:5">
      <c r="A208" s="8"/>
      <c r="B208" s="8"/>
      <c r="C208" s="8"/>
      <c r="D208" s="8"/>
      <c r="E208" s="8"/>
    </row>
    <row r="209" spans="1:5">
      <c r="A209" s="8"/>
      <c r="B209" s="8"/>
      <c r="C209" s="8"/>
      <c r="D209" s="8"/>
      <c r="E209" s="8"/>
    </row>
    <row r="210" spans="1:5">
      <c r="A210" s="8"/>
      <c r="B210" s="8"/>
      <c r="C210" s="8"/>
      <c r="D210" s="8"/>
      <c r="E210" s="8"/>
    </row>
    <row r="211" spans="1:5">
      <c r="A211" s="8"/>
      <c r="B211" s="8"/>
      <c r="C211" s="8"/>
      <c r="D211" s="8"/>
      <c r="E211" s="8"/>
    </row>
    <row r="212" spans="1:5">
      <c r="A212" s="8"/>
      <c r="B212" s="8"/>
      <c r="C212" s="8"/>
      <c r="D212" s="8"/>
      <c r="E212" s="8"/>
    </row>
    <row r="213" spans="1:5">
      <c r="A213" s="8"/>
      <c r="B213" s="8"/>
      <c r="C213" s="8"/>
      <c r="D213" s="8"/>
      <c r="E213" s="8"/>
    </row>
    <row r="214" spans="1:5">
      <c r="A214" s="8"/>
      <c r="B214" s="8"/>
      <c r="C214" s="8"/>
      <c r="D214" s="8"/>
      <c r="E214" s="8"/>
    </row>
    <row r="215" spans="1:5">
      <c r="A215" s="8"/>
      <c r="B215" s="8"/>
      <c r="C215" s="8"/>
      <c r="D215" s="8"/>
      <c r="E215" s="8"/>
    </row>
    <row r="216" spans="1:5">
      <c r="A216" s="8"/>
      <c r="B216" s="8"/>
      <c r="C216" s="8"/>
      <c r="D216" s="8"/>
      <c r="E216" s="8"/>
    </row>
    <row r="217" spans="1:5">
      <c r="A217" s="8"/>
      <c r="B217" s="8"/>
      <c r="C217" s="8"/>
      <c r="D217" s="8"/>
      <c r="E217" s="8"/>
    </row>
    <row r="218" spans="1:5">
      <c r="A218" s="8"/>
      <c r="B218" s="8"/>
      <c r="C218" s="8"/>
      <c r="D218" s="8"/>
      <c r="E218" s="8"/>
    </row>
    <row r="219" spans="1:5">
      <c r="A219" s="8"/>
      <c r="B219" s="8"/>
      <c r="C219" s="8"/>
      <c r="D219" s="8"/>
      <c r="E219" s="8"/>
    </row>
    <row r="220" spans="1:5">
      <c r="A220" s="8"/>
      <c r="B220" s="8"/>
      <c r="C220" s="8"/>
      <c r="D220" s="8"/>
      <c r="E220" s="8"/>
    </row>
    <row r="221" spans="1:5">
      <c r="A221" s="8"/>
      <c r="B221" s="8"/>
      <c r="C221" s="8"/>
      <c r="D221" s="8"/>
      <c r="E221" s="8"/>
    </row>
    <row r="222" spans="1:5">
      <c r="A222" s="8"/>
      <c r="B222" s="8"/>
      <c r="C222" s="8"/>
      <c r="D222" s="8"/>
      <c r="E222" s="8"/>
    </row>
    <row r="223" spans="1:5">
      <c r="A223" s="8"/>
      <c r="B223" s="8"/>
      <c r="C223" s="8"/>
      <c r="D223" s="8"/>
      <c r="E223" s="8"/>
    </row>
    <row r="224" spans="1:5">
      <c r="A224" s="8"/>
      <c r="B224" s="8"/>
      <c r="C224" s="8"/>
      <c r="D224" s="8"/>
      <c r="E224" s="8"/>
    </row>
    <row r="225" spans="1:5">
      <c r="A225" s="8"/>
      <c r="B225" s="8"/>
      <c r="C225" s="8"/>
      <c r="D225" s="8"/>
      <c r="E225" s="8"/>
    </row>
    <row r="226" spans="1:5">
      <c r="A226" s="8"/>
      <c r="B226" s="8"/>
      <c r="C226" s="8"/>
      <c r="D226" s="8"/>
      <c r="E226" s="8"/>
    </row>
    <row r="227" spans="1:5">
      <c r="A227" s="8"/>
      <c r="B227" s="8"/>
      <c r="C227" s="8"/>
      <c r="D227" s="8"/>
      <c r="E227" s="8"/>
    </row>
    <row r="228" spans="1:5">
      <c r="A228" s="8"/>
      <c r="B228" s="8"/>
      <c r="C228" s="8"/>
      <c r="D228" s="8"/>
      <c r="E228" s="8"/>
    </row>
    <row r="229" spans="1:5">
      <c r="A229" s="8"/>
      <c r="B229" s="8"/>
      <c r="C229" s="8"/>
      <c r="D229" s="8"/>
      <c r="E229" s="8"/>
    </row>
    <row r="230" spans="1:5">
      <c r="A230" s="8"/>
      <c r="B230" s="8"/>
      <c r="C230" s="8"/>
      <c r="D230" s="8"/>
      <c r="E230" s="8"/>
    </row>
    <row r="231" spans="1:5">
      <c r="A231" s="8"/>
      <c r="B231" s="8"/>
      <c r="C231" s="8"/>
      <c r="D231" s="8"/>
      <c r="E231" s="8"/>
    </row>
    <row r="232" spans="1:5">
      <c r="A232" s="8"/>
      <c r="B232" s="8"/>
      <c r="C232" s="8"/>
      <c r="D232" s="8"/>
      <c r="E232" s="8"/>
    </row>
    <row r="233" spans="1:5">
      <c r="A233" s="8"/>
      <c r="B233" s="8"/>
      <c r="C233" s="8"/>
      <c r="D233" s="8"/>
      <c r="E233" s="8"/>
    </row>
    <row r="234" spans="1:5">
      <c r="A234" s="8"/>
      <c r="B234" s="8"/>
      <c r="C234" s="8"/>
      <c r="D234" s="8"/>
      <c r="E234" s="8"/>
    </row>
    <row r="235" spans="1:5">
      <c r="A235" s="8"/>
      <c r="B235" s="8"/>
      <c r="C235" s="8"/>
      <c r="D235" s="8"/>
      <c r="E235" s="8"/>
    </row>
    <row r="236" spans="1:5">
      <c r="A236" s="8"/>
      <c r="B236" s="8"/>
      <c r="C236" s="8"/>
      <c r="D236" s="8"/>
      <c r="E236" s="8"/>
    </row>
    <row r="237" spans="1:5">
      <c r="A237" s="8"/>
      <c r="B237" s="8"/>
      <c r="C237" s="8"/>
      <c r="D237" s="8"/>
      <c r="E237" s="8"/>
    </row>
    <row r="238" spans="1:5">
      <c r="A238" s="8"/>
      <c r="B238" s="8"/>
      <c r="C238" s="8"/>
      <c r="D238" s="8"/>
      <c r="E238" s="8"/>
    </row>
    <row r="239" spans="1:5">
      <c r="A239" s="8"/>
      <c r="B239" s="8"/>
      <c r="C239" s="8"/>
      <c r="D239" s="8"/>
      <c r="E239" s="8"/>
    </row>
    <row r="240" spans="1:5">
      <c r="A240" s="8"/>
      <c r="B240" s="8"/>
      <c r="C240" s="8"/>
      <c r="D240" s="8"/>
      <c r="E240" s="8"/>
    </row>
    <row r="241" spans="1:5">
      <c r="A241" s="8"/>
      <c r="B241" s="8"/>
      <c r="C241" s="8"/>
      <c r="D241" s="8"/>
      <c r="E241" s="8"/>
    </row>
    <row r="242" spans="1:5">
      <c r="A242" s="8"/>
      <c r="B242" s="8"/>
      <c r="C242" s="8"/>
      <c r="D242" s="8"/>
      <c r="E242" s="8"/>
    </row>
    <row r="243" spans="1:5">
      <c r="A243" s="8"/>
      <c r="B243" s="8"/>
      <c r="C243" s="8"/>
      <c r="D243" s="8"/>
      <c r="E243" s="8"/>
    </row>
    <row r="244" spans="1:5">
      <c r="A244" s="8"/>
      <c r="B244" s="8"/>
      <c r="C244" s="8"/>
      <c r="D244" s="8"/>
      <c r="E244" s="8"/>
    </row>
    <row r="245" spans="1:5">
      <c r="A245" s="8"/>
      <c r="B245" s="8"/>
      <c r="C245" s="8"/>
      <c r="D245" s="8"/>
      <c r="E245" s="8"/>
    </row>
    <row r="246" spans="1:5">
      <c r="A246" s="8"/>
      <c r="B246" s="8"/>
      <c r="C246" s="8"/>
      <c r="D246" s="8"/>
      <c r="E246" s="8"/>
    </row>
    <row r="247" spans="1:5">
      <c r="A247" s="8"/>
      <c r="B247" s="8"/>
      <c r="C247" s="8"/>
      <c r="D247" s="8"/>
      <c r="E247" s="8"/>
    </row>
    <row r="248" spans="1:5">
      <c r="A248" s="8"/>
      <c r="B248" s="8"/>
      <c r="C248" s="8"/>
      <c r="D248" s="8"/>
      <c r="E248" s="8"/>
    </row>
    <row r="249" spans="1:5">
      <c r="A249" s="8"/>
      <c r="B249" s="8"/>
      <c r="C249" s="8"/>
      <c r="D249" s="8"/>
      <c r="E249" s="8"/>
    </row>
    <row r="250" spans="1:5">
      <c r="A250" s="8"/>
      <c r="B250" s="8"/>
      <c r="C250" s="8"/>
      <c r="D250" s="8"/>
      <c r="E250" s="8"/>
    </row>
    <row r="251" spans="1:5">
      <c r="A251" s="8"/>
      <c r="B251" s="8"/>
      <c r="C251" s="8"/>
      <c r="D251" s="8"/>
      <c r="E251" s="8"/>
    </row>
    <row r="252" spans="1:5">
      <c r="A252" s="8"/>
      <c r="B252" s="8"/>
      <c r="C252" s="8"/>
      <c r="D252" s="8"/>
      <c r="E252" s="8"/>
    </row>
    <row r="253" spans="1:5">
      <c r="A253" s="8"/>
      <c r="B253" s="8"/>
      <c r="C253" s="8"/>
      <c r="D253" s="8"/>
      <c r="E253" s="8"/>
    </row>
    <row r="254" spans="1:5">
      <c r="A254" s="8"/>
      <c r="B254" s="8"/>
      <c r="C254" s="8"/>
      <c r="D254" s="8"/>
      <c r="E254" s="8"/>
    </row>
    <row r="255" spans="1:5">
      <c r="A255" s="8"/>
      <c r="B255" s="8"/>
      <c r="C255" s="8"/>
      <c r="D255" s="8"/>
      <c r="E255" s="8"/>
    </row>
    <row r="256" spans="1:5">
      <c r="A256" s="8"/>
      <c r="B256" s="8"/>
      <c r="C256" s="8"/>
      <c r="D256" s="8"/>
      <c r="E256" s="8"/>
    </row>
    <row r="257" spans="1:5">
      <c r="A257" s="8"/>
      <c r="B257" s="8"/>
      <c r="C257" s="8"/>
      <c r="D257" s="8"/>
      <c r="E257" s="8"/>
    </row>
    <row r="258" spans="1:5">
      <c r="A258" s="8"/>
      <c r="B258" s="8"/>
      <c r="C258" s="8"/>
      <c r="D258" s="8"/>
      <c r="E258" s="8"/>
    </row>
    <row r="259" spans="1:5">
      <c r="A259" s="8"/>
      <c r="B259" s="8"/>
      <c r="C259" s="8"/>
      <c r="D259" s="8"/>
      <c r="E259" s="8"/>
    </row>
    <row r="260" spans="1:5">
      <c r="A260" s="8"/>
      <c r="B260" s="8"/>
      <c r="C260" s="8"/>
      <c r="D260" s="8"/>
      <c r="E260" s="8"/>
    </row>
    <row r="261" spans="1:5">
      <c r="A261" s="8"/>
      <c r="B261" s="8"/>
      <c r="C261" s="8"/>
      <c r="D261" s="8"/>
      <c r="E261" s="8"/>
    </row>
    <row r="262" spans="1:5">
      <c r="A262" s="8"/>
      <c r="B262" s="8"/>
      <c r="C262" s="8"/>
      <c r="D262" s="8"/>
      <c r="E262" s="8"/>
    </row>
    <row r="263" spans="1:5">
      <c r="A263" s="8"/>
      <c r="B263" s="8"/>
      <c r="C263" s="8"/>
      <c r="D263" s="8"/>
      <c r="E263" s="8"/>
    </row>
  </sheetData>
  <pageMargins left="0.7" right="0.7" top="0.75" bottom="0.75" header="0.3" footer="0.3"/>
  <pageSetup orientation="portrait" horizontalDpi="300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Report</vt:lpstr>
      <vt:lpstr>Report (2)</vt:lpstr>
      <vt:lpstr>Time Series Query</vt:lpstr>
      <vt:lpstr>'Report (2)'!CurrentCloseDate</vt:lpstr>
      <vt:lpstr>CurrentCloseDate</vt:lpstr>
      <vt:lpstr>'Report (2)'!DatabaseEnv</vt:lpstr>
      <vt:lpstr>DatabaseEnv</vt:lpstr>
      <vt:lpstr>'Report (2)'!LastAvailableDate</vt:lpstr>
      <vt:lpstr>LastAvailableDate</vt:lpstr>
      <vt:lpstr>'Report (2)'!LastMonth</vt:lpstr>
      <vt:lpstr>LastMonth</vt:lpstr>
      <vt:lpstr>'Report (2)'!LastSurveyDate</vt:lpstr>
      <vt:lpstr>LastSurveyDate</vt:lpstr>
      <vt:lpstr>'Report (2)'!PDFReportDir</vt:lpstr>
      <vt:lpstr>PDFReportDir</vt:lpstr>
      <vt:lpstr>'Report (2)'!PDFReportName</vt:lpstr>
      <vt:lpstr>PDFReportName</vt:lpstr>
      <vt:lpstr>Report!Print_Area</vt:lpstr>
      <vt:lpstr>'Report (2)'!Print_Area</vt:lpstr>
      <vt:lpstr>'Report (2)'!SaveRatesToDB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2015-08-20T14:56:42Z</cp:lastPrinted>
  <dcterms:created xsi:type="dcterms:W3CDTF">2013-04-04T19:42:48Z</dcterms:created>
  <dcterms:modified xsi:type="dcterms:W3CDTF">2015-08-20T14:56:47Z</dcterms:modified>
</cp:coreProperties>
</file>