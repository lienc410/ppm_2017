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33645" windowHeight="19020"/>
  </bookViews>
  <sheets>
    <sheet name="Report" sheetId="4" r:id="rId1"/>
    <sheet name="Time Series Query" sheetId="5" r:id="rId2"/>
    <sheet name="OriginationVolume" sheetId="15" r:id="rId3"/>
    <sheet name="Default Assumptions" sheetId="16" r:id="rId4"/>
  </sheets>
  <functionGroups builtInGroupCount="17"/>
  <definedNames>
    <definedName name="CurrentCloseDate">Report!#REF!</definedName>
    <definedName name="DatabaseEnv">Report!#REF!</definedName>
    <definedName name="LastAvailableDate">Report!#REF!</definedName>
    <definedName name="LastMonth">Report!#REF!</definedName>
    <definedName name="LastSurveyDate">Report!#REF!</definedName>
    <definedName name="newDataPoint">#REF!</definedName>
    <definedName name="PDFReportDir">Report!#REF!</definedName>
    <definedName name="PDFReportName">Report!#REF!</definedName>
    <definedName name="_xlnm.Print_Area" localSheetId="0">Report!$C$7:$N$60</definedName>
    <definedName name="Query_from_Agency" localSheetId="1" hidden="1">'Time Series Query'!#REF!</definedName>
    <definedName name="Query_from_Agency_1" localSheetId="1" hidden="1">'Time Series Query'!#REF!</definedName>
    <definedName name="Query_from_Agency_10" localSheetId="1" hidden="1">'Time Series Query'!#REF!</definedName>
    <definedName name="Query_from_Agency_11" localSheetId="1" hidden="1">'Time Series Query'!#REF!</definedName>
    <definedName name="Query_from_Agency_12" localSheetId="1" hidden="1">'Time Series Query'!#REF!</definedName>
    <definedName name="Query_from_Agency_13" localSheetId="1" hidden="1">'Time Series Query'!#REF!</definedName>
    <definedName name="Query_from_Agency_14" localSheetId="1" hidden="1">'Time Series Query'!#REF!</definedName>
    <definedName name="Query_from_Agency_15" localSheetId="1" hidden="1">'Time Series Query'!$B$4:$C$152</definedName>
    <definedName name="Query_from_Agency_16" localSheetId="1" hidden="1">'Time Series Query'!$G$4:$H$152</definedName>
    <definedName name="Query_from_Agency_17" localSheetId="1" hidden="1">'Time Series Query'!#REF!</definedName>
    <definedName name="Query_from_Agency_18" localSheetId="1" hidden="1">'Time Series Query'!$Q$4:$R$152</definedName>
    <definedName name="Query_from_Agency_19" localSheetId="1" hidden="1">'Time Series Query'!$AS$4:$AT$151</definedName>
    <definedName name="Query_from_Agency_2" localSheetId="1" hidden="1">'Time Series Query'!#REF!</definedName>
    <definedName name="Query_from_Agency_20" localSheetId="1" hidden="1">'Time Series Query'!$AO$4:$AP$151</definedName>
    <definedName name="Query_from_Agency_21" localSheetId="1" hidden="1">'Time Series Query'!$AK$4:$AL$151</definedName>
    <definedName name="Query_from_Agency_22" localSheetId="1" hidden="1">'Time Series Query'!$AG$4:$AH$151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Query'!#REF!</definedName>
    <definedName name="Query_from_Agency_7" localSheetId="1" hidden="1">'Time Series Query'!#REF!</definedName>
    <definedName name="Query_from_Agency_8" localSheetId="1" hidden="1">'Time Series Query'!#REF!</definedName>
    <definedName name="Query_from_Agency_9" localSheetId="1" hidden="1">'Time Series Query'!#REF!</definedName>
    <definedName name="SaveRatesToDB">Report!#REF!</definedName>
  </definedNames>
  <calcPr calcId="145621"/>
</workbook>
</file>

<file path=xl/calcChain.xml><?xml version="1.0" encoding="utf-8"?>
<calcChain xmlns="http://schemas.openxmlformats.org/spreadsheetml/2006/main">
  <c r="S5" i="5" l="1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T5" i="5"/>
  <c r="T6" i="5"/>
  <c r="T7" i="5"/>
  <c r="T8" i="5"/>
  <c r="T9" i="5"/>
  <c r="T10" i="5"/>
  <c r="T11" i="5"/>
  <c r="T12" i="5"/>
  <c r="K145" i="5" s="1"/>
  <c r="T13" i="5"/>
  <c r="T14" i="5"/>
  <c r="T15" i="5"/>
  <c r="T16" i="5"/>
  <c r="T17" i="5"/>
  <c r="T18" i="5"/>
  <c r="T19" i="5"/>
  <c r="T20" i="5"/>
  <c r="K137" i="5" s="1"/>
  <c r="T21" i="5"/>
  <c r="T22" i="5"/>
  <c r="T23" i="5"/>
  <c r="T24" i="5"/>
  <c r="K133" i="5" s="1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K113" i="5" s="1"/>
  <c r="T45" i="5"/>
  <c r="T46" i="5"/>
  <c r="T47" i="5"/>
  <c r="T48" i="5"/>
  <c r="T49" i="5"/>
  <c r="T50" i="5"/>
  <c r="T51" i="5"/>
  <c r="T52" i="5"/>
  <c r="K105" i="5" s="1"/>
  <c r="T53" i="5"/>
  <c r="T54" i="5"/>
  <c r="T55" i="5"/>
  <c r="T56" i="5"/>
  <c r="K101" i="5" s="1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K81" i="5" s="1"/>
  <c r="T77" i="5"/>
  <c r="T78" i="5"/>
  <c r="T79" i="5"/>
  <c r="T80" i="5"/>
  <c r="T81" i="5"/>
  <c r="T82" i="5"/>
  <c r="T83" i="5"/>
  <c r="T84" i="5"/>
  <c r="K73" i="5" s="1"/>
  <c r="T85" i="5"/>
  <c r="T86" i="5"/>
  <c r="T87" i="5"/>
  <c r="T88" i="5"/>
  <c r="K69" i="5" s="1"/>
  <c r="T89" i="5"/>
  <c r="T90" i="5"/>
  <c r="T91" i="5"/>
  <c r="T92" i="5"/>
  <c r="T93" i="5"/>
  <c r="T94" i="5"/>
  <c r="T95" i="5"/>
  <c r="T96" i="5"/>
  <c r="K61" i="5" s="1"/>
  <c r="T97" i="5"/>
  <c r="T98" i="5"/>
  <c r="T99" i="5"/>
  <c r="T100" i="5"/>
  <c r="T101" i="5"/>
  <c r="T102" i="5"/>
  <c r="T103" i="5"/>
  <c r="T104" i="5"/>
  <c r="T105" i="5"/>
  <c r="T106" i="5"/>
  <c r="T107" i="5"/>
  <c r="T108" i="5"/>
  <c r="K49" i="5" s="1"/>
  <c r="T109" i="5"/>
  <c r="T110" i="5"/>
  <c r="T111" i="5"/>
  <c r="T112" i="5"/>
  <c r="T113" i="5"/>
  <c r="T114" i="5"/>
  <c r="T115" i="5"/>
  <c r="T116" i="5"/>
  <c r="K41" i="5" s="1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K17" i="5" s="1"/>
  <c r="T141" i="5"/>
  <c r="T142" i="5"/>
  <c r="T143" i="5"/>
  <c r="T144" i="5"/>
  <c r="T145" i="5"/>
  <c r="T146" i="5"/>
  <c r="T147" i="5"/>
  <c r="T148" i="5"/>
  <c r="K9" i="5" s="1"/>
  <c r="T149" i="5"/>
  <c r="T150" i="5"/>
  <c r="T151" i="5"/>
  <c r="T152" i="5"/>
  <c r="U5" i="5"/>
  <c r="U6" i="5"/>
  <c r="U7" i="5"/>
  <c r="U8" i="5"/>
  <c r="L149" i="5" s="1"/>
  <c r="U9" i="5"/>
  <c r="X9" i="5" s="1"/>
  <c r="U10" i="5"/>
  <c r="U11" i="5"/>
  <c r="X11" i="5" s="1"/>
  <c r="U12" i="5"/>
  <c r="X12" i="5" s="1"/>
  <c r="U13" i="5"/>
  <c r="U14" i="5"/>
  <c r="U15" i="5"/>
  <c r="U16" i="5"/>
  <c r="U17" i="5"/>
  <c r="X17" i="5" s="1"/>
  <c r="U18" i="5"/>
  <c r="U19" i="5"/>
  <c r="X19" i="5" s="1"/>
  <c r="U20" i="5"/>
  <c r="X20" i="5" s="1"/>
  <c r="U21" i="5"/>
  <c r="U22" i="5"/>
  <c r="U23" i="5"/>
  <c r="U24" i="5"/>
  <c r="U25" i="5"/>
  <c r="X25" i="5" s="1"/>
  <c r="U26" i="5"/>
  <c r="U27" i="5"/>
  <c r="X27" i="5" s="1"/>
  <c r="U28" i="5"/>
  <c r="X28" i="5" s="1"/>
  <c r="U29" i="5"/>
  <c r="U30" i="5"/>
  <c r="U31" i="5"/>
  <c r="U32" i="5"/>
  <c r="L125" i="5" s="1"/>
  <c r="U33" i="5"/>
  <c r="X33" i="5" s="1"/>
  <c r="U34" i="5"/>
  <c r="U35" i="5"/>
  <c r="X35" i="5" s="1"/>
  <c r="U36" i="5"/>
  <c r="U37" i="5"/>
  <c r="U38" i="5"/>
  <c r="U39" i="5"/>
  <c r="U40" i="5"/>
  <c r="L117" i="5" s="1"/>
  <c r="U41" i="5"/>
  <c r="X41" i="5" s="1"/>
  <c r="U42" i="5"/>
  <c r="U43" i="5"/>
  <c r="X43" i="5" s="1"/>
  <c r="U44" i="5"/>
  <c r="U45" i="5"/>
  <c r="U46" i="5"/>
  <c r="U47" i="5"/>
  <c r="U48" i="5"/>
  <c r="U49" i="5"/>
  <c r="X49" i="5" s="1"/>
  <c r="U50" i="5"/>
  <c r="U51" i="5"/>
  <c r="X51" i="5" s="1"/>
  <c r="U52" i="5"/>
  <c r="W52" i="5" s="1"/>
  <c r="U53" i="5"/>
  <c r="U54" i="5"/>
  <c r="U55" i="5"/>
  <c r="U56" i="5"/>
  <c r="U57" i="5"/>
  <c r="X57" i="5" s="1"/>
  <c r="U58" i="5"/>
  <c r="U59" i="5"/>
  <c r="X59" i="5" s="1"/>
  <c r="U60" i="5"/>
  <c r="X60" i="5" s="1"/>
  <c r="U61" i="5"/>
  <c r="U62" i="5"/>
  <c r="U63" i="5"/>
  <c r="U64" i="5"/>
  <c r="L93" i="5" s="1"/>
  <c r="U65" i="5"/>
  <c r="X65" i="5" s="1"/>
  <c r="U66" i="5"/>
  <c r="U67" i="5"/>
  <c r="X67" i="5" s="1"/>
  <c r="U68" i="5"/>
  <c r="U69" i="5"/>
  <c r="U70" i="5"/>
  <c r="U71" i="5"/>
  <c r="U72" i="5"/>
  <c r="L85" i="5" s="1"/>
  <c r="U73" i="5"/>
  <c r="X73" i="5" s="1"/>
  <c r="U74" i="5"/>
  <c r="U75" i="5"/>
  <c r="X75" i="5" s="1"/>
  <c r="U76" i="5"/>
  <c r="X76" i="5" s="1"/>
  <c r="U77" i="5"/>
  <c r="U78" i="5"/>
  <c r="U79" i="5"/>
  <c r="U80" i="5"/>
  <c r="U81" i="5"/>
  <c r="X81" i="5" s="1"/>
  <c r="U82" i="5"/>
  <c r="U83" i="5"/>
  <c r="X83" i="5" s="1"/>
  <c r="U84" i="5"/>
  <c r="X84" i="5" s="1"/>
  <c r="U85" i="5"/>
  <c r="U86" i="5"/>
  <c r="U87" i="5"/>
  <c r="U88" i="5"/>
  <c r="U89" i="5"/>
  <c r="X89" i="5" s="1"/>
  <c r="U90" i="5"/>
  <c r="U91" i="5"/>
  <c r="X91" i="5" s="1"/>
  <c r="U92" i="5"/>
  <c r="X92" i="5" s="1"/>
  <c r="U93" i="5"/>
  <c r="U94" i="5"/>
  <c r="U95" i="5"/>
  <c r="U96" i="5"/>
  <c r="L61" i="5" s="1"/>
  <c r="U97" i="5"/>
  <c r="X97" i="5" s="1"/>
  <c r="U98" i="5"/>
  <c r="U99" i="5"/>
  <c r="X99" i="5" s="1"/>
  <c r="U100" i="5"/>
  <c r="U101" i="5"/>
  <c r="U102" i="5"/>
  <c r="U103" i="5"/>
  <c r="U104" i="5"/>
  <c r="L53" i="5" s="1"/>
  <c r="U105" i="5"/>
  <c r="X105" i="5" s="1"/>
  <c r="U106" i="5"/>
  <c r="U107" i="5"/>
  <c r="X107" i="5" s="1"/>
  <c r="U108" i="5"/>
  <c r="U109" i="5"/>
  <c r="U110" i="5"/>
  <c r="U111" i="5"/>
  <c r="U112" i="5"/>
  <c r="U113" i="5"/>
  <c r="X113" i="5" s="1"/>
  <c r="U114" i="5"/>
  <c r="U115" i="5"/>
  <c r="X115" i="5" s="1"/>
  <c r="U116" i="5"/>
  <c r="L41" i="5" s="1"/>
  <c r="U117" i="5"/>
  <c r="U118" i="5"/>
  <c r="U119" i="5"/>
  <c r="U120" i="5"/>
  <c r="U121" i="5"/>
  <c r="X121" i="5" s="1"/>
  <c r="U122" i="5"/>
  <c r="U123" i="5"/>
  <c r="X123" i="5" s="1"/>
  <c r="U124" i="5"/>
  <c r="X124" i="5" s="1"/>
  <c r="U125" i="5"/>
  <c r="U126" i="5"/>
  <c r="U127" i="5"/>
  <c r="U128" i="5"/>
  <c r="L29" i="5" s="1"/>
  <c r="U129" i="5"/>
  <c r="X129" i="5" s="1"/>
  <c r="U130" i="5"/>
  <c r="U131" i="5"/>
  <c r="X131" i="5" s="1"/>
  <c r="U132" i="5"/>
  <c r="U133" i="5"/>
  <c r="U134" i="5"/>
  <c r="U135" i="5"/>
  <c r="U136" i="5"/>
  <c r="L21" i="5" s="1"/>
  <c r="U137" i="5"/>
  <c r="X137" i="5" s="1"/>
  <c r="U138" i="5"/>
  <c r="U139" i="5"/>
  <c r="X139" i="5" s="1"/>
  <c r="U140" i="5"/>
  <c r="X140" i="5" s="1"/>
  <c r="U141" i="5"/>
  <c r="U142" i="5"/>
  <c r="U143" i="5"/>
  <c r="U144" i="5"/>
  <c r="U145" i="5"/>
  <c r="X145" i="5" s="1"/>
  <c r="U146" i="5"/>
  <c r="U147" i="5"/>
  <c r="X147" i="5" s="1"/>
  <c r="U148" i="5"/>
  <c r="X148" i="5" s="1"/>
  <c r="U149" i="5"/>
  <c r="U150" i="5"/>
  <c r="U151" i="5"/>
  <c r="U152" i="5"/>
  <c r="V5" i="5"/>
  <c r="V6" i="5"/>
  <c r="V7" i="5"/>
  <c r="M150" i="5" s="1"/>
  <c r="V8" i="5"/>
  <c r="M149" i="5" s="1"/>
  <c r="V9" i="5"/>
  <c r="V10" i="5"/>
  <c r="V11" i="5"/>
  <c r="V12" i="5"/>
  <c r="M145" i="5" s="1"/>
  <c r="V13" i="5"/>
  <c r="V14" i="5"/>
  <c r="V15" i="5"/>
  <c r="V16" i="5"/>
  <c r="M141" i="5" s="1"/>
  <c r="V17" i="5"/>
  <c r="V18" i="5"/>
  <c r="V19" i="5"/>
  <c r="V20" i="5"/>
  <c r="M137" i="5" s="1"/>
  <c r="V21" i="5"/>
  <c r="V22" i="5"/>
  <c r="V23" i="5"/>
  <c r="V24" i="5"/>
  <c r="M133" i="5" s="1"/>
  <c r="V25" i="5"/>
  <c r="V26" i="5"/>
  <c r="V27" i="5"/>
  <c r="V28" i="5"/>
  <c r="M129" i="5" s="1"/>
  <c r="V29" i="5"/>
  <c r="V30" i="5"/>
  <c r="V31" i="5"/>
  <c r="M126" i="5" s="1"/>
  <c r="V32" i="5"/>
  <c r="M125" i="5" s="1"/>
  <c r="V33" i="5"/>
  <c r="V34" i="5"/>
  <c r="V35" i="5"/>
  <c r="V36" i="5"/>
  <c r="M121" i="5" s="1"/>
  <c r="V37" i="5"/>
  <c r="V38" i="5"/>
  <c r="V39" i="5"/>
  <c r="M118" i="5" s="1"/>
  <c r="V40" i="5"/>
  <c r="M117" i="5" s="1"/>
  <c r="V41" i="5"/>
  <c r="V42" i="5"/>
  <c r="V43" i="5"/>
  <c r="V44" i="5"/>
  <c r="V45" i="5" s="1"/>
  <c r="M112" i="5" s="1"/>
  <c r="V46" i="5"/>
  <c r="V47" i="5"/>
  <c r="V48" i="5"/>
  <c r="V49" i="5"/>
  <c r="V50" i="5"/>
  <c r="V51" i="5" s="1"/>
  <c r="V52" i="5"/>
  <c r="V53" i="5"/>
  <c r="V54" i="5"/>
  <c r="V55" i="5"/>
  <c r="V56" i="5"/>
  <c r="V57" i="5" s="1"/>
  <c r="V58" i="5"/>
  <c r="V59" i="5" s="1"/>
  <c r="M98" i="5" s="1"/>
  <c r="V60" i="5"/>
  <c r="M97" i="5" s="1"/>
  <c r="V61" i="5"/>
  <c r="V62" i="5"/>
  <c r="V63" i="5"/>
  <c r="M94" i="5" s="1"/>
  <c r="V64" i="5"/>
  <c r="V65" i="5"/>
  <c r="V66" i="5"/>
  <c r="V67" i="5"/>
  <c r="V68" i="5"/>
  <c r="M89" i="5" s="1"/>
  <c r="V69" i="5"/>
  <c r="V70" i="5"/>
  <c r="V71" i="5"/>
  <c r="V72" i="5"/>
  <c r="V73" i="5"/>
  <c r="V74" i="5"/>
  <c r="V75" i="5"/>
  <c r="V76" i="5"/>
  <c r="M81" i="5" s="1"/>
  <c r="V77" i="5"/>
  <c r="V78" i="5"/>
  <c r="V79" i="5"/>
  <c r="V80" i="5"/>
  <c r="V81" i="5"/>
  <c r="V82" i="5"/>
  <c r="V83" i="5"/>
  <c r="V84" i="5"/>
  <c r="M73" i="5" s="1"/>
  <c r="V85" i="5"/>
  <c r="V86" i="5"/>
  <c r="V87" i="5"/>
  <c r="M70" i="5" s="1"/>
  <c r="V88" i="5"/>
  <c r="V89" i="5"/>
  <c r="V90" i="5"/>
  <c r="V91" i="5"/>
  <c r="V92" i="5"/>
  <c r="V93" i="5"/>
  <c r="V94" i="5"/>
  <c r="V95" i="5"/>
  <c r="M62" i="5" s="1"/>
  <c r="V96" i="5"/>
  <c r="V97" i="5"/>
  <c r="V98" i="5"/>
  <c r="V99" i="5"/>
  <c r="V100" i="5"/>
  <c r="M57" i="5" s="1"/>
  <c r="V101" i="5"/>
  <c r="V102" i="5"/>
  <c r="V103" i="5"/>
  <c r="V104" i="5"/>
  <c r="V105" i="5"/>
  <c r="V106" i="5"/>
  <c r="V107" i="5"/>
  <c r="V108" i="5"/>
  <c r="M49" i="5" s="1"/>
  <c r="V109" i="5"/>
  <c r="V110" i="5"/>
  <c r="V111" i="5"/>
  <c r="V112" i="5"/>
  <c r="V113" i="5"/>
  <c r="V114" i="5"/>
  <c r="V115" i="5"/>
  <c r="V116" i="5"/>
  <c r="M41" i="5" s="1"/>
  <c r="V117" i="5"/>
  <c r="V118" i="5"/>
  <c r="V119" i="5"/>
  <c r="M38" i="5" s="1"/>
  <c r="V120" i="5"/>
  <c r="V121" i="5"/>
  <c r="V122" i="5"/>
  <c r="V123" i="5"/>
  <c r="V124" i="5"/>
  <c r="M33" i="5" s="1"/>
  <c r="V125" i="5"/>
  <c r="V126" i="5"/>
  <c r="V127" i="5"/>
  <c r="M30" i="5" s="1"/>
  <c r="V128" i="5"/>
  <c r="V129" i="5"/>
  <c r="V130" i="5"/>
  <c r="V131" i="5"/>
  <c r="V132" i="5"/>
  <c r="M25" i="5" s="1"/>
  <c r="V133" i="5"/>
  <c r="V134" i="5"/>
  <c r="V135" i="5"/>
  <c r="V136" i="5"/>
  <c r="V137" i="5"/>
  <c r="V138" i="5"/>
  <c r="V139" i="5"/>
  <c r="V140" i="5"/>
  <c r="M17" i="5" s="1"/>
  <c r="V141" i="5"/>
  <c r="V142" i="5"/>
  <c r="V143" i="5"/>
  <c r="V144" i="5"/>
  <c r="V145" i="5"/>
  <c r="V146" i="5"/>
  <c r="V147" i="5"/>
  <c r="V148" i="5"/>
  <c r="M9" i="5" s="1"/>
  <c r="V149" i="5"/>
  <c r="V150" i="5"/>
  <c r="V151" i="5"/>
  <c r="M6" i="5" s="1"/>
  <c r="V152" i="5"/>
  <c r="W6" i="5"/>
  <c r="W9" i="5"/>
  <c r="W10" i="5"/>
  <c r="W14" i="5"/>
  <c r="W18" i="5"/>
  <c r="W19" i="5"/>
  <c r="W20" i="5"/>
  <c r="W22" i="5"/>
  <c r="W25" i="5"/>
  <c r="W26" i="5"/>
  <c r="W28" i="5"/>
  <c r="W30" i="5"/>
  <c r="W33" i="5"/>
  <c r="W34" i="5"/>
  <c r="W35" i="5"/>
  <c r="W38" i="5"/>
  <c r="W41" i="5"/>
  <c r="W42" i="5"/>
  <c r="W46" i="5"/>
  <c r="W50" i="5"/>
  <c r="W51" i="5"/>
  <c r="W54" i="5"/>
  <c r="W57" i="5"/>
  <c r="W58" i="5"/>
  <c r="W62" i="5"/>
  <c r="W65" i="5"/>
  <c r="W66" i="5"/>
  <c r="W67" i="5"/>
  <c r="W70" i="5"/>
  <c r="W73" i="5"/>
  <c r="W74" i="5"/>
  <c r="W78" i="5"/>
  <c r="W82" i="5"/>
  <c r="W83" i="5"/>
  <c r="W86" i="5"/>
  <c r="W89" i="5"/>
  <c r="W90" i="5"/>
  <c r="W94" i="5"/>
  <c r="W96" i="5"/>
  <c r="W97" i="5"/>
  <c r="W98" i="5"/>
  <c r="W99" i="5"/>
  <c r="W102" i="5"/>
  <c r="W105" i="5"/>
  <c r="W106" i="5"/>
  <c r="W110" i="5"/>
  <c r="W114" i="5"/>
  <c r="W115" i="5"/>
  <c r="W118" i="5"/>
  <c r="W121" i="5"/>
  <c r="W122" i="5"/>
  <c r="W126" i="5"/>
  <c r="W130" i="5"/>
  <c r="W131" i="5"/>
  <c r="W134" i="5"/>
  <c r="W137" i="5"/>
  <c r="W138" i="5"/>
  <c r="W142" i="5"/>
  <c r="W146" i="5"/>
  <c r="W147" i="5"/>
  <c r="W150" i="5"/>
  <c r="X5" i="5"/>
  <c r="X6" i="5"/>
  <c r="X7" i="5"/>
  <c r="X8" i="5"/>
  <c r="X10" i="5"/>
  <c r="X13" i="5"/>
  <c r="X14" i="5"/>
  <c r="X15" i="5"/>
  <c r="X18" i="5"/>
  <c r="X21" i="5"/>
  <c r="X22" i="5"/>
  <c r="X23" i="5"/>
  <c r="X26" i="5"/>
  <c r="X29" i="5"/>
  <c r="X30" i="5"/>
  <c r="X31" i="5"/>
  <c r="X34" i="5"/>
  <c r="X37" i="5"/>
  <c r="X38" i="5"/>
  <c r="X39" i="5"/>
  <c r="X40" i="5"/>
  <c r="X42" i="5"/>
  <c r="X45" i="5"/>
  <c r="X46" i="5"/>
  <c r="X47" i="5"/>
  <c r="X50" i="5"/>
  <c r="X53" i="5"/>
  <c r="X54" i="5"/>
  <c r="X55" i="5"/>
  <c r="X58" i="5"/>
  <c r="X61" i="5"/>
  <c r="X62" i="5"/>
  <c r="X63" i="5"/>
  <c r="X66" i="5"/>
  <c r="X69" i="5"/>
  <c r="X70" i="5"/>
  <c r="X71" i="5"/>
  <c r="X72" i="5"/>
  <c r="X74" i="5"/>
  <c r="X77" i="5"/>
  <c r="X78" i="5"/>
  <c r="X79" i="5"/>
  <c r="X82" i="5"/>
  <c r="X85" i="5"/>
  <c r="X86" i="5"/>
  <c r="X87" i="5"/>
  <c r="X90" i="5"/>
  <c r="X93" i="5"/>
  <c r="X94" i="5"/>
  <c r="X95" i="5"/>
  <c r="X98" i="5"/>
  <c r="X101" i="5"/>
  <c r="X102" i="5"/>
  <c r="X103" i="5"/>
  <c r="X106" i="5"/>
  <c r="X109" i="5"/>
  <c r="X110" i="5"/>
  <c r="X111" i="5"/>
  <c r="X114" i="5"/>
  <c r="X117" i="5"/>
  <c r="X118" i="5"/>
  <c r="X119" i="5"/>
  <c r="X122" i="5"/>
  <c r="X125" i="5"/>
  <c r="X126" i="5"/>
  <c r="X127" i="5"/>
  <c r="X130" i="5"/>
  <c r="X133" i="5"/>
  <c r="X134" i="5"/>
  <c r="X135" i="5"/>
  <c r="X136" i="5"/>
  <c r="X138" i="5"/>
  <c r="X141" i="5"/>
  <c r="X142" i="5"/>
  <c r="X143" i="5"/>
  <c r="X146" i="5"/>
  <c r="X149" i="5"/>
  <c r="X150" i="5"/>
  <c r="X151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AE33" i="5" s="1"/>
  <c r="J124" i="5" s="1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AE65" i="5" s="1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AE83" i="5" s="1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AE97" i="5" s="1"/>
  <c r="J60" i="5" s="1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C5" i="5"/>
  <c r="AC6" i="5"/>
  <c r="AC7" i="5"/>
  <c r="AC8" i="5"/>
  <c r="AC9" i="5"/>
  <c r="AF9" i="5" s="1"/>
  <c r="N148" i="5" s="1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F25" i="5" s="1"/>
  <c r="AC26" i="5"/>
  <c r="AC27" i="5"/>
  <c r="AC28" i="5"/>
  <c r="AC29" i="5"/>
  <c r="AC30" i="5"/>
  <c r="AC31" i="5"/>
  <c r="AC32" i="5"/>
  <c r="AC33" i="5"/>
  <c r="AF33" i="5" s="1"/>
  <c r="N124" i="5" s="1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F57" i="5" s="1"/>
  <c r="N100" i="5" s="1"/>
  <c r="AC58" i="5"/>
  <c r="AC59" i="5"/>
  <c r="AC60" i="5"/>
  <c r="AC61" i="5"/>
  <c r="AC62" i="5"/>
  <c r="AC63" i="5"/>
  <c r="AC64" i="5"/>
  <c r="AC65" i="5"/>
  <c r="AF65" i="5" s="1"/>
  <c r="AC66" i="5"/>
  <c r="AC67" i="5"/>
  <c r="AC68" i="5"/>
  <c r="AC69" i="5"/>
  <c r="AC70" i="5"/>
  <c r="AC71" i="5"/>
  <c r="AC72" i="5"/>
  <c r="AC73" i="5"/>
  <c r="AF73" i="5" s="1"/>
  <c r="N84" i="5" s="1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F97" i="5" s="1"/>
  <c r="AC98" i="5"/>
  <c r="AC99" i="5"/>
  <c r="AC100" i="5"/>
  <c r="AC101" i="5"/>
  <c r="AC102" i="5"/>
  <c r="AC103" i="5"/>
  <c r="AC104" i="5"/>
  <c r="AC105" i="5"/>
  <c r="AF105" i="5" s="1"/>
  <c r="N52" i="5" s="1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F121" i="5" s="1"/>
  <c r="N36" i="5" s="1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F137" i="5" s="1"/>
  <c r="N20" i="5" s="1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E6" i="5"/>
  <c r="AE10" i="5"/>
  <c r="AE14" i="5"/>
  <c r="AE18" i="5"/>
  <c r="AE22" i="5"/>
  <c r="AE26" i="5"/>
  <c r="AE30" i="5"/>
  <c r="AE34" i="5"/>
  <c r="AE38" i="5"/>
  <c r="AE42" i="5"/>
  <c r="AE46" i="5"/>
  <c r="AE50" i="5"/>
  <c r="AE54" i="5"/>
  <c r="AE58" i="5"/>
  <c r="AE62" i="5"/>
  <c r="AE66" i="5"/>
  <c r="AE70" i="5"/>
  <c r="AE74" i="5"/>
  <c r="AE78" i="5"/>
  <c r="AE82" i="5"/>
  <c r="AE86" i="5"/>
  <c r="AE90" i="5"/>
  <c r="AE94" i="5"/>
  <c r="AE98" i="5"/>
  <c r="AE102" i="5"/>
  <c r="AE106" i="5"/>
  <c r="AE110" i="5"/>
  <c r="AE114" i="5"/>
  <c r="AE118" i="5"/>
  <c r="AE122" i="5"/>
  <c r="AE126" i="5"/>
  <c r="AE130" i="5"/>
  <c r="AE134" i="5"/>
  <c r="AE138" i="5"/>
  <c r="AE142" i="5"/>
  <c r="AE146" i="5"/>
  <c r="AE150" i="5"/>
  <c r="AF6" i="5"/>
  <c r="AF10" i="5"/>
  <c r="AF14" i="5"/>
  <c r="AF18" i="5"/>
  <c r="AF22" i="5"/>
  <c r="AF26" i="5"/>
  <c r="AF30" i="5"/>
  <c r="AF34" i="5"/>
  <c r="AF38" i="5"/>
  <c r="AF42" i="5"/>
  <c r="AF46" i="5"/>
  <c r="AF50" i="5"/>
  <c r="AF54" i="5"/>
  <c r="AF58" i="5"/>
  <c r="AF62" i="5"/>
  <c r="AF66" i="5"/>
  <c r="AF70" i="5"/>
  <c r="AF74" i="5"/>
  <c r="AF78" i="5"/>
  <c r="AF82" i="5"/>
  <c r="AF86" i="5"/>
  <c r="AF90" i="5"/>
  <c r="AF94" i="5"/>
  <c r="AF98" i="5"/>
  <c r="AF102" i="5"/>
  <c r="AF106" i="5"/>
  <c r="AF110" i="5"/>
  <c r="AF114" i="5"/>
  <c r="AF118" i="5"/>
  <c r="AF122" i="5"/>
  <c r="AF126" i="5"/>
  <c r="AF130" i="5"/>
  <c r="AF134" i="5"/>
  <c r="AF138" i="5"/>
  <c r="AF142" i="5"/>
  <c r="AF146" i="5"/>
  <c r="AF150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K6" i="5"/>
  <c r="K7" i="5"/>
  <c r="K10" i="5"/>
  <c r="K11" i="5"/>
  <c r="K12" i="5"/>
  <c r="K15" i="5"/>
  <c r="K18" i="5"/>
  <c r="K19" i="5"/>
  <c r="K20" i="5"/>
  <c r="K22" i="5"/>
  <c r="K23" i="5"/>
  <c r="K26" i="5"/>
  <c r="K27" i="5"/>
  <c r="K28" i="5"/>
  <c r="K31" i="5"/>
  <c r="K34" i="5"/>
  <c r="K35" i="5"/>
  <c r="K36" i="5"/>
  <c r="K38" i="5"/>
  <c r="K39" i="5"/>
  <c r="K42" i="5"/>
  <c r="K43" i="5"/>
  <c r="K44" i="5"/>
  <c r="K47" i="5"/>
  <c r="K48" i="5"/>
  <c r="K50" i="5"/>
  <c r="K51" i="5"/>
  <c r="K52" i="5"/>
  <c r="K55" i="5"/>
  <c r="K56" i="5"/>
  <c r="K58" i="5"/>
  <c r="K59" i="5"/>
  <c r="K60" i="5"/>
  <c r="K62" i="5"/>
  <c r="K63" i="5"/>
  <c r="K64" i="5"/>
  <c r="K66" i="5"/>
  <c r="K67" i="5"/>
  <c r="K68" i="5"/>
  <c r="K71" i="5"/>
  <c r="K72" i="5"/>
  <c r="K74" i="5"/>
  <c r="K75" i="5"/>
  <c r="K76" i="5"/>
  <c r="K79" i="5"/>
  <c r="K80" i="5"/>
  <c r="K82" i="5"/>
  <c r="K83" i="5"/>
  <c r="K84" i="5"/>
  <c r="K87" i="5"/>
  <c r="K88" i="5"/>
  <c r="K90" i="5"/>
  <c r="K91" i="5"/>
  <c r="K92" i="5"/>
  <c r="K93" i="5"/>
  <c r="K95" i="5"/>
  <c r="K96" i="5"/>
  <c r="K98" i="5"/>
  <c r="K99" i="5"/>
  <c r="K100" i="5"/>
  <c r="K103" i="5"/>
  <c r="K104" i="5"/>
  <c r="K106" i="5"/>
  <c r="K107" i="5"/>
  <c r="K108" i="5"/>
  <c r="K111" i="5"/>
  <c r="K112" i="5"/>
  <c r="K114" i="5"/>
  <c r="K115" i="5"/>
  <c r="K116" i="5"/>
  <c r="K119" i="5"/>
  <c r="K120" i="5"/>
  <c r="K122" i="5"/>
  <c r="K123" i="5"/>
  <c r="K124" i="5"/>
  <c r="K125" i="5"/>
  <c r="K127" i="5"/>
  <c r="K128" i="5"/>
  <c r="K130" i="5"/>
  <c r="K131" i="5"/>
  <c r="K132" i="5"/>
  <c r="K135" i="5"/>
  <c r="K136" i="5"/>
  <c r="K138" i="5"/>
  <c r="K139" i="5"/>
  <c r="K140" i="5"/>
  <c r="K143" i="5"/>
  <c r="K144" i="5"/>
  <c r="K146" i="5"/>
  <c r="K147" i="5"/>
  <c r="K148" i="5"/>
  <c r="K151" i="5"/>
  <c r="K152" i="5"/>
  <c r="L6" i="5"/>
  <c r="L7" i="5"/>
  <c r="L8" i="5"/>
  <c r="L11" i="5"/>
  <c r="L12" i="5"/>
  <c r="L14" i="5"/>
  <c r="L15" i="5"/>
  <c r="L16" i="5"/>
  <c r="L19" i="5"/>
  <c r="L20" i="5"/>
  <c r="L22" i="5"/>
  <c r="L23" i="5"/>
  <c r="L24" i="5"/>
  <c r="L27" i="5"/>
  <c r="L28" i="5"/>
  <c r="L30" i="5"/>
  <c r="L31" i="5"/>
  <c r="L32" i="5"/>
  <c r="L35" i="5"/>
  <c r="L36" i="5"/>
  <c r="L38" i="5"/>
  <c r="L39" i="5"/>
  <c r="L40" i="5"/>
  <c r="L43" i="5"/>
  <c r="L44" i="5"/>
  <c r="L46" i="5"/>
  <c r="L47" i="5"/>
  <c r="L48" i="5"/>
  <c r="L51" i="5"/>
  <c r="L52" i="5"/>
  <c r="L54" i="5"/>
  <c r="L55" i="5"/>
  <c r="L56" i="5"/>
  <c r="L59" i="5"/>
  <c r="L60" i="5"/>
  <c r="L62" i="5"/>
  <c r="L63" i="5"/>
  <c r="L64" i="5"/>
  <c r="L67" i="5"/>
  <c r="L68" i="5"/>
  <c r="L70" i="5"/>
  <c r="L71" i="5"/>
  <c r="L72" i="5"/>
  <c r="L73" i="5"/>
  <c r="L75" i="5"/>
  <c r="L76" i="5"/>
  <c r="L78" i="5"/>
  <c r="L79" i="5"/>
  <c r="L80" i="5"/>
  <c r="L83" i="5"/>
  <c r="L84" i="5"/>
  <c r="L86" i="5"/>
  <c r="L87" i="5"/>
  <c r="L88" i="5"/>
  <c r="L91" i="5"/>
  <c r="L92" i="5"/>
  <c r="L94" i="5"/>
  <c r="L95" i="5"/>
  <c r="L96" i="5"/>
  <c r="L99" i="5"/>
  <c r="L100" i="5"/>
  <c r="L102" i="5"/>
  <c r="L103" i="5"/>
  <c r="L104" i="5"/>
  <c r="L105" i="5"/>
  <c r="L107" i="5"/>
  <c r="L108" i="5"/>
  <c r="L110" i="5"/>
  <c r="L111" i="5"/>
  <c r="L112" i="5"/>
  <c r="L115" i="5"/>
  <c r="L116" i="5"/>
  <c r="L118" i="5"/>
  <c r="L119" i="5"/>
  <c r="L120" i="5"/>
  <c r="L123" i="5"/>
  <c r="L124" i="5"/>
  <c r="L126" i="5"/>
  <c r="L127" i="5"/>
  <c r="L128" i="5"/>
  <c r="L131" i="5"/>
  <c r="L132" i="5"/>
  <c r="L134" i="5"/>
  <c r="L135" i="5"/>
  <c r="L136" i="5"/>
  <c r="L137" i="5"/>
  <c r="L139" i="5"/>
  <c r="L140" i="5"/>
  <c r="L142" i="5"/>
  <c r="L143" i="5"/>
  <c r="L144" i="5"/>
  <c r="L147" i="5"/>
  <c r="L148" i="5"/>
  <c r="L150" i="5"/>
  <c r="L151" i="5"/>
  <c r="L152" i="5"/>
  <c r="M8" i="5"/>
  <c r="M10" i="5"/>
  <c r="M12" i="5"/>
  <c r="M16" i="5"/>
  <c r="M18" i="5"/>
  <c r="M20" i="5"/>
  <c r="M24" i="5"/>
  <c r="M26" i="5"/>
  <c r="M28" i="5"/>
  <c r="M32" i="5"/>
  <c r="M34" i="5"/>
  <c r="M36" i="5"/>
  <c r="M40" i="5"/>
  <c r="M42" i="5"/>
  <c r="M44" i="5"/>
  <c r="M48" i="5"/>
  <c r="M50" i="5"/>
  <c r="M52" i="5"/>
  <c r="M56" i="5"/>
  <c r="M58" i="5"/>
  <c r="M60" i="5"/>
  <c r="M64" i="5"/>
  <c r="M66" i="5"/>
  <c r="M68" i="5"/>
  <c r="M72" i="5"/>
  <c r="M74" i="5"/>
  <c r="M76" i="5"/>
  <c r="M80" i="5"/>
  <c r="M82" i="5"/>
  <c r="M84" i="5"/>
  <c r="M88" i="5"/>
  <c r="M90" i="5"/>
  <c r="M92" i="5"/>
  <c r="M96" i="5"/>
  <c r="M100" i="5"/>
  <c r="M105" i="5"/>
  <c r="M108" i="5"/>
  <c r="M114" i="5"/>
  <c r="M120" i="5"/>
  <c r="M122" i="5"/>
  <c r="M128" i="5"/>
  <c r="M130" i="5"/>
  <c r="M136" i="5"/>
  <c r="M138" i="5"/>
  <c r="M144" i="5"/>
  <c r="M146" i="5"/>
  <c r="M152" i="5"/>
  <c r="N7" i="5"/>
  <c r="N11" i="5"/>
  <c r="N15" i="5"/>
  <c r="N19" i="5"/>
  <c r="N23" i="5"/>
  <c r="N27" i="5"/>
  <c r="N31" i="5"/>
  <c r="N35" i="5"/>
  <c r="N39" i="5"/>
  <c r="N43" i="5"/>
  <c r="N47" i="5"/>
  <c r="N51" i="5"/>
  <c r="N55" i="5"/>
  <c r="N59" i="5"/>
  <c r="N60" i="5"/>
  <c r="N63" i="5"/>
  <c r="N67" i="5"/>
  <c r="N71" i="5"/>
  <c r="N75" i="5"/>
  <c r="N79" i="5"/>
  <c r="N83" i="5"/>
  <c r="N87" i="5"/>
  <c r="N91" i="5"/>
  <c r="N92" i="5"/>
  <c r="N95" i="5"/>
  <c r="N99" i="5"/>
  <c r="N103" i="5"/>
  <c r="N107" i="5"/>
  <c r="N111" i="5"/>
  <c r="N115" i="5"/>
  <c r="N119" i="5"/>
  <c r="N123" i="5"/>
  <c r="N127" i="5"/>
  <c r="N131" i="5"/>
  <c r="N132" i="5"/>
  <c r="N135" i="5"/>
  <c r="N139" i="5"/>
  <c r="N143" i="5"/>
  <c r="N147" i="5"/>
  <c r="N15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M151" i="5"/>
  <c r="M148" i="5"/>
  <c r="M147" i="5"/>
  <c r="M143" i="5"/>
  <c r="M142" i="5"/>
  <c r="M140" i="5"/>
  <c r="M139" i="5"/>
  <c r="M135" i="5"/>
  <c r="M134" i="5"/>
  <c r="M132" i="5"/>
  <c r="M131" i="5"/>
  <c r="M127" i="5"/>
  <c r="M124" i="5"/>
  <c r="M123" i="5"/>
  <c r="M119" i="5"/>
  <c r="M116" i="5"/>
  <c r="M115" i="5"/>
  <c r="M111" i="5"/>
  <c r="M110" i="5"/>
  <c r="M109" i="5"/>
  <c r="M107" i="5"/>
  <c r="M106" i="5"/>
  <c r="M104" i="5"/>
  <c r="M103" i="5"/>
  <c r="M102" i="5"/>
  <c r="M99" i="5"/>
  <c r="M95" i="5"/>
  <c r="M93" i="5"/>
  <c r="M91" i="5"/>
  <c r="M87" i="5"/>
  <c r="M86" i="5"/>
  <c r="M85" i="5"/>
  <c r="M83" i="5"/>
  <c r="M79" i="5"/>
  <c r="M78" i="5"/>
  <c r="M77" i="5"/>
  <c r="M75" i="5"/>
  <c r="M71" i="5"/>
  <c r="M69" i="5"/>
  <c r="M67" i="5"/>
  <c r="M65" i="5"/>
  <c r="M63" i="5"/>
  <c r="M61" i="5"/>
  <c r="M59" i="5"/>
  <c r="M55" i="5"/>
  <c r="M54" i="5"/>
  <c r="M53" i="5"/>
  <c r="M51" i="5"/>
  <c r="M47" i="5"/>
  <c r="M46" i="5"/>
  <c r="M45" i="5"/>
  <c r="M43" i="5"/>
  <c r="M39" i="5"/>
  <c r="M37" i="5"/>
  <c r="M35" i="5"/>
  <c r="M31" i="5"/>
  <c r="M29" i="5"/>
  <c r="M27" i="5"/>
  <c r="M23" i="5"/>
  <c r="M22" i="5"/>
  <c r="M21" i="5"/>
  <c r="M19" i="5"/>
  <c r="M15" i="5"/>
  <c r="M14" i="5"/>
  <c r="M13" i="5"/>
  <c r="M11" i="5"/>
  <c r="M7" i="5"/>
  <c r="M5" i="5"/>
  <c r="J99" i="5"/>
  <c r="AE56" i="5" l="1"/>
  <c r="J101" i="5" s="1"/>
  <c r="X104" i="5"/>
  <c r="W72" i="5"/>
  <c r="AE72" i="5" s="1"/>
  <c r="J85" i="5" s="1"/>
  <c r="X132" i="5"/>
  <c r="W132" i="5"/>
  <c r="AF132" i="5" s="1"/>
  <c r="N25" i="5" s="1"/>
  <c r="X100" i="5"/>
  <c r="W100" i="5"/>
  <c r="AF100" i="5" s="1"/>
  <c r="N57" i="5" s="1"/>
  <c r="X68" i="5"/>
  <c r="W68" i="5"/>
  <c r="X36" i="5"/>
  <c r="W36" i="5"/>
  <c r="AF144" i="5"/>
  <c r="N13" i="5" s="1"/>
  <c r="K13" i="5"/>
  <c r="K21" i="5"/>
  <c r="K45" i="5"/>
  <c r="AE104" i="5"/>
  <c r="AF104" i="5"/>
  <c r="N53" i="5" s="1"/>
  <c r="AE80" i="5"/>
  <c r="AF72" i="5"/>
  <c r="N85" i="5" s="1"/>
  <c r="AF40" i="5"/>
  <c r="N117" i="5" s="1"/>
  <c r="L121" i="5"/>
  <c r="L25" i="5"/>
  <c r="K141" i="5"/>
  <c r="K109" i="5"/>
  <c r="X128" i="5"/>
  <c r="AF128" i="5" s="1"/>
  <c r="N29" i="5" s="1"/>
  <c r="X116" i="5"/>
  <c r="X64" i="5"/>
  <c r="X52" i="5"/>
  <c r="AE52" i="5" s="1"/>
  <c r="W148" i="5"/>
  <c r="AE148" i="5" s="1"/>
  <c r="J9" i="5" s="1"/>
  <c r="W116" i="5"/>
  <c r="W40" i="5"/>
  <c r="AE40" i="5" s="1"/>
  <c r="K53" i="5"/>
  <c r="K29" i="5"/>
  <c r="AE116" i="5"/>
  <c r="J41" i="5" s="1"/>
  <c r="AE20" i="5"/>
  <c r="W84" i="5"/>
  <c r="AE84" i="5" s="1"/>
  <c r="J73" i="5" s="1"/>
  <c r="W8" i="5"/>
  <c r="AE8" i="5" s="1"/>
  <c r="J149" i="5" s="1"/>
  <c r="W140" i="5"/>
  <c r="AF140" i="5" s="1"/>
  <c r="N17" i="5" s="1"/>
  <c r="W108" i="5"/>
  <c r="W76" i="5"/>
  <c r="AF76" i="5" s="1"/>
  <c r="N81" i="5" s="1"/>
  <c r="W44" i="5"/>
  <c r="W12" i="5"/>
  <c r="AF12" i="5" s="1"/>
  <c r="N145" i="5" s="1"/>
  <c r="L89" i="5"/>
  <c r="L57" i="5"/>
  <c r="K77" i="5"/>
  <c r="K5" i="5"/>
  <c r="L129" i="5"/>
  <c r="L97" i="5"/>
  <c r="L65" i="5"/>
  <c r="L33" i="5"/>
  <c r="K149" i="5"/>
  <c r="K117" i="5"/>
  <c r="K85" i="5"/>
  <c r="AF63" i="5"/>
  <c r="N94" i="5" s="1"/>
  <c r="AE147" i="5"/>
  <c r="AE115" i="5"/>
  <c r="J42" i="5" s="1"/>
  <c r="AE51" i="5"/>
  <c r="AE19" i="5"/>
  <c r="J138" i="5" s="1"/>
  <c r="W128" i="5"/>
  <c r="W152" i="5"/>
  <c r="AF152" i="5" s="1"/>
  <c r="N5" i="5" s="1"/>
  <c r="X152" i="5"/>
  <c r="AE152" i="5" s="1"/>
  <c r="L5" i="5"/>
  <c r="W120" i="5"/>
  <c r="AF120" i="5" s="1"/>
  <c r="N37" i="5" s="1"/>
  <c r="X120" i="5"/>
  <c r="AE120" i="5" s="1"/>
  <c r="L37" i="5"/>
  <c r="W88" i="5"/>
  <c r="AF88" i="5" s="1"/>
  <c r="N69" i="5" s="1"/>
  <c r="X88" i="5"/>
  <c r="L69" i="5"/>
  <c r="W56" i="5"/>
  <c r="X56" i="5"/>
  <c r="L101" i="5"/>
  <c r="W24" i="5"/>
  <c r="X24" i="5"/>
  <c r="L133" i="5"/>
  <c r="L9" i="5"/>
  <c r="K37" i="5"/>
  <c r="AF49" i="5"/>
  <c r="N108" i="5" s="1"/>
  <c r="AF17" i="5"/>
  <c r="N140" i="5" s="1"/>
  <c r="AF69" i="5"/>
  <c r="N88" i="5" s="1"/>
  <c r="AE121" i="5"/>
  <c r="J36" i="5" s="1"/>
  <c r="AE89" i="5"/>
  <c r="J68" i="5" s="1"/>
  <c r="AE73" i="5"/>
  <c r="J84" i="5" s="1"/>
  <c r="AE25" i="5"/>
  <c r="AE9" i="5"/>
  <c r="X32" i="5"/>
  <c r="W124" i="5"/>
  <c r="W64" i="5"/>
  <c r="AE64" i="5" s="1"/>
  <c r="AF56" i="5"/>
  <c r="N101" i="5" s="1"/>
  <c r="AF24" i="5"/>
  <c r="N133" i="5" s="1"/>
  <c r="AE140" i="5"/>
  <c r="AE76" i="5"/>
  <c r="J81" i="5" s="1"/>
  <c r="AE44" i="5"/>
  <c r="AE12" i="5"/>
  <c r="AF148" i="5"/>
  <c r="N9" i="5" s="1"/>
  <c r="AF124" i="5"/>
  <c r="N33" i="5" s="1"/>
  <c r="AF116" i="5"/>
  <c r="N41" i="5" s="1"/>
  <c r="AF28" i="5"/>
  <c r="N129" i="5" s="1"/>
  <c r="AF20" i="5"/>
  <c r="N137" i="5" s="1"/>
  <c r="X108" i="5"/>
  <c r="AE108" i="5" s="1"/>
  <c r="X44" i="5"/>
  <c r="W92" i="5"/>
  <c r="AF92" i="5" s="1"/>
  <c r="N65" i="5" s="1"/>
  <c r="W32" i="5"/>
  <c r="AE32" i="5" s="1"/>
  <c r="J125" i="5" s="1"/>
  <c r="W144" i="5"/>
  <c r="AE144" i="5" s="1"/>
  <c r="J13" i="5" s="1"/>
  <c r="X144" i="5"/>
  <c r="L13" i="5"/>
  <c r="W112" i="5"/>
  <c r="AF112" i="5" s="1"/>
  <c r="N45" i="5" s="1"/>
  <c r="X112" i="5"/>
  <c r="L45" i="5"/>
  <c r="W80" i="5"/>
  <c r="AF80" i="5" s="1"/>
  <c r="N77" i="5" s="1"/>
  <c r="X80" i="5"/>
  <c r="L77" i="5"/>
  <c r="W48" i="5"/>
  <c r="AE48" i="5" s="1"/>
  <c r="J109" i="5" s="1"/>
  <c r="X48" i="5"/>
  <c r="L109" i="5"/>
  <c r="W16" i="5"/>
  <c r="AF16" i="5" s="1"/>
  <c r="N141" i="5" s="1"/>
  <c r="X16" i="5"/>
  <c r="L141" i="5"/>
  <c r="K25" i="5"/>
  <c r="K33" i="5"/>
  <c r="AE124" i="5"/>
  <c r="K57" i="5"/>
  <c r="AE100" i="5"/>
  <c r="J57" i="5" s="1"/>
  <c r="K65" i="5"/>
  <c r="AE92" i="5"/>
  <c r="AE68" i="5"/>
  <c r="J89" i="5" s="1"/>
  <c r="K89" i="5"/>
  <c r="K97" i="5"/>
  <c r="AE36" i="5"/>
  <c r="K121" i="5"/>
  <c r="AE28" i="5"/>
  <c r="K129" i="5"/>
  <c r="AF89" i="5"/>
  <c r="N68" i="5" s="1"/>
  <c r="AF41" i="5"/>
  <c r="N116" i="5" s="1"/>
  <c r="AF117" i="5"/>
  <c r="N40" i="5" s="1"/>
  <c r="AF85" i="5"/>
  <c r="N72" i="5" s="1"/>
  <c r="AF53" i="5"/>
  <c r="N104" i="5" s="1"/>
  <c r="AF5" i="5"/>
  <c r="N152" i="5" s="1"/>
  <c r="AE137" i="5"/>
  <c r="AE105" i="5"/>
  <c r="AE57" i="5"/>
  <c r="AE41" i="5"/>
  <c r="X96" i="5"/>
  <c r="AE96" i="5" s="1"/>
  <c r="L145" i="5"/>
  <c r="L113" i="5"/>
  <c r="L81" i="5"/>
  <c r="L49" i="5"/>
  <c r="L17" i="5"/>
  <c r="W136" i="5"/>
  <c r="AE136" i="5" s="1"/>
  <c r="J21" i="5" s="1"/>
  <c r="W104" i="5"/>
  <c r="W60" i="5"/>
  <c r="AF60" i="5" s="1"/>
  <c r="N97" i="5" s="1"/>
  <c r="W151" i="5"/>
  <c r="AF151" i="5" s="1"/>
  <c r="N6" i="5" s="1"/>
  <c r="AE151" i="5"/>
  <c r="J6" i="5" s="1"/>
  <c r="W143" i="5"/>
  <c r="AE143" i="5" s="1"/>
  <c r="J14" i="5" s="1"/>
  <c r="W135" i="5"/>
  <c r="AF135" i="5" s="1"/>
  <c r="N22" i="5" s="1"/>
  <c r="W127" i="5"/>
  <c r="AF127" i="5" s="1"/>
  <c r="N30" i="5" s="1"/>
  <c r="AE127" i="5"/>
  <c r="W119" i="5"/>
  <c r="AF119" i="5" s="1"/>
  <c r="N38" i="5" s="1"/>
  <c r="AE119" i="5"/>
  <c r="W111" i="5"/>
  <c r="AE111" i="5" s="1"/>
  <c r="J46" i="5" s="1"/>
  <c r="W103" i="5"/>
  <c r="AF103" i="5" s="1"/>
  <c r="N54" i="5" s="1"/>
  <c r="W95" i="5"/>
  <c r="AF95" i="5" s="1"/>
  <c r="N62" i="5" s="1"/>
  <c r="AE95" i="5"/>
  <c r="W87" i="5"/>
  <c r="AF87" i="5" s="1"/>
  <c r="N70" i="5" s="1"/>
  <c r="AE87" i="5"/>
  <c r="J70" i="5" s="1"/>
  <c r="W79" i="5"/>
  <c r="AE79" i="5" s="1"/>
  <c r="J78" i="5" s="1"/>
  <c r="W71" i="5"/>
  <c r="AF71" i="5" s="1"/>
  <c r="N86" i="5" s="1"/>
  <c r="W63" i="5"/>
  <c r="AE63" i="5"/>
  <c r="J94" i="5" s="1"/>
  <c r="W55" i="5"/>
  <c r="AF55" i="5" s="1"/>
  <c r="N102" i="5" s="1"/>
  <c r="AE55" i="5"/>
  <c r="J102" i="5" s="1"/>
  <c r="W47" i="5"/>
  <c r="AE47" i="5" s="1"/>
  <c r="J110" i="5" s="1"/>
  <c r="W39" i="5"/>
  <c r="AF39" i="5" s="1"/>
  <c r="N118" i="5" s="1"/>
  <c r="W31" i="5"/>
  <c r="AF31" i="5" s="1"/>
  <c r="N126" i="5" s="1"/>
  <c r="AE31" i="5"/>
  <c r="W23" i="5"/>
  <c r="AF23" i="5" s="1"/>
  <c r="N134" i="5" s="1"/>
  <c r="AE23" i="5"/>
  <c r="J134" i="5" s="1"/>
  <c r="W15" i="5"/>
  <c r="AE15" i="5" s="1"/>
  <c r="J142" i="5" s="1"/>
  <c r="W7" i="5"/>
  <c r="AF7" i="5" s="1"/>
  <c r="N150" i="5" s="1"/>
  <c r="K46" i="5"/>
  <c r="K14" i="5"/>
  <c r="W145" i="5"/>
  <c r="AE145" i="5" s="1"/>
  <c r="J12" i="5" s="1"/>
  <c r="W123" i="5"/>
  <c r="AE123" i="5" s="1"/>
  <c r="W113" i="5"/>
  <c r="AE113" i="5" s="1"/>
  <c r="W91" i="5"/>
  <c r="AE91" i="5" s="1"/>
  <c r="W81" i="5"/>
  <c r="AE81" i="5" s="1"/>
  <c r="J76" i="5" s="1"/>
  <c r="W59" i="5"/>
  <c r="AE59" i="5" s="1"/>
  <c r="J98" i="5" s="1"/>
  <c r="W49" i="5"/>
  <c r="AE49" i="5" s="1"/>
  <c r="W27" i="5"/>
  <c r="AE27" i="5" s="1"/>
  <c r="W17" i="5"/>
  <c r="AE17" i="5" s="1"/>
  <c r="J140" i="5" s="1"/>
  <c r="K54" i="5"/>
  <c r="W149" i="5"/>
  <c r="AF149" i="5" s="1"/>
  <c r="N8" i="5" s="1"/>
  <c r="K8" i="5"/>
  <c r="W141" i="5"/>
  <c r="AF141" i="5" s="1"/>
  <c r="N16" i="5" s="1"/>
  <c r="AE141" i="5"/>
  <c r="K16" i="5"/>
  <c r="W133" i="5"/>
  <c r="AF133" i="5" s="1"/>
  <c r="N24" i="5" s="1"/>
  <c r="AE133" i="5"/>
  <c r="K24" i="5"/>
  <c r="W125" i="5"/>
  <c r="AF125" i="5" s="1"/>
  <c r="N32" i="5" s="1"/>
  <c r="AE125" i="5"/>
  <c r="K32" i="5"/>
  <c r="W117" i="5"/>
  <c r="AE117" i="5"/>
  <c r="K40" i="5"/>
  <c r="W109" i="5"/>
  <c r="AF109" i="5" s="1"/>
  <c r="N48" i="5" s="1"/>
  <c r="W101" i="5"/>
  <c r="AF101" i="5" s="1"/>
  <c r="N56" i="5" s="1"/>
  <c r="AE101" i="5"/>
  <c r="W93" i="5"/>
  <c r="AF93" i="5" s="1"/>
  <c r="N64" i="5" s="1"/>
  <c r="AE93" i="5"/>
  <c r="W85" i="5"/>
  <c r="AE85" i="5"/>
  <c r="W77" i="5"/>
  <c r="AF77" i="5" s="1"/>
  <c r="N80" i="5" s="1"/>
  <c r="W69" i="5"/>
  <c r="AE69" i="5"/>
  <c r="W61" i="5"/>
  <c r="AF61" i="5" s="1"/>
  <c r="N96" i="5" s="1"/>
  <c r="AE61" i="5"/>
  <c r="W53" i="5"/>
  <c r="AE53" i="5"/>
  <c r="J104" i="5" s="1"/>
  <c r="W45" i="5"/>
  <c r="AF45" i="5" s="1"/>
  <c r="N112" i="5" s="1"/>
  <c r="W37" i="5"/>
  <c r="AF37" i="5" s="1"/>
  <c r="N120" i="5" s="1"/>
  <c r="AE37" i="5"/>
  <c r="W29" i="5"/>
  <c r="AF29" i="5" s="1"/>
  <c r="N128" i="5" s="1"/>
  <c r="W21" i="5"/>
  <c r="AF21" i="5" s="1"/>
  <c r="N136" i="5" s="1"/>
  <c r="AE21" i="5"/>
  <c r="J136" i="5" s="1"/>
  <c r="W13" i="5"/>
  <c r="AF13" i="5" s="1"/>
  <c r="N144" i="5" s="1"/>
  <c r="W5" i="5"/>
  <c r="AE5" i="5"/>
  <c r="J152" i="5" s="1"/>
  <c r="K70" i="5"/>
  <c r="L146" i="5"/>
  <c r="L138" i="5"/>
  <c r="L130" i="5"/>
  <c r="L122" i="5"/>
  <c r="L114" i="5"/>
  <c r="L106" i="5"/>
  <c r="L98" i="5"/>
  <c r="L90" i="5"/>
  <c r="L82" i="5"/>
  <c r="L74" i="5"/>
  <c r="L66" i="5"/>
  <c r="L58" i="5"/>
  <c r="L50" i="5"/>
  <c r="L42" i="5"/>
  <c r="L34" i="5"/>
  <c r="L26" i="5"/>
  <c r="L18" i="5"/>
  <c r="L10" i="5"/>
  <c r="K150" i="5"/>
  <c r="K142" i="5"/>
  <c r="K134" i="5"/>
  <c r="K126" i="5"/>
  <c r="K118" i="5"/>
  <c r="K110" i="5"/>
  <c r="K102" i="5"/>
  <c r="K94" i="5"/>
  <c r="K86" i="5"/>
  <c r="K78" i="5"/>
  <c r="K30" i="5"/>
  <c r="AF111" i="5"/>
  <c r="N46" i="5" s="1"/>
  <c r="AF79" i="5"/>
  <c r="N78" i="5" s="1"/>
  <c r="AF47" i="5"/>
  <c r="N110" i="5" s="1"/>
  <c r="AF15" i="5"/>
  <c r="N142" i="5" s="1"/>
  <c r="AE131" i="5"/>
  <c r="AE99" i="5"/>
  <c r="J58" i="5" s="1"/>
  <c r="AE67" i="5"/>
  <c r="AE35" i="5"/>
  <c r="AF147" i="5"/>
  <c r="N10" i="5" s="1"/>
  <c r="AF131" i="5"/>
  <c r="N26" i="5" s="1"/>
  <c r="AF115" i="5"/>
  <c r="N42" i="5" s="1"/>
  <c r="AF107" i="5"/>
  <c r="N50" i="5" s="1"/>
  <c r="AF99" i="5"/>
  <c r="N58" i="5" s="1"/>
  <c r="AF91" i="5"/>
  <c r="N66" i="5" s="1"/>
  <c r="AF83" i="5"/>
  <c r="N74" i="5" s="1"/>
  <c r="AF67" i="5"/>
  <c r="N90" i="5" s="1"/>
  <c r="AF59" i="5"/>
  <c r="N98" i="5" s="1"/>
  <c r="AF51" i="5"/>
  <c r="N106" i="5" s="1"/>
  <c r="AF43" i="5"/>
  <c r="N114" i="5" s="1"/>
  <c r="AF35" i="5"/>
  <c r="N122" i="5" s="1"/>
  <c r="AF19" i="5"/>
  <c r="N138" i="5" s="1"/>
  <c r="AF11" i="5"/>
  <c r="N146" i="5" s="1"/>
  <c r="W139" i="5"/>
  <c r="AE139" i="5" s="1"/>
  <c r="W129" i="5"/>
  <c r="AF129" i="5" s="1"/>
  <c r="N28" i="5" s="1"/>
  <c r="W107" i="5"/>
  <c r="AE107" i="5" s="1"/>
  <c r="J50" i="5" s="1"/>
  <c r="W75" i="5"/>
  <c r="AE75" i="5" s="1"/>
  <c r="J82" i="5" s="1"/>
  <c r="W43" i="5"/>
  <c r="AE43" i="5" s="1"/>
  <c r="W11" i="5"/>
  <c r="AE11" i="5" s="1"/>
  <c r="M113" i="5"/>
  <c r="M101" i="5"/>
  <c r="J56" i="5"/>
  <c r="J16" i="5"/>
  <c r="J96" i="5"/>
  <c r="J20" i="5"/>
  <c r="J44" i="5"/>
  <c r="J52" i="5"/>
  <c r="J92" i="5"/>
  <c r="J108" i="5"/>
  <c r="J116" i="5"/>
  <c r="J132" i="5"/>
  <c r="J148" i="5"/>
  <c r="J88" i="5"/>
  <c r="J40" i="5"/>
  <c r="J100" i="5"/>
  <c r="J33" i="5"/>
  <c r="J19" i="5"/>
  <c r="J27" i="5"/>
  <c r="J43" i="5"/>
  <c r="J75" i="5"/>
  <c r="J35" i="5"/>
  <c r="J67" i="5"/>
  <c r="J17" i="5"/>
  <c r="J113" i="5"/>
  <c r="J129" i="5"/>
  <c r="J93" i="5"/>
  <c r="J38" i="5"/>
  <c r="J126" i="5"/>
  <c r="J77" i="5"/>
  <c r="J7" i="5"/>
  <c r="J23" i="5"/>
  <c r="J55" i="5"/>
  <c r="J87" i="5"/>
  <c r="J119" i="5"/>
  <c r="J151" i="5"/>
  <c r="J123" i="5"/>
  <c r="J83" i="5"/>
  <c r="J115" i="5"/>
  <c r="J147" i="5"/>
  <c r="J10" i="5"/>
  <c r="J18" i="5"/>
  <c r="J26" i="5"/>
  <c r="J34" i="5"/>
  <c r="J66" i="5"/>
  <c r="J74" i="5"/>
  <c r="J90" i="5"/>
  <c r="J106" i="5"/>
  <c r="J114" i="5"/>
  <c r="J122" i="5"/>
  <c r="J130" i="5"/>
  <c r="J146" i="5"/>
  <c r="J131" i="5"/>
  <c r="J30" i="5"/>
  <c r="J62" i="5"/>
  <c r="J107" i="5"/>
  <c r="J139" i="5"/>
  <c r="AF84" i="5" l="1"/>
  <c r="N73" i="5" s="1"/>
  <c r="AF145" i="5"/>
  <c r="N12" i="5" s="1"/>
  <c r="AF8" i="5"/>
  <c r="N149" i="5" s="1"/>
  <c r="AE112" i="5"/>
  <c r="J45" i="5" s="1"/>
  <c r="AF27" i="5"/>
  <c r="N130" i="5" s="1"/>
  <c r="AF143" i="5"/>
  <c r="N14" i="5" s="1"/>
  <c r="AE149" i="5"/>
  <c r="J8" i="5" s="1"/>
  <c r="AF108" i="5"/>
  <c r="N49" i="5" s="1"/>
  <c r="AF136" i="5"/>
  <c r="N21" i="5" s="1"/>
  <c r="AF68" i="5"/>
  <c r="N89" i="5" s="1"/>
  <c r="AF64" i="5"/>
  <c r="N93" i="5" s="1"/>
  <c r="AE129" i="5"/>
  <c r="J28" i="5" s="1"/>
  <c r="AE16" i="5"/>
  <c r="AE88" i="5"/>
  <c r="AE13" i="5"/>
  <c r="AE45" i="5"/>
  <c r="J112" i="5" s="1"/>
  <c r="AE77" i="5"/>
  <c r="J80" i="5" s="1"/>
  <c r="AE109" i="5"/>
  <c r="J48" i="5" s="1"/>
  <c r="AE128" i="5"/>
  <c r="J29" i="5" s="1"/>
  <c r="AF96" i="5"/>
  <c r="N61" i="5" s="1"/>
  <c r="AE29" i="5"/>
  <c r="J128" i="5" s="1"/>
  <c r="AE60" i="5"/>
  <c r="J97" i="5" s="1"/>
  <c r="AF52" i="5"/>
  <c r="N105" i="5" s="1"/>
  <c r="AF113" i="5"/>
  <c r="N44" i="5" s="1"/>
  <c r="AF48" i="5"/>
  <c r="N109" i="5" s="1"/>
  <c r="AF123" i="5"/>
  <c r="N34" i="5" s="1"/>
  <c r="AF81" i="5"/>
  <c r="N76" i="5" s="1"/>
  <c r="AE24" i="5"/>
  <c r="J133" i="5" s="1"/>
  <c r="AF75" i="5"/>
  <c r="N82" i="5" s="1"/>
  <c r="AF139" i="5"/>
  <c r="N18" i="5" s="1"/>
  <c r="AE7" i="5"/>
  <c r="J150" i="5" s="1"/>
  <c r="AE39" i="5"/>
  <c r="J118" i="5" s="1"/>
  <c r="AE71" i="5"/>
  <c r="J86" i="5" s="1"/>
  <c r="AE103" i="5"/>
  <c r="J54" i="5" s="1"/>
  <c r="AE135" i="5"/>
  <c r="J22" i="5" s="1"/>
  <c r="AE132" i="5"/>
  <c r="J25" i="5" s="1"/>
  <c r="AF44" i="5"/>
  <c r="N113" i="5" s="1"/>
  <c r="AF36" i="5"/>
  <c r="N121" i="5" s="1"/>
  <c r="AF32" i="5"/>
  <c r="N125" i="5" s="1"/>
  <c r="J24" i="5"/>
  <c r="J145" i="5"/>
  <c r="J49" i="5"/>
  <c r="J144" i="5"/>
  <c r="J53" i="5"/>
  <c r="J64" i="5"/>
  <c r="J120" i="5"/>
  <c r="J141" i="5"/>
  <c r="J91" i="5"/>
  <c r="J65" i="5"/>
  <c r="J72" i="5"/>
  <c r="J61" i="5"/>
  <c r="J37" i="5"/>
  <c r="J51" i="5"/>
  <c r="J11" i="5"/>
  <c r="J32" i="5"/>
  <c r="J143" i="5"/>
  <c r="J111" i="5"/>
  <c r="J79" i="5"/>
  <c r="J47" i="5"/>
  <c r="J69" i="5"/>
  <c r="J59" i="5"/>
  <c r="J5" i="5"/>
  <c r="J135" i="5"/>
  <c r="J103" i="5"/>
  <c r="J71" i="5"/>
  <c r="J39" i="5"/>
  <c r="J15" i="5"/>
  <c r="J117" i="5"/>
  <c r="J137" i="5"/>
  <c r="J105" i="5"/>
  <c r="J121" i="5"/>
  <c r="J127" i="5"/>
  <c r="J95" i="5"/>
  <c r="J63" i="5"/>
  <c r="J31" i="5"/>
  <c r="AU5" i="5" l="1"/>
  <c r="AV5" i="5"/>
  <c r="AW5" i="5"/>
  <c r="AX5" i="5"/>
  <c r="AY5" i="5"/>
  <c r="AU6" i="5"/>
  <c r="AV6" i="5"/>
  <c r="AW6" i="5"/>
  <c r="AX6" i="5"/>
  <c r="AY6" i="5"/>
  <c r="AU7" i="5"/>
  <c r="AV7" i="5"/>
  <c r="AW7" i="5"/>
  <c r="AX7" i="5"/>
  <c r="AY7" i="5"/>
  <c r="AU8" i="5"/>
  <c r="AV8" i="5"/>
  <c r="AW8" i="5"/>
  <c r="AX8" i="5"/>
  <c r="AY8" i="5"/>
  <c r="AU9" i="5"/>
  <c r="AV9" i="5"/>
  <c r="AW9" i="5"/>
  <c r="AX9" i="5"/>
  <c r="AY9" i="5"/>
  <c r="AU10" i="5"/>
  <c r="AV10" i="5"/>
  <c r="AW10" i="5"/>
  <c r="AX10" i="5"/>
  <c r="AY10" i="5"/>
  <c r="AU11" i="5"/>
  <c r="AV11" i="5"/>
  <c r="AW11" i="5"/>
  <c r="AX11" i="5"/>
  <c r="AY11" i="5"/>
  <c r="AU12" i="5"/>
  <c r="AV12" i="5"/>
  <c r="AW12" i="5"/>
  <c r="AX12" i="5"/>
  <c r="AY12" i="5"/>
  <c r="AU13" i="5"/>
  <c r="AV13" i="5"/>
  <c r="AW13" i="5"/>
  <c r="AX13" i="5"/>
  <c r="AY13" i="5"/>
  <c r="AU14" i="5"/>
  <c r="AV14" i="5"/>
  <c r="AW14" i="5"/>
  <c r="AX14" i="5"/>
  <c r="AY14" i="5"/>
  <c r="AU15" i="5"/>
  <c r="AV15" i="5"/>
  <c r="AW15" i="5"/>
  <c r="AX15" i="5"/>
  <c r="AY15" i="5"/>
  <c r="AU16" i="5"/>
  <c r="AV16" i="5"/>
  <c r="AW16" i="5"/>
  <c r="AX16" i="5"/>
  <c r="AY16" i="5"/>
  <c r="AU17" i="5"/>
  <c r="AV17" i="5"/>
  <c r="AW17" i="5"/>
  <c r="AX17" i="5"/>
  <c r="AY17" i="5"/>
  <c r="AU18" i="5"/>
  <c r="AV18" i="5"/>
  <c r="AW18" i="5"/>
  <c r="AX18" i="5"/>
  <c r="AY18" i="5"/>
  <c r="AU19" i="5"/>
  <c r="AV19" i="5"/>
  <c r="AW19" i="5"/>
  <c r="AX19" i="5"/>
  <c r="AY19" i="5"/>
  <c r="AU20" i="5"/>
  <c r="AV20" i="5"/>
  <c r="AW20" i="5"/>
  <c r="AX20" i="5"/>
  <c r="AY20" i="5"/>
  <c r="AU21" i="5"/>
  <c r="AV21" i="5"/>
  <c r="AW21" i="5"/>
  <c r="AX21" i="5"/>
  <c r="AY21" i="5"/>
  <c r="AU22" i="5"/>
  <c r="AV22" i="5"/>
  <c r="AW22" i="5"/>
  <c r="AX22" i="5"/>
  <c r="AY22" i="5"/>
  <c r="AU23" i="5"/>
  <c r="AV23" i="5"/>
  <c r="AW23" i="5"/>
  <c r="AX23" i="5"/>
  <c r="AY23" i="5"/>
  <c r="AU24" i="5"/>
  <c r="AV24" i="5"/>
  <c r="AW24" i="5"/>
  <c r="AX24" i="5"/>
  <c r="AY24" i="5"/>
  <c r="AU25" i="5"/>
  <c r="AV25" i="5"/>
  <c r="AW25" i="5"/>
  <c r="AX25" i="5"/>
  <c r="AY25" i="5"/>
  <c r="AU26" i="5"/>
  <c r="AV26" i="5"/>
  <c r="AW26" i="5"/>
  <c r="AX26" i="5"/>
  <c r="AY26" i="5"/>
  <c r="AU27" i="5"/>
  <c r="AV27" i="5"/>
  <c r="AW27" i="5"/>
  <c r="AX27" i="5"/>
  <c r="AY27" i="5"/>
  <c r="AU28" i="5"/>
  <c r="AV28" i="5"/>
  <c r="AW28" i="5"/>
  <c r="AX28" i="5"/>
  <c r="AY28" i="5"/>
  <c r="AU29" i="5"/>
  <c r="AV29" i="5"/>
  <c r="AW29" i="5"/>
  <c r="AX29" i="5"/>
  <c r="AY29" i="5"/>
  <c r="AU30" i="5"/>
  <c r="AV30" i="5"/>
  <c r="AW30" i="5"/>
  <c r="AX30" i="5"/>
  <c r="AY30" i="5"/>
  <c r="AU31" i="5"/>
  <c r="AV31" i="5"/>
  <c r="AW31" i="5"/>
  <c r="AX31" i="5"/>
  <c r="AY31" i="5"/>
  <c r="AU32" i="5"/>
  <c r="AV32" i="5"/>
  <c r="AW32" i="5"/>
  <c r="AX32" i="5"/>
  <c r="AY32" i="5"/>
  <c r="AU33" i="5"/>
  <c r="AV33" i="5"/>
  <c r="AW33" i="5"/>
  <c r="AX33" i="5"/>
  <c r="AY33" i="5"/>
  <c r="AU34" i="5"/>
  <c r="AV34" i="5"/>
  <c r="AW34" i="5"/>
  <c r="AX34" i="5"/>
  <c r="AY34" i="5"/>
  <c r="AU35" i="5"/>
  <c r="AV35" i="5"/>
  <c r="AW35" i="5"/>
  <c r="AX35" i="5"/>
  <c r="AY35" i="5"/>
  <c r="AU36" i="5"/>
  <c r="AV36" i="5"/>
  <c r="AW36" i="5"/>
  <c r="AX36" i="5"/>
  <c r="AY36" i="5"/>
  <c r="AU37" i="5"/>
  <c r="AV37" i="5"/>
  <c r="AW37" i="5"/>
  <c r="AX37" i="5"/>
  <c r="AY37" i="5"/>
  <c r="AU38" i="5"/>
  <c r="AV38" i="5"/>
  <c r="AW38" i="5"/>
  <c r="AX38" i="5"/>
  <c r="AY38" i="5"/>
  <c r="AU39" i="5"/>
  <c r="AV39" i="5"/>
  <c r="AW39" i="5"/>
  <c r="AX39" i="5"/>
  <c r="AY39" i="5"/>
  <c r="AU40" i="5"/>
  <c r="AV40" i="5"/>
  <c r="AW40" i="5"/>
  <c r="AX40" i="5"/>
  <c r="AY40" i="5"/>
  <c r="AU41" i="5"/>
  <c r="AV41" i="5"/>
  <c r="AW41" i="5"/>
  <c r="AX41" i="5"/>
  <c r="AY41" i="5"/>
  <c r="AU42" i="5"/>
  <c r="AV42" i="5"/>
  <c r="AW42" i="5"/>
  <c r="AX42" i="5"/>
  <c r="AY42" i="5"/>
  <c r="AU43" i="5"/>
  <c r="AV43" i="5"/>
  <c r="AW43" i="5"/>
  <c r="AX43" i="5"/>
  <c r="AY43" i="5"/>
  <c r="AU44" i="5"/>
  <c r="AV44" i="5"/>
  <c r="AW44" i="5"/>
  <c r="AX44" i="5"/>
  <c r="AY44" i="5"/>
  <c r="AU45" i="5"/>
  <c r="AV45" i="5"/>
  <c r="AW45" i="5"/>
  <c r="AX45" i="5"/>
  <c r="AY45" i="5"/>
  <c r="AU46" i="5"/>
  <c r="AV46" i="5"/>
  <c r="AW46" i="5"/>
  <c r="AX46" i="5"/>
  <c r="AY46" i="5"/>
  <c r="AU47" i="5"/>
  <c r="AV47" i="5"/>
  <c r="AW47" i="5"/>
  <c r="AX47" i="5"/>
  <c r="AY47" i="5"/>
  <c r="AU48" i="5"/>
  <c r="AV48" i="5"/>
  <c r="AW48" i="5"/>
  <c r="AX48" i="5"/>
  <c r="AY48" i="5"/>
  <c r="AU49" i="5"/>
  <c r="AV49" i="5"/>
  <c r="AW49" i="5"/>
  <c r="AX49" i="5"/>
  <c r="AY49" i="5"/>
  <c r="AU50" i="5"/>
  <c r="AV50" i="5"/>
  <c r="AW50" i="5"/>
  <c r="AX50" i="5"/>
  <c r="AY50" i="5"/>
  <c r="AU51" i="5"/>
  <c r="AV51" i="5"/>
  <c r="AW51" i="5"/>
  <c r="AX51" i="5"/>
  <c r="AY51" i="5"/>
  <c r="AU52" i="5"/>
  <c r="AV52" i="5"/>
  <c r="AW52" i="5"/>
  <c r="AX52" i="5"/>
  <c r="AY52" i="5"/>
  <c r="AU53" i="5"/>
  <c r="AV53" i="5"/>
  <c r="AW53" i="5"/>
  <c r="AX53" i="5"/>
  <c r="AY53" i="5"/>
  <c r="AU54" i="5"/>
  <c r="AV54" i="5"/>
  <c r="AW54" i="5"/>
  <c r="AX54" i="5"/>
  <c r="AY54" i="5"/>
  <c r="AU55" i="5"/>
  <c r="AV55" i="5"/>
  <c r="AW55" i="5"/>
  <c r="AX55" i="5"/>
  <c r="AY55" i="5"/>
  <c r="AU56" i="5"/>
  <c r="AV56" i="5"/>
  <c r="AW56" i="5"/>
  <c r="AX56" i="5"/>
  <c r="AY56" i="5"/>
  <c r="AU57" i="5"/>
  <c r="AV57" i="5"/>
  <c r="AW57" i="5"/>
  <c r="AX57" i="5"/>
  <c r="AY57" i="5"/>
  <c r="AU58" i="5"/>
  <c r="AV58" i="5"/>
  <c r="AW58" i="5"/>
  <c r="AX58" i="5"/>
  <c r="AY58" i="5"/>
  <c r="AU59" i="5"/>
  <c r="AV59" i="5"/>
  <c r="AW59" i="5"/>
  <c r="AX59" i="5"/>
  <c r="AY59" i="5"/>
  <c r="AU60" i="5"/>
  <c r="AV60" i="5"/>
  <c r="AW60" i="5"/>
  <c r="AX60" i="5"/>
  <c r="AY60" i="5"/>
  <c r="AU61" i="5"/>
  <c r="AV61" i="5"/>
  <c r="AW61" i="5"/>
  <c r="AX61" i="5"/>
  <c r="AY61" i="5"/>
  <c r="AU62" i="5"/>
  <c r="AV62" i="5"/>
  <c r="AW62" i="5"/>
  <c r="AX62" i="5"/>
  <c r="AY62" i="5"/>
  <c r="AU63" i="5"/>
  <c r="AV63" i="5"/>
  <c r="AW63" i="5"/>
  <c r="AX63" i="5"/>
  <c r="AY63" i="5"/>
  <c r="AU64" i="5"/>
  <c r="AV64" i="5"/>
  <c r="AW64" i="5"/>
  <c r="AX64" i="5"/>
  <c r="AY64" i="5"/>
  <c r="AU65" i="5"/>
  <c r="AV65" i="5"/>
  <c r="AW65" i="5"/>
  <c r="AX65" i="5"/>
  <c r="AY65" i="5"/>
  <c r="AU66" i="5"/>
  <c r="AV66" i="5"/>
  <c r="AW66" i="5"/>
  <c r="AX66" i="5"/>
  <c r="AY66" i="5"/>
  <c r="AU67" i="5"/>
  <c r="AV67" i="5"/>
  <c r="AW67" i="5"/>
  <c r="AX67" i="5"/>
  <c r="AY67" i="5"/>
  <c r="AU68" i="5"/>
  <c r="AV68" i="5"/>
  <c r="AW68" i="5"/>
  <c r="AX68" i="5"/>
  <c r="AY68" i="5"/>
  <c r="AU69" i="5"/>
  <c r="AV69" i="5"/>
  <c r="AW69" i="5"/>
  <c r="AX69" i="5"/>
  <c r="AY69" i="5"/>
  <c r="AU70" i="5"/>
  <c r="AV70" i="5"/>
  <c r="AW70" i="5"/>
  <c r="AX70" i="5"/>
  <c r="AY70" i="5"/>
  <c r="AU71" i="5"/>
  <c r="AV71" i="5"/>
  <c r="AW71" i="5"/>
  <c r="AX71" i="5"/>
  <c r="AY71" i="5"/>
  <c r="AU72" i="5"/>
  <c r="AV72" i="5"/>
  <c r="AW72" i="5"/>
  <c r="AX72" i="5"/>
  <c r="AY72" i="5"/>
  <c r="AU73" i="5"/>
  <c r="AV73" i="5"/>
  <c r="AW73" i="5"/>
  <c r="AX73" i="5"/>
  <c r="AY73" i="5"/>
  <c r="AU74" i="5"/>
  <c r="AV74" i="5"/>
  <c r="AW74" i="5"/>
  <c r="AX74" i="5"/>
  <c r="AY74" i="5"/>
  <c r="AU75" i="5"/>
  <c r="AV75" i="5"/>
  <c r="AW75" i="5"/>
  <c r="AX75" i="5"/>
  <c r="AY75" i="5"/>
  <c r="AU76" i="5"/>
  <c r="AV76" i="5"/>
  <c r="AW76" i="5"/>
  <c r="AX76" i="5"/>
  <c r="AY76" i="5"/>
  <c r="AU77" i="5"/>
  <c r="AV77" i="5"/>
  <c r="AW77" i="5"/>
  <c r="AX77" i="5"/>
  <c r="AY77" i="5"/>
  <c r="AU78" i="5"/>
  <c r="AV78" i="5"/>
  <c r="AW78" i="5"/>
  <c r="AX78" i="5"/>
  <c r="AY78" i="5"/>
  <c r="AU79" i="5"/>
  <c r="AV79" i="5"/>
  <c r="AW79" i="5"/>
  <c r="AX79" i="5"/>
  <c r="AY79" i="5"/>
  <c r="AU80" i="5"/>
  <c r="AV80" i="5"/>
  <c r="AW80" i="5"/>
  <c r="AX80" i="5"/>
  <c r="AY80" i="5"/>
  <c r="AU81" i="5"/>
  <c r="AV81" i="5"/>
  <c r="AW81" i="5"/>
  <c r="AX81" i="5"/>
  <c r="AY81" i="5"/>
  <c r="AU82" i="5"/>
  <c r="AV82" i="5"/>
  <c r="AW82" i="5"/>
  <c r="AX82" i="5"/>
  <c r="AY82" i="5"/>
  <c r="AU83" i="5"/>
  <c r="AV83" i="5"/>
  <c r="AW83" i="5"/>
  <c r="AX83" i="5"/>
  <c r="AY83" i="5"/>
  <c r="AU84" i="5"/>
  <c r="AV84" i="5"/>
  <c r="AW84" i="5"/>
  <c r="AX84" i="5"/>
  <c r="AY84" i="5"/>
  <c r="AU85" i="5"/>
  <c r="AV85" i="5"/>
  <c r="AW85" i="5"/>
  <c r="AX85" i="5"/>
  <c r="AY85" i="5"/>
  <c r="AU86" i="5"/>
  <c r="AV86" i="5"/>
  <c r="AW86" i="5"/>
  <c r="AX86" i="5"/>
  <c r="AY86" i="5"/>
  <c r="AU87" i="5"/>
  <c r="AV87" i="5"/>
  <c r="AW87" i="5"/>
  <c r="AX87" i="5"/>
  <c r="AY87" i="5"/>
  <c r="AU88" i="5"/>
  <c r="AV88" i="5"/>
  <c r="AW88" i="5"/>
  <c r="AX88" i="5"/>
  <c r="AY88" i="5"/>
  <c r="AU89" i="5"/>
  <c r="AV89" i="5"/>
  <c r="AW89" i="5"/>
  <c r="AX89" i="5"/>
  <c r="AY89" i="5"/>
  <c r="AU90" i="5"/>
  <c r="AV90" i="5"/>
  <c r="AW90" i="5"/>
  <c r="AX90" i="5"/>
  <c r="AY90" i="5"/>
  <c r="AU91" i="5"/>
  <c r="AV91" i="5"/>
  <c r="AW91" i="5"/>
  <c r="AX91" i="5"/>
  <c r="AY91" i="5"/>
  <c r="AU92" i="5"/>
  <c r="AV92" i="5"/>
  <c r="AW92" i="5"/>
  <c r="AX92" i="5"/>
  <c r="AY92" i="5"/>
  <c r="AU93" i="5"/>
  <c r="AV93" i="5"/>
  <c r="AW93" i="5"/>
  <c r="AX93" i="5"/>
  <c r="AY93" i="5"/>
  <c r="AU94" i="5"/>
  <c r="AV94" i="5"/>
  <c r="AW94" i="5"/>
  <c r="AX94" i="5"/>
  <c r="AY94" i="5"/>
  <c r="AU95" i="5"/>
  <c r="AV95" i="5"/>
  <c r="AW95" i="5"/>
  <c r="AX95" i="5"/>
  <c r="AY95" i="5"/>
  <c r="AU96" i="5"/>
  <c r="AV96" i="5"/>
  <c r="AW96" i="5"/>
  <c r="AX96" i="5"/>
  <c r="AY96" i="5"/>
  <c r="AU97" i="5"/>
  <c r="AV97" i="5"/>
  <c r="AW97" i="5"/>
  <c r="AX97" i="5"/>
  <c r="AY97" i="5"/>
  <c r="AU98" i="5"/>
  <c r="AV98" i="5"/>
  <c r="AW98" i="5"/>
  <c r="AX98" i="5"/>
  <c r="AY98" i="5"/>
  <c r="AU99" i="5"/>
  <c r="AV99" i="5"/>
  <c r="AW99" i="5"/>
  <c r="AX99" i="5"/>
  <c r="AY99" i="5"/>
  <c r="AU100" i="5"/>
  <c r="AV100" i="5"/>
  <c r="AW100" i="5"/>
  <c r="AX100" i="5"/>
  <c r="AY100" i="5"/>
  <c r="AU101" i="5"/>
  <c r="AV101" i="5"/>
  <c r="AW101" i="5"/>
  <c r="AX101" i="5"/>
  <c r="AY101" i="5"/>
  <c r="AU102" i="5"/>
  <c r="AV102" i="5"/>
  <c r="AW102" i="5"/>
  <c r="AX102" i="5"/>
  <c r="AY102" i="5"/>
  <c r="AU103" i="5"/>
  <c r="AV103" i="5"/>
  <c r="AW103" i="5"/>
  <c r="AX103" i="5"/>
  <c r="AY103" i="5"/>
  <c r="AU104" i="5"/>
  <c r="AV104" i="5"/>
  <c r="AW104" i="5"/>
  <c r="AX104" i="5"/>
  <c r="AY104" i="5"/>
  <c r="AU105" i="5"/>
  <c r="AV105" i="5"/>
  <c r="AW105" i="5"/>
  <c r="AX105" i="5"/>
  <c r="AY105" i="5"/>
  <c r="AU106" i="5"/>
  <c r="AV106" i="5"/>
  <c r="AW106" i="5"/>
  <c r="AX106" i="5"/>
  <c r="AY106" i="5"/>
  <c r="AU107" i="5"/>
  <c r="AV107" i="5"/>
  <c r="AW107" i="5"/>
  <c r="AX107" i="5"/>
  <c r="AY107" i="5"/>
  <c r="AU108" i="5"/>
  <c r="AV108" i="5"/>
  <c r="AW108" i="5"/>
  <c r="AX108" i="5"/>
  <c r="AY108" i="5"/>
  <c r="AU109" i="5"/>
  <c r="AV109" i="5"/>
  <c r="AW109" i="5"/>
  <c r="AX109" i="5"/>
  <c r="AY109" i="5"/>
  <c r="AU110" i="5"/>
  <c r="AV110" i="5"/>
  <c r="AW110" i="5"/>
  <c r="AX110" i="5"/>
  <c r="AY110" i="5"/>
  <c r="AU111" i="5"/>
  <c r="AV111" i="5"/>
  <c r="AW111" i="5"/>
  <c r="AX111" i="5"/>
  <c r="AY111" i="5"/>
  <c r="AU112" i="5"/>
  <c r="AV112" i="5"/>
  <c r="AW112" i="5"/>
  <c r="AX112" i="5"/>
  <c r="AY112" i="5"/>
  <c r="AU113" i="5"/>
  <c r="AV113" i="5"/>
  <c r="AW113" i="5"/>
  <c r="AX113" i="5"/>
  <c r="AY113" i="5"/>
  <c r="AU114" i="5"/>
  <c r="AV114" i="5"/>
  <c r="AW114" i="5"/>
  <c r="AX114" i="5"/>
  <c r="AY114" i="5"/>
  <c r="AU115" i="5"/>
  <c r="AV115" i="5"/>
  <c r="AW115" i="5"/>
  <c r="AX115" i="5"/>
  <c r="AY115" i="5"/>
  <c r="AU116" i="5"/>
  <c r="AV116" i="5"/>
  <c r="AW116" i="5"/>
  <c r="AX116" i="5"/>
  <c r="AY116" i="5"/>
  <c r="AU117" i="5"/>
  <c r="AV117" i="5"/>
  <c r="AW117" i="5"/>
  <c r="AX117" i="5"/>
  <c r="AY117" i="5"/>
  <c r="AU118" i="5"/>
  <c r="AV118" i="5"/>
  <c r="AW118" i="5"/>
  <c r="AX118" i="5"/>
  <c r="AY118" i="5"/>
  <c r="AU119" i="5"/>
  <c r="AV119" i="5"/>
  <c r="AW119" i="5"/>
  <c r="AX119" i="5"/>
  <c r="AY119" i="5"/>
  <c r="AU120" i="5"/>
  <c r="AV120" i="5"/>
  <c r="AW120" i="5"/>
  <c r="AX120" i="5"/>
  <c r="AY120" i="5"/>
  <c r="AU121" i="5"/>
  <c r="AV121" i="5"/>
  <c r="AW121" i="5"/>
  <c r="AX121" i="5"/>
  <c r="AY121" i="5"/>
  <c r="AU122" i="5"/>
  <c r="AV122" i="5"/>
  <c r="AW122" i="5"/>
  <c r="AX122" i="5"/>
  <c r="AY122" i="5"/>
  <c r="AU123" i="5"/>
  <c r="AV123" i="5"/>
  <c r="AW123" i="5"/>
  <c r="AX123" i="5"/>
  <c r="AY123" i="5"/>
  <c r="AU124" i="5"/>
  <c r="AV124" i="5"/>
  <c r="AW124" i="5"/>
  <c r="AX124" i="5"/>
  <c r="AY124" i="5"/>
  <c r="AU125" i="5"/>
  <c r="AV125" i="5"/>
  <c r="AW125" i="5"/>
  <c r="AX125" i="5"/>
  <c r="AY125" i="5"/>
  <c r="AU126" i="5"/>
  <c r="AV126" i="5"/>
  <c r="AW126" i="5"/>
  <c r="AX126" i="5"/>
  <c r="AY126" i="5"/>
  <c r="AU127" i="5"/>
  <c r="AV127" i="5"/>
  <c r="AW127" i="5"/>
  <c r="AX127" i="5"/>
  <c r="AY127" i="5"/>
  <c r="AU128" i="5"/>
  <c r="AV128" i="5"/>
  <c r="AW128" i="5"/>
  <c r="AX128" i="5"/>
  <c r="AY128" i="5"/>
  <c r="AU129" i="5"/>
  <c r="AV129" i="5"/>
  <c r="AW129" i="5"/>
  <c r="AX129" i="5"/>
  <c r="AY129" i="5"/>
  <c r="AU130" i="5"/>
  <c r="AV130" i="5"/>
  <c r="AW130" i="5"/>
  <c r="AX130" i="5"/>
  <c r="AY130" i="5"/>
  <c r="AU131" i="5"/>
  <c r="AV131" i="5"/>
  <c r="AW131" i="5"/>
  <c r="AX131" i="5"/>
  <c r="AY131" i="5"/>
  <c r="AU132" i="5"/>
  <c r="AV132" i="5"/>
  <c r="AW132" i="5"/>
  <c r="AX132" i="5"/>
  <c r="AY132" i="5"/>
  <c r="AU133" i="5"/>
  <c r="AV133" i="5"/>
  <c r="AW133" i="5"/>
  <c r="AX133" i="5"/>
  <c r="AY133" i="5"/>
  <c r="AU134" i="5"/>
  <c r="AV134" i="5"/>
  <c r="AW134" i="5"/>
  <c r="AX134" i="5"/>
  <c r="AY134" i="5"/>
  <c r="AU135" i="5"/>
  <c r="AV135" i="5"/>
  <c r="AW135" i="5"/>
  <c r="AX135" i="5"/>
  <c r="AY135" i="5"/>
  <c r="AU136" i="5"/>
  <c r="AV136" i="5"/>
  <c r="AW136" i="5"/>
  <c r="AX136" i="5"/>
  <c r="AY136" i="5"/>
  <c r="AU137" i="5"/>
  <c r="AV137" i="5"/>
  <c r="AW137" i="5"/>
  <c r="AX137" i="5"/>
  <c r="AY137" i="5"/>
  <c r="AU138" i="5"/>
  <c r="AV138" i="5"/>
  <c r="AW138" i="5"/>
  <c r="AX138" i="5"/>
  <c r="AY138" i="5"/>
  <c r="AU139" i="5"/>
  <c r="AV139" i="5"/>
  <c r="AW139" i="5"/>
  <c r="AX139" i="5"/>
  <c r="AY139" i="5"/>
  <c r="AU140" i="5"/>
  <c r="AV140" i="5"/>
  <c r="AW140" i="5"/>
  <c r="AX140" i="5"/>
  <c r="AY140" i="5"/>
  <c r="AU141" i="5"/>
  <c r="AV141" i="5"/>
  <c r="AW141" i="5"/>
  <c r="AX141" i="5"/>
  <c r="AY141" i="5"/>
  <c r="AU142" i="5"/>
  <c r="AV142" i="5"/>
  <c r="AW142" i="5"/>
  <c r="AX142" i="5"/>
  <c r="AY142" i="5"/>
  <c r="AU143" i="5"/>
  <c r="AV143" i="5"/>
  <c r="AW143" i="5"/>
  <c r="AX143" i="5"/>
  <c r="AY143" i="5"/>
  <c r="AU144" i="5"/>
  <c r="AV144" i="5"/>
  <c r="AW144" i="5"/>
  <c r="AX144" i="5"/>
  <c r="AY144" i="5"/>
  <c r="AU145" i="5"/>
  <c r="AV145" i="5"/>
  <c r="AW145" i="5"/>
  <c r="AX145" i="5"/>
  <c r="AY145" i="5"/>
  <c r="AU146" i="5"/>
  <c r="AV146" i="5"/>
  <c r="AW146" i="5"/>
  <c r="AX146" i="5"/>
  <c r="AY146" i="5"/>
  <c r="AU147" i="5"/>
  <c r="AV147" i="5"/>
  <c r="AW147" i="5"/>
  <c r="AX147" i="5"/>
  <c r="AY147" i="5"/>
  <c r="AU148" i="5"/>
  <c r="AV148" i="5"/>
  <c r="AW148" i="5"/>
  <c r="AX148" i="5"/>
  <c r="AY148" i="5"/>
  <c r="AU149" i="5"/>
  <c r="AV149" i="5"/>
  <c r="AW149" i="5"/>
  <c r="AX149" i="5"/>
  <c r="AY149" i="5"/>
  <c r="AU150" i="5"/>
  <c r="AV150" i="5"/>
  <c r="AW150" i="5"/>
  <c r="AX150" i="5"/>
  <c r="AY150" i="5"/>
  <c r="AU151" i="5"/>
  <c r="AV151" i="5"/>
  <c r="AW151" i="5"/>
  <c r="AX151" i="5"/>
  <c r="AY151" i="5"/>
  <c r="D25" i="15"/>
  <c r="B25" i="15"/>
  <c r="G25" i="15" l="1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4" i="15"/>
  <c r="M4" i="15"/>
  <c r="L4" i="15"/>
  <c r="K4" i="15"/>
  <c r="J4" i="15"/>
  <c r="G5" i="15"/>
  <c r="G6" i="15"/>
  <c r="G7" i="15"/>
  <c r="G8" i="15"/>
  <c r="G9" i="15"/>
  <c r="H9" i="15" s="1"/>
  <c r="G10" i="15"/>
  <c r="J10" i="15" s="1"/>
  <c r="G11" i="15"/>
  <c r="G12" i="15"/>
  <c r="H12" i="15" s="1"/>
  <c r="G13" i="15"/>
  <c r="G14" i="15"/>
  <c r="G15" i="15"/>
  <c r="G16" i="15"/>
  <c r="G17" i="15"/>
  <c r="G18" i="15"/>
  <c r="G19" i="15"/>
  <c r="G20" i="15"/>
  <c r="K20" i="15" s="1"/>
  <c r="G21" i="15"/>
  <c r="G22" i="15"/>
  <c r="G23" i="15"/>
  <c r="G24" i="15"/>
  <c r="G4" i="15"/>
  <c r="I8" i="15"/>
  <c r="J8" i="15"/>
  <c r="L9" i="15"/>
  <c r="H16" i="15"/>
  <c r="K16" i="15"/>
  <c r="M16" i="15"/>
  <c r="I17" i="15"/>
  <c r="K17" i="15"/>
  <c r="M21" i="15"/>
  <c r="I4" i="15"/>
  <c r="J17" i="15"/>
  <c r="H5" i="15"/>
  <c r="H6" i="15"/>
  <c r="H7" i="15"/>
  <c r="K8" i="15"/>
  <c r="I11" i="15"/>
  <c r="I13" i="15"/>
  <c r="J14" i="15"/>
  <c r="M15" i="15"/>
  <c r="I16" i="15"/>
  <c r="J21" i="15"/>
  <c r="M22" i="15"/>
  <c r="D24" i="15"/>
  <c r="M24" i="15" s="1"/>
  <c r="B24" i="15"/>
  <c r="H24" i="15" s="1"/>
  <c r="D23" i="15"/>
  <c r="B23" i="15"/>
  <c r="B22" i="15"/>
  <c r="B21" i="15"/>
  <c r="H21" i="15" s="1"/>
  <c r="B20" i="15"/>
  <c r="D19" i="15"/>
  <c r="B19" i="15"/>
  <c r="D18" i="15"/>
  <c r="M25" i="15" l="1"/>
  <c r="L25" i="15"/>
  <c r="J25" i="15"/>
  <c r="I25" i="15"/>
  <c r="K25" i="15"/>
  <c r="H25" i="15"/>
  <c r="M12" i="15"/>
  <c r="M19" i="15"/>
  <c r="L12" i="15"/>
  <c r="K12" i="15"/>
  <c r="H22" i="15"/>
  <c r="L21" i="15"/>
  <c r="J15" i="15"/>
  <c r="L7" i="15"/>
  <c r="K21" i="15"/>
  <c r="L16" i="15"/>
  <c r="I15" i="15"/>
  <c r="J12" i="15"/>
  <c r="K7" i="15"/>
  <c r="M14" i="15"/>
  <c r="L6" i="15"/>
  <c r="K19" i="15"/>
  <c r="M17" i="15"/>
  <c r="J16" i="15"/>
  <c r="L13" i="15"/>
  <c r="L8" i="15"/>
  <c r="I6" i="15"/>
  <c r="K15" i="15"/>
  <c r="H15" i="15"/>
  <c r="I21" i="15"/>
  <c r="H4" i="15"/>
  <c r="L17" i="15"/>
  <c r="L15" i="15"/>
  <c r="K13" i="15"/>
  <c r="H8" i="15"/>
  <c r="M23" i="15"/>
  <c r="L23" i="15"/>
  <c r="I23" i="15"/>
  <c r="J23" i="15"/>
  <c r="K23" i="15"/>
  <c r="J19" i="15"/>
  <c r="J11" i="15"/>
  <c r="J9" i="15"/>
  <c r="M9" i="15"/>
  <c r="I9" i="15"/>
  <c r="I19" i="15"/>
  <c r="K5" i="15"/>
  <c r="H19" i="15"/>
  <c r="M20" i="15"/>
  <c r="H10" i="15"/>
  <c r="L20" i="15"/>
  <c r="I20" i="15"/>
  <c r="H11" i="15"/>
  <c r="M11" i="15"/>
  <c r="K11" i="15"/>
  <c r="K18" i="15"/>
  <c r="L24" i="15"/>
  <c r="I24" i="15"/>
  <c r="M10" i="15"/>
  <c r="I14" i="15"/>
  <c r="K14" i="15"/>
  <c r="L14" i="15"/>
  <c r="K6" i="15"/>
  <c r="J6" i="15"/>
  <c r="M6" i="15"/>
  <c r="K24" i="15"/>
  <c r="H20" i="15"/>
  <c r="H14" i="15"/>
  <c r="H23" i="15"/>
  <c r="I10" i="15"/>
  <c r="K10" i="15"/>
  <c r="L10" i="15"/>
  <c r="I22" i="15"/>
  <c r="K22" i="15"/>
  <c r="L22" i="15"/>
  <c r="J13" i="15"/>
  <c r="H13" i="15"/>
  <c r="J5" i="15"/>
  <c r="L5" i="15"/>
  <c r="M5" i="15"/>
  <c r="I5" i="15"/>
  <c r="J22" i="15"/>
  <c r="J20" i="15"/>
  <c r="J24" i="15"/>
  <c r="L19" i="15"/>
  <c r="M13" i="15"/>
  <c r="L11" i="15"/>
  <c r="K9" i="15"/>
  <c r="H17" i="15"/>
  <c r="I12" i="15"/>
  <c r="M7" i="15"/>
  <c r="I7" i="15"/>
  <c r="J7" i="15"/>
  <c r="M8" i="15"/>
  <c r="N25" i="15" l="1"/>
  <c r="I18" i="15"/>
  <c r="L18" i="15"/>
  <c r="J18" i="15"/>
  <c r="H18" i="15"/>
  <c r="M18" i="15"/>
  <c r="M124" i="4" l="1"/>
  <c r="C119" i="4"/>
  <c r="L119" i="4" s="1"/>
  <c r="C122" i="4"/>
  <c r="L122" i="4" s="1"/>
  <c r="C127" i="4"/>
  <c r="L127" i="4" s="1"/>
  <c r="C130" i="4"/>
  <c r="L130" i="4" s="1"/>
  <c r="M122" i="4"/>
  <c r="N121" i="4"/>
  <c r="E124" i="4"/>
  <c r="E129" i="4"/>
  <c r="F119" i="4"/>
  <c r="F123" i="4"/>
  <c r="F131" i="4"/>
  <c r="G120" i="4"/>
  <c r="G129" i="4"/>
  <c r="H121" i="4"/>
  <c r="H126" i="4"/>
  <c r="I119" i="4"/>
  <c r="I125" i="4"/>
  <c r="I127" i="4"/>
  <c r="J122" i="4"/>
  <c r="J123" i="4"/>
  <c r="J127" i="4"/>
  <c r="J131" i="4"/>
  <c r="N118" i="4"/>
  <c r="D120" i="4"/>
  <c r="J118" i="4"/>
  <c r="I118" i="4"/>
  <c r="H118" i="4"/>
  <c r="G118" i="4"/>
  <c r="F118" i="4"/>
  <c r="E118" i="4"/>
  <c r="J120" i="4"/>
  <c r="J121" i="4"/>
  <c r="J124" i="4"/>
  <c r="J129" i="4"/>
  <c r="J130" i="4"/>
  <c r="I126" i="4"/>
  <c r="H119" i="4"/>
  <c r="H124" i="4"/>
  <c r="H128" i="4"/>
  <c r="H129" i="4"/>
  <c r="G121" i="4"/>
  <c r="G122" i="4"/>
  <c r="G126" i="4"/>
  <c r="G128" i="4"/>
  <c r="G130" i="4"/>
  <c r="F120" i="4"/>
  <c r="F124" i="4"/>
  <c r="F126" i="4"/>
  <c r="F127" i="4"/>
  <c r="F128" i="4"/>
  <c r="E123" i="4"/>
  <c r="E127" i="4"/>
  <c r="E131" i="4"/>
  <c r="C120" i="4"/>
  <c r="L120" i="4" s="1"/>
  <c r="C121" i="4"/>
  <c r="L121" i="4" s="1"/>
  <c r="C123" i="4"/>
  <c r="L123" i="4" s="1"/>
  <c r="C124" i="4"/>
  <c r="L124" i="4" s="1"/>
  <c r="C125" i="4"/>
  <c r="L125" i="4" s="1"/>
  <c r="C126" i="4"/>
  <c r="L126" i="4" s="1"/>
  <c r="C128" i="4"/>
  <c r="L128" i="4" s="1"/>
  <c r="C129" i="4"/>
  <c r="L129" i="4" s="1"/>
  <c r="C131" i="4"/>
  <c r="L131" i="4" s="1"/>
  <c r="D119" i="4"/>
  <c r="D121" i="4"/>
  <c r="D122" i="4"/>
  <c r="D126" i="4"/>
  <c r="D127" i="4"/>
  <c r="D129" i="4"/>
  <c r="D130" i="4"/>
  <c r="D131" i="4"/>
  <c r="J126" i="4" l="1"/>
  <c r="D128" i="4"/>
  <c r="J125" i="4"/>
  <c r="I122" i="4"/>
  <c r="N125" i="4"/>
  <c r="H130" i="4"/>
  <c r="F121" i="4"/>
  <c r="M123" i="4"/>
  <c r="N127" i="4"/>
  <c r="N124" i="4"/>
  <c r="N119" i="4"/>
  <c r="N126" i="4"/>
  <c r="J128" i="4"/>
  <c r="G124" i="4"/>
  <c r="H120" i="4"/>
  <c r="N123" i="4"/>
  <c r="N120" i="4"/>
  <c r="G119" i="4"/>
  <c r="F129" i="4"/>
  <c r="G127" i="4"/>
  <c r="I123" i="4"/>
  <c r="I131" i="4"/>
  <c r="N131" i="4"/>
  <c r="N130" i="4"/>
  <c r="N122" i="4"/>
  <c r="I130" i="4"/>
  <c r="H122" i="4"/>
  <c r="E121" i="4"/>
  <c r="H127" i="4"/>
  <c r="E120" i="4"/>
  <c r="H125" i="4"/>
  <c r="D125" i="4"/>
  <c r="E126" i="4"/>
  <c r="F130" i="4"/>
  <c r="G125" i="4"/>
  <c r="F122" i="4"/>
  <c r="N128" i="4"/>
  <c r="D123" i="4"/>
  <c r="D124" i="4"/>
  <c r="E125" i="4"/>
  <c r="H131" i="4"/>
  <c r="F125" i="4"/>
  <c r="H123" i="4"/>
  <c r="I128" i="4"/>
  <c r="I120" i="4"/>
  <c r="E119" i="4"/>
  <c r="G131" i="4"/>
  <c r="I129" i="4"/>
  <c r="G123" i="4"/>
  <c r="I121" i="4"/>
  <c r="N129" i="4"/>
  <c r="E128" i="4"/>
  <c r="I124" i="4"/>
  <c r="J119" i="4"/>
  <c r="E130" i="4"/>
  <c r="E122" i="4"/>
  <c r="M129" i="4"/>
  <c r="M121" i="4"/>
  <c r="M126" i="4"/>
  <c r="M130" i="4"/>
  <c r="M131" i="4"/>
  <c r="M127" i="4"/>
  <c r="M119" i="4"/>
  <c r="M128" i="4"/>
  <c r="M120" i="4"/>
  <c r="M125" i="4"/>
</calcChain>
</file>

<file path=xl/connections.xml><?xml version="1.0" encoding="utf-8"?>
<connections xmlns="http://schemas.openxmlformats.org/spreadsheetml/2006/main">
  <connection id="1" name="Conventional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ConventionalFixed30_CreditAvailability' and D.asofdate &lt;= '2015-09-01' order by d.AsOfDate"/>
  </connection>
  <connection id="2" name="FHA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FHAFixed30_CreditAvailability' and D.asofdate &lt;= '2015-09-01' order by d.AsOfDate"/>
  </connection>
  <connection id="3" name="FICODist700Query11111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nventionalFixed30_CreditAvailability'"/>
  </connection>
  <connection id="4" name="FICODist700Query1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mbinedFixed30_CreditAvailability'"/>
  </connection>
  <connection id="5" name="FICODist700Query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 and TickerName = 'VAFixed30_CreditAvailability'"/>
  </connection>
  <connection id="6" name="FICODist700Query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FHAFixed30_CreditAvailability'"/>
  </connection>
  <connection id="7" name="VA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VAFixed30_CreditAvailability' and D.asofdate &lt;= '2015-09-01' order by d.AsOfDate desc"/>
  </connection>
</connections>
</file>

<file path=xl/sharedStrings.xml><?xml version="1.0" encoding="utf-8"?>
<sst xmlns="http://schemas.openxmlformats.org/spreadsheetml/2006/main" count="1121" uniqueCount="190">
  <si>
    <t>SeriesNumValue</t>
  </si>
  <si>
    <t>2012-08-01</t>
  </si>
  <si>
    <t>2013-05-01</t>
  </si>
  <si>
    <t>2014-10-01</t>
  </si>
  <si>
    <t>2012-05-01</t>
  </si>
  <si>
    <t>2013-07-01</t>
  </si>
  <si>
    <t>2013-10-01</t>
  </si>
  <si>
    <t>2014-04-01</t>
  </si>
  <si>
    <t>2014-07-01</t>
  </si>
  <si>
    <t>2012-10-01</t>
  </si>
  <si>
    <t>2013-04-01</t>
  </si>
  <si>
    <t>2014-12-01</t>
  </si>
  <si>
    <t>2012-06-01</t>
  </si>
  <si>
    <t>2013-02-01</t>
  </si>
  <si>
    <t>2013-03-01</t>
  </si>
  <si>
    <t>2013-11-01</t>
  </si>
  <si>
    <t>2014-08-01</t>
  </si>
  <si>
    <t>2012-11-01</t>
  </si>
  <si>
    <t>2013-08-01</t>
  </si>
  <si>
    <t>2014-05-01</t>
  </si>
  <si>
    <t>2015-04-01</t>
  </si>
  <si>
    <t>2015-05-01</t>
  </si>
  <si>
    <t>2015-06-01</t>
  </si>
  <si>
    <t>asofdate</t>
  </si>
  <si>
    <t>2003-05-01</t>
  </si>
  <si>
    <t>2003-06-01</t>
  </si>
  <si>
    <t>2003-07-01</t>
  </si>
  <si>
    <t>2003-08-01</t>
  </si>
  <si>
    <t>2003-09-01</t>
  </si>
  <si>
    <t>2003-10-01</t>
  </si>
  <si>
    <t>2003-11-01</t>
  </si>
  <si>
    <t>2003-12-01</t>
  </si>
  <si>
    <t>2004-01-01</t>
  </si>
  <si>
    <t>2004-02-01</t>
  </si>
  <si>
    <t>2004-03-01</t>
  </si>
  <si>
    <t>2004-04-01</t>
  </si>
  <si>
    <t>2004-05-01</t>
  </si>
  <si>
    <t>2004-06-01</t>
  </si>
  <si>
    <t>2004-07-01</t>
  </si>
  <si>
    <t>2004-08-01</t>
  </si>
  <si>
    <t>2004-09-01</t>
  </si>
  <si>
    <t>2004-10-01</t>
  </si>
  <si>
    <t>2004-11-01</t>
  </si>
  <si>
    <t>2004-12-01</t>
  </si>
  <si>
    <t>2005-01-01</t>
  </si>
  <si>
    <t>2005-02-01</t>
  </si>
  <si>
    <t>2005-03-01</t>
  </si>
  <si>
    <t>2005-04-01</t>
  </si>
  <si>
    <t>2005-05-01</t>
  </si>
  <si>
    <t>2005-06-01</t>
  </si>
  <si>
    <t>2005-07-01</t>
  </si>
  <si>
    <t>2005-08-01</t>
  </si>
  <si>
    <t>2005-09-01</t>
  </si>
  <si>
    <t>2005-10-01</t>
  </si>
  <si>
    <t>2005-11-01</t>
  </si>
  <si>
    <t>2005-12-01</t>
  </si>
  <si>
    <t>2006-01-01</t>
  </si>
  <si>
    <t>2006-02-01</t>
  </si>
  <si>
    <t>2006-03-01</t>
  </si>
  <si>
    <t>2006-04-01</t>
  </si>
  <si>
    <t>2006-05-01</t>
  </si>
  <si>
    <t>2006-06-01</t>
  </si>
  <si>
    <t>2006-07-01</t>
  </si>
  <si>
    <t>2006-08-01</t>
  </si>
  <si>
    <t>2006-09-01</t>
  </si>
  <si>
    <t>2006-10-01</t>
  </si>
  <si>
    <t>2006-11-01</t>
  </si>
  <si>
    <t>2006-12-01</t>
  </si>
  <si>
    <t>2007-01-01</t>
  </si>
  <si>
    <t>2007-02-01</t>
  </si>
  <si>
    <t>2007-03-01</t>
  </si>
  <si>
    <t>2007-04-01</t>
  </si>
  <si>
    <t>2007-05-01</t>
  </si>
  <si>
    <t>2007-06-01</t>
  </si>
  <si>
    <t>2007-07-01</t>
  </si>
  <si>
    <t>2007-08-01</t>
  </si>
  <si>
    <t>2007-09-01</t>
  </si>
  <si>
    <t>2007-10-01</t>
  </si>
  <si>
    <t>2007-11-01</t>
  </si>
  <si>
    <t>2007-12-01</t>
  </si>
  <si>
    <t>2008-01-01</t>
  </si>
  <si>
    <t>2008-02-01</t>
  </si>
  <si>
    <t>2008-03-01</t>
  </si>
  <si>
    <t>2008-04-01</t>
  </si>
  <si>
    <t>2008-05-01</t>
  </si>
  <si>
    <t>2008-06-01</t>
  </si>
  <si>
    <t>2008-07-01</t>
  </si>
  <si>
    <t>2008-08-01</t>
  </si>
  <si>
    <t>2008-09-01</t>
  </si>
  <si>
    <t>2008-10-01</t>
  </si>
  <si>
    <t>2008-11-01</t>
  </si>
  <si>
    <t>2008-12-01</t>
  </si>
  <si>
    <t>2009-01-01</t>
  </si>
  <si>
    <t>2009-02-01</t>
  </si>
  <si>
    <t>2009-03-01</t>
  </si>
  <si>
    <t>2009-04-01</t>
  </si>
  <si>
    <t>2009-05-01</t>
  </si>
  <si>
    <t>2009-06-01</t>
  </si>
  <si>
    <t>2009-07-01</t>
  </si>
  <si>
    <t>2009-08-01</t>
  </si>
  <si>
    <t>2009-09-01</t>
  </si>
  <si>
    <t>2009-10-01</t>
  </si>
  <si>
    <t>2009-11-01</t>
  </si>
  <si>
    <t>2009-12-01</t>
  </si>
  <si>
    <t>2010-01-01</t>
  </si>
  <si>
    <t>2010-02-01</t>
  </si>
  <si>
    <t>2010-03-01</t>
  </si>
  <si>
    <t>2010-04-01</t>
  </si>
  <si>
    <t>2010-05-01</t>
  </si>
  <si>
    <t>2010-06-01</t>
  </si>
  <si>
    <t>2010-07-01</t>
  </si>
  <si>
    <t>2010-08-01</t>
  </si>
  <si>
    <t>2010-09-01</t>
  </si>
  <si>
    <t>2010-10-01</t>
  </si>
  <si>
    <t>2010-11-01</t>
  </si>
  <si>
    <t>2010-12-01</t>
  </si>
  <si>
    <t>2011-01-01</t>
  </si>
  <si>
    <t>2011-02-01</t>
  </si>
  <si>
    <t>2011-03-01</t>
  </si>
  <si>
    <t>2011-04-01</t>
  </si>
  <si>
    <t>2011-05-01</t>
  </si>
  <si>
    <t>2011-06-01</t>
  </si>
  <si>
    <t>2011-07-01</t>
  </si>
  <si>
    <t>2011-08-01</t>
  </si>
  <si>
    <t>2011-09-01</t>
  </si>
  <si>
    <t>2011-10-01</t>
  </si>
  <si>
    <t>2011-11-01</t>
  </si>
  <si>
    <t>2011-12-01</t>
  </si>
  <si>
    <t>2012-01-01</t>
  </si>
  <si>
    <t>2012-02-01</t>
  </si>
  <si>
    <t>2012-03-01</t>
  </si>
  <si>
    <t>2012-04-01</t>
  </si>
  <si>
    <t>2012-07-01</t>
  </si>
  <si>
    <t>2012-09-01</t>
  </si>
  <si>
    <t>2012-12-01</t>
  </si>
  <si>
    <t>2013-01-01</t>
  </si>
  <si>
    <t>2013-06-01</t>
  </si>
  <si>
    <t>2013-09-01</t>
  </si>
  <si>
    <t>2013-12-01</t>
  </si>
  <si>
    <t>2014-01-01</t>
  </si>
  <si>
    <t>2014-02-01</t>
  </si>
  <si>
    <t>2014-03-01</t>
  </si>
  <si>
    <t>2014-06-01</t>
  </si>
  <si>
    <t>2014-09-01</t>
  </si>
  <si>
    <t>2014-11-01</t>
  </si>
  <si>
    <t>2015-01-01</t>
  </si>
  <si>
    <t>2015-02-01</t>
  </si>
  <si>
    <t>2015-03-01</t>
  </si>
  <si>
    <t>Index</t>
  </si>
  <si>
    <t>Month</t>
  </si>
  <si>
    <t>Benchmanrk</t>
  </si>
  <si>
    <t>Dark color means looser Underwriting Criteria</t>
  </si>
  <si>
    <t>Value</t>
  </si>
  <si>
    <t>One Month Changes</t>
  </si>
  <si>
    <t>2015-07-01</t>
  </si>
  <si>
    <t>FHA</t>
  </si>
  <si>
    <t>VA</t>
  </si>
  <si>
    <t>Combined</t>
  </si>
  <si>
    <t>Column1</t>
  </si>
  <si>
    <t>Conventional</t>
  </si>
  <si>
    <t>Balance</t>
  </si>
  <si>
    <t>FHA/VA</t>
  </si>
  <si>
    <t>Conforming</t>
  </si>
  <si>
    <t>Jumbo</t>
  </si>
  <si>
    <t>Alt-A</t>
  </si>
  <si>
    <t>Subprime</t>
  </si>
  <si>
    <t>Total</t>
  </si>
  <si>
    <t>Year</t>
  </si>
  <si>
    <t>Pct VA</t>
  </si>
  <si>
    <t>Pct FHA</t>
  </si>
  <si>
    <t>Pct Conforming</t>
  </si>
  <si>
    <t>Pct Jumbo</t>
  </si>
  <si>
    <t>Pct Alt-A</t>
  </si>
  <si>
    <t>Pct Subprime</t>
  </si>
  <si>
    <t>Pct Total</t>
  </si>
  <si>
    <t>Product Type</t>
  </si>
  <si>
    <t>Source</t>
  </si>
  <si>
    <t>Accordion</t>
  </si>
  <si>
    <t>FHA + 0.5 Conforming</t>
  </si>
  <si>
    <t>2x FHA</t>
  </si>
  <si>
    <t>Pct Conventional</t>
  </si>
  <si>
    <t>2xFHA</t>
  </si>
  <si>
    <t xml:space="preserve">All Balance </t>
  </si>
  <si>
    <t>All Cum Default</t>
  </si>
  <si>
    <t>Pct Volume -&gt;</t>
  </si>
  <si>
    <t>Fake Number, need to update</t>
  </si>
  <si>
    <t>Universe</t>
  </si>
  <si>
    <t>Data for Chg</t>
  </si>
  <si>
    <t>2015-08-01</t>
  </si>
  <si>
    <t>Non-Agency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</si>
</sst>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_(* #,##0_);_(* \(#,##0\);_(* &quot;-&quot;??_);_(@_)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4" fillId="6" borderId="7" applyNumberFormat="0"/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8" fillId="8" borderId="0" applyNumberFormat="0" applyBorder="0" applyAlignment="0" applyProtection="0"/>
    <xf numFmtId="0" fontId="9" fillId="8" borderId="0" applyNumberFormat="0" applyBorder="0" applyAlignment="0" applyProtection="0"/>
    <xf numFmtId="0" fontId="10" fillId="9" borderId="0" applyNumberFormat="0" applyBorder="0" applyAlignment="0" applyProtection="0"/>
    <xf numFmtId="0" fontId="8" fillId="10" borderId="0" applyNumberFormat="0" applyBorder="0" applyAlignment="0" applyProtection="0"/>
    <xf numFmtId="0" fontId="9" fillId="10" borderId="0" applyNumberFormat="0" applyBorder="0" applyAlignment="0" applyProtection="0"/>
    <xf numFmtId="0" fontId="10" fillId="11" borderId="0" applyNumberFormat="0" applyBorder="0" applyAlignment="0" applyProtection="0"/>
    <xf numFmtId="0" fontId="8" fillId="12" borderId="0" applyNumberFormat="0" applyBorder="0" applyAlignment="0" applyProtection="0"/>
    <xf numFmtId="0" fontId="9" fillId="11" borderId="0" applyNumberFormat="0" applyBorder="0" applyAlignment="0" applyProtection="0"/>
    <xf numFmtId="0" fontId="10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0" applyNumberFormat="0" applyBorder="0" applyAlignment="0" applyProtection="0"/>
    <xf numFmtId="0" fontId="10" fillId="14" borderId="0" applyNumberFormat="0" applyBorder="0" applyAlignment="0" applyProtection="0"/>
    <xf numFmtId="0" fontId="8" fillId="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8" fillId="16" borderId="0" applyNumberFormat="0" applyBorder="0" applyAlignment="0" applyProtection="0"/>
    <xf numFmtId="0" fontId="9" fillId="17" borderId="0" applyNumberFormat="0" applyBorder="0" applyAlignment="0" applyProtection="0"/>
    <xf numFmtId="0" fontId="10" fillId="18" borderId="0" applyNumberFormat="0" applyBorder="0" applyAlignment="0" applyProtection="0"/>
    <xf numFmtId="0" fontId="8" fillId="19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8" fillId="10" borderId="0" applyNumberFormat="0" applyBorder="0" applyAlignment="0" applyProtection="0"/>
    <xf numFmtId="0" fontId="9" fillId="13" borderId="0" applyNumberFormat="0" applyBorder="0" applyAlignment="0" applyProtection="0"/>
    <xf numFmtId="0" fontId="10" fillId="20" borderId="0" applyNumberFormat="0" applyBorder="0" applyAlignment="0" applyProtection="0"/>
    <xf numFmtId="0" fontId="8" fillId="16" borderId="0" applyNumberFormat="0" applyBorder="0" applyAlignment="0" applyProtection="0"/>
    <xf numFmtId="0" fontId="9" fillId="21" borderId="0" applyNumberFormat="0" applyBorder="0" applyAlignment="0" applyProtection="0"/>
    <xf numFmtId="0" fontId="10" fillId="13" borderId="0" applyNumberFormat="0" applyBorder="0" applyAlignment="0" applyProtection="0"/>
    <xf numFmtId="0" fontId="8" fillId="18" borderId="0" applyNumberFormat="0" applyBorder="0" applyAlignment="0" applyProtection="0"/>
    <xf numFmtId="0" fontId="9" fillId="15" borderId="0" applyNumberFormat="0" applyBorder="0" applyAlignment="0" applyProtection="0"/>
    <xf numFmtId="0" fontId="10" fillId="18" borderId="0" applyNumberFormat="0" applyBorder="0" applyAlignment="0" applyProtection="0"/>
    <xf numFmtId="0" fontId="8" fillId="8" borderId="0" applyNumberFormat="0" applyBorder="0" applyAlignment="0" applyProtection="0"/>
    <xf numFmtId="0" fontId="9" fillId="8" borderId="0" applyNumberFormat="0" applyBorder="0" applyAlignment="0" applyProtection="0"/>
    <xf numFmtId="0" fontId="10" fillId="22" borderId="0" applyNumberFormat="0" applyBorder="0" applyAlignment="0" applyProtection="0"/>
    <xf numFmtId="0" fontId="11" fillId="23" borderId="0" applyNumberFormat="0" applyBorder="0" applyAlignment="0" applyProtection="0"/>
    <xf numFmtId="0" fontId="12" fillId="24" borderId="0" applyNumberFormat="0" applyBorder="0" applyAlignment="0" applyProtection="0"/>
    <xf numFmtId="0" fontId="13" fillId="25" borderId="0" applyNumberFormat="0" applyBorder="0" applyAlignment="0" applyProtection="0"/>
    <xf numFmtId="0" fontId="11" fillId="19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1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20" borderId="0" applyNumberFormat="0" applyBorder="0" applyAlignment="0" applyProtection="0"/>
    <xf numFmtId="0" fontId="11" fillId="16" borderId="0" applyNumberFormat="0" applyBorder="0" applyAlignment="0" applyProtection="0"/>
    <xf numFmtId="0" fontId="12" fillId="26" borderId="0" applyNumberFormat="0" applyBorder="0" applyAlignment="0" applyProtection="0"/>
    <xf numFmtId="0" fontId="13" fillId="27" borderId="0" applyNumberFormat="0" applyBorder="0" applyAlignment="0" applyProtection="0"/>
    <xf numFmtId="0" fontId="11" fillId="23" borderId="0" applyNumberFormat="0" applyBorder="0" applyAlignment="0" applyProtection="0"/>
    <xf numFmtId="0" fontId="12" fillId="24" borderId="0" applyNumberFormat="0" applyBorder="0" applyAlignment="0" applyProtection="0"/>
    <xf numFmtId="0" fontId="13" fillId="23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28" borderId="0" applyNumberFormat="0" applyBorder="0" applyAlignment="0" applyProtection="0"/>
    <xf numFmtId="0" fontId="11" fillId="23" borderId="0" applyNumberFormat="0" applyBorder="0" applyAlignment="0" applyProtection="0"/>
    <xf numFmtId="0" fontId="12" fillId="29" borderId="0" applyNumberFormat="0" applyBorder="0" applyAlignment="0" applyProtection="0"/>
    <xf numFmtId="0" fontId="13" fillId="30" borderId="0" applyNumberFormat="0" applyBorder="0" applyAlignment="0" applyProtection="0"/>
    <xf numFmtId="0" fontId="11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31" borderId="0" applyNumberFormat="0" applyBorder="0" applyAlignment="0" applyProtection="0"/>
    <xf numFmtId="0" fontId="11" fillId="33" borderId="0" applyNumberFormat="0" applyBorder="0" applyAlignment="0" applyProtection="0"/>
    <xf numFmtId="0" fontId="12" fillId="32" borderId="0" applyNumberFormat="0" applyBorder="0" applyAlignment="0" applyProtection="0"/>
    <xf numFmtId="0" fontId="13" fillId="33" borderId="0" applyNumberFormat="0" applyBorder="0" applyAlignment="0" applyProtection="0"/>
    <xf numFmtId="0" fontId="11" fillId="29" borderId="0" applyNumberFormat="0" applyBorder="0" applyAlignment="0" applyProtection="0"/>
    <xf numFmtId="0" fontId="12" fillId="29" borderId="0" applyNumberFormat="0" applyBorder="0" applyAlignment="0" applyProtection="0"/>
    <xf numFmtId="0" fontId="13" fillId="27" borderId="0" applyNumberFormat="0" applyBorder="0" applyAlignment="0" applyProtection="0"/>
    <xf numFmtId="0" fontId="11" fillId="23" borderId="0" applyNumberFormat="0" applyBorder="0" applyAlignment="0" applyProtection="0"/>
    <xf numFmtId="0" fontId="12" fillId="33" borderId="0" applyNumberFormat="0" applyBorder="0" applyAlignment="0" applyProtection="0"/>
    <xf numFmtId="0" fontId="13" fillId="23" borderId="0" applyNumberFormat="0" applyBorder="0" applyAlignment="0" applyProtection="0"/>
    <xf numFmtId="0" fontId="11" fillId="34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6" fillId="0" borderId="0"/>
    <xf numFmtId="17" fontId="6" fillId="0" borderId="0" applyFont="0" applyFill="0" applyBorder="0" applyProtection="0">
      <alignment horizontal="left"/>
    </xf>
    <xf numFmtId="0" fontId="6" fillId="0" borderId="0" applyFont="0" applyFill="0" applyBorder="0" applyProtection="0">
      <alignment horizontal="left"/>
    </xf>
    <xf numFmtId="0" fontId="14" fillId="9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38" fontId="17" fillId="12" borderId="0"/>
    <xf numFmtId="0" fontId="18" fillId="0" borderId="0" applyNumberFormat="0" applyFill="0" applyBorder="0" applyAlignment="0" applyProtection="0"/>
    <xf numFmtId="0" fontId="19" fillId="35" borderId="0">
      <alignment horizontal="left"/>
    </xf>
    <xf numFmtId="2" fontId="20" fillId="36" borderId="8" applyProtection="0">
      <alignment horizontal="left"/>
      <protection locked="0"/>
    </xf>
    <xf numFmtId="0" fontId="21" fillId="0" borderId="0" applyNumberFormat="0" applyFill="0" applyBorder="0" applyAlignment="0" applyProtection="0"/>
    <xf numFmtId="0" fontId="22" fillId="0" borderId="1" applyNumberFormat="0" applyFill="0" applyAlignment="0" applyProtection="0"/>
    <xf numFmtId="0" fontId="6" fillId="37" borderId="0"/>
    <xf numFmtId="167" fontId="7" fillId="0" borderId="0" applyFont="0" applyFill="0" applyBorder="0" applyAlignment="0" applyProtection="0"/>
    <xf numFmtId="0" fontId="23" fillId="0" borderId="0" applyFill="0" applyBorder="0" applyAlignment="0"/>
    <xf numFmtId="168" fontId="6" fillId="0" borderId="0" applyFill="0" applyBorder="0" applyAlignment="0"/>
    <xf numFmtId="0" fontId="23" fillId="0" borderId="0" applyFill="0" applyBorder="0" applyAlignment="0"/>
    <xf numFmtId="169" fontId="6" fillId="0" borderId="0" applyFill="0" applyBorder="0" applyAlignment="0"/>
    <xf numFmtId="0" fontId="6" fillId="0" borderId="0" applyFill="0" applyBorder="0" applyAlignment="0"/>
    <xf numFmtId="170" fontId="6" fillId="0" borderId="0" applyFill="0" applyBorder="0" applyAlignment="0"/>
    <xf numFmtId="0" fontId="6" fillId="0" borderId="0" applyFill="0" applyBorder="0" applyAlignment="0"/>
    <xf numFmtId="168" fontId="24" fillId="0" borderId="0" applyFill="0" applyBorder="0" applyAlignment="0"/>
    <xf numFmtId="0" fontId="6" fillId="0" borderId="0" applyFill="0" applyBorder="0" applyAlignment="0"/>
    <xf numFmtId="171" fontId="6" fillId="0" borderId="0" applyFill="0" applyBorder="0" applyAlignment="0"/>
    <xf numFmtId="0" fontId="23" fillId="0" borderId="0" applyFill="0" applyBorder="0" applyAlignment="0"/>
    <xf numFmtId="168" fontId="6" fillId="0" borderId="0" applyFill="0" applyBorder="0" applyAlignment="0"/>
    <xf numFmtId="0" fontId="23" fillId="0" borderId="0" applyFill="0" applyBorder="0" applyAlignment="0"/>
    <xf numFmtId="168" fontId="6" fillId="0" borderId="0" applyFill="0" applyBorder="0" applyAlignment="0"/>
    <xf numFmtId="0" fontId="23" fillId="0" borderId="0" applyFill="0" applyBorder="0" applyAlignment="0"/>
    <xf numFmtId="169" fontId="6" fillId="0" borderId="0" applyFill="0" applyBorder="0" applyAlignment="0"/>
    <xf numFmtId="0" fontId="25" fillId="12" borderId="9" applyNumberFormat="0" applyAlignment="0" applyProtection="0"/>
    <xf numFmtId="0" fontId="26" fillId="14" borderId="9" applyNumberFormat="0" applyAlignment="0" applyProtection="0"/>
    <xf numFmtId="0" fontId="27" fillId="16" borderId="9" applyNumberFormat="0" applyAlignment="0" applyProtection="0"/>
    <xf numFmtId="0" fontId="28" fillId="38" borderId="10" applyNumberFormat="0"/>
    <xf numFmtId="0" fontId="29" fillId="39" borderId="11" applyBorder="0">
      <alignment horizontal="center" wrapText="1"/>
    </xf>
    <xf numFmtId="0" fontId="29" fillId="2" borderId="11" applyBorder="0">
      <alignment horizontal="center" wrapText="1"/>
    </xf>
    <xf numFmtId="0" fontId="30" fillId="40" borderId="10" applyNumberFormat="0"/>
    <xf numFmtId="0" fontId="31" fillId="41" borderId="10" applyNumberFormat="0"/>
    <xf numFmtId="0" fontId="3" fillId="41" borderId="10" applyNumberFormat="0"/>
    <xf numFmtId="0" fontId="30" fillId="40" borderId="10" applyNumberFormat="0"/>
    <xf numFmtId="0" fontId="31" fillId="40" borderId="10" applyNumberFormat="0"/>
    <xf numFmtId="0" fontId="30" fillId="38" borderId="10" applyNumberFormat="0"/>
    <xf numFmtId="0" fontId="28" fillId="38" borderId="10" applyNumberFormat="0"/>
    <xf numFmtId="0" fontId="4" fillId="6" borderId="7" applyNumberFormat="0" applyBorder="0"/>
    <xf numFmtId="0" fontId="4" fillId="6" borderId="7" applyNumberFormat="0" applyBorder="0"/>
    <xf numFmtId="0" fontId="4" fillId="6" borderId="7" applyNumberFormat="0"/>
    <xf numFmtId="0" fontId="4" fillId="6" borderId="7" applyNumberFormat="0" applyBorder="0"/>
    <xf numFmtId="14" fontId="32" fillId="40" borderId="12" applyNumberFormat="0" applyAlignment="0"/>
    <xf numFmtId="14" fontId="32" fillId="41" borderId="12" applyNumberFormat="0" applyAlignment="0"/>
    <xf numFmtId="14" fontId="33" fillId="41" borderId="12" applyNumberFormat="0" applyAlignment="0"/>
    <xf numFmtId="0" fontId="34" fillId="42" borderId="13" applyNumberFormat="0" applyAlignment="0" applyProtection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0" borderId="0" applyNumberFormat="0" applyFill="0" applyBorder="0" applyAlignment="0" applyProtection="0"/>
    <xf numFmtId="172" fontId="38" fillId="0" borderId="0"/>
    <xf numFmtId="172" fontId="39" fillId="0" borderId="0"/>
    <xf numFmtId="172" fontId="38" fillId="0" borderId="0"/>
    <xf numFmtId="172" fontId="39" fillId="0" borderId="0"/>
    <xf numFmtId="172" fontId="38" fillId="0" borderId="0"/>
    <xf numFmtId="172" fontId="39" fillId="0" borderId="0"/>
    <xf numFmtId="172" fontId="38" fillId="0" borderId="0"/>
    <xf numFmtId="172" fontId="39" fillId="0" borderId="0"/>
    <xf numFmtId="172" fontId="38" fillId="0" borderId="0"/>
    <xf numFmtId="172" fontId="39" fillId="0" borderId="0"/>
    <xf numFmtId="172" fontId="38" fillId="0" borderId="0"/>
    <xf numFmtId="172" fontId="39" fillId="0" borderId="0"/>
    <xf numFmtId="172" fontId="38" fillId="0" borderId="0"/>
    <xf numFmtId="172" fontId="39" fillId="0" borderId="0"/>
    <xf numFmtId="172" fontId="38" fillId="0" borderId="0"/>
    <xf numFmtId="172" fontId="39" fillId="0" borderId="0"/>
    <xf numFmtId="0" fontId="23" fillId="0" borderId="0" applyFont="0" applyFill="0" applyBorder="0" applyAlignment="0" applyProtection="0"/>
    <xf numFmtId="16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6" fillId="0" borderId="0" applyFill="0" applyBorder="0" applyAlignment="0" applyProtection="0"/>
    <xf numFmtId="0" fontId="40" fillId="0" borderId="0"/>
    <xf numFmtId="0" fontId="41" fillId="0" borderId="0" applyNumberFormat="0" applyAlignment="0">
      <alignment horizontal="left"/>
    </xf>
    <xf numFmtId="0" fontId="42" fillId="0" borderId="0">
      <alignment horizontal="center"/>
    </xf>
    <xf numFmtId="0" fontId="40" fillId="0" borderId="0"/>
    <xf numFmtId="0" fontId="23" fillId="0" borderId="0" applyFont="0" applyFill="0" applyBorder="0" applyAlignment="0" applyProtection="0"/>
    <xf numFmtId="169" fontId="6" fillId="0" borderId="0" applyFont="0" applyFill="0" applyBorder="0" applyAlignment="0" applyProtection="0"/>
    <xf numFmtId="8" fontId="43" fillId="0" borderId="14">
      <protection locked="0"/>
    </xf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5" fontId="6" fillId="0" borderId="0" applyFill="0" applyBorder="0" applyAlignment="0" applyProtection="0"/>
    <xf numFmtId="173" fontId="7" fillId="0" borderId="0" applyFont="0" applyFill="0" applyBorder="0" applyAlignment="0" applyProtection="0"/>
    <xf numFmtId="10" fontId="6" fillId="0" borderId="0" applyFont="0" applyFill="0" applyBorder="0" applyProtection="0">
      <alignment horizontal="center"/>
    </xf>
    <xf numFmtId="174" fontId="6" fillId="0" borderId="0" applyFont="0" applyFill="0" applyBorder="0" applyProtection="0"/>
    <xf numFmtId="175" fontId="6" fillId="0" borderId="0" applyFont="0" applyFill="0" applyBorder="0" applyProtection="0"/>
    <xf numFmtId="15" fontId="44" fillId="0" borderId="0" applyFont="0" applyFill="0" applyBorder="0" applyAlignment="0" applyProtection="0"/>
    <xf numFmtId="0" fontId="40" fillId="0" borderId="0"/>
    <xf numFmtId="176" fontId="6" fillId="0" borderId="0" applyFill="0" applyBorder="0" applyAlignment="0" applyProtection="0"/>
    <xf numFmtId="176" fontId="6" fillId="0" borderId="0" applyFill="0" applyBorder="0" applyAlignment="0" applyProtection="0"/>
    <xf numFmtId="176" fontId="6" fillId="0" borderId="0" applyFill="0" applyBorder="0" applyAlignment="0" applyProtection="0"/>
    <xf numFmtId="176" fontId="6" fillId="0" borderId="0" applyFill="0" applyBorder="0" applyAlignment="0" applyProtection="0"/>
    <xf numFmtId="176" fontId="6" fillId="0" borderId="0" applyFill="0" applyBorder="0" applyAlignment="0" applyProtection="0"/>
    <xf numFmtId="15" fontId="9" fillId="12" borderId="0"/>
    <xf numFmtId="14" fontId="9" fillId="0" borderId="0" applyFill="0" applyBorder="0" applyAlignment="0"/>
    <xf numFmtId="0" fontId="42" fillId="36" borderId="0">
      <alignment horizontal="left"/>
    </xf>
    <xf numFmtId="176" fontId="6" fillId="0" borderId="0" applyFill="0" applyBorder="0" applyAlignment="0" applyProtection="0"/>
    <xf numFmtId="14" fontId="6" fillId="0" borderId="0"/>
    <xf numFmtId="0" fontId="45" fillId="19" borderId="0">
      <alignment horizontal="left"/>
    </xf>
    <xf numFmtId="0" fontId="46" fillId="0" borderId="0">
      <alignment horizontal="left"/>
    </xf>
    <xf numFmtId="38" fontId="47" fillId="0" borderId="15">
      <alignment vertical="center"/>
    </xf>
    <xf numFmtId="177" fontId="6" fillId="0" borderId="0">
      <alignment horizontal="right"/>
    </xf>
    <xf numFmtId="1" fontId="6" fillId="0" borderId="0">
      <alignment horizontal="right"/>
    </xf>
    <xf numFmtId="1" fontId="6" fillId="0" borderId="0">
      <alignment horizontal="right"/>
    </xf>
    <xf numFmtId="178" fontId="6" fillId="0" borderId="0">
      <alignment horizontal="right"/>
    </xf>
    <xf numFmtId="49" fontId="6" fillId="0" borderId="0">
      <alignment horizontal="left"/>
    </xf>
    <xf numFmtId="49" fontId="6" fillId="0" borderId="0">
      <alignment horizontal="left"/>
    </xf>
    <xf numFmtId="49" fontId="6" fillId="0" borderId="0">
      <alignment horizontal="right"/>
    </xf>
    <xf numFmtId="14" fontId="6" fillId="0" borderId="0">
      <alignment horizontal="left"/>
    </xf>
    <xf numFmtId="0" fontId="23" fillId="0" borderId="0" applyFill="0" applyBorder="0" applyAlignment="0"/>
    <xf numFmtId="168" fontId="6" fillId="0" borderId="0" applyFill="0" applyBorder="0" applyAlignment="0"/>
    <xf numFmtId="0" fontId="23" fillId="0" borderId="0" applyFill="0" applyBorder="0" applyAlignment="0"/>
    <xf numFmtId="169" fontId="6" fillId="0" borderId="0" applyFill="0" applyBorder="0" applyAlignment="0"/>
    <xf numFmtId="0" fontId="23" fillId="0" borderId="0" applyFill="0" applyBorder="0" applyAlignment="0"/>
    <xf numFmtId="168" fontId="6" fillId="0" borderId="0" applyFill="0" applyBorder="0" applyAlignment="0"/>
    <xf numFmtId="0" fontId="23" fillId="0" borderId="0" applyFill="0" applyBorder="0" applyAlignment="0"/>
    <xf numFmtId="168" fontId="6" fillId="0" borderId="0" applyFill="0" applyBorder="0" applyAlignment="0"/>
    <xf numFmtId="0" fontId="23" fillId="0" borderId="0" applyFill="0" applyBorder="0" applyAlignment="0"/>
    <xf numFmtId="169" fontId="6" fillId="0" borderId="0" applyFill="0" applyBorder="0" applyAlignment="0"/>
    <xf numFmtId="0" fontId="48" fillId="0" borderId="0" applyNumberFormat="0" applyAlignment="0">
      <alignment horizontal="left"/>
    </xf>
    <xf numFmtId="9" fontId="49" fillId="0" borderId="6" applyNumberFormat="0" applyBorder="0" applyAlignment="0">
      <protection locked="0"/>
    </xf>
    <xf numFmtId="179" fontId="6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2" fontId="6" fillId="0" borderId="0" applyFill="0" applyBorder="0" applyAlignment="0" applyProtection="0"/>
    <xf numFmtId="180" fontId="6" fillId="0" borderId="0" applyFont="0" applyFill="0" applyBorder="0" applyAlignment="0" applyProtection="0"/>
    <xf numFmtId="0" fontId="9" fillId="12" borderId="0"/>
    <xf numFmtId="0" fontId="53" fillId="11" borderId="0" applyNumberFormat="0" applyBorder="0" applyAlignment="0" applyProtection="0"/>
    <xf numFmtId="0" fontId="54" fillId="15" borderId="0" applyNumberFormat="0" applyBorder="0" applyAlignment="0" applyProtection="0"/>
    <xf numFmtId="0" fontId="55" fillId="11" borderId="0" applyNumberFormat="0" applyBorder="0" applyAlignment="0" applyProtection="0"/>
    <xf numFmtId="2" fontId="56" fillId="36" borderId="8" applyProtection="0">
      <alignment horizontal="left"/>
      <protection locked="0"/>
    </xf>
    <xf numFmtId="38" fontId="37" fillId="43" borderId="0" applyNumberFormat="0" applyBorder="0" applyAlignment="0" applyProtection="0"/>
    <xf numFmtId="0" fontId="57" fillId="0" borderId="16" applyNumberFormat="0" applyAlignment="0" applyProtection="0">
      <alignment horizontal="left" vertical="center"/>
    </xf>
    <xf numFmtId="0" fontId="57" fillId="0" borderId="2">
      <alignment horizontal="left" vertical="center"/>
    </xf>
    <xf numFmtId="0" fontId="58" fillId="16" borderId="6">
      <alignment horizontal="centerContinuous"/>
    </xf>
    <xf numFmtId="0" fontId="59" fillId="0" borderId="17" applyNumberFormat="0" applyFill="0" applyAlignment="0" applyProtection="0"/>
    <xf numFmtId="0" fontId="60" fillId="0" borderId="18" applyNumberFormat="0" applyFill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0" borderId="19" applyNumberFormat="0" applyFill="0" applyAlignment="0" applyProtection="0"/>
    <xf numFmtId="0" fontId="64" fillId="0" borderId="20" applyNumberFormat="0" applyFill="0" applyAlignment="0" applyProtection="0"/>
    <xf numFmtId="0" fontId="65" fillId="0" borderId="21" applyNumberFormat="0" applyFill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66" fillId="0" borderId="20" applyNumberFormat="0" applyFill="0" applyAlignment="0" applyProtection="0"/>
    <xf numFmtId="0" fontId="67" fillId="0" borderId="22" applyNumberFormat="0" applyFill="0" applyAlignment="0" applyProtection="0"/>
    <xf numFmtId="0" fontId="68" fillId="0" borderId="23" applyNumberFormat="0" applyFill="0" applyAlignment="0" applyProtection="0"/>
    <xf numFmtId="0" fontId="69" fillId="0" borderId="24" applyNumberFormat="0" applyFill="0" applyAlignment="0" applyProtection="0"/>
    <xf numFmtId="0" fontId="67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12" borderId="0"/>
    <xf numFmtId="0" fontId="62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71" fillId="0" borderId="0" applyNumberFormat="0" applyFill="0" applyBorder="0" applyAlignment="0" applyProtection="0">
      <alignment vertical="top"/>
      <protection locked="0"/>
    </xf>
    <xf numFmtId="10" fontId="37" fillId="44" borderId="6" applyNumberFormat="0" applyBorder="0" applyAlignment="0" applyProtection="0"/>
    <xf numFmtId="2" fontId="72" fillId="0" borderId="25" applyNumberFormat="0" applyFill="0" applyBorder="0" applyAlignment="0">
      <alignment horizontal="center"/>
      <protection locked="0"/>
    </xf>
    <xf numFmtId="2" fontId="72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3" fillId="8" borderId="9" applyNumberFormat="0" applyAlignment="0" applyProtection="0"/>
    <xf numFmtId="0" fontId="73" fillId="8" borderId="9" applyNumberFormat="0" applyAlignment="0" applyProtection="0"/>
    <xf numFmtId="0" fontId="73" fillId="8" borderId="9" applyNumberFormat="0" applyAlignment="0" applyProtection="0"/>
    <xf numFmtId="0" fontId="73" fillId="8" borderId="9" applyNumberFormat="0" applyAlignment="0" applyProtection="0"/>
    <xf numFmtId="37" fontId="74" fillId="0" borderId="0" applyNumberFormat="0" applyAlignment="0">
      <protection locked="0"/>
    </xf>
    <xf numFmtId="0" fontId="75" fillId="0" borderId="0"/>
    <xf numFmtId="0" fontId="23" fillId="0" borderId="0" applyFill="0" applyBorder="0" applyAlignment="0"/>
    <xf numFmtId="168" fontId="6" fillId="0" borderId="0" applyFill="0" applyBorder="0" applyAlignment="0"/>
    <xf numFmtId="0" fontId="23" fillId="0" borderId="0" applyFill="0" applyBorder="0" applyAlignment="0"/>
    <xf numFmtId="169" fontId="6" fillId="0" borderId="0" applyFill="0" applyBorder="0" applyAlignment="0"/>
    <xf numFmtId="0" fontId="23" fillId="0" borderId="0" applyFill="0" applyBorder="0" applyAlignment="0"/>
    <xf numFmtId="168" fontId="6" fillId="0" borderId="0" applyFill="0" applyBorder="0" applyAlignment="0"/>
    <xf numFmtId="0" fontId="23" fillId="0" borderId="0" applyFill="0" applyBorder="0" applyAlignment="0"/>
    <xf numFmtId="168" fontId="6" fillId="0" borderId="0" applyFill="0" applyBorder="0" applyAlignment="0"/>
    <xf numFmtId="0" fontId="23" fillId="0" borderId="0" applyFill="0" applyBorder="0" applyAlignment="0"/>
    <xf numFmtId="169" fontId="6" fillId="0" borderId="0" applyFill="0" applyBorder="0" applyAlignment="0"/>
    <xf numFmtId="0" fontId="76" fillId="0" borderId="26" applyNumberFormat="0" applyFill="0" applyAlignment="0" applyProtection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6" fillId="43" borderId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38" fontId="9" fillId="12" borderId="0"/>
    <xf numFmtId="0" fontId="79" fillId="8" borderId="0" applyNumberFormat="0" applyBorder="0" applyAlignment="0" applyProtection="0"/>
    <xf numFmtId="0" fontId="80" fillId="13" borderId="0" applyNumberFormat="0" applyBorder="0" applyAlignment="0" applyProtection="0"/>
    <xf numFmtId="0" fontId="81" fillId="37" borderId="0" applyNumberFormat="0" applyBorder="0" applyAlignment="0" applyProtection="0"/>
    <xf numFmtId="37" fontId="82" fillId="0" borderId="0"/>
    <xf numFmtId="0" fontId="45" fillId="12" borderId="0" applyNumberFormat="0" applyFont="0" applyFill="0" applyBorder="0" applyAlignment="0"/>
    <xf numFmtId="10" fontId="9" fillId="12" borderId="0"/>
    <xf numFmtId="181" fontId="83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0" fillId="40" borderId="0"/>
    <xf numFmtId="0" fontId="6" fillId="0" borderId="0"/>
    <xf numFmtId="0" fontId="6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41" borderId="0"/>
    <xf numFmtId="0" fontId="6" fillId="41" borderId="0"/>
    <xf numFmtId="0" fontId="6" fillId="0" borderId="0"/>
    <xf numFmtId="0" fontId="6" fillId="0" borderId="0"/>
    <xf numFmtId="0" fontId="30" fillId="40" borderId="0"/>
    <xf numFmtId="0" fontId="30" fillId="40" borderId="0"/>
    <xf numFmtId="0" fontId="30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0" fillId="40" borderId="0"/>
    <xf numFmtId="0" fontId="6" fillId="0" borderId="0"/>
    <xf numFmtId="0" fontId="6" fillId="0" borderId="0"/>
    <xf numFmtId="0" fontId="30" fillId="40" borderId="0"/>
    <xf numFmtId="0" fontId="1" fillId="0" borderId="0"/>
    <xf numFmtId="0" fontId="1" fillId="0" borderId="0"/>
    <xf numFmtId="0" fontId="6" fillId="0" borderId="0">
      <alignment vertical="top"/>
    </xf>
    <xf numFmtId="0" fontId="6" fillId="0" borderId="0">
      <alignment vertical="top"/>
    </xf>
    <xf numFmtId="0" fontId="1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4" fillId="0" borderId="0"/>
    <xf numFmtId="0" fontId="6" fillId="0" borderId="0"/>
    <xf numFmtId="0" fontId="6" fillId="0" borderId="0"/>
    <xf numFmtId="0" fontId="30" fillId="4" borderId="5" applyNumberFormat="0" applyFont="0" applyAlignment="0" applyProtection="0"/>
    <xf numFmtId="0" fontId="9" fillId="10" borderId="27" applyNumberFormat="0" applyFont="0" applyAlignment="0" applyProtection="0"/>
    <xf numFmtId="0" fontId="85" fillId="10" borderId="27" applyNumberFormat="0" applyFont="0" applyAlignment="0" applyProtection="0"/>
    <xf numFmtId="0" fontId="30" fillId="4" borderId="5" applyNumberFormat="0" applyFont="0" applyAlignment="0" applyProtection="0"/>
    <xf numFmtId="0" fontId="86" fillId="0" borderId="0"/>
    <xf numFmtId="0" fontId="10" fillId="10" borderId="27" applyNumberFormat="0" applyFont="0" applyAlignment="0" applyProtection="0"/>
    <xf numFmtId="0" fontId="30" fillId="4" borderId="5" applyNumberFormat="0" applyFont="0" applyAlignment="0" applyProtection="0"/>
    <xf numFmtId="0" fontId="30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3" fillId="0" borderId="0">
      <alignment horizontal="center"/>
    </xf>
    <xf numFmtId="37" fontId="6" fillId="0" borderId="0"/>
    <xf numFmtId="183" fontId="37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184" fontId="87" fillId="0" borderId="0" applyNumberFormat="0" applyFill="0" applyBorder="0" applyAlignment="0" applyProtection="0"/>
    <xf numFmtId="164" fontId="23" fillId="0" borderId="0">
      <alignment horizontal="center"/>
    </xf>
    <xf numFmtId="0" fontId="30" fillId="7" borderId="0" applyNumberFormat="0" applyFont="0" applyBorder="0" applyAlignment="0" applyProtection="0"/>
    <xf numFmtId="0" fontId="87" fillId="0" borderId="28"/>
    <xf numFmtId="2" fontId="88" fillId="36" borderId="8">
      <alignment horizontal="left"/>
    </xf>
    <xf numFmtId="0" fontId="89" fillId="12" borderId="29" applyNumberFormat="0" applyAlignment="0" applyProtection="0"/>
    <xf numFmtId="0" fontId="90" fillId="14" borderId="29" applyNumberFormat="0" applyAlignment="0" applyProtection="0"/>
    <xf numFmtId="0" fontId="91" fillId="16" borderId="29" applyNumberFormat="0" applyAlignment="0" applyProtection="0"/>
    <xf numFmtId="40" fontId="9" fillId="36" borderId="0">
      <alignment horizontal="right"/>
    </xf>
    <xf numFmtId="0" fontId="92" fillId="44" borderId="0">
      <alignment horizontal="center"/>
    </xf>
    <xf numFmtId="0" fontId="35" fillId="45" borderId="8"/>
    <xf numFmtId="0" fontId="93" fillId="0" borderId="0" applyBorder="0">
      <alignment horizontal="centerContinuous"/>
    </xf>
    <xf numFmtId="0" fontId="94" fillId="0" borderId="0" applyBorder="0">
      <alignment horizontal="centerContinuous"/>
    </xf>
    <xf numFmtId="0" fontId="57" fillId="0" borderId="0"/>
    <xf numFmtId="0" fontId="6" fillId="0" borderId="0" applyFont="0" applyFill="0" applyBorder="0" applyAlignment="0" applyProtection="0"/>
    <xf numFmtId="171" fontId="6" fillId="0" borderId="0" applyFont="0" applyFill="0" applyBorder="0" applyAlignment="0" applyProtection="0"/>
    <xf numFmtId="0" fontId="95" fillId="0" borderId="0" applyFont="0" applyFill="0" applyBorder="0" applyAlignment="0" applyProtection="0"/>
    <xf numFmtId="185" fontId="24" fillId="0" borderId="0" applyFont="0" applyFill="0" applyBorder="0" applyAlignment="0" applyProtection="0"/>
    <xf numFmtId="10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7" fillId="0" borderId="0"/>
    <xf numFmtId="0" fontId="23" fillId="0" borderId="0" applyFill="0" applyBorder="0" applyAlignment="0"/>
    <xf numFmtId="168" fontId="6" fillId="0" borderId="0" applyFill="0" applyBorder="0" applyAlignment="0"/>
    <xf numFmtId="0" fontId="23" fillId="0" borderId="0" applyFill="0" applyBorder="0" applyAlignment="0"/>
    <xf numFmtId="169" fontId="6" fillId="0" borderId="0" applyFill="0" applyBorder="0" applyAlignment="0"/>
    <xf numFmtId="0" fontId="23" fillId="0" borderId="0" applyFill="0" applyBorder="0" applyAlignment="0"/>
    <xf numFmtId="168" fontId="6" fillId="0" borderId="0" applyFill="0" applyBorder="0" applyAlignment="0"/>
    <xf numFmtId="0" fontId="23" fillId="0" borderId="0" applyFill="0" applyBorder="0" applyAlignment="0"/>
    <xf numFmtId="168" fontId="6" fillId="0" borderId="0" applyFill="0" applyBorder="0" applyAlignment="0"/>
    <xf numFmtId="0" fontId="23" fillId="0" borderId="0" applyFill="0" applyBorder="0" applyAlignment="0"/>
    <xf numFmtId="169" fontId="6" fillId="0" borderId="0" applyFill="0" applyBorder="0" applyAlignment="0"/>
    <xf numFmtId="186" fontId="23" fillId="0" borderId="0">
      <alignment horizontal="center"/>
    </xf>
    <xf numFmtId="187" fontId="23" fillId="0" borderId="6">
      <alignment horizontal="center"/>
    </xf>
    <xf numFmtId="0" fontId="96" fillId="0" borderId="30" applyAlignment="0">
      <alignment horizontal="center"/>
    </xf>
    <xf numFmtId="0" fontId="97" fillId="43" borderId="0"/>
    <xf numFmtId="0" fontId="47" fillId="0" borderId="0" applyNumberFormat="0" applyFont="0" applyFill="0" applyBorder="0" applyAlignment="0" applyProtection="0">
      <alignment horizontal="left"/>
    </xf>
    <xf numFmtId="0" fontId="98" fillId="0" borderId="3">
      <alignment horizontal="center"/>
    </xf>
    <xf numFmtId="0" fontId="44" fillId="0" borderId="0">
      <alignment vertical="top"/>
    </xf>
    <xf numFmtId="188" fontId="44" fillId="0" borderId="0">
      <alignment vertical="top"/>
    </xf>
    <xf numFmtId="0" fontId="96" fillId="0" borderId="0">
      <alignment horizontal="left"/>
    </xf>
    <xf numFmtId="0" fontId="96" fillId="0" borderId="0">
      <alignment horizontal="right"/>
    </xf>
    <xf numFmtId="0" fontId="9" fillId="0" borderId="8" applyNumberFormat="0" applyBorder="0" applyAlignment="0"/>
    <xf numFmtId="189" fontId="99" fillId="0" borderId="0" applyNumberFormat="0" applyFill="0" applyBorder="0" applyAlignment="0" applyProtection="0">
      <alignment horizontal="left"/>
    </xf>
    <xf numFmtId="0" fontId="45" fillId="33" borderId="0">
      <alignment horizontal="left"/>
    </xf>
    <xf numFmtId="0" fontId="100" fillId="0" borderId="31"/>
    <xf numFmtId="187" fontId="20" fillId="10" borderId="0">
      <alignment horizontal="center"/>
    </xf>
    <xf numFmtId="187" fontId="101" fillId="10" borderId="0">
      <alignment horizontal="center"/>
    </xf>
    <xf numFmtId="187" fontId="20" fillId="11" borderId="0">
      <alignment horizontal="center"/>
    </xf>
    <xf numFmtId="0" fontId="20" fillId="10" borderId="0">
      <alignment horizontal="left"/>
    </xf>
    <xf numFmtId="0" fontId="102" fillId="0" borderId="0" applyFont="0" applyFill="0" applyBorder="0" applyAlignment="0" applyProtection="0"/>
    <xf numFmtId="190" fontId="24" fillId="0" borderId="0" applyFont="0" applyFill="0" applyBorder="0" applyAlignment="0" applyProtection="0"/>
    <xf numFmtId="191" fontId="6" fillId="0" borderId="0"/>
    <xf numFmtId="0" fontId="6" fillId="0" borderId="0"/>
    <xf numFmtId="0" fontId="6" fillId="0" borderId="0">
      <alignment horizontal="left" wrapText="1"/>
    </xf>
    <xf numFmtId="0" fontId="20" fillId="10" borderId="0">
      <alignment horizontal="center"/>
    </xf>
    <xf numFmtId="0" fontId="96" fillId="0" borderId="0"/>
    <xf numFmtId="0" fontId="103" fillId="0" borderId="0"/>
    <xf numFmtId="40" fontId="104" fillId="0" borderId="0" applyBorder="0">
      <alignment horizontal="right"/>
    </xf>
    <xf numFmtId="0" fontId="6" fillId="36" borderId="27"/>
    <xf numFmtId="0" fontId="23" fillId="0" borderId="0">
      <alignment horizontal="center"/>
    </xf>
    <xf numFmtId="15" fontId="23" fillId="0" borderId="0">
      <alignment horizontal="center"/>
    </xf>
    <xf numFmtId="0" fontId="105" fillId="0" borderId="0">
      <alignment horizontal="center"/>
    </xf>
    <xf numFmtId="3" fontId="23" fillId="0" borderId="0">
      <alignment horizontal="center"/>
    </xf>
    <xf numFmtId="192" fontId="23" fillId="0" borderId="0">
      <alignment horizontal="center"/>
    </xf>
    <xf numFmtId="187" fontId="23" fillId="0" borderId="0">
      <alignment horizontal="center"/>
    </xf>
    <xf numFmtId="0" fontId="106" fillId="46" borderId="0"/>
    <xf numFmtId="193" fontId="23" fillId="0" borderId="0">
      <alignment horizontal="center"/>
    </xf>
    <xf numFmtId="193" fontId="23" fillId="0" borderId="32">
      <alignment horizontal="center"/>
    </xf>
    <xf numFmtId="0" fontId="23" fillId="0" borderId="0">
      <alignment horizontal="left"/>
    </xf>
    <xf numFmtId="0" fontId="107" fillId="0" borderId="0">
      <alignment horizontal="center"/>
    </xf>
    <xf numFmtId="0" fontId="108" fillId="0" borderId="0" applyNumberFormat="0" applyFill="0" applyBorder="0"/>
    <xf numFmtId="0" fontId="9" fillId="12" borderId="0"/>
    <xf numFmtId="49" fontId="9" fillId="0" borderId="0" applyFill="0" applyBorder="0" applyAlignment="0"/>
    <xf numFmtId="0" fontId="23" fillId="0" borderId="0" applyFill="0" applyBorder="0" applyAlignment="0"/>
    <xf numFmtId="169" fontId="6" fillId="0" borderId="0" applyFill="0" applyBorder="0" applyAlignment="0"/>
    <xf numFmtId="0" fontId="6" fillId="0" borderId="0" applyFill="0" applyBorder="0" applyAlignment="0"/>
    <xf numFmtId="171" fontId="6" fillId="0" borderId="0" applyFill="0" applyBorder="0" applyAlignment="0"/>
    <xf numFmtId="49" fontId="6" fillId="0" borderId="0"/>
    <xf numFmtId="0" fontId="109" fillId="0" borderId="0">
      <alignment horizontal="right"/>
    </xf>
    <xf numFmtId="0" fontId="110" fillId="0" borderId="0">
      <alignment horizontal="right"/>
      <protection locked="0"/>
    </xf>
    <xf numFmtId="0" fontId="111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7" fillId="12" borderId="0"/>
    <xf numFmtId="0" fontId="30" fillId="47" borderId="33" applyBorder="0">
      <alignment horizontal="center" wrapText="1"/>
    </xf>
    <xf numFmtId="0" fontId="29" fillId="39" borderId="11" applyBorder="0">
      <alignment horizontal="center" wrapText="1"/>
    </xf>
    <xf numFmtId="0" fontId="30" fillId="48" borderId="11" applyBorder="0">
      <alignment horizontal="center" wrapText="1"/>
    </xf>
    <xf numFmtId="0" fontId="29" fillId="2" borderId="11" applyBorder="0">
      <alignment horizontal="center" wrapText="1"/>
    </xf>
    <xf numFmtId="0" fontId="5" fillId="49" borderId="11" applyBorder="0">
      <alignment horizontal="center" wrapText="1"/>
    </xf>
    <xf numFmtId="0" fontId="29" fillId="50" borderId="11" applyBorder="0">
      <alignment horizontal="center" wrapText="1"/>
    </xf>
    <xf numFmtId="0" fontId="29" fillId="50" borderId="11" applyBorder="0">
      <alignment horizontal="center" wrapText="1"/>
    </xf>
    <xf numFmtId="0" fontId="5" fillId="49" borderId="11" applyBorder="0">
      <alignment horizontal="center" wrapText="1"/>
    </xf>
    <xf numFmtId="0" fontId="5" fillId="49" borderId="11" applyBorder="0">
      <alignment horizontal="center" wrapText="1"/>
    </xf>
    <xf numFmtId="0" fontId="5" fillId="49" borderId="11" applyBorder="0">
      <alignment horizontal="center" wrapText="1"/>
    </xf>
    <xf numFmtId="0" fontId="5" fillId="49" borderId="11" applyBorder="0">
      <alignment horizontal="center" wrapText="1"/>
    </xf>
    <xf numFmtId="0" fontId="96" fillId="0" borderId="0" applyNumberFormat="0" applyFill="0" applyBorder="0" applyAlignment="0" applyProtection="0"/>
    <xf numFmtId="0" fontId="114" fillId="0" borderId="34" applyNumberFormat="0" applyFill="0" applyAlignment="0" applyProtection="0"/>
    <xf numFmtId="0" fontId="17" fillId="0" borderId="35" applyNumberFormat="0" applyFill="0" applyAlignment="0" applyProtection="0"/>
    <xf numFmtId="0" fontId="6" fillId="0" borderId="36" applyNumberFormat="0" applyFill="0" applyAlignment="0" applyProtection="0"/>
    <xf numFmtId="0" fontId="115" fillId="0" borderId="37" applyNumberFormat="0" applyFill="0" applyAlignment="0" applyProtection="0"/>
    <xf numFmtId="0" fontId="116" fillId="12" borderId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1" fontId="120" fillId="40" borderId="12"/>
    <xf numFmtId="1" fontId="120" fillId="41" borderId="12"/>
    <xf numFmtId="2" fontId="121" fillId="41" borderId="12"/>
    <xf numFmtId="0" fontId="122" fillId="40" borderId="7" applyNumberFormat="0" applyAlignment="0"/>
    <xf numFmtId="0" fontId="123" fillId="41" borderId="7" applyNumberFormat="0" applyAlignment="0"/>
    <xf numFmtId="1" fontId="124" fillId="41" borderId="12" applyNumberFormat="0"/>
    <xf numFmtId="177" fontId="125" fillId="41" borderId="12" applyNumberFormat="0"/>
    <xf numFmtId="0" fontId="6" fillId="0" borderId="0"/>
    <xf numFmtId="43" fontId="1" fillId="0" borderId="0" applyFont="0" applyFill="0" applyBorder="0" applyAlignment="0" applyProtection="0"/>
  </cellStyleXfs>
  <cellXfs count="45">
    <xf numFmtId="0" fontId="0" fillId="0" borderId="0" xfId="0"/>
    <xf numFmtId="0" fontId="30" fillId="40" borderId="0" xfId="350"/>
    <xf numFmtId="0" fontId="30" fillId="40" borderId="0" xfId="350" applyFont="1"/>
    <xf numFmtId="14" fontId="30" fillId="40" borderId="0" xfId="350" applyNumberFormat="1" applyFont="1"/>
    <xf numFmtId="0" fontId="126" fillId="40" borderId="0" xfId="350" applyFont="1"/>
    <xf numFmtId="0" fontId="5" fillId="0" borderId="0" xfId="0" applyFont="1"/>
    <xf numFmtId="0" fontId="30" fillId="40" borderId="0" xfId="350" applyNumberFormat="1" applyFont="1"/>
    <xf numFmtId="0" fontId="30" fillId="40" borderId="0" xfId="350" applyFont="1" applyAlignment="1">
      <alignment horizontal="center"/>
    </xf>
    <xf numFmtId="164" fontId="5" fillId="0" borderId="38" xfId="1" applyNumberFormat="1" applyFon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127" fillId="0" borderId="0" xfId="0" applyFont="1"/>
    <xf numFmtId="0" fontId="128" fillId="40" borderId="0" xfId="350" applyFont="1"/>
    <xf numFmtId="164" fontId="129" fillId="51" borderId="38" xfId="0" applyNumberFormat="1" applyFont="1" applyFill="1" applyBorder="1" applyAlignment="1">
      <alignment horizontal="center" vertical="center"/>
    </xf>
    <xf numFmtId="164" fontId="129" fillId="51" borderId="40" xfId="0" applyNumberFormat="1" applyFont="1" applyFill="1" applyBorder="1" applyAlignment="1">
      <alignment horizontal="center" vertical="center"/>
    </xf>
    <xf numFmtId="164" fontId="129" fillId="51" borderId="3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5" fillId="0" borderId="39" xfId="1" applyNumberFormat="1" applyFont="1" applyBorder="1" applyAlignment="1">
      <alignment horizontal="center"/>
    </xf>
    <xf numFmtId="194" fontId="5" fillId="0" borderId="40" xfId="1" applyNumberFormat="1" applyFont="1" applyBorder="1" applyAlignment="1">
      <alignment horizontal="center"/>
    </xf>
    <xf numFmtId="9" fontId="30" fillId="40" borderId="0" xfId="1" applyFont="1" applyFill="1"/>
    <xf numFmtId="9" fontId="30" fillId="40" borderId="0" xfId="1" applyFont="1" applyFill="1" applyAlignment="1">
      <alignment horizontal="center"/>
    </xf>
    <xf numFmtId="9" fontId="5" fillId="0" borderId="0" xfId="1" applyFont="1"/>
    <xf numFmtId="9" fontId="0" fillId="0" borderId="0" xfId="1" applyFont="1"/>
    <xf numFmtId="14" fontId="30" fillId="52" borderId="0" xfId="350" applyNumberFormat="1" applyFont="1" applyFill="1"/>
    <xf numFmtId="0" fontId="5" fillId="52" borderId="0" xfId="0" applyFont="1" applyFill="1"/>
    <xf numFmtId="0" fontId="130" fillId="40" borderId="0" xfId="350" applyNumberFormat="1" applyFont="1"/>
    <xf numFmtId="0" fontId="131" fillId="0" borderId="0" xfId="0" applyFont="1"/>
    <xf numFmtId="0" fontId="131" fillId="52" borderId="0" xfId="0" applyFont="1" applyFill="1"/>
    <xf numFmtId="0" fontId="130" fillId="40" borderId="0" xfId="350" applyFont="1" applyAlignment="1">
      <alignment horizontal="center"/>
    </xf>
    <xf numFmtId="0" fontId="130" fillId="40" borderId="0" xfId="350" applyFont="1"/>
    <xf numFmtId="195" fontId="132" fillId="0" borderId="0" xfId="526" applyNumberFormat="1" applyFont="1" applyAlignment="1">
      <alignment horizontal="center"/>
    </xf>
    <xf numFmtId="195" fontId="0" fillId="0" borderId="0" xfId="526" applyNumberFormat="1" applyFont="1" applyAlignment="1">
      <alignment horizontal="center"/>
    </xf>
    <xf numFmtId="195" fontId="0" fillId="0" borderId="0" xfId="0" applyNumberFormat="1"/>
    <xf numFmtId="0" fontId="132" fillId="0" borderId="0" xfId="0" applyFont="1"/>
    <xf numFmtId="9" fontId="0" fillId="0" borderId="0" xfId="0" applyNumberFormat="1"/>
    <xf numFmtId="194" fontId="0" fillId="0" borderId="0" xfId="1" applyNumberFormat="1" applyFont="1"/>
    <xf numFmtId="0" fontId="132" fillId="0" borderId="1" xfId="0" applyFont="1" applyBorder="1" applyAlignment="1">
      <alignment horizontal="center"/>
    </xf>
    <xf numFmtId="9" fontId="130" fillId="40" borderId="0" xfId="1" applyFont="1" applyFill="1"/>
    <xf numFmtId="0" fontId="30" fillId="40" borderId="0" xfId="1" applyNumberFormat="1" applyFont="1" applyFill="1" applyAlignment="1">
      <alignment horizontal="center"/>
    </xf>
    <xf numFmtId="0" fontId="30" fillId="40" borderId="0" xfId="1" applyNumberFormat="1" applyFont="1" applyFill="1"/>
    <xf numFmtId="0" fontId="5" fillId="0" borderId="0" xfId="1" applyNumberFormat="1" applyFont="1"/>
    <xf numFmtId="0" fontId="128" fillId="40" borderId="0" xfId="350" applyNumberFormat="1" applyFont="1"/>
    <xf numFmtId="9" fontId="5" fillId="52" borderId="0" xfId="1" applyFont="1" applyFill="1"/>
    <xf numFmtId="0" fontId="5" fillId="0" borderId="0" xfId="0" applyNumberFormat="1" applyFont="1"/>
    <xf numFmtId="9" fontId="5" fillId="0" borderId="0" xfId="1" applyNumberFormat="1" applyFont="1"/>
  </cellXfs>
  <cellStyles count="527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57"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8C42D"/>
      <color rgb="FFC7732D"/>
      <color rgb="FF2E398A"/>
      <color rgb="FFAD275C"/>
      <color rgb="FF1B7A76"/>
      <color rgb="FFE0D8CA"/>
      <color rgb="FF9D7455"/>
      <color rgb="FF533D2D"/>
      <color rgb="FF968880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Mortgage Credit</a:t>
            </a:r>
            <a:r>
              <a:rPr lang="en-US" sz="1200" baseline="0"/>
              <a:t> Availability Index (Projection on Cumulative Default Rate)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'Time Series Query'!$AE$4</c:f>
              <c:strCache>
                <c:ptCount val="1"/>
                <c:pt idx="0">
                  <c:v>Universe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Query'!$AE$5:$AE$152</c:f>
              <c:numCache>
                <c:formatCode>0%</c:formatCode>
                <c:ptCount val="148"/>
                <c:pt idx="0">
                  <c:v>4.1273186358991243E-2</c:v>
                </c:pt>
                <c:pt idx="1">
                  <c:v>3.8600916059773241E-2</c:v>
                </c:pt>
                <c:pt idx="2">
                  <c:v>4.1524729470152955E-2</c:v>
                </c:pt>
                <c:pt idx="3">
                  <c:v>4.1056198408077366E-2</c:v>
                </c:pt>
                <c:pt idx="4">
                  <c:v>3.2763723841743919E-2</c:v>
                </c:pt>
                <c:pt idx="5">
                  <c:v>2.9962577215009851E-2</c:v>
                </c:pt>
                <c:pt idx="6">
                  <c:v>3.9481375215199468E-2</c:v>
                </c:pt>
                <c:pt idx="7">
                  <c:v>4.0589816924945545E-2</c:v>
                </c:pt>
                <c:pt idx="8">
                  <c:v>6.4153048209471847E-2</c:v>
                </c:pt>
                <c:pt idx="9">
                  <c:v>6.2539623225121507E-2</c:v>
                </c:pt>
                <c:pt idx="10">
                  <c:v>6.4090552101552289E-2</c:v>
                </c:pt>
                <c:pt idx="11">
                  <c:v>6.6291479375849047E-2</c:v>
                </c:pt>
                <c:pt idx="12">
                  <c:v>6.8868485407793181E-2</c:v>
                </c:pt>
                <c:pt idx="13">
                  <c:v>5.8028403379487919E-2</c:v>
                </c:pt>
                <c:pt idx="14">
                  <c:v>5.4146619414905048E-2</c:v>
                </c:pt>
                <c:pt idx="15">
                  <c:v>6.3397998091754504E-2</c:v>
                </c:pt>
                <c:pt idx="16">
                  <c:v>6.8894140053845365E-2</c:v>
                </c:pt>
                <c:pt idx="17">
                  <c:v>6.6777724424054677E-2</c:v>
                </c:pt>
                <c:pt idx="18">
                  <c:v>6.8501793013342985E-2</c:v>
                </c:pt>
                <c:pt idx="19">
                  <c:v>6.4912991546668658E-2</c:v>
                </c:pt>
                <c:pt idx="20">
                  <c:v>7.317364351421729E-2</c:v>
                </c:pt>
                <c:pt idx="21">
                  <c:v>7.1048383944692969E-2</c:v>
                </c:pt>
                <c:pt idx="22">
                  <c:v>7.0670176314332561E-2</c:v>
                </c:pt>
                <c:pt idx="23">
                  <c:v>7.0995979062495287E-2</c:v>
                </c:pt>
                <c:pt idx="24">
                  <c:v>6.3239020249356792E-2</c:v>
                </c:pt>
                <c:pt idx="25">
                  <c:v>7.0052396687908969E-2</c:v>
                </c:pt>
                <c:pt idx="26">
                  <c:v>7.1730721595611308E-2</c:v>
                </c:pt>
                <c:pt idx="27">
                  <c:v>7.3037050406460066E-2</c:v>
                </c:pt>
                <c:pt idx="28">
                  <c:v>6.5521134037947876E-2</c:v>
                </c:pt>
                <c:pt idx="29">
                  <c:v>6.8916976901557819E-2</c:v>
                </c:pt>
                <c:pt idx="30">
                  <c:v>6.9979153666283281E-2</c:v>
                </c:pt>
                <c:pt idx="31">
                  <c:v>6.2007270623867565E-2</c:v>
                </c:pt>
                <c:pt idx="32">
                  <c:v>6.6894357498660822E-2</c:v>
                </c:pt>
                <c:pt idx="33">
                  <c:v>6.9233859787566243E-2</c:v>
                </c:pt>
                <c:pt idx="34">
                  <c:v>7.1400750723630252E-2</c:v>
                </c:pt>
                <c:pt idx="35">
                  <c:v>6.9950487608818293E-2</c:v>
                </c:pt>
                <c:pt idx="36">
                  <c:v>7.0282402898341589E-2</c:v>
                </c:pt>
                <c:pt idx="37">
                  <c:v>6.7826279994879418E-2</c:v>
                </c:pt>
                <c:pt idx="38">
                  <c:v>7.249289793060254E-2</c:v>
                </c:pt>
                <c:pt idx="39">
                  <c:v>7.4226439630776589E-2</c:v>
                </c:pt>
                <c:pt idx="40">
                  <c:v>8.0946532951435612E-2</c:v>
                </c:pt>
                <c:pt idx="41">
                  <c:v>8.5057477663318462E-2</c:v>
                </c:pt>
                <c:pt idx="42">
                  <c:v>7.9494243473813286E-2</c:v>
                </c:pt>
                <c:pt idx="43">
                  <c:v>8.3358492754637692E-2</c:v>
                </c:pt>
                <c:pt idx="44">
                  <c:v>5.4496657051605044E-2</c:v>
                </c:pt>
                <c:pt idx="45">
                  <c:v>5.3684184628719572E-2</c:v>
                </c:pt>
                <c:pt idx="46">
                  <c:v>5.1926367849731661E-2</c:v>
                </c:pt>
                <c:pt idx="47">
                  <c:v>5.6789277354204547E-2</c:v>
                </c:pt>
                <c:pt idx="48">
                  <c:v>5.6459020362866819E-2</c:v>
                </c:pt>
                <c:pt idx="49">
                  <c:v>5.8169862591925206E-2</c:v>
                </c:pt>
                <c:pt idx="50">
                  <c:v>5.987586303651446E-2</c:v>
                </c:pt>
                <c:pt idx="51">
                  <c:v>5.1419308670780942E-2</c:v>
                </c:pt>
                <c:pt idx="52">
                  <c:v>5.7594444626793126E-2</c:v>
                </c:pt>
                <c:pt idx="53">
                  <c:v>6.4712981723017038E-2</c:v>
                </c:pt>
                <c:pt idx="54">
                  <c:v>6.3819830264385646E-2</c:v>
                </c:pt>
                <c:pt idx="55">
                  <c:v>6.190220590306135E-2</c:v>
                </c:pt>
                <c:pt idx="56">
                  <c:v>5.0047722669643684E-2</c:v>
                </c:pt>
                <c:pt idx="57">
                  <c:v>4.8605475545115157E-2</c:v>
                </c:pt>
                <c:pt idx="58">
                  <c:v>5.2638723607768667E-2</c:v>
                </c:pt>
                <c:pt idx="59">
                  <c:v>4.4834802441795447E-2</c:v>
                </c:pt>
                <c:pt idx="60">
                  <c:v>4.3849532522128351E-2</c:v>
                </c:pt>
                <c:pt idx="61">
                  <c:v>3.9045676677771951E-2</c:v>
                </c:pt>
                <c:pt idx="62">
                  <c:v>3.620769734876339E-2</c:v>
                </c:pt>
                <c:pt idx="63">
                  <c:v>3.3641606641587128E-2</c:v>
                </c:pt>
                <c:pt idx="64">
                  <c:v>3.4230655256222153E-2</c:v>
                </c:pt>
                <c:pt idx="65">
                  <c:v>3.452897146814872E-2</c:v>
                </c:pt>
                <c:pt idx="66">
                  <c:v>3.95491875169873E-2</c:v>
                </c:pt>
                <c:pt idx="67">
                  <c:v>3.2505251947218546E-2</c:v>
                </c:pt>
                <c:pt idx="68">
                  <c:v>3.4373363748136501E-2</c:v>
                </c:pt>
                <c:pt idx="69">
                  <c:v>3.612641775016278E-2</c:v>
                </c:pt>
                <c:pt idx="70">
                  <c:v>2.9769529858982267E-2</c:v>
                </c:pt>
                <c:pt idx="71">
                  <c:v>2.7427163527577837E-2</c:v>
                </c:pt>
                <c:pt idx="72">
                  <c:v>2.9227741587181673E-2</c:v>
                </c:pt>
                <c:pt idx="73">
                  <c:v>2.579256948853631E-2</c:v>
                </c:pt>
                <c:pt idx="74">
                  <c:v>2.4459632010194129E-2</c:v>
                </c:pt>
                <c:pt idx="75">
                  <c:v>2.1832322950026486E-2</c:v>
                </c:pt>
                <c:pt idx="76">
                  <c:v>2.561662875023582E-2</c:v>
                </c:pt>
                <c:pt idx="77">
                  <c:v>2.6347311876231624E-2</c:v>
                </c:pt>
                <c:pt idx="78">
                  <c:v>2.7413861494230009E-2</c:v>
                </c:pt>
                <c:pt idx="79">
                  <c:v>2.6362766886529825E-2</c:v>
                </c:pt>
                <c:pt idx="80">
                  <c:v>2.477286102097348E-2</c:v>
                </c:pt>
                <c:pt idx="81">
                  <c:v>2.1438308713372326E-2</c:v>
                </c:pt>
                <c:pt idx="82">
                  <c:v>2.0482850539817174E-2</c:v>
                </c:pt>
                <c:pt idx="83">
                  <c:v>2.1031470618442415E-2</c:v>
                </c:pt>
                <c:pt idx="84">
                  <c:v>2.1013399056538318E-2</c:v>
                </c:pt>
                <c:pt idx="85">
                  <c:v>2.0377238569865435E-2</c:v>
                </c:pt>
                <c:pt idx="86">
                  <c:v>2.233365413383093E-2</c:v>
                </c:pt>
                <c:pt idx="87">
                  <c:v>2.2843715418558438E-2</c:v>
                </c:pt>
                <c:pt idx="88">
                  <c:v>2.1788046448065389E-2</c:v>
                </c:pt>
                <c:pt idx="89">
                  <c:v>2.1159219887416505E-2</c:v>
                </c:pt>
                <c:pt idx="90">
                  <c:v>2.0679136462529713E-2</c:v>
                </c:pt>
                <c:pt idx="91">
                  <c:v>2.1082505562575963E-2</c:v>
                </c:pt>
                <c:pt idx="92">
                  <c:v>1.8756270309838053E-2</c:v>
                </c:pt>
                <c:pt idx="93">
                  <c:v>1.6887265032410021E-2</c:v>
                </c:pt>
                <c:pt idx="94">
                  <c:v>1.8715806510015271E-2</c:v>
                </c:pt>
                <c:pt idx="95">
                  <c:v>1.8558417016542272E-2</c:v>
                </c:pt>
                <c:pt idx="96">
                  <c:v>2.0256356399235374E-2</c:v>
                </c:pt>
                <c:pt idx="97">
                  <c:v>2.0194972183012312E-2</c:v>
                </c:pt>
                <c:pt idx="98">
                  <c:v>2.1780550470312209E-2</c:v>
                </c:pt>
                <c:pt idx="99">
                  <c:v>2.1560165833527486E-2</c:v>
                </c:pt>
                <c:pt idx="100">
                  <c:v>2.1057113897831017E-2</c:v>
                </c:pt>
                <c:pt idx="101">
                  <c:v>2.2979785000519518E-2</c:v>
                </c:pt>
                <c:pt idx="102">
                  <c:v>2.2513568962623545E-2</c:v>
                </c:pt>
                <c:pt idx="103">
                  <c:v>2.1096204618070859E-2</c:v>
                </c:pt>
                <c:pt idx="104">
                  <c:v>2.0656402742261132E-2</c:v>
                </c:pt>
                <c:pt idx="105">
                  <c:v>2.0618585991936139E-2</c:v>
                </c:pt>
                <c:pt idx="106">
                  <c:v>2.0579256368834356E-2</c:v>
                </c:pt>
                <c:pt idx="107">
                  <c:v>2.0260687512975474E-2</c:v>
                </c:pt>
                <c:pt idx="108">
                  <c:v>1.9660481235423802E-2</c:v>
                </c:pt>
                <c:pt idx="109">
                  <c:v>2.0455626947118406E-2</c:v>
                </c:pt>
                <c:pt idx="110">
                  <c:v>2.1021494963304289E-2</c:v>
                </c:pt>
                <c:pt idx="111">
                  <c:v>2.1223718922823539E-2</c:v>
                </c:pt>
                <c:pt idx="112">
                  <c:v>2.1579784372326646E-2</c:v>
                </c:pt>
                <c:pt idx="113">
                  <c:v>2.0569370676078419E-2</c:v>
                </c:pt>
                <c:pt idx="114">
                  <c:v>2.1417778786265645E-2</c:v>
                </c:pt>
                <c:pt idx="115">
                  <c:v>2.1453555809185492E-2</c:v>
                </c:pt>
                <c:pt idx="116">
                  <c:v>2.149138424043601E-2</c:v>
                </c:pt>
                <c:pt idx="117">
                  <c:v>2.131214214634608E-2</c:v>
                </c:pt>
                <c:pt idx="118">
                  <c:v>2.125187127530374E-2</c:v>
                </c:pt>
                <c:pt idx="119">
                  <c:v>2.0932794953264607E-2</c:v>
                </c:pt>
                <c:pt idx="120">
                  <c:v>2.1524497979701664E-2</c:v>
                </c:pt>
                <c:pt idx="121">
                  <c:v>2.2767145021913057E-2</c:v>
                </c:pt>
                <c:pt idx="122">
                  <c:v>2.1504738444053366E-2</c:v>
                </c:pt>
                <c:pt idx="123">
                  <c:v>1.8933133166038937E-2</c:v>
                </c:pt>
                <c:pt idx="124">
                  <c:v>2.0249315625362811E-2</c:v>
                </c:pt>
                <c:pt idx="125">
                  <c:v>2.2142875364131891E-2</c:v>
                </c:pt>
                <c:pt idx="126">
                  <c:v>2.3359545595280855E-2</c:v>
                </c:pt>
                <c:pt idx="127">
                  <c:v>2.5635177362591827E-2</c:v>
                </c:pt>
                <c:pt idx="128">
                  <c:v>2.4867928165681903E-2</c:v>
                </c:pt>
                <c:pt idx="129">
                  <c:v>2.3564648411344088E-2</c:v>
                </c:pt>
                <c:pt idx="130">
                  <c:v>2.5110772020268714E-2</c:v>
                </c:pt>
                <c:pt idx="131">
                  <c:v>2.6412242757370724E-2</c:v>
                </c:pt>
                <c:pt idx="132">
                  <c:v>2.601723762863041E-2</c:v>
                </c:pt>
                <c:pt idx="133">
                  <c:v>2.6573588986517453E-2</c:v>
                </c:pt>
                <c:pt idx="134">
                  <c:v>2.8047083545685865E-2</c:v>
                </c:pt>
                <c:pt idx="135">
                  <c:v>2.709089206084888E-2</c:v>
                </c:pt>
                <c:pt idx="136">
                  <c:v>2.7129790670277321E-2</c:v>
                </c:pt>
                <c:pt idx="137">
                  <c:v>2.7597484362159065E-2</c:v>
                </c:pt>
                <c:pt idx="138">
                  <c:v>2.7551812902751119E-2</c:v>
                </c:pt>
                <c:pt idx="139">
                  <c:v>2.8681732551102741E-2</c:v>
                </c:pt>
                <c:pt idx="140">
                  <c:v>2.8154501709573867E-2</c:v>
                </c:pt>
                <c:pt idx="141">
                  <c:v>2.9055851349389143E-2</c:v>
                </c:pt>
                <c:pt idx="142">
                  <c:v>3.0226542638785808E-2</c:v>
                </c:pt>
                <c:pt idx="143">
                  <c:v>2.799745520738519E-2</c:v>
                </c:pt>
                <c:pt idx="144">
                  <c:v>2.7603015241589379E-2</c:v>
                </c:pt>
                <c:pt idx="145">
                  <c:v>2.8438064795132157E-2</c:v>
                </c:pt>
                <c:pt idx="146">
                  <c:v>2.5938160640522973E-2</c:v>
                </c:pt>
                <c:pt idx="147">
                  <c:v>2.5328336090739333E-2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Query'!$T$4</c:f>
              <c:strCache>
                <c:ptCount val="1"/>
                <c:pt idx="0">
                  <c:v>Conventional</c:v>
                </c:pt>
              </c:strCache>
            </c:strRef>
          </c:tx>
          <c:spPr>
            <a:ln w="12700">
              <a:solidFill>
                <a:srgbClr val="C7732D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Query'!$T$5:$T$152</c:f>
              <c:numCache>
                <c:formatCode>0%</c:formatCode>
                <c:ptCount val="148"/>
                <c:pt idx="0">
                  <c:v>2.1450741055419598E-2</c:v>
                </c:pt>
                <c:pt idx="1">
                  <c:v>2.0777950043804699E-2</c:v>
                </c:pt>
                <c:pt idx="2">
                  <c:v>2.24205388581304E-2</c:v>
                </c:pt>
                <c:pt idx="3">
                  <c:v>2.1746038746394102E-2</c:v>
                </c:pt>
                <c:pt idx="4">
                  <c:v>1.7642684597579599E-2</c:v>
                </c:pt>
                <c:pt idx="5">
                  <c:v>1.64145800400433E-2</c:v>
                </c:pt>
                <c:pt idx="6">
                  <c:v>2.1358095033052499E-2</c:v>
                </c:pt>
                <c:pt idx="7">
                  <c:v>2.1730055868424501E-2</c:v>
                </c:pt>
                <c:pt idx="8">
                  <c:v>2.12987117078158E-2</c:v>
                </c:pt>
                <c:pt idx="9">
                  <c:v>2.04919210486827E-2</c:v>
                </c:pt>
                <c:pt idx="10">
                  <c:v>2.0715890182779199E-2</c:v>
                </c:pt>
                <c:pt idx="11">
                  <c:v>2.1443810366087699E-2</c:v>
                </c:pt>
                <c:pt idx="12">
                  <c:v>2.1497562705386799E-2</c:v>
                </c:pt>
                <c:pt idx="13">
                  <c:v>1.74296567987994E-2</c:v>
                </c:pt>
                <c:pt idx="14">
                  <c:v>1.71623636029434E-2</c:v>
                </c:pt>
                <c:pt idx="15">
                  <c:v>2.0583368674609099E-2</c:v>
                </c:pt>
                <c:pt idx="16">
                  <c:v>2.3047577050655299E-2</c:v>
                </c:pt>
                <c:pt idx="17">
                  <c:v>2.23860040024676E-2</c:v>
                </c:pt>
                <c:pt idx="18">
                  <c:v>2.1779564208262402E-2</c:v>
                </c:pt>
                <c:pt idx="19">
                  <c:v>2.1090668706571499E-2</c:v>
                </c:pt>
                <c:pt idx="20">
                  <c:v>2.09712423123837E-2</c:v>
                </c:pt>
                <c:pt idx="21">
                  <c:v>2.0659358627216601E-2</c:v>
                </c:pt>
                <c:pt idx="22">
                  <c:v>2.0417926363663502E-2</c:v>
                </c:pt>
                <c:pt idx="23">
                  <c:v>1.9984193341813401E-2</c:v>
                </c:pt>
                <c:pt idx="24">
                  <c:v>1.8157566395530299E-2</c:v>
                </c:pt>
                <c:pt idx="25">
                  <c:v>2.0661572747784799E-2</c:v>
                </c:pt>
                <c:pt idx="26">
                  <c:v>2.1131997562814898E-2</c:v>
                </c:pt>
                <c:pt idx="27">
                  <c:v>1.9632918587673898E-2</c:v>
                </c:pt>
                <c:pt idx="28">
                  <c:v>1.8331825804747001E-2</c:v>
                </c:pt>
                <c:pt idx="29">
                  <c:v>1.8906432407664899E-2</c:v>
                </c:pt>
                <c:pt idx="30">
                  <c:v>1.8669000371853501E-2</c:v>
                </c:pt>
                <c:pt idx="31">
                  <c:v>1.6050678316362098E-2</c:v>
                </c:pt>
                <c:pt idx="32">
                  <c:v>1.4831934780505301E-2</c:v>
                </c:pt>
                <c:pt idx="33">
                  <c:v>1.6058691183526201E-2</c:v>
                </c:pt>
                <c:pt idx="34">
                  <c:v>1.6697077694664299E-2</c:v>
                </c:pt>
                <c:pt idx="35">
                  <c:v>1.6176030883114801E-2</c:v>
                </c:pt>
                <c:pt idx="36">
                  <c:v>1.5849977078417201E-2</c:v>
                </c:pt>
                <c:pt idx="37">
                  <c:v>1.55432241290006E-2</c:v>
                </c:pt>
                <c:pt idx="38">
                  <c:v>1.5780549034031699E-2</c:v>
                </c:pt>
                <c:pt idx="39">
                  <c:v>1.5606632079750099E-2</c:v>
                </c:pt>
                <c:pt idx="40">
                  <c:v>1.6294352826003E-2</c:v>
                </c:pt>
                <c:pt idx="41">
                  <c:v>1.8174335500528001E-2</c:v>
                </c:pt>
                <c:pt idx="42">
                  <c:v>1.7975522842157501E-2</c:v>
                </c:pt>
                <c:pt idx="43">
                  <c:v>1.75274733531138E-2</c:v>
                </c:pt>
                <c:pt idx="44">
                  <c:v>1.8049062577908701E-2</c:v>
                </c:pt>
                <c:pt idx="45">
                  <c:v>1.8218072306683201E-2</c:v>
                </c:pt>
                <c:pt idx="46">
                  <c:v>1.8106452720528399E-2</c:v>
                </c:pt>
                <c:pt idx="47">
                  <c:v>1.9218681550226799E-2</c:v>
                </c:pt>
                <c:pt idx="48">
                  <c:v>2.0422342200062199E-2</c:v>
                </c:pt>
                <c:pt idx="49">
                  <c:v>2.1071832143085101E-2</c:v>
                </c:pt>
                <c:pt idx="50">
                  <c:v>2.2137845183631499E-2</c:v>
                </c:pt>
                <c:pt idx="51">
                  <c:v>2.07952481029351E-2</c:v>
                </c:pt>
                <c:pt idx="52">
                  <c:v>2.23409674352518E-2</c:v>
                </c:pt>
                <c:pt idx="53">
                  <c:v>2.4060060280724001E-2</c:v>
                </c:pt>
                <c:pt idx="54">
                  <c:v>2.5456936115817001E-2</c:v>
                </c:pt>
                <c:pt idx="55">
                  <c:v>2.48059395679785E-2</c:v>
                </c:pt>
                <c:pt idx="56">
                  <c:v>2.5406454290126099E-2</c:v>
                </c:pt>
                <c:pt idx="57">
                  <c:v>2.3507893875337998E-2</c:v>
                </c:pt>
                <c:pt idx="58">
                  <c:v>2.41539416329958E-2</c:v>
                </c:pt>
                <c:pt idx="59">
                  <c:v>1.9719070890697001E-2</c:v>
                </c:pt>
                <c:pt idx="60">
                  <c:v>1.9430117842498599E-2</c:v>
                </c:pt>
                <c:pt idx="61">
                  <c:v>1.65254347118865E-2</c:v>
                </c:pt>
                <c:pt idx="62">
                  <c:v>1.50068827988702E-2</c:v>
                </c:pt>
                <c:pt idx="63">
                  <c:v>1.3633996571414401E-2</c:v>
                </c:pt>
                <c:pt idx="64">
                  <c:v>1.35929357011554E-2</c:v>
                </c:pt>
                <c:pt idx="65">
                  <c:v>1.4091668990269699E-2</c:v>
                </c:pt>
                <c:pt idx="66">
                  <c:v>1.4663344961973499E-2</c:v>
                </c:pt>
                <c:pt idx="67">
                  <c:v>1.2793965938819299E-2</c:v>
                </c:pt>
                <c:pt idx="68">
                  <c:v>1.38638196736778E-2</c:v>
                </c:pt>
                <c:pt idx="69">
                  <c:v>1.39907857369967E-2</c:v>
                </c:pt>
                <c:pt idx="70">
                  <c:v>1.2143485589171599E-2</c:v>
                </c:pt>
                <c:pt idx="71">
                  <c:v>1.1109793158067399E-2</c:v>
                </c:pt>
                <c:pt idx="72">
                  <c:v>1.1418573341871499E-2</c:v>
                </c:pt>
                <c:pt idx="73">
                  <c:v>1.1449481001714499E-2</c:v>
                </c:pt>
                <c:pt idx="74">
                  <c:v>1.0724321486784E-2</c:v>
                </c:pt>
                <c:pt idx="75">
                  <c:v>9.1456582353529603E-3</c:v>
                </c:pt>
                <c:pt idx="76">
                  <c:v>1.08993077818714E-2</c:v>
                </c:pt>
                <c:pt idx="77">
                  <c:v>1.13315361956783E-2</c:v>
                </c:pt>
                <c:pt idx="78">
                  <c:v>1.17542416448183E-2</c:v>
                </c:pt>
                <c:pt idx="79">
                  <c:v>1.1259845690290701E-2</c:v>
                </c:pt>
                <c:pt idx="80">
                  <c:v>1.1614952330152899E-2</c:v>
                </c:pt>
                <c:pt idx="81">
                  <c:v>1.06424119489619E-2</c:v>
                </c:pt>
                <c:pt idx="82">
                  <c:v>1.05573524364265E-2</c:v>
                </c:pt>
                <c:pt idx="83">
                  <c:v>1.0941874131880001E-2</c:v>
                </c:pt>
                <c:pt idx="84">
                  <c:v>1.11922493066082E-2</c:v>
                </c:pt>
                <c:pt idx="85">
                  <c:v>1.08068737932689E-2</c:v>
                </c:pt>
                <c:pt idx="86">
                  <c:v>1.19301678722133E-2</c:v>
                </c:pt>
                <c:pt idx="87">
                  <c:v>1.1982081805722199E-2</c:v>
                </c:pt>
                <c:pt idx="88">
                  <c:v>1.16348044415624E-2</c:v>
                </c:pt>
                <c:pt idx="89">
                  <c:v>1.15064206683952E-2</c:v>
                </c:pt>
                <c:pt idx="90">
                  <c:v>1.14185357327672E-2</c:v>
                </c:pt>
                <c:pt idx="91">
                  <c:v>1.16788104740246E-2</c:v>
                </c:pt>
                <c:pt idx="92">
                  <c:v>1.09787728382045E-2</c:v>
                </c:pt>
                <c:pt idx="93">
                  <c:v>1.01283020433927E-2</c:v>
                </c:pt>
                <c:pt idx="94">
                  <c:v>1.13508512550948E-2</c:v>
                </c:pt>
                <c:pt idx="95">
                  <c:v>1.12627930078745E-2</c:v>
                </c:pt>
                <c:pt idx="96">
                  <c:v>1.23644975040067E-2</c:v>
                </c:pt>
                <c:pt idx="97">
                  <c:v>1.22665245776873E-2</c:v>
                </c:pt>
                <c:pt idx="98">
                  <c:v>1.3548661533222499E-2</c:v>
                </c:pt>
                <c:pt idx="99">
                  <c:v>1.35046347973401E-2</c:v>
                </c:pt>
                <c:pt idx="100">
                  <c:v>1.3295891282051799E-2</c:v>
                </c:pt>
                <c:pt idx="101">
                  <c:v>1.45289945276896E-2</c:v>
                </c:pt>
                <c:pt idx="102">
                  <c:v>1.41537331520687E-2</c:v>
                </c:pt>
                <c:pt idx="103">
                  <c:v>1.3330284117289501E-2</c:v>
                </c:pt>
                <c:pt idx="104">
                  <c:v>1.3541139321708799E-2</c:v>
                </c:pt>
                <c:pt idx="105">
                  <c:v>1.3375190108893801E-2</c:v>
                </c:pt>
                <c:pt idx="106">
                  <c:v>1.3368199117739499E-2</c:v>
                </c:pt>
                <c:pt idx="107">
                  <c:v>1.3247374772760801E-2</c:v>
                </c:pt>
                <c:pt idx="108">
                  <c:v>1.28225727158472E-2</c:v>
                </c:pt>
                <c:pt idx="109">
                  <c:v>1.34595905180787E-2</c:v>
                </c:pt>
                <c:pt idx="110">
                  <c:v>1.38760274451609E-2</c:v>
                </c:pt>
                <c:pt idx="111">
                  <c:v>1.4000643367963099E-2</c:v>
                </c:pt>
                <c:pt idx="112">
                  <c:v>1.4333792880612499E-2</c:v>
                </c:pt>
                <c:pt idx="113">
                  <c:v>1.36711529187892E-2</c:v>
                </c:pt>
                <c:pt idx="114">
                  <c:v>1.43868581919379E-2</c:v>
                </c:pt>
                <c:pt idx="115">
                  <c:v>1.44275123819479E-2</c:v>
                </c:pt>
                <c:pt idx="116">
                  <c:v>1.4271463873293099E-2</c:v>
                </c:pt>
                <c:pt idx="117">
                  <c:v>1.4186851428333201E-2</c:v>
                </c:pt>
                <c:pt idx="118">
                  <c:v>1.4205148918397199E-2</c:v>
                </c:pt>
                <c:pt idx="119">
                  <c:v>1.40763601235394E-2</c:v>
                </c:pt>
                <c:pt idx="120">
                  <c:v>1.4536398607508799E-2</c:v>
                </c:pt>
                <c:pt idx="121">
                  <c:v>1.5513831385549501E-2</c:v>
                </c:pt>
                <c:pt idx="122">
                  <c:v>1.4664753361722E-2</c:v>
                </c:pt>
                <c:pt idx="123">
                  <c:v>1.28803683488304E-2</c:v>
                </c:pt>
                <c:pt idx="124">
                  <c:v>1.3852929718571799E-2</c:v>
                </c:pt>
                <c:pt idx="125">
                  <c:v>1.51215279764365E-2</c:v>
                </c:pt>
                <c:pt idx="126">
                  <c:v>1.5960902616382399E-2</c:v>
                </c:pt>
                <c:pt idx="127">
                  <c:v>1.7515607394978299E-2</c:v>
                </c:pt>
                <c:pt idx="128">
                  <c:v>1.6092987998410201E-2</c:v>
                </c:pt>
                <c:pt idx="129">
                  <c:v>1.5423133326643799E-2</c:v>
                </c:pt>
                <c:pt idx="130">
                  <c:v>1.64709134882766E-2</c:v>
                </c:pt>
                <c:pt idx="131">
                  <c:v>1.73785950978117E-2</c:v>
                </c:pt>
                <c:pt idx="132">
                  <c:v>1.7042595501706601E-2</c:v>
                </c:pt>
                <c:pt idx="133">
                  <c:v>1.7496590906512201E-2</c:v>
                </c:pt>
                <c:pt idx="134">
                  <c:v>1.84803007349175E-2</c:v>
                </c:pt>
                <c:pt idx="135">
                  <c:v>1.7708516972218001E-2</c:v>
                </c:pt>
                <c:pt idx="136">
                  <c:v>1.7686077599562498E-2</c:v>
                </c:pt>
                <c:pt idx="137">
                  <c:v>1.7911224377334799E-2</c:v>
                </c:pt>
                <c:pt idx="138">
                  <c:v>1.7995520073933E-2</c:v>
                </c:pt>
                <c:pt idx="139">
                  <c:v>1.8702407855327199E-2</c:v>
                </c:pt>
                <c:pt idx="140">
                  <c:v>1.8273129064639401E-2</c:v>
                </c:pt>
                <c:pt idx="141">
                  <c:v>1.8941540337179898E-2</c:v>
                </c:pt>
                <c:pt idx="142">
                  <c:v>1.9426549529739E-2</c:v>
                </c:pt>
                <c:pt idx="143">
                  <c:v>1.7817477432637101E-2</c:v>
                </c:pt>
                <c:pt idx="144">
                  <c:v>1.75796444520223E-2</c:v>
                </c:pt>
                <c:pt idx="145">
                  <c:v>1.8308992119838299E-2</c:v>
                </c:pt>
                <c:pt idx="146">
                  <c:v>1.67906224223657E-2</c:v>
                </c:pt>
                <c:pt idx="147">
                  <c:v>1.64579390935898E-2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'Time Series Query'!$U$4</c:f>
              <c:strCache>
                <c:ptCount val="1"/>
                <c:pt idx="0">
                  <c:v>FHA</c:v>
                </c:pt>
              </c:strCache>
            </c:strRef>
          </c:tx>
          <c:spPr>
            <a:ln w="12700">
              <a:solidFill>
                <a:srgbClr val="AD275C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Query'!$U$5:$U$152</c:f>
              <c:numCache>
                <c:formatCode>0%</c:formatCode>
                <c:ptCount val="148"/>
                <c:pt idx="0">
                  <c:v>9.4285995591371505E-2</c:v>
                </c:pt>
                <c:pt idx="1">
                  <c:v>8.5363662487838804E-2</c:v>
                </c:pt>
                <c:pt idx="2">
                  <c:v>9.1805440656946596E-2</c:v>
                </c:pt>
                <c:pt idx="3">
                  <c:v>9.2379201142605005E-2</c:v>
                </c:pt>
                <c:pt idx="4">
                  <c:v>7.25860078665896E-2</c:v>
                </c:pt>
                <c:pt idx="5">
                  <c:v>6.51072617401625E-2</c:v>
                </c:pt>
                <c:pt idx="6">
                  <c:v>8.6871460414936999E-2</c:v>
                </c:pt>
                <c:pt idx="7">
                  <c:v>9.0167160769596993E-2</c:v>
                </c:pt>
                <c:pt idx="8">
                  <c:v>9.1083275828594504E-2</c:v>
                </c:pt>
                <c:pt idx="9">
                  <c:v>8.9059484799799998E-2</c:v>
                </c:pt>
                <c:pt idx="10">
                  <c:v>9.1836813388869107E-2</c:v>
                </c:pt>
                <c:pt idx="11">
                  <c:v>9.4924068582742202E-2</c:v>
                </c:pt>
                <c:pt idx="12">
                  <c:v>9.9504059217308802E-2</c:v>
                </c:pt>
                <c:pt idx="13">
                  <c:v>8.4638727196081204E-2</c:v>
                </c:pt>
                <c:pt idx="14">
                  <c:v>7.7886223139598698E-2</c:v>
                </c:pt>
                <c:pt idx="15">
                  <c:v>9.0779477365927799E-2</c:v>
                </c:pt>
                <c:pt idx="16">
                  <c:v>9.7491194732257994E-2</c:v>
                </c:pt>
                <c:pt idx="17">
                  <c:v>9.4413817020581894E-2</c:v>
                </c:pt>
                <c:pt idx="18">
                  <c:v>9.8333062406187999E-2</c:v>
                </c:pt>
                <c:pt idx="19">
                  <c:v>9.2820204237606396E-2</c:v>
                </c:pt>
                <c:pt idx="20">
                  <c:v>9.4900478598202095E-2</c:v>
                </c:pt>
                <c:pt idx="21">
                  <c:v>9.1799771417411899E-2</c:v>
                </c:pt>
                <c:pt idx="22">
                  <c:v>9.1464698836870098E-2</c:v>
                </c:pt>
                <c:pt idx="23">
                  <c:v>9.2497341698870306E-2</c:v>
                </c:pt>
                <c:pt idx="24">
                  <c:v>8.1934200099123194E-2</c:v>
                </c:pt>
                <c:pt idx="25">
                  <c:v>9.0211093283241298E-2</c:v>
                </c:pt>
                <c:pt idx="26">
                  <c:v>9.2319504582030504E-2</c:v>
                </c:pt>
                <c:pt idx="27">
                  <c:v>9.6079655045307605E-2</c:v>
                </c:pt>
                <c:pt idx="28">
                  <c:v>8.5380791907585393E-2</c:v>
                </c:pt>
                <c:pt idx="29">
                  <c:v>9.0218440732812502E-2</c:v>
                </c:pt>
                <c:pt idx="30">
                  <c:v>9.2285525328509796E-2</c:v>
                </c:pt>
                <c:pt idx="31">
                  <c:v>8.2108794617635802E-2</c:v>
                </c:pt>
                <c:pt idx="32">
                  <c:v>8.7028492327789503E-2</c:v>
                </c:pt>
                <c:pt idx="33">
                  <c:v>8.9312436018572597E-2</c:v>
                </c:pt>
                <c:pt idx="34">
                  <c:v>9.2004736353106201E-2</c:v>
                </c:pt>
                <c:pt idx="35">
                  <c:v>9.0269691219839895E-2</c:v>
                </c:pt>
                <c:pt idx="36">
                  <c:v>9.0992959299858497E-2</c:v>
                </c:pt>
                <c:pt idx="37">
                  <c:v>8.7665901172641697E-2</c:v>
                </c:pt>
                <c:pt idx="38">
                  <c:v>9.4627360659875495E-2</c:v>
                </c:pt>
                <c:pt idx="39">
                  <c:v>9.7328657053947207E-2</c:v>
                </c:pt>
                <c:pt idx="40">
                  <c:v>0.106959828331922</c:v>
                </c:pt>
                <c:pt idx="41">
                  <c:v>0.111287570299785</c:v>
                </c:pt>
                <c:pt idx="42">
                  <c:v>0.10281303848291801</c:v>
                </c:pt>
                <c:pt idx="43">
                  <c:v>0.109423829061224</c:v>
                </c:pt>
                <c:pt idx="44">
                  <c:v>0.1093242256585</c:v>
                </c:pt>
                <c:pt idx="45">
                  <c:v>0.106621948942194</c:v>
                </c:pt>
                <c:pt idx="46">
                  <c:v>0.101950777887985</c:v>
                </c:pt>
                <c:pt idx="47">
                  <c:v>0.11322743894513</c:v>
                </c:pt>
                <c:pt idx="48">
                  <c:v>0.109331088924152</c:v>
                </c:pt>
                <c:pt idx="49">
                  <c:v>0.113390111014102</c:v>
                </c:pt>
                <c:pt idx="50">
                  <c:v>0.11526275108716</c:v>
                </c:pt>
                <c:pt idx="51">
                  <c:v>9.5228743774607896E-2</c:v>
                </c:pt>
                <c:pt idx="52">
                  <c:v>0.109100905383647</c:v>
                </c:pt>
                <c:pt idx="53">
                  <c:v>0.124191721531846</c:v>
                </c:pt>
                <c:pt idx="54">
                  <c:v>0.118620974906118</c:v>
                </c:pt>
                <c:pt idx="55">
                  <c:v>0.11454124774918099</c:v>
                </c:pt>
                <c:pt idx="56">
                  <c:v>0.118200880367063</c:v>
                </c:pt>
                <c:pt idx="57">
                  <c:v>0.116786543209285</c:v>
                </c:pt>
                <c:pt idx="58">
                  <c:v>0.128134201111163</c:v>
                </c:pt>
                <c:pt idx="59">
                  <c:v>0.112280776236066</c:v>
                </c:pt>
                <c:pt idx="60">
                  <c:v>0.10862820934442299</c:v>
                </c:pt>
                <c:pt idx="61">
                  <c:v>0.101027125337702</c:v>
                </c:pt>
                <c:pt idx="62">
                  <c:v>9.3804213372806602E-2</c:v>
                </c:pt>
                <c:pt idx="63">
                  <c:v>8.7395122950958998E-2</c:v>
                </c:pt>
                <c:pt idx="64">
                  <c:v>8.9057747301929793E-2</c:v>
                </c:pt>
                <c:pt idx="65">
                  <c:v>8.9562512546187495E-2</c:v>
                </c:pt>
                <c:pt idx="66">
                  <c:v>0.103351642697491</c:v>
                </c:pt>
                <c:pt idx="67">
                  <c:v>8.3829992538756004E-2</c:v>
                </c:pt>
                <c:pt idx="68">
                  <c:v>9.3076853520146705E-2</c:v>
                </c:pt>
                <c:pt idx="69">
                  <c:v>0.100196056372731</c:v>
                </c:pt>
                <c:pt idx="70">
                  <c:v>8.3237162808257104E-2</c:v>
                </c:pt>
                <c:pt idx="71">
                  <c:v>7.7152354316607705E-2</c:v>
                </c:pt>
                <c:pt idx="72">
                  <c:v>8.2111872443475398E-2</c:v>
                </c:pt>
                <c:pt idx="73">
                  <c:v>6.6489943042899999E-2</c:v>
                </c:pt>
                <c:pt idx="74">
                  <c:v>6.2301954306724798E-2</c:v>
                </c:pt>
                <c:pt idx="75">
                  <c:v>5.92673314950833E-2</c:v>
                </c:pt>
                <c:pt idx="76">
                  <c:v>6.8005277207944095E-2</c:v>
                </c:pt>
                <c:pt idx="77">
                  <c:v>7.0066056895199597E-2</c:v>
                </c:pt>
                <c:pt idx="78">
                  <c:v>7.18039593407441E-2</c:v>
                </c:pt>
                <c:pt idx="79">
                  <c:v>6.7916944669552101E-2</c:v>
                </c:pt>
                <c:pt idx="80">
                  <c:v>6.4104657785873306E-2</c:v>
                </c:pt>
                <c:pt idx="81">
                  <c:v>5.3141127900620498E-2</c:v>
                </c:pt>
                <c:pt idx="82">
                  <c:v>4.9614369155651102E-2</c:v>
                </c:pt>
                <c:pt idx="83">
                  <c:v>4.9938732237334402E-2</c:v>
                </c:pt>
                <c:pt idx="84">
                  <c:v>4.9433870902870103E-2</c:v>
                </c:pt>
                <c:pt idx="85">
                  <c:v>4.7935297916397397E-2</c:v>
                </c:pt>
                <c:pt idx="86">
                  <c:v>5.2223575477024303E-2</c:v>
                </c:pt>
                <c:pt idx="87">
                  <c:v>5.4351045253614699E-2</c:v>
                </c:pt>
                <c:pt idx="88">
                  <c:v>5.18039852039874E-2</c:v>
                </c:pt>
                <c:pt idx="89">
                  <c:v>4.9523196065882701E-2</c:v>
                </c:pt>
                <c:pt idx="90">
                  <c:v>4.8155285513132098E-2</c:v>
                </c:pt>
                <c:pt idx="91">
                  <c:v>4.8498782379219799E-2</c:v>
                </c:pt>
                <c:pt idx="92">
                  <c:v>4.5520286505032703E-2</c:v>
                </c:pt>
                <c:pt idx="93">
                  <c:v>4.0079471562488797E-2</c:v>
                </c:pt>
                <c:pt idx="94">
                  <c:v>4.3811617029674503E-2</c:v>
                </c:pt>
                <c:pt idx="95">
                  <c:v>4.3426562211492999E-2</c:v>
                </c:pt>
                <c:pt idx="96">
                  <c:v>4.7030864544221701E-2</c:v>
                </c:pt>
                <c:pt idx="97">
                  <c:v>4.7169554670103801E-2</c:v>
                </c:pt>
                <c:pt idx="98">
                  <c:v>5.01318953503316E-2</c:v>
                </c:pt>
                <c:pt idx="99">
                  <c:v>4.9767969979469202E-2</c:v>
                </c:pt>
                <c:pt idx="100">
                  <c:v>4.8609534038481103E-2</c:v>
                </c:pt>
                <c:pt idx="101">
                  <c:v>5.28969377612565E-2</c:v>
                </c:pt>
                <c:pt idx="102">
                  <c:v>5.2062657199863797E-2</c:v>
                </c:pt>
                <c:pt idx="103">
                  <c:v>4.88513891385828E-2</c:v>
                </c:pt>
                <c:pt idx="104">
                  <c:v>4.9178067070710603E-2</c:v>
                </c:pt>
                <c:pt idx="105">
                  <c:v>4.9578391995180202E-2</c:v>
                </c:pt>
                <c:pt idx="106">
                  <c:v>4.9470745177948798E-2</c:v>
                </c:pt>
                <c:pt idx="107">
                  <c:v>4.8345406248694399E-2</c:v>
                </c:pt>
                <c:pt idx="108">
                  <c:v>4.7200576073014297E-2</c:v>
                </c:pt>
                <c:pt idx="109">
                  <c:v>4.87455541273265E-2</c:v>
                </c:pt>
                <c:pt idx="110">
                  <c:v>5.01526295017918E-2</c:v>
                </c:pt>
                <c:pt idx="111">
                  <c:v>5.0920901691329901E-2</c:v>
                </c:pt>
                <c:pt idx="112">
                  <c:v>5.1164146729042799E-2</c:v>
                </c:pt>
                <c:pt idx="113">
                  <c:v>4.8689499032941203E-2</c:v>
                </c:pt>
                <c:pt idx="114">
                  <c:v>5.0126620688003297E-2</c:v>
                </c:pt>
                <c:pt idx="115">
                  <c:v>5.01747604460736E-2</c:v>
                </c:pt>
                <c:pt idx="116">
                  <c:v>4.9156981992146E-2</c:v>
                </c:pt>
                <c:pt idx="117">
                  <c:v>4.83999856771603E-2</c:v>
                </c:pt>
                <c:pt idx="118">
                  <c:v>4.8162877188679197E-2</c:v>
                </c:pt>
                <c:pt idx="119">
                  <c:v>4.7048443962686003E-2</c:v>
                </c:pt>
                <c:pt idx="120">
                  <c:v>4.8564626706116498E-2</c:v>
                </c:pt>
                <c:pt idx="121">
                  <c:v>5.0915054900666903E-2</c:v>
                </c:pt>
                <c:pt idx="122">
                  <c:v>4.8400476857025899E-2</c:v>
                </c:pt>
                <c:pt idx="123">
                  <c:v>4.3075210687433897E-2</c:v>
                </c:pt>
                <c:pt idx="124">
                  <c:v>4.59432838113287E-2</c:v>
                </c:pt>
                <c:pt idx="125">
                  <c:v>5.0301606990154298E-2</c:v>
                </c:pt>
                <c:pt idx="126">
                  <c:v>5.28326536481473E-2</c:v>
                </c:pt>
                <c:pt idx="127">
                  <c:v>5.8020706017923598E-2</c:v>
                </c:pt>
                <c:pt idx="128">
                  <c:v>5.3732575289805497E-2</c:v>
                </c:pt>
                <c:pt idx="129">
                  <c:v>5.0638509422985097E-2</c:v>
                </c:pt>
                <c:pt idx="130">
                  <c:v>5.3963745614458901E-2</c:v>
                </c:pt>
                <c:pt idx="131">
                  <c:v>5.64173982878792E-2</c:v>
                </c:pt>
                <c:pt idx="132">
                  <c:v>5.6079401787069001E-2</c:v>
                </c:pt>
                <c:pt idx="133">
                  <c:v>5.7150634619079502E-2</c:v>
                </c:pt>
                <c:pt idx="134">
                  <c:v>6.0279482404130599E-2</c:v>
                </c:pt>
                <c:pt idx="135">
                  <c:v>5.9039886698822097E-2</c:v>
                </c:pt>
                <c:pt idx="136">
                  <c:v>5.9232734324811201E-2</c:v>
                </c:pt>
                <c:pt idx="137">
                  <c:v>6.0455601405621499E-2</c:v>
                </c:pt>
                <c:pt idx="138">
                  <c:v>5.9874562188320497E-2</c:v>
                </c:pt>
                <c:pt idx="139">
                  <c:v>6.2400887079476899E-2</c:v>
                </c:pt>
                <c:pt idx="140">
                  <c:v>6.0841622906473401E-2</c:v>
                </c:pt>
                <c:pt idx="141">
                  <c:v>6.2622998242086406E-2</c:v>
                </c:pt>
                <c:pt idx="142">
                  <c:v>6.6263717165098004E-2</c:v>
                </c:pt>
                <c:pt idx="143">
                  <c:v>6.1486236715359202E-2</c:v>
                </c:pt>
                <c:pt idx="144">
                  <c:v>6.0306400919081203E-2</c:v>
                </c:pt>
                <c:pt idx="145">
                  <c:v>6.1448839793864403E-2</c:v>
                </c:pt>
                <c:pt idx="146">
                  <c:v>5.5814197233407602E-2</c:v>
                </c:pt>
                <c:pt idx="147">
                  <c:v>5.4443951953697202E-2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'Time Series Query'!$V$4</c:f>
              <c:strCache>
                <c:ptCount val="1"/>
                <c:pt idx="0">
                  <c:v>VA</c:v>
                </c:pt>
              </c:strCache>
            </c:strRef>
          </c:tx>
          <c:spPr>
            <a:ln w="12700">
              <a:solidFill>
                <a:srgbClr val="1B7A76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Query'!$V$5:$V$152</c:f>
              <c:numCache>
                <c:formatCode>0%</c:formatCode>
                <c:ptCount val="148"/>
                <c:pt idx="0">
                  <c:v>7.43698517370701E-2</c:v>
                </c:pt>
                <c:pt idx="1">
                  <c:v>7.30825171843862E-2</c:v>
                </c:pt>
                <c:pt idx="2">
                  <c:v>7.5057002809456902E-2</c:v>
                </c:pt>
                <c:pt idx="3">
                  <c:v>7.2909944145716804E-2</c:v>
                </c:pt>
                <c:pt idx="4">
                  <c:v>5.9572386776244698E-2</c:v>
                </c:pt>
                <c:pt idx="5">
                  <c:v>5.8551251558796702E-2</c:v>
                </c:pt>
                <c:pt idx="6">
                  <c:v>7.5610136798633196E-2</c:v>
                </c:pt>
                <c:pt idx="7">
                  <c:v>7.7229764557536801E-2</c:v>
                </c:pt>
                <c:pt idx="8">
                  <c:v>7.3919928128802895E-2</c:v>
                </c:pt>
                <c:pt idx="9">
                  <c:v>7.5837312969968707E-2</c:v>
                </c:pt>
                <c:pt idx="10">
                  <c:v>6.9937168914830303E-2</c:v>
                </c:pt>
                <c:pt idx="11">
                  <c:v>7.4150153276567904E-2</c:v>
                </c:pt>
                <c:pt idx="12">
                  <c:v>8.2929537204315798E-2</c:v>
                </c:pt>
                <c:pt idx="13">
                  <c:v>7.4392139597998494E-2</c:v>
                </c:pt>
                <c:pt idx="14">
                  <c:v>6.5266934728069798E-2</c:v>
                </c:pt>
                <c:pt idx="15">
                  <c:v>6.6895577239321505E-2</c:v>
                </c:pt>
                <c:pt idx="16">
                  <c:v>8.3094273500979796E-2</c:v>
                </c:pt>
                <c:pt idx="17">
                  <c:v>8.1387626202597499E-2</c:v>
                </c:pt>
                <c:pt idx="18">
                  <c:v>8.7159265808458106E-2</c:v>
                </c:pt>
                <c:pt idx="19">
                  <c:v>7.2886696269449006E-2</c:v>
                </c:pt>
                <c:pt idx="20">
                  <c:v>7.5690097036033105E-2</c:v>
                </c:pt>
                <c:pt idx="21">
                  <c:v>7.5038770054298307E-2</c:v>
                </c:pt>
                <c:pt idx="22">
                  <c:v>7.3859808783187805E-2</c:v>
                </c:pt>
                <c:pt idx="23">
                  <c:v>7.1507871154995101E-2</c:v>
                </c:pt>
                <c:pt idx="24">
                  <c:v>6.8831034977123506E-2</c:v>
                </c:pt>
                <c:pt idx="25">
                  <c:v>7.2760553043788298E-2</c:v>
                </c:pt>
                <c:pt idx="26">
                  <c:v>8.0514821186880595E-2</c:v>
                </c:pt>
                <c:pt idx="27">
                  <c:v>8.0042668586271001E-2</c:v>
                </c:pt>
                <c:pt idx="28">
                  <c:v>7.3908989895033E-2</c:v>
                </c:pt>
                <c:pt idx="29">
                  <c:v>7.7491922918333095E-2</c:v>
                </c:pt>
                <c:pt idx="30">
                  <c:v>7.1121707446048593E-2</c:v>
                </c:pt>
                <c:pt idx="31">
                  <c:v>7.8070969779932997E-2</c:v>
                </c:pt>
                <c:pt idx="32">
                  <c:v>6.7199163700533596E-2</c:v>
                </c:pt>
                <c:pt idx="33">
                  <c:v>7.3484219548732604E-2</c:v>
                </c:pt>
                <c:pt idx="34">
                  <c:v>7.29966124505744E-2</c:v>
                </c:pt>
                <c:pt idx="35">
                  <c:v>7.5604220137534706E-2</c:v>
                </c:pt>
                <c:pt idx="36">
                  <c:v>8.5117661602461606E-2</c:v>
                </c:pt>
                <c:pt idx="37">
                  <c:v>7.3721687246315296E-2</c:v>
                </c:pt>
                <c:pt idx="38">
                  <c:v>7.1097707040510896E-2</c:v>
                </c:pt>
                <c:pt idx="39">
                  <c:v>8.2438738787264404E-2</c:v>
                </c:pt>
                <c:pt idx="40">
                  <c:v>8.2438738787264404E-2</c:v>
                </c:pt>
                <c:pt idx="41">
                  <c:v>9.04030528968605E-2</c:v>
                </c:pt>
                <c:pt idx="42">
                  <c:v>0.101077691508849</c:v>
                </c:pt>
                <c:pt idx="43">
                  <c:v>8.2485989149712502E-2</c:v>
                </c:pt>
                <c:pt idx="44">
                  <c:v>8.7345811231672704E-2</c:v>
                </c:pt>
                <c:pt idx="45">
                  <c:v>8.8833892051242799E-2</c:v>
                </c:pt>
                <c:pt idx="46">
                  <c:v>8.8833892051242799E-2</c:v>
                </c:pt>
                <c:pt idx="47">
                  <c:v>8.5720663516440795E-2</c:v>
                </c:pt>
                <c:pt idx="48">
                  <c:v>9.4059593281205903E-2</c:v>
                </c:pt>
                <c:pt idx="49">
                  <c:v>7.6040970936058994E-2</c:v>
                </c:pt>
                <c:pt idx="50">
                  <c:v>9.0262087142296804E-2</c:v>
                </c:pt>
                <c:pt idx="51">
                  <c:v>7.3171463970122794E-2</c:v>
                </c:pt>
                <c:pt idx="52">
                  <c:v>7.3171463970122794E-2</c:v>
                </c:pt>
                <c:pt idx="53">
                  <c:v>9.9820189534489706E-2</c:v>
                </c:pt>
                <c:pt idx="54">
                  <c:v>9.9820189534489706E-2</c:v>
                </c:pt>
                <c:pt idx="55">
                  <c:v>0.103616622616662</c:v>
                </c:pt>
                <c:pt idx="56">
                  <c:v>8.5858970649299801E-2</c:v>
                </c:pt>
                <c:pt idx="57">
                  <c:v>9.1688117328369095E-2</c:v>
                </c:pt>
                <c:pt idx="58">
                  <c:v>0.11098315619719901</c:v>
                </c:pt>
                <c:pt idx="59">
                  <c:v>9.3530245327451605E-2</c:v>
                </c:pt>
                <c:pt idx="60">
                  <c:v>9.4390282645507598E-2</c:v>
                </c:pt>
                <c:pt idx="61">
                  <c:v>7.7078342061616595E-2</c:v>
                </c:pt>
                <c:pt idx="62">
                  <c:v>7.5508534809422503E-2</c:v>
                </c:pt>
                <c:pt idx="63">
                  <c:v>7.3574608785366299E-2</c:v>
                </c:pt>
                <c:pt idx="64">
                  <c:v>7.8305822025021996E-2</c:v>
                </c:pt>
                <c:pt idx="65">
                  <c:v>7.4692912532645095E-2</c:v>
                </c:pt>
                <c:pt idx="66">
                  <c:v>0.103441437654216</c:v>
                </c:pt>
                <c:pt idx="67">
                  <c:v>7.9089503798013702E-2</c:v>
                </c:pt>
                <c:pt idx="68">
                  <c:v>8.5495306297522E-2</c:v>
                </c:pt>
                <c:pt idx="69">
                  <c:v>8.9137877795202894E-2</c:v>
                </c:pt>
                <c:pt idx="70">
                  <c:v>6.4262861829081905E-2</c:v>
                </c:pt>
                <c:pt idx="71">
                  <c:v>5.8657409652671001E-2</c:v>
                </c:pt>
                <c:pt idx="72">
                  <c:v>6.7690700362425998E-2</c:v>
                </c:pt>
                <c:pt idx="73">
                  <c:v>6.2547871487745293E-2</c:v>
                </c:pt>
                <c:pt idx="74">
                  <c:v>6.3204319708041495E-2</c:v>
                </c:pt>
                <c:pt idx="75">
                  <c:v>4.9912524929129003E-2</c:v>
                </c:pt>
                <c:pt idx="76">
                  <c:v>6.14172208510139E-2</c:v>
                </c:pt>
                <c:pt idx="77">
                  <c:v>6.1390904287183197E-2</c:v>
                </c:pt>
                <c:pt idx="78">
                  <c:v>6.7723009407227197E-2</c:v>
                </c:pt>
                <c:pt idx="79">
                  <c:v>6.9173427498785203E-2</c:v>
                </c:pt>
                <c:pt idx="80">
                  <c:v>6.7441193636602101E-2</c:v>
                </c:pt>
                <c:pt idx="81">
                  <c:v>5.8153942835834402E-2</c:v>
                </c:pt>
                <c:pt idx="82">
                  <c:v>5.42370628751601E-2</c:v>
                </c:pt>
                <c:pt idx="83">
                  <c:v>5.7537915234067899E-2</c:v>
                </c:pt>
                <c:pt idx="84">
                  <c:v>5.5631148970286398E-2</c:v>
                </c:pt>
                <c:pt idx="85">
                  <c:v>5.4544830915257102E-2</c:v>
                </c:pt>
                <c:pt idx="86">
                  <c:v>5.9673922576363399E-2</c:v>
                </c:pt>
                <c:pt idx="87">
                  <c:v>6.0916811511753502E-2</c:v>
                </c:pt>
                <c:pt idx="88">
                  <c:v>5.5588128111664102E-2</c:v>
                </c:pt>
                <c:pt idx="89">
                  <c:v>5.3804484253040998E-2</c:v>
                </c:pt>
                <c:pt idx="90">
                  <c:v>5.1146297447306997E-2</c:v>
                </c:pt>
                <c:pt idx="91">
                  <c:v>5.3530082124945297E-2</c:v>
                </c:pt>
                <c:pt idx="92">
                  <c:v>4.8276735846155397E-2</c:v>
                </c:pt>
                <c:pt idx="93">
                  <c:v>4.2674310047092101E-2</c:v>
                </c:pt>
                <c:pt idx="94">
                  <c:v>4.7347657775073798E-2</c:v>
                </c:pt>
                <c:pt idx="95">
                  <c:v>4.6889622090334801E-2</c:v>
                </c:pt>
                <c:pt idx="96">
                  <c:v>5.1291471977601498E-2</c:v>
                </c:pt>
                <c:pt idx="97">
                  <c:v>5.1146663651552397E-2</c:v>
                </c:pt>
                <c:pt idx="98">
                  <c:v>5.2659002166967103E-2</c:v>
                </c:pt>
                <c:pt idx="99">
                  <c:v>5.0209840006234303E-2</c:v>
                </c:pt>
                <c:pt idx="100">
                  <c:v>4.7379612469321097E-2</c:v>
                </c:pt>
                <c:pt idx="101">
                  <c:v>5.1907866082719203E-2</c:v>
                </c:pt>
                <c:pt idx="102">
                  <c:v>5.1315061043071201E-2</c:v>
                </c:pt>
                <c:pt idx="103">
                  <c:v>4.6816733514231698E-2</c:v>
                </c:pt>
                <c:pt idx="104">
                  <c:v>4.6387119469580601E-2</c:v>
                </c:pt>
                <c:pt idx="105">
                  <c:v>4.71167468684561E-2</c:v>
                </c:pt>
                <c:pt idx="106">
                  <c:v>4.6752001158217198E-2</c:v>
                </c:pt>
                <c:pt idx="107">
                  <c:v>4.5729186390120899E-2</c:v>
                </c:pt>
                <c:pt idx="108">
                  <c:v>4.3987919201613497E-2</c:v>
                </c:pt>
                <c:pt idx="109">
                  <c:v>4.4928326738978099E-2</c:v>
                </c:pt>
                <c:pt idx="110">
                  <c:v>4.52225899073396E-2</c:v>
                </c:pt>
                <c:pt idx="111">
                  <c:v>4.48731934408561E-2</c:v>
                </c:pt>
                <c:pt idx="112">
                  <c:v>4.5942757786631101E-2</c:v>
                </c:pt>
                <c:pt idx="113">
                  <c:v>4.3904772572709201E-2</c:v>
                </c:pt>
                <c:pt idx="114">
                  <c:v>4.4982903840556802E-2</c:v>
                </c:pt>
                <c:pt idx="115">
                  <c:v>4.4889553215802097E-2</c:v>
                </c:pt>
                <c:pt idx="116">
                  <c:v>4.39098469008933E-2</c:v>
                </c:pt>
                <c:pt idx="117">
                  <c:v>4.4121631138438998E-2</c:v>
                </c:pt>
                <c:pt idx="118">
                  <c:v>4.3393988731490002E-2</c:v>
                </c:pt>
                <c:pt idx="119">
                  <c:v>4.2668851038634797E-2</c:v>
                </c:pt>
                <c:pt idx="120">
                  <c:v>4.2284506095958602E-2</c:v>
                </c:pt>
                <c:pt idx="121">
                  <c:v>4.3999613211472499E-2</c:v>
                </c:pt>
                <c:pt idx="122">
                  <c:v>4.0382987212321503E-2</c:v>
                </c:pt>
                <c:pt idx="123">
                  <c:v>3.4542716001929402E-2</c:v>
                </c:pt>
                <c:pt idx="124">
                  <c:v>3.6128492494755901E-2</c:v>
                </c:pt>
                <c:pt idx="125">
                  <c:v>3.97317518471954E-2</c:v>
                </c:pt>
                <c:pt idx="126">
                  <c:v>4.2534373017318799E-2</c:v>
                </c:pt>
                <c:pt idx="127">
                  <c:v>4.6547078626505201E-2</c:v>
                </c:pt>
                <c:pt idx="128">
                  <c:v>4.33860973163313E-2</c:v>
                </c:pt>
                <c:pt idx="129">
                  <c:v>3.9774229888142401E-2</c:v>
                </c:pt>
                <c:pt idx="130">
                  <c:v>4.1916679311245E-2</c:v>
                </c:pt>
                <c:pt idx="131">
                  <c:v>4.4487411594855697E-2</c:v>
                </c:pt>
                <c:pt idx="132">
                  <c:v>4.3190796110447502E-2</c:v>
                </c:pt>
                <c:pt idx="133">
                  <c:v>4.3374642953449401E-2</c:v>
                </c:pt>
                <c:pt idx="134">
                  <c:v>4.57339776962047E-2</c:v>
                </c:pt>
                <c:pt idx="135">
                  <c:v>4.34006018726504E-2</c:v>
                </c:pt>
                <c:pt idx="136">
                  <c:v>4.3732377941726401E-2</c:v>
                </c:pt>
                <c:pt idx="137">
                  <c:v>4.4866368406642501E-2</c:v>
                </c:pt>
                <c:pt idx="138">
                  <c:v>4.4860699739032402E-2</c:v>
                </c:pt>
                <c:pt idx="139">
                  <c:v>4.68738925155835E-2</c:v>
                </c:pt>
                <c:pt idx="140">
                  <c:v>4.65732522111236E-2</c:v>
                </c:pt>
                <c:pt idx="141">
                  <c:v>4.7552411446694302E-2</c:v>
                </c:pt>
                <c:pt idx="142">
                  <c:v>4.9418960876341803E-2</c:v>
                </c:pt>
                <c:pt idx="143">
                  <c:v>4.7615630618715099E-2</c:v>
                </c:pt>
                <c:pt idx="144">
                  <c:v>4.77608855292758E-2</c:v>
                </c:pt>
                <c:pt idx="145">
                  <c:v>4.8892254020369799E-2</c:v>
                </c:pt>
                <c:pt idx="146">
                  <c:v>4.4194488795020699E-2</c:v>
                </c:pt>
                <c:pt idx="147">
                  <c:v>4.2568873743144303E-2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'Time Series Query'!$AF$4</c:f>
              <c:strCache>
                <c:ptCount val="1"/>
                <c:pt idx="0">
                  <c:v>Non-Agency</c:v>
                </c:pt>
              </c:strCache>
            </c:strRef>
          </c:tx>
          <c:spPr>
            <a:ln w="12700">
              <a:solidFill>
                <a:srgbClr val="C8C42D"/>
              </a:solidFill>
            </a:ln>
          </c:spPr>
          <c:marker>
            <c:symbol val="none"/>
          </c:marker>
          <c:val>
            <c:numRef>
              <c:f>'Time Series Query'!$AF$5:$AF$152</c:f>
              <c:numCache>
                <c:formatCode>0%</c:formatCode>
                <c:ptCount val="148"/>
                <c:pt idx="0">
                  <c:v>7.7824177103153092E-2</c:v>
                </c:pt>
                <c:pt idx="1">
                  <c:v>7.1358959291158958E-2</c:v>
                </c:pt>
                <c:pt idx="2">
                  <c:v>7.6793357724787223E-2</c:v>
                </c:pt>
                <c:pt idx="3">
                  <c:v>7.6733462810922914E-2</c:v>
                </c:pt>
                <c:pt idx="4">
                  <c:v>6.066095179882252E-2</c:v>
                </c:pt>
                <c:pt idx="5">
                  <c:v>5.480164230099957E-2</c:v>
                </c:pt>
                <c:pt idx="6">
                  <c:v>7.2760631964516209E-2</c:v>
                </c:pt>
                <c:pt idx="7">
                  <c:v>7.5230537829138605E-2</c:v>
                </c:pt>
                <c:pt idx="8">
                  <c:v>0.10334777063781739</c:v>
                </c:pt>
                <c:pt idx="9">
                  <c:v>0.10088804621320677</c:v>
                </c:pt>
                <c:pt idx="10">
                  <c:v>0.10383088033362174</c:v>
                </c:pt>
                <c:pt idx="11">
                  <c:v>0.10733678025975589</c:v>
                </c:pt>
                <c:pt idx="12">
                  <c:v>0.1120350750652756</c:v>
                </c:pt>
                <c:pt idx="13">
                  <c:v>9.4878131876538763E-2</c:v>
                </c:pt>
                <c:pt idx="14">
                  <c:v>8.7859072437819943E-2</c:v>
                </c:pt>
                <c:pt idx="15">
                  <c:v>0.10268738244677898</c:v>
                </c:pt>
                <c:pt idx="16">
                  <c:v>0.11074123639427098</c:v>
                </c:pt>
                <c:pt idx="17">
                  <c:v>0.10727791972501544</c:v>
                </c:pt>
                <c:pt idx="18">
                  <c:v>0.1109787336730111</c:v>
                </c:pt>
                <c:pt idx="19">
                  <c:v>0.10501764441186244</c:v>
                </c:pt>
                <c:pt idx="20">
                  <c:v>0.10833392017300383</c:v>
                </c:pt>
                <c:pt idx="21">
                  <c:v>0.10497443807432763</c:v>
                </c:pt>
                <c:pt idx="22">
                  <c:v>0.10451116389871906</c:v>
                </c:pt>
                <c:pt idx="23">
                  <c:v>0.10537057391043606</c:v>
                </c:pt>
                <c:pt idx="24">
                  <c:v>9.3557140712491327E-2</c:v>
                </c:pt>
                <c:pt idx="25">
                  <c:v>0.10333135069206334</c:v>
                </c:pt>
                <c:pt idx="26">
                  <c:v>0.10574038769298352</c:v>
                </c:pt>
                <c:pt idx="27">
                  <c:v>0.10890847990506893</c:v>
                </c:pt>
                <c:pt idx="28">
                  <c:v>9.7208176775220256E-2</c:v>
                </c:pt>
                <c:pt idx="29">
                  <c:v>0.10249202985670457</c:v>
                </c:pt>
                <c:pt idx="30">
                  <c:v>0.1045167279797331</c:v>
                </c:pt>
                <c:pt idx="31">
                  <c:v>9.2721175077575588E-2</c:v>
                </c:pt>
                <c:pt idx="32">
                  <c:v>0.10089952930757218</c:v>
                </c:pt>
                <c:pt idx="33">
                  <c:v>0.1039323024557527</c:v>
                </c:pt>
                <c:pt idx="34">
                  <c:v>0.10713621013333896</c:v>
                </c:pt>
                <c:pt idx="35">
                  <c:v>0.10502108577855535</c:v>
                </c:pt>
                <c:pt idx="36">
                  <c:v>0.10565318871155224</c:v>
                </c:pt>
                <c:pt idx="37">
                  <c:v>0.10191542857023456</c:v>
                </c:pt>
                <c:pt idx="38">
                  <c:v>0.10955037189117728</c:v>
                </c:pt>
                <c:pt idx="39">
                  <c:v>0.11239078452739568</c:v>
                </c:pt>
                <c:pt idx="40">
                  <c:v>0.12311884138699815</c:v>
                </c:pt>
                <c:pt idx="41">
                  <c:v>0.12866125717568586</c:v>
                </c:pt>
                <c:pt idx="42">
                  <c:v>0.11940825480090264</c:v>
                </c:pt>
                <c:pt idx="43">
                  <c:v>0.12634919485005119</c:v>
                </c:pt>
                <c:pt idx="44">
                  <c:v>9.9003484200502673E-2</c:v>
                </c:pt>
                <c:pt idx="45">
                  <c:v>9.692321199006898E-2</c:v>
                </c:pt>
                <c:pt idx="46">
                  <c:v>9.3086417528529086E-2</c:v>
                </c:pt>
                <c:pt idx="47">
                  <c:v>0.10285147085944167</c:v>
                </c:pt>
                <c:pt idx="48">
                  <c:v>0.10042453631609098</c:v>
                </c:pt>
                <c:pt idx="49">
                  <c:v>0.1040880558252246</c:v>
                </c:pt>
                <c:pt idx="50">
                  <c:v>0.10623532100849781</c:v>
                </c:pt>
                <c:pt idx="51">
                  <c:v>8.9264591663258466E-2</c:v>
                </c:pt>
                <c:pt idx="52">
                  <c:v>0.1013830890993499</c:v>
                </c:pt>
                <c:pt idx="53">
                  <c:v>0.11458859989276945</c:v>
                </c:pt>
                <c:pt idx="54">
                  <c:v>0.11092545822794678</c:v>
                </c:pt>
                <c:pt idx="55">
                  <c:v>0.10724432853988387</c:v>
                </c:pt>
                <c:pt idx="56">
                  <c:v>8.2362242532678209E-2</c:v>
                </c:pt>
                <c:pt idx="57">
                  <c:v>8.0212608426885282E-2</c:v>
                </c:pt>
                <c:pt idx="58">
                  <c:v>8.6810605841158545E-2</c:v>
                </c:pt>
                <c:pt idx="59">
                  <c:v>7.5013973894274541E-2</c:v>
                </c:pt>
                <c:pt idx="60">
                  <c:v>7.2831082488138368E-2</c:v>
                </c:pt>
                <c:pt idx="61">
                  <c:v>6.6606832886087541E-2</c:v>
                </c:pt>
                <c:pt idx="62">
                  <c:v>6.1598710612714928E-2</c:v>
                </c:pt>
                <c:pt idx="63">
                  <c:v>5.7136297004188374E-2</c:v>
                </c:pt>
                <c:pt idx="64">
                  <c:v>5.8003933196363884E-2</c:v>
                </c:pt>
                <c:pt idx="65">
                  <c:v>5.8640550392064991E-2</c:v>
                </c:pt>
                <c:pt idx="66">
                  <c:v>6.650234728744818E-2</c:v>
                </c:pt>
                <c:pt idx="67">
                  <c:v>5.4598290123497088E-2</c:v>
                </c:pt>
                <c:pt idx="68">
                  <c:v>2.5135120716353588E-2</c:v>
                </c:pt>
                <c:pt idx="69">
                  <c:v>2.6185265073999101E-2</c:v>
                </c:pt>
                <c:pt idx="70">
                  <c:v>2.2239895684418313E-2</c:v>
                </c:pt>
                <c:pt idx="71">
                  <c:v>2.0477684824665866E-2</c:v>
                </c:pt>
                <c:pt idx="72">
                  <c:v>2.141517334949351E-2</c:v>
                </c:pt>
                <c:pt idx="73">
                  <c:v>1.9400068250206074E-2</c:v>
                </c:pt>
                <c:pt idx="74">
                  <c:v>1.8174387934322869E-2</c:v>
                </c:pt>
                <c:pt idx="75">
                  <c:v>1.6301948266041703E-2</c:v>
                </c:pt>
                <c:pt idx="76">
                  <c:v>1.9084155692508011E-2</c:v>
                </c:pt>
                <c:pt idx="77">
                  <c:v>1.9757742206547892E-2</c:v>
                </c:pt>
                <c:pt idx="78">
                  <c:v>2.0380183133198573E-2</c:v>
                </c:pt>
                <c:pt idx="79">
                  <c:v>1.9409549480399996E-2</c:v>
                </c:pt>
                <c:pt idx="80">
                  <c:v>1.7861078932381133E-2</c:v>
                </c:pt>
                <c:pt idx="81">
                  <c:v>1.5765975012476851E-2</c:v>
                </c:pt>
                <c:pt idx="82">
                  <c:v>1.5307605251151983E-2</c:v>
                </c:pt>
                <c:pt idx="83">
                  <c:v>1.5706280757386545E-2</c:v>
                </c:pt>
                <c:pt idx="84">
                  <c:v>1.5889150690490274E-2</c:v>
                </c:pt>
                <c:pt idx="85">
                  <c:v>1.5363858902529216E-2</c:v>
                </c:pt>
                <c:pt idx="86">
                  <c:v>1.6886434823025903E-2</c:v>
                </c:pt>
                <c:pt idx="87">
                  <c:v>1.7163510843302941E-2</c:v>
                </c:pt>
                <c:pt idx="88">
                  <c:v>1.6561938332620204E-2</c:v>
                </c:pt>
                <c:pt idx="89">
                  <c:v>1.619606199679003E-2</c:v>
                </c:pt>
                <c:pt idx="90">
                  <c:v>1.5966323337775964E-2</c:v>
                </c:pt>
                <c:pt idx="91">
                  <c:v>1.6249458024975402E-2</c:v>
                </c:pt>
                <c:pt idx="92">
                  <c:v>1.5663239869536785E-2</c:v>
                </c:pt>
                <c:pt idx="93">
                  <c:v>1.4225839553485433E-2</c:v>
                </c:pt>
                <c:pt idx="94">
                  <c:v>1.5813597057471377E-2</c:v>
                </c:pt>
                <c:pt idx="95">
                  <c:v>1.5685631548120384E-2</c:v>
                </c:pt>
                <c:pt idx="96">
                  <c:v>1.7144654671181186E-2</c:v>
                </c:pt>
                <c:pt idx="97">
                  <c:v>1.7068643898898592E-2</c:v>
                </c:pt>
                <c:pt idx="98">
                  <c:v>1.8622419090891899E-2</c:v>
                </c:pt>
                <c:pt idx="99">
                  <c:v>1.8538381375944255E-2</c:v>
                </c:pt>
                <c:pt idx="100">
                  <c:v>1.8206289924307197E-2</c:v>
                </c:pt>
                <c:pt idx="101">
                  <c:v>1.9868960968876078E-2</c:v>
                </c:pt>
                <c:pt idx="102">
                  <c:v>1.9418027799538103E-2</c:v>
                </c:pt>
                <c:pt idx="103">
                  <c:v>1.826697260536736E-2</c:v>
                </c:pt>
                <c:pt idx="104">
                  <c:v>1.8158084604233467E-2</c:v>
                </c:pt>
                <c:pt idx="105">
                  <c:v>1.8044752679054279E-2</c:v>
                </c:pt>
                <c:pt idx="106">
                  <c:v>1.802642263271988E-2</c:v>
                </c:pt>
                <c:pt idx="107">
                  <c:v>1.778965868115789E-2</c:v>
                </c:pt>
                <c:pt idx="108">
                  <c:v>1.7263342160635301E-2</c:v>
                </c:pt>
                <c:pt idx="109">
                  <c:v>1.8033886846480933E-2</c:v>
                </c:pt>
                <c:pt idx="110">
                  <c:v>1.8580844485639555E-2</c:v>
                </c:pt>
                <c:pt idx="111">
                  <c:v>1.8782319417150216E-2</c:v>
                </c:pt>
                <c:pt idx="112">
                  <c:v>1.9123816097531398E-2</c:v>
                </c:pt>
                <c:pt idx="113">
                  <c:v>1.822782997316726E-2</c:v>
                </c:pt>
                <c:pt idx="114">
                  <c:v>1.9061036308812607E-2</c:v>
                </c:pt>
                <c:pt idx="115">
                  <c:v>1.9104718490366008E-2</c:v>
                </c:pt>
                <c:pt idx="116">
                  <c:v>1.7459282843020646E-2</c:v>
                </c:pt>
                <c:pt idx="117">
                  <c:v>1.7320452528974104E-2</c:v>
                </c:pt>
                <c:pt idx="118">
                  <c:v>1.7320068435806073E-2</c:v>
                </c:pt>
                <c:pt idx="119">
                  <c:v>1.7111621522919257E-2</c:v>
                </c:pt>
                <c:pt idx="120">
                  <c:v>1.7669231031136271E-2</c:v>
                </c:pt>
                <c:pt idx="121">
                  <c:v>1.8787897118562012E-2</c:v>
                </c:pt>
                <c:pt idx="122">
                  <c:v>1.7780264409568994E-2</c:v>
                </c:pt>
                <c:pt idx="123">
                  <c:v>1.5659577256714578E-2</c:v>
                </c:pt>
                <c:pt idx="124">
                  <c:v>1.6812826328726774E-2</c:v>
                </c:pt>
                <c:pt idx="125">
                  <c:v>1.8363936755893717E-2</c:v>
                </c:pt>
                <c:pt idx="126">
                  <c:v>1.9363483483551488E-2</c:v>
                </c:pt>
                <c:pt idx="127">
                  <c:v>2.1252793088252637E-2</c:v>
                </c:pt>
                <c:pt idx="128">
                  <c:v>1.8349090778192936E-2</c:v>
                </c:pt>
                <c:pt idx="129">
                  <c:v>1.7542982351812349E-2</c:v>
                </c:pt>
                <c:pt idx="130">
                  <c:v>1.8729100592983786E-2</c:v>
                </c:pt>
                <c:pt idx="131">
                  <c:v>1.9735538344180754E-2</c:v>
                </c:pt>
                <c:pt idx="132">
                  <c:v>1.9391143849174036E-2</c:v>
                </c:pt>
                <c:pt idx="133">
                  <c:v>1.9886829877663971E-2</c:v>
                </c:pt>
                <c:pt idx="134">
                  <c:v>2.1000761576234626E-2</c:v>
                </c:pt>
                <c:pt idx="135">
                  <c:v>2.0186819600006303E-2</c:v>
                </c:pt>
                <c:pt idx="136">
                  <c:v>2.0174457625489899E-2</c:v>
                </c:pt>
                <c:pt idx="137">
                  <c:v>2.045443372138191E-2</c:v>
                </c:pt>
                <c:pt idx="138">
                  <c:v>2.0507954748073935E-2</c:v>
                </c:pt>
                <c:pt idx="139">
                  <c:v>2.1322145294922913E-2</c:v>
                </c:pt>
                <c:pt idx="140">
                  <c:v>2.0130795832573069E-2</c:v>
                </c:pt>
                <c:pt idx="141">
                  <c:v>2.0851201226048038E-2</c:v>
                </c:pt>
                <c:pt idx="142">
                  <c:v>2.1458301951304094E-2</c:v>
                </c:pt>
                <c:pt idx="143">
                  <c:v>1.9706489336794249E-2</c:v>
                </c:pt>
                <c:pt idx="144">
                  <c:v>1.9430539494887093E-2</c:v>
                </c:pt>
                <c:pt idx="145">
                  <c:v>2.0187830816866273E-2</c:v>
                </c:pt>
                <c:pt idx="146">
                  <c:v>1.8494294974062398E-2</c:v>
                </c:pt>
                <c:pt idx="147">
                  <c:v>1.8118357623179107E-2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03840"/>
        <c:axId val="151643264"/>
      </c:lineChart>
      <c:catAx>
        <c:axId val="1516038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164326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5164326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5160384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 of Origination Volume</a:t>
            </a:r>
          </a:p>
        </c:rich>
      </c:tx>
      <c:layout/>
      <c:overlay val="0"/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v>Conventional</c:v>
          </c:tx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Query'!$Y$5:$Y$152</c:f>
              <c:numCache>
                <c:formatCode>0%</c:formatCode>
                <c:ptCount val="148"/>
                <c:pt idx="0">
                  <c:v>0.66040268456375839</c:v>
                </c:pt>
                <c:pt idx="1">
                  <c:v>0.66040268456375839</c:v>
                </c:pt>
                <c:pt idx="2">
                  <c:v>0.66040268456375839</c:v>
                </c:pt>
                <c:pt idx="3">
                  <c:v>0.66040268456375839</c:v>
                </c:pt>
                <c:pt idx="4">
                  <c:v>0.66040268456375839</c:v>
                </c:pt>
                <c:pt idx="5">
                  <c:v>0.66040268456375839</c:v>
                </c:pt>
                <c:pt idx="6">
                  <c:v>0.66040268456375839</c:v>
                </c:pt>
                <c:pt idx="7">
                  <c:v>0.66040268456375839</c:v>
                </c:pt>
                <c:pt idx="8">
                  <c:v>0.46718146718146719</c:v>
                </c:pt>
                <c:pt idx="9">
                  <c:v>0.46718146718146719</c:v>
                </c:pt>
                <c:pt idx="10">
                  <c:v>0.46718146718146719</c:v>
                </c:pt>
                <c:pt idx="11">
                  <c:v>0.46718146718146719</c:v>
                </c:pt>
                <c:pt idx="12">
                  <c:v>0.46718146718146719</c:v>
                </c:pt>
                <c:pt idx="13">
                  <c:v>0.46718146718146719</c:v>
                </c:pt>
                <c:pt idx="14">
                  <c:v>0.46718146718146719</c:v>
                </c:pt>
                <c:pt idx="15">
                  <c:v>0.46718146718146719</c:v>
                </c:pt>
                <c:pt idx="16">
                  <c:v>0.46718146718146719</c:v>
                </c:pt>
                <c:pt idx="17">
                  <c:v>0.46718146718146719</c:v>
                </c:pt>
                <c:pt idx="18">
                  <c:v>0.46718146718146719</c:v>
                </c:pt>
                <c:pt idx="19">
                  <c:v>0.46718146718146719</c:v>
                </c:pt>
                <c:pt idx="20">
                  <c:v>0.39564428312159711</c:v>
                </c:pt>
                <c:pt idx="21">
                  <c:v>0.39564428312159711</c:v>
                </c:pt>
                <c:pt idx="22">
                  <c:v>0.39564428312159711</c:v>
                </c:pt>
                <c:pt idx="23">
                  <c:v>0.39564428312159711</c:v>
                </c:pt>
                <c:pt idx="24">
                  <c:v>0.39564428312159711</c:v>
                </c:pt>
                <c:pt idx="25">
                  <c:v>0.39564428312159711</c:v>
                </c:pt>
                <c:pt idx="26">
                  <c:v>0.39564428312159711</c:v>
                </c:pt>
                <c:pt idx="27">
                  <c:v>0.39564428312159711</c:v>
                </c:pt>
                <c:pt idx="28">
                  <c:v>0.39564428312159711</c:v>
                </c:pt>
                <c:pt idx="29">
                  <c:v>0.39564428312159711</c:v>
                </c:pt>
                <c:pt idx="30">
                  <c:v>0.39564428312159711</c:v>
                </c:pt>
                <c:pt idx="31">
                  <c:v>0.39564428312159711</c:v>
                </c:pt>
                <c:pt idx="32">
                  <c:v>0.38823529411764707</c:v>
                </c:pt>
                <c:pt idx="33">
                  <c:v>0.38823529411764707</c:v>
                </c:pt>
                <c:pt idx="34">
                  <c:v>0.38823529411764707</c:v>
                </c:pt>
                <c:pt idx="35">
                  <c:v>0.38823529411764707</c:v>
                </c:pt>
                <c:pt idx="36">
                  <c:v>0.38823529411764707</c:v>
                </c:pt>
                <c:pt idx="37">
                  <c:v>0.38823529411764707</c:v>
                </c:pt>
                <c:pt idx="38">
                  <c:v>0.38823529411764707</c:v>
                </c:pt>
                <c:pt idx="39">
                  <c:v>0.38823529411764707</c:v>
                </c:pt>
                <c:pt idx="40">
                  <c:v>0.38823529411764707</c:v>
                </c:pt>
                <c:pt idx="41">
                  <c:v>0.38823529411764707</c:v>
                </c:pt>
                <c:pt idx="42">
                  <c:v>0.38823529411764707</c:v>
                </c:pt>
                <c:pt idx="43">
                  <c:v>0.38823529411764707</c:v>
                </c:pt>
                <c:pt idx="44">
                  <c:v>0.55309947140797688</c:v>
                </c:pt>
                <c:pt idx="45">
                  <c:v>0.55309947140797688</c:v>
                </c:pt>
                <c:pt idx="46">
                  <c:v>0.55309947140797688</c:v>
                </c:pt>
                <c:pt idx="47">
                  <c:v>0.55309947140797688</c:v>
                </c:pt>
                <c:pt idx="48">
                  <c:v>0.55309947140797688</c:v>
                </c:pt>
                <c:pt idx="49">
                  <c:v>0.55309947140797688</c:v>
                </c:pt>
                <c:pt idx="50">
                  <c:v>0.55309947140797688</c:v>
                </c:pt>
                <c:pt idx="51">
                  <c:v>0.55309947140797688</c:v>
                </c:pt>
                <c:pt idx="52">
                  <c:v>0.55309947140797688</c:v>
                </c:pt>
                <c:pt idx="53">
                  <c:v>0.55309947140797688</c:v>
                </c:pt>
                <c:pt idx="54">
                  <c:v>0.55309947140797688</c:v>
                </c:pt>
                <c:pt idx="55">
                  <c:v>0.55309947140797688</c:v>
                </c:pt>
                <c:pt idx="56">
                  <c:v>0.67052023121387283</c:v>
                </c:pt>
                <c:pt idx="57">
                  <c:v>0.67052023121387283</c:v>
                </c:pt>
                <c:pt idx="58">
                  <c:v>0.67052023121387283</c:v>
                </c:pt>
                <c:pt idx="59">
                  <c:v>0.67052023121387283</c:v>
                </c:pt>
                <c:pt idx="60">
                  <c:v>0.67052023121387283</c:v>
                </c:pt>
                <c:pt idx="61">
                  <c:v>0.67052023121387283</c:v>
                </c:pt>
                <c:pt idx="62">
                  <c:v>0.67052023121387283</c:v>
                </c:pt>
                <c:pt idx="63">
                  <c:v>0.67052023121387283</c:v>
                </c:pt>
                <c:pt idx="64">
                  <c:v>0.67052023121387283</c:v>
                </c:pt>
                <c:pt idx="65">
                  <c:v>0.67052023121387283</c:v>
                </c:pt>
                <c:pt idx="66">
                  <c:v>0.67052023121387283</c:v>
                </c:pt>
                <c:pt idx="67">
                  <c:v>0.67052023121387283</c:v>
                </c:pt>
                <c:pt idx="68">
                  <c:v>0.68277430358158042</c:v>
                </c:pt>
                <c:pt idx="69">
                  <c:v>0.68277430358158042</c:v>
                </c:pt>
                <c:pt idx="70">
                  <c:v>0.68277430358158042</c:v>
                </c:pt>
                <c:pt idx="71">
                  <c:v>0.68277430358158042</c:v>
                </c:pt>
                <c:pt idx="72">
                  <c:v>0.68277430358158042</c:v>
                </c:pt>
                <c:pt idx="73">
                  <c:v>0.68277430358158042</c:v>
                </c:pt>
                <c:pt idx="74">
                  <c:v>0.68277430358158042</c:v>
                </c:pt>
                <c:pt idx="75">
                  <c:v>0.68277430358158042</c:v>
                </c:pt>
                <c:pt idx="76">
                  <c:v>0.68277430358158042</c:v>
                </c:pt>
                <c:pt idx="77">
                  <c:v>0.68277430358158042</c:v>
                </c:pt>
                <c:pt idx="78">
                  <c:v>0.68277430358158042</c:v>
                </c:pt>
                <c:pt idx="79">
                  <c:v>0.68277430358158042</c:v>
                </c:pt>
                <c:pt idx="80">
                  <c:v>0.69070208728652749</c:v>
                </c:pt>
                <c:pt idx="81">
                  <c:v>0.69070208728652749</c:v>
                </c:pt>
                <c:pt idx="82">
                  <c:v>0.69070208728652749</c:v>
                </c:pt>
                <c:pt idx="83">
                  <c:v>0.69070208728652749</c:v>
                </c:pt>
                <c:pt idx="84">
                  <c:v>0.69070208728652749</c:v>
                </c:pt>
                <c:pt idx="85">
                  <c:v>0.69070208728652749</c:v>
                </c:pt>
                <c:pt idx="86">
                  <c:v>0.69070208728652749</c:v>
                </c:pt>
                <c:pt idx="87">
                  <c:v>0.69070208728652749</c:v>
                </c:pt>
                <c:pt idx="88">
                  <c:v>0.69070208728652749</c:v>
                </c:pt>
                <c:pt idx="89">
                  <c:v>0.69070208728652749</c:v>
                </c:pt>
                <c:pt idx="90">
                  <c:v>0.69070208728652749</c:v>
                </c:pt>
                <c:pt idx="91">
                  <c:v>0.69070208728652749</c:v>
                </c:pt>
                <c:pt idx="92">
                  <c:v>0.66643598615916955</c:v>
                </c:pt>
                <c:pt idx="93">
                  <c:v>0.66643598615916955</c:v>
                </c:pt>
                <c:pt idx="94">
                  <c:v>0.66643598615916955</c:v>
                </c:pt>
                <c:pt idx="95">
                  <c:v>0.66643598615916955</c:v>
                </c:pt>
                <c:pt idx="96">
                  <c:v>0.66643598615916955</c:v>
                </c:pt>
                <c:pt idx="97">
                  <c:v>0.66643598615916955</c:v>
                </c:pt>
                <c:pt idx="98">
                  <c:v>0.66643598615916955</c:v>
                </c:pt>
                <c:pt idx="99">
                  <c:v>0.66643598615916955</c:v>
                </c:pt>
                <c:pt idx="100">
                  <c:v>0.66643598615916955</c:v>
                </c:pt>
                <c:pt idx="101">
                  <c:v>0.66643598615916955</c:v>
                </c:pt>
                <c:pt idx="102">
                  <c:v>0.66643598615916955</c:v>
                </c:pt>
                <c:pt idx="103">
                  <c:v>0.66643598615916955</c:v>
                </c:pt>
                <c:pt idx="104">
                  <c:v>0.69267822736030826</c:v>
                </c:pt>
                <c:pt idx="105">
                  <c:v>0.69267822736030826</c:v>
                </c:pt>
                <c:pt idx="106">
                  <c:v>0.69267822736030826</c:v>
                </c:pt>
                <c:pt idx="107">
                  <c:v>0.69267822736030826</c:v>
                </c:pt>
                <c:pt idx="108">
                  <c:v>0.69267822736030826</c:v>
                </c:pt>
                <c:pt idx="109">
                  <c:v>0.69267822736030826</c:v>
                </c:pt>
                <c:pt idx="110">
                  <c:v>0.69267822736030826</c:v>
                </c:pt>
                <c:pt idx="111">
                  <c:v>0.69267822736030826</c:v>
                </c:pt>
                <c:pt idx="112">
                  <c:v>0.69267822736030826</c:v>
                </c:pt>
                <c:pt idx="113">
                  <c:v>0.69267822736030826</c:v>
                </c:pt>
                <c:pt idx="114">
                  <c:v>0.69267822736030826</c:v>
                </c:pt>
                <c:pt idx="115">
                  <c:v>0.69267822736030826</c:v>
                </c:pt>
                <c:pt idx="116">
                  <c:v>0.64153005464480872</c:v>
                </c:pt>
                <c:pt idx="117">
                  <c:v>0.64153005464480872</c:v>
                </c:pt>
                <c:pt idx="118">
                  <c:v>0.64153005464480872</c:v>
                </c:pt>
                <c:pt idx="119">
                  <c:v>0.64153005464480872</c:v>
                </c:pt>
                <c:pt idx="120">
                  <c:v>0.64153005464480872</c:v>
                </c:pt>
                <c:pt idx="121">
                  <c:v>0.64153005464480872</c:v>
                </c:pt>
                <c:pt idx="122">
                  <c:v>0.64153005464480872</c:v>
                </c:pt>
                <c:pt idx="123">
                  <c:v>0.64153005464480872</c:v>
                </c:pt>
                <c:pt idx="124">
                  <c:v>0.64153005464480872</c:v>
                </c:pt>
                <c:pt idx="125">
                  <c:v>0.64153005464480872</c:v>
                </c:pt>
                <c:pt idx="126">
                  <c:v>0.64153005464480872</c:v>
                </c:pt>
                <c:pt idx="127">
                  <c:v>0.64153005464480872</c:v>
                </c:pt>
                <c:pt idx="128">
                  <c:v>0.55517536355859709</c:v>
                </c:pt>
                <c:pt idx="129">
                  <c:v>0.55517536355859709</c:v>
                </c:pt>
                <c:pt idx="130">
                  <c:v>0.55517536355859709</c:v>
                </c:pt>
                <c:pt idx="131">
                  <c:v>0.55517536355859709</c:v>
                </c:pt>
                <c:pt idx="132">
                  <c:v>0.55517536355859709</c:v>
                </c:pt>
                <c:pt idx="133">
                  <c:v>0.55517536355859709</c:v>
                </c:pt>
                <c:pt idx="134">
                  <c:v>0.55517536355859709</c:v>
                </c:pt>
                <c:pt idx="135">
                  <c:v>0.55517536355859709</c:v>
                </c:pt>
                <c:pt idx="136">
                  <c:v>0.55517536355859709</c:v>
                </c:pt>
                <c:pt idx="137">
                  <c:v>0.55517536355859709</c:v>
                </c:pt>
                <c:pt idx="138">
                  <c:v>0.55517536355859709</c:v>
                </c:pt>
                <c:pt idx="139">
                  <c:v>0.55517536355859709</c:v>
                </c:pt>
                <c:pt idx="140">
                  <c:v>0.54906832298136643</c:v>
                </c:pt>
                <c:pt idx="141">
                  <c:v>0.54906832298136643</c:v>
                </c:pt>
                <c:pt idx="142">
                  <c:v>0.54906832298136643</c:v>
                </c:pt>
                <c:pt idx="143">
                  <c:v>0.54906832298136643</c:v>
                </c:pt>
                <c:pt idx="144">
                  <c:v>0.54906832298136643</c:v>
                </c:pt>
                <c:pt idx="145">
                  <c:v>0.54906832298136643</c:v>
                </c:pt>
                <c:pt idx="146">
                  <c:v>0.54906832298136643</c:v>
                </c:pt>
                <c:pt idx="147">
                  <c:v>0.54906832298136643</c:v>
                </c:pt>
              </c:numCache>
            </c:numRef>
          </c:val>
        </c:ser>
        <c:ser>
          <c:idx val="1"/>
          <c:order val="1"/>
          <c:tx>
            <c:v>VA</c:v>
          </c:tx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Query'!$Z$5:$Z$152</c:f>
              <c:numCache>
                <c:formatCode>0%</c:formatCode>
                <c:ptCount val="148"/>
                <c:pt idx="0">
                  <c:v>1.4765100671140939E-2</c:v>
                </c:pt>
                <c:pt idx="1">
                  <c:v>1.4765100671140939E-2</c:v>
                </c:pt>
                <c:pt idx="2">
                  <c:v>1.4765100671140939E-2</c:v>
                </c:pt>
                <c:pt idx="3">
                  <c:v>1.4765100671140939E-2</c:v>
                </c:pt>
                <c:pt idx="4">
                  <c:v>1.4765100671140939E-2</c:v>
                </c:pt>
                <c:pt idx="5">
                  <c:v>1.4765100671140939E-2</c:v>
                </c:pt>
                <c:pt idx="6">
                  <c:v>1.4765100671140939E-2</c:v>
                </c:pt>
                <c:pt idx="7">
                  <c:v>1.4765100671140939E-2</c:v>
                </c:pt>
                <c:pt idx="8">
                  <c:v>1.3030888030888031E-2</c:v>
                </c:pt>
                <c:pt idx="9">
                  <c:v>1.3030888030888031E-2</c:v>
                </c:pt>
                <c:pt idx="10">
                  <c:v>1.3030888030888031E-2</c:v>
                </c:pt>
                <c:pt idx="11">
                  <c:v>1.3030888030888031E-2</c:v>
                </c:pt>
                <c:pt idx="12">
                  <c:v>1.3030888030888031E-2</c:v>
                </c:pt>
                <c:pt idx="13">
                  <c:v>1.3030888030888031E-2</c:v>
                </c:pt>
                <c:pt idx="14">
                  <c:v>1.3030888030888031E-2</c:v>
                </c:pt>
                <c:pt idx="15">
                  <c:v>1.3030888030888031E-2</c:v>
                </c:pt>
                <c:pt idx="16">
                  <c:v>1.3030888030888031E-2</c:v>
                </c:pt>
                <c:pt idx="17">
                  <c:v>1.3030888030888031E-2</c:v>
                </c:pt>
                <c:pt idx="18">
                  <c:v>1.3030888030888031E-2</c:v>
                </c:pt>
                <c:pt idx="19">
                  <c:v>1.3030888030888031E-2</c:v>
                </c:pt>
                <c:pt idx="20">
                  <c:v>8.1669691470054439E-3</c:v>
                </c:pt>
                <c:pt idx="21">
                  <c:v>8.1669691470054439E-3</c:v>
                </c:pt>
                <c:pt idx="22">
                  <c:v>8.1669691470054439E-3</c:v>
                </c:pt>
                <c:pt idx="23">
                  <c:v>8.1669691470054439E-3</c:v>
                </c:pt>
                <c:pt idx="24">
                  <c:v>8.1669691470054439E-3</c:v>
                </c:pt>
                <c:pt idx="25">
                  <c:v>8.1669691470054439E-3</c:v>
                </c:pt>
                <c:pt idx="26">
                  <c:v>8.1669691470054439E-3</c:v>
                </c:pt>
                <c:pt idx="27">
                  <c:v>8.1669691470054439E-3</c:v>
                </c:pt>
                <c:pt idx="28">
                  <c:v>8.1669691470054439E-3</c:v>
                </c:pt>
                <c:pt idx="29">
                  <c:v>8.1669691470054439E-3</c:v>
                </c:pt>
                <c:pt idx="30">
                  <c:v>8.1669691470054439E-3</c:v>
                </c:pt>
                <c:pt idx="31">
                  <c:v>8.1669691470054439E-3</c:v>
                </c:pt>
                <c:pt idx="32">
                  <c:v>7.8431372549019607E-3</c:v>
                </c:pt>
                <c:pt idx="33">
                  <c:v>7.8431372549019607E-3</c:v>
                </c:pt>
                <c:pt idx="34">
                  <c:v>7.8431372549019607E-3</c:v>
                </c:pt>
                <c:pt idx="35">
                  <c:v>7.8431372549019607E-3</c:v>
                </c:pt>
                <c:pt idx="36">
                  <c:v>7.8431372549019607E-3</c:v>
                </c:pt>
                <c:pt idx="37">
                  <c:v>7.8431372549019607E-3</c:v>
                </c:pt>
                <c:pt idx="38">
                  <c:v>7.8431372549019607E-3</c:v>
                </c:pt>
                <c:pt idx="39">
                  <c:v>7.8431372549019607E-3</c:v>
                </c:pt>
                <c:pt idx="40">
                  <c:v>7.8431372549019607E-3</c:v>
                </c:pt>
                <c:pt idx="41">
                  <c:v>7.8431372549019607E-3</c:v>
                </c:pt>
                <c:pt idx="42">
                  <c:v>7.8431372549019607E-3</c:v>
                </c:pt>
                <c:pt idx="43">
                  <c:v>7.8431372549019607E-3</c:v>
                </c:pt>
                <c:pt idx="44">
                  <c:v>1.3935607880826525E-2</c:v>
                </c:pt>
                <c:pt idx="45">
                  <c:v>1.3935607880826525E-2</c:v>
                </c:pt>
                <c:pt idx="46">
                  <c:v>1.3935607880826525E-2</c:v>
                </c:pt>
                <c:pt idx="47">
                  <c:v>1.3935607880826525E-2</c:v>
                </c:pt>
                <c:pt idx="48">
                  <c:v>1.3935607880826525E-2</c:v>
                </c:pt>
                <c:pt idx="49">
                  <c:v>1.3935607880826525E-2</c:v>
                </c:pt>
                <c:pt idx="50">
                  <c:v>1.3935607880826525E-2</c:v>
                </c:pt>
                <c:pt idx="51">
                  <c:v>1.3935607880826525E-2</c:v>
                </c:pt>
                <c:pt idx="52">
                  <c:v>1.3935607880826525E-2</c:v>
                </c:pt>
                <c:pt idx="53">
                  <c:v>1.3935607880826525E-2</c:v>
                </c:pt>
                <c:pt idx="54">
                  <c:v>1.3935607880826525E-2</c:v>
                </c:pt>
                <c:pt idx="55">
                  <c:v>1.3935607880826525E-2</c:v>
                </c:pt>
                <c:pt idx="56">
                  <c:v>5.2926300578034685E-2</c:v>
                </c:pt>
                <c:pt idx="57">
                  <c:v>5.2926300578034685E-2</c:v>
                </c:pt>
                <c:pt idx="58">
                  <c:v>5.2926300578034685E-2</c:v>
                </c:pt>
                <c:pt idx="59">
                  <c:v>5.2926300578034685E-2</c:v>
                </c:pt>
                <c:pt idx="60">
                  <c:v>5.2926300578034685E-2</c:v>
                </c:pt>
                <c:pt idx="61">
                  <c:v>5.2926300578034685E-2</c:v>
                </c:pt>
                <c:pt idx="62">
                  <c:v>5.2926300578034685E-2</c:v>
                </c:pt>
                <c:pt idx="63">
                  <c:v>5.2926300578034685E-2</c:v>
                </c:pt>
                <c:pt idx="64">
                  <c:v>5.2926300578034685E-2</c:v>
                </c:pt>
                <c:pt idx="65">
                  <c:v>5.2926300578034685E-2</c:v>
                </c:pt>
                <c:pt idx="66">
                  <c:v>5.2926300578034685E-2</c:v>
                </c:pt>
                <c:pt idx="67">
                  <c:v>5.2926300578034685E-2</c:v>
                </c:pt>
                <c:pt idx="68">
                  <c:v>6.4098919840818641E-2</c:v>
                </c:pt>
                <c:pt idx="69">
                  <c:v>6.4098919840818641E-2</c:v>
                </c:pt>
                <c:pt idx="70">
                  <c:v>6.4098919840818641E-2</c:v>
                </c:pt>
                <c:pt idx="71">
                  <c:v>6.4098919840818641E-2</c:v>
                </c:pt>
                <c:pt idx="72">
                  <c:v>6.4098919840818641E-2</c:v>
                </c:pt>
                <c:pt idx="73">
                  <c:v>6.4098919840818641E-2</c:v>
                </c:pt>
                <c:pt idx="74">
                  <c:v>6.4098919840818641E-2</c:v>
                </c:pt>
                <c:pt idx="75">
                  <c:v>6.4098919840818641E-2</c:v>
                </c:pt>
                <c:pt idx="76">
                  <c:v>6.4098919840818641E-2</c:v>
                </c:pt>
                <c:pt idx="77">
                  <c:v>6.4098919840818641E-2</c:v>
                </c:pt>
                <c:pt idx="78">
                  <c:v>6.4098919840818641E-2</c:v>
                </c:pt>
                <c:pt idx="79">
                  <c:v>6.4098919840818641E-2</c:v>
                </c:pt>
                <c:pt idx="80">
                  <c:v>5.9614168247944341E-2</c:v>
                </c:pt>
                <c:pt idx="81">
                  <c:v>5.9614168247944341E-2</c:v>
                </c:pt>
                <c:pt idx="82">
                  <c:v>5.9614168247944341E-2</c:v>
                </c:pt>
                <c:pt idx="83">
                  <c:v>5.9614168247944341E-2</c:v>
                </c:pt>
                <c:pt idx="84">
                  <c:v>5.9614168247944341E-2</c:v>
                </c:pt>
                <c:pt idx="85">
                  <c:v>5.9614168247944341E-2</c:v>
                </c:pt>
                <c:pt idx="86">
                  <c:v>5.9614168247944341E-2</c:v>
                </c:pt>
                <c:pt idx="87">
                  <c:v>5.9614168247944341E-2</c:v>
                </c:pt>
                <c:pt idx="88">
                  <c:v>5.9614168247944341E-2</c:v>
                </c:pt>
                <c:pt idx="89">
                  <c:v>5.9614168247944341E-2</c:v>
                </c:pt>
                <c:pt idx="90">
                  <c:v>5.9614168247944341E-2</c:v>
                </c:pt>
                <c:pt idx="91">
                  <c:v>5.9614168247944341E-2</c:v>
                </c:pt>
                <c:pt idx="92">
                  <c:v>5.0865051903114189E-2</c:v>
                </c:pt>
                <c:pt idx="93">
                  <c:v>5.0865051903114189E-2</c:v>
                </c:pt>
                <c:pt idx="94">
                  <c:v>5.0865051903114189E-2</c:v>
                </c:pt>
                <c:pt idx="95">
                  <c:v>5.0865051903114189E-2</c:v>
                </c:pt>
                <c:pt idx="96">
                  <c:v>5.0865051903114189E-2</c:v>
                </c:pt>
                <c:pt idx="97">
                  <c:v>5.0865051903114189E-2</c:v>
                </c:pt>
                <c:pt idx="98">
                  <c:v>5.0865051903114189E-2</c:v>
                </c:pt>
                <c:pt idx="99">
                  <c:v>5.0865051903114189E-2</c:v>
                </c:pt>
                <c:pt idx="100">
                  <c:v>5.0865051903114189E-2</c:v>
                </c:pt>
                <c:pt idx="101">
                  <c:v>5.0865051903114189E-2</c:v>
                </c:pt>
                <c:pt idx="102">
                  <c:v>5.0865051903114189E-2</c:v>
                </c:pt>
                <c:pt idx="103">
                  <c:v>5.0865051903114189E-2</c:v>
                </c:pt>
                <c:pt idx="104">
                  <c:v>4.6965317919075142E-2</c:v>
                </c:pt>
                <c:pt idx="105">
                  <c:v>4.6965317919075142E-2</c:v>
                </c:pt>
                <c:pt idx="106">
                  <c:v>4.6965317919075142E-2</c:v>
                </c:pt>
                <c:pt idx="107">
                  <c:v>4.6965317919075142E-2</c:v>
                </c:pt>
                <c:pt idx="108">
                  <c:v>4.6965317919075142E-2</c:v>
                </c:pt>
                <c:pt idx="109">
                  <c:v>4.6965317919075142E-2</c:v>
                </c:pt>
                <c:pt idx="110">
                  <c:v>4.6965317919075142E-2</c:v>
                </c:pt>
                <c:pt idx="111">
                  <c:v>4.6965317919075142E-2</c:v>
                </c:pt>
                <c:pt idx="112">
                  <c:v>4.6965317919075142E-2</c:v>
                </c:pt>
                <c:pt idx="113">
                  <c:v>4.6965317919075142E-2</c:v>
                </c:pt>
                <c:pt idx="114">
                  <c:v>4.6965317919075142E-2</c:v>
                </c:pt>
                <c:pt idx="115">
                  <c:v>4.6965317919075142E-2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5.9238665526090674E-2</c:v>
                </c:pt>
                <c:pt idx="129">
                  <c:v>5.9238665526090674E-2</c:v>
                </c:pt>
                <c:pt idx="130">
                  <c:v>5.9238665526090674E-2</c:v>
                </c:pt>
                <c:pt idx="131">
                  <c:v>5.9238665526090674E-2</c:v>
                </c:pt>
                <c:pt idx="132">
                  <c:v>5.9238665526090674E-2</c:v>
                </c:pt>
                <c:pt idx="133">
                  <c:v>5.9238665526090674E-2</c:v>
                </c:pt>
                <c:pt idx="134">
                  <c:v>5.9238665526090674E-2</c:v>
                </c:pt>
                <c:pt idx="135">
                  <c:v>5.9238665526090674E-2</c:v>
                </c:pt>
                <c:pt idx="136">
                  <c:v>5.9238665526090674E-2</c:v>
                </c:pt>
                <c:pt idx="137">
                  <c:v>5.9238665526090674E-2</c:v>
                </c:pt>
                <c:pt idx="138">
                  <c:v>5.9238665526090674E-2</c:v>
                </c:pt>
                <c:pt idx="139">
                  <c:v>5.9238665526090674E-2</c:v>
                </c:pt>
                <c:pt idx="140">
                  <c:v>6.0869565217391307E-2</c:v>
                </c:pt>
                <c:pt idx="141">
                  <c:v>6.0869565217391307E-2</c:v>
                </c:pt>
                <c:pt idx="142">
                  <c:v>6.0869565217391307E-2</c:v>
                </c:pt>
                <c:pt idx="143">
                  <c:v>6.0869565217391307E-2</c:v>
                </c:pt>
                <c:pt idx="144">
                  <c:v>6.0869565217391307E-2</c:v>
                </c:pt>
                <c:pt idx="145">
                  <c:v>6.0869565217391307E-2</c:v>
                </c:pt>
                <c:pt idx="146">
                  <c:v>6.0869565217391307E-2</c:v>
                </c:pt>
                <c:pt idx="147">
                  <c:v>6.0869565217391307E-2</c:v>
                </c:pt>
              </c:numCache>
            </c:numRef>
          </c:val>
        </c:ser>
        <c:ser>
          <c:idx val="2"/>
          <c:order val="2"/>
          <c:tx>
            <c:v>FHA</c:v>
          </c:tx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Query'!$AA$5:$AA$152</c:f>
              <c:numCache>
                <c:formatCode>0%</c:formatCode>
                <c:ptCount val="148"/>
                <c:pt idx="0">
                  <c:v>4.429530201342282E-2</c:v>
                </c:pt>
                <c:pt idx="1">
                  <c:v>4.429530201342282E-2</c:v>
                </c:pt>
                <c:pt idx="2">
                  <c:v>4.429530201342282E-2</c:v>
                </c:pt>
                <c:pt idx="3">
                  <c:v>4.429530201342282E-2</c:v>
                </c:pt>
                <c:pt idx="4">
                  <c:v>4.429530201342282E-2</c:v>
                </c:pt>
                <c:pt idx="5">
                  <c:v>4.429530201342282E-2</c:v>
                </c:pt>
                <c:pt idx="6">
                  <c:v>4.429530201342282E-2</c:v>
                </c:pt>
                <c:pt idx="7">
                  <c:v>4.429530201342282E-2</c:v>
                </c:pt>
                <c:pt idx="8">
                  <c:v>3.9092664092664091E-2</c:v>
                </c:pt>
                <c:pt idx="9">
                  <c:v>3.9092664092664091E-2</c:v>
                </c:pt>
                <c:pt idx="10">
                  <c:v>3.9092664092664091E-2</c:v>
                </c:pt>
                <c:pt idx="11">
                  <c:v>3.9092664092664091E-2</c:v>
                </c:pt>
                <c:pt idx="12">
                  <c:v>3.9092664092664091E-2</c:v>
                </c:pt>
                <c:pt idx="13">
                  <c:v>3.9092664092664091E-2</c:v>
                </c:pt>
                <c:pt idx="14">
                  <c:v>3.9092664092664091E-2</c:v>
                </c:pt>
                <c:pt idx="15">
                  <c:v>3.9092664092664091E-2</c:v>
                </c:pt>
                <c:pt idx="16">
                  <c:v>3.9092664092664091E-2</c:v>
                </c:pt>
                <c:pt idx="17">
                  <c:v>3.9092664092664091E-2</c:v>
                </c:pt>
                <c:pt idx="18">
                  <c:v>3.9092664092664091E-2</c:v>
                </c:pt>
                <c:pt idx="19">
                  <c:v>3.9092664092664091E-2</c:v>
                </c:pt>
                <c:pt idx="20">
                  <c:v>2.4500907441016333E-2</c:v>
                </c:pt>
                <c:pt idx="21">
                  <c:v>2.4500907441016333E-2</c:v>
                </c:pt>
                <c:pt idx="22">
                  <c:v>2.4500907441016333E-2</c:v>
                </c:pt>
                <c:pt idx="23">
                  <c:v>2.4500907441016333E-2</c:v>
                </c:pt>
                <c:pt idx="24">
                  <c:v>2.4500907441016333E-2</c:v>
                </c:pt>
                <c:pt idx="25">
                  <c:v>2.4500907441016333E-2</c:v>
                </c:pt>
                <c:pt idx="26">
                  <c:v>2.4500907441016333E-2</c:v>
                </c:pt>
                <c:pt idx="27">
                  <c:v>2.4500907441016333E-2</c:v>
                </c:pt>
                <c:pt idx="28">
                  <c:v>2.4500907441016333E-2</c:v>
                </c:pt>
                <c:pt idx="29">
                  <c:v>2.4500907441016333E-2</c:v>
                </c:pt>
                <c:pt idx="30">
                  <c:v>2.4500907441016333E-2</c:v>
                </c:pt>
                <c:pt idx="31">
                  <c:v>2.4500907441016333E-2</c:v>
                </c:pt>
                <c:pt idx="32">
                  <c:v>2.3529411764705882E-2</c:v>
                </c:pt>
                <c:pt idx="33">
                  <c:v>2.3529411764705882E-2</c:v>
                </c:pt>
                <c:pt idx="34">
                  <c:v>2.3529411764705882E-2</c:v>
                </c:pt>
                <c:pt idx="35">
                  <c:v>2.3529411764705882E-2</c:v>
                </c:pt>
                <c:pt idx="36">
                  <c:v>2.3529411764705882E-2</c:v>
                </c:pt>
                <c:pt idx="37">
                  <c:v>2.3529411764705882E-2</c:v>
                </c:pt>
                <c:pt idx="38">
                  <c:v>2.3529411764705882E-2</c:v>
                </c:pt>
                <c:pt idx="39">
                  <c:v>2.3529411764705882E-2</c:v>
                </c:pt>
                <c:pt idx="40">
                  <c:v>2.3529411764705882E-2</c:v>
                </c:pt>
                <c:pt idx="41">
                  <c:v>2.3529411764705882E-2</c:v>
                </c:pt>
                <c:pt idx="42">
                  <c:v>2.3529411764705882E-2</c:v>
                </c:pt>
                <c:pt idx="43">
                  <c:v>2.3529411764705882E-2</c:v>
                </c:pt>
                <c:pt idx="44">
                  <c:v>4.1806823642479576E-2</c:v>
                </c:pt>
                <c:pt idx="45">
                  <c:v>4.1806823642479576E-2</c:v>
                </c:pt>
                <c:pt idx="46">
                  <c:v>4.1806823642479576E-2</c:v>
                </c:pt>
                <c:pt idx="47">
                  <c:v>4.1806823642479576E-2</c:v>
                </c:pt>
                <c:pt idx="48">
                  <c:v>4.1806823642479576E-2</c:v>
                </c:pt>
                <c:pt idx="49">
                  <c:v>4.1806823642479576E-2</c:v>
                </c:pt>
                <c:pt idx="50">
                  <c:v>4.1806823642479576E-2</c:v>
                </c:pt>
                <c:pt idx="51">
                  <c:v>4.1806823642479576E-2</c:v>
                </c:pt>
                <c:pt idx="52">
                  <c:v>4.1806823642479576E-2</c:v>
                </c:pt>
                <c:pt idx="53">
                  <c:v>4.1806823642479576E-2</c:v>
                </c:pt>
                <c:pt idx="54">
                  <c:v>4.1806823642479576E-2</c:v>
                </c:pt>
                <c:pt idx="55">
                  <c:v>4.1806823642479576E-2</c:v>
                </c:pt>
                <c:pt idx="56">
                  <c:v>0.15877890173410406</c:v>
                </c:pt>
                <c:pt idx="57">
                  <c:v>0.15877890173410406</c:v>
                </c:pt>
                <c:pt idx="58">
                  <c:v>0.15877890173410406</c:v>
                </c:pt>
                <c:pt idx="59">
                  <c:v>0.15877890173410406</c:v>
                </c:pt>
                <c:pt idx="60">
                  <c:v>0.15877890173410406</c:v>
                </c:pt>
                <c:pt idx="61">
                  <c:v>0.15877890173410406</c:v>
                </c:pt>
                <c:pt idx="62">
                  <c:v>0.15877890173410406</c:v>
                </c:pt>
                <c:pt idx="63">
                  <c:v>0.15877890173410406</c:v>
                </c:pt>
                <c:pt idx="64">
                  <c:v>0.15877890173410406</c:v>
                </c:pt>
                <c:pt idx="65">
                  <c:v>0.15877890173410406</c:v>
                </c:pt>
                <c:pt idx="66">
                  <c:v>0.15877890173410406</c:v>
                </c:pt>
                <c:pt idx="67">
                  <c:v>0.15877890173410406</c:v>
                </c:pt>
                <c:pt idx="68">
                  <c:v>0.19229675952245595</c:v>
                </c:pt>
                <c:pt idx="69">
                  <c:v>0.19229675952245595</c:v>
                </c:pt>
                <c:pt idx="70">
                  <c:v>0.19229675952245595</c:v>
                </c:pt>
                <c:pt idx="71">
                  <c:v>0.19229675952245595</c:v>
                </c:pt>
                <c:pt idx="72">
                  <c:v>0.19229675952245595</c:v>
                </c:pt>
                <c:pt idx="73">
                  <c:v>0.19229675952245595</c:v>
                </c:pt>
                <c:pt idx="74">
                  <c:v>0.19229675952245595</c:v>
                </c:pt>
                <c:pt idx="75">
                  <c:v>0.19229675952245595</c:v>
                </c:pt>
                <c:pt idx="76">
                  <c:v>0.19229675952245595</c:v>
                </c:pt>
                <c:pt idx="77">
                  <c:v>0.19229675952245595</c:v>
                </c:pt>
                <c:pt idx="78">
                  <c:v>0.19229675952245595</c:v>
                </c:pt>
                <c:pt idx="79">
                  <c:v>0.19229675952245595</c:v>
                </c:pt>
                <c:pt idx="80">
                  <c:v>0.17884250474383301</c:v>
                </c:pt>
                <c:pt idx="81">
                  <c:v>0.17884250474383301</c:v>
                </c:pt>
                <c:pt idx="82">
                  <c:v>0.17884250474383301</c:v>
                </c:pt>
                <c:pt idx="83">
                  <c:v>0.17884250474383301</c:v>
                </c:pt>
                <c:pt idx="84">
                  <c:v>0.17884250474383301</c:v>
                </c:pt>
                <c:pt idx="85">
                  <c:v>0.17884250474383301</c:v>
                </c:pt>
                <c:pt idx="86">
                  <c:v>0.17884250474383301</c:v>
                </c:pt>
                <c:pt idx="87">
                  <c:v>0.17884250474383301</c:v>
                </c:pt>
                <c:pt idx="88">
                  <c:v>0.17884250474383301</c:v>
                </c:pt>
                <c:pt idx="89">
                  <c:v>0.17884250474383301</c:v>
                </c:pt>
                <c:pt idx="90">
                  <c:v>0.17884250474383301</c:v>
                </c:pt>
                <c:pt idx="91">
                  <c:v>0.17884250474383301</c:v>
                </c:pt>
                <c:pt idx="92">
                  <c:v>0.15259515570934257</c:v>
                </c:pt>
                <c:pt idx="93">
                  <c:v>0.15259515570934257</c:v>
                </c:pt>
                <c:pt idx="94">
                  <c:v>0.15259515570934257</c:v>
                </c:pt>
                <c:pt idx="95">
                  <c:v>0.15259515570934257</c:v>
                </c:pt>
                <c:pt idx="96">
                  <c:v>0.15259515570934257</c:v>
                </c:pt>
                <c:pt idx="97">
                  <c:v>0.15259515570934257</c:v>
                </c:pt>
                <c:pt idx="98">
                  <c:v>0.15259515570934257</c:v>
                </c:pt>
                <c:pt idx="99">
                  <c:v>0.15259515570934257</c:v>
                </c:pt>
                <c:pt idx="100">
                  <c:v>0.15259515570934257</c:v>
                </c:pt>
                <c:pt idx="101">
                  <c:v>0.15259515570934257</c:v>
                </c:pt>
                <c:pt idx="102">
                  <c:v>0.15259515570934257</c:v>
                </c:pt>
                <c:pt idx="103">
                  <c:v>0.15259515570934257</c:v>
                </c:pt>
                <c:pt idx="104">
                  <c:v>0.14089595375722544</c:v>
                </c:pt>
                <c:pt idx="105">
                  <c:v>0.14089595375722544</c:v>
                </c:pt>
                <c:pt idx="106">
                  <c:v>0.14089595375722544</c:v>
                </c:pt>
                <c:pt idx="107">
                  <c:v>0.14089595375722544</c:v>
                </c:pt>
                <c:pt idx="108">
                  <c:v>0.14089595375722544</c:v>
                </c:pt>
                <c:pt idx="109">
                  <c:v>0.14089595375722544</c:v>
                </c:pt>
                <c:pt idx="110">
                  <c:v>0.14089595375722544</c:v>
                </c:pt>
                <c:pt idx="111">
                  <c:v>0.14089595375722544</c:v>
                </c:pt>
                <c:pt idx="112">
                  <c:v>0.14089595375722544</c:v>
                </c:pt>
                <c:pt idx="113">
                  <c:v>0.14089595375722544</c:v>
                </c:pt>
                <c:pt idx="114">
                  <c:v>0.14089595375722544</c:v>
                </c:pt>
                <c:pt idx="115">
                  <c:v>0.14089595375722544</c:v>
                </c:pt>
                <c:pt idx="116">
                  <c:v>0.15</c:v>
                </c:pt>
                <c:pt idx="117">
                  <c:v>0.15</c:v>
                </c:pt>
                <c:pt idx="118">
                  <c:v>0.15</c:v>
                </c:pt>
                <c:pt idx="119">
                  <c:v>0.15</c:v>
                </c:pt>
                <c:pt idx="120">
                  <c:v>0.15</c:v>
                </c:pt>
                <c:pt idx="121">
                  <c:v>0.15</c:v>
                </c:pt>
                <c:pt idx="122">
                  <c:v>0.15</c:v>
                </c:pt>
                <c:pt idx="123">
                  <c:v>0.15</c:v>
                </c:pt>
                <c:pt idx="124">
                  <c:v>0.15</c:v>
                </c:pt>
                <c:pt idx="125">
                  <c:v>0.15</c:v>
                </c:pt>
                <c:pt idx="126">
                  <c:v>0.15</c:v>
                </c:pt>
                <c:pt idx="127">
                  <c:v>0.15</c:v>
                </c:pt>
                <c:pt idx="128">
                  <c:v>0.17771599657827203</c:v>
                </c:pt>
                <c:pt idx="129">
                  <c:v>0.17771599657827203</c:v>
                </c:pt>
                <c:pt idx="130">
                  <c:v>0.17771599657827203</c:v>
                </c:pt>
                <c:pt idx="131">
                  <c:v>0.17771599657827203</c:v>
                </c:pt>
                <c:pt idx="132">
                  <c:v>0.17771599657827203</c:v>
                </c:pt>
                <c:pt idx="133">
                  <c:v>0.17771599657827203</c:v>
                </c:pt>
                <c:pt idx="134">
                  <c:v>0.17771599657827203</c:v>
                </c:pt>
                <c:pt idx="135">
                  <c:v>0.17771599657827203</c:v>
                </c:pt>
                <c:pt idx="136">
                  <c:v>0.17771599657827203</c:v>
                </c:pt>
                <c:pt idx="137">
                  <c:v>0.17771599657827203</c:v>
                </c:pt>
                <c:pt idx="138">
                  <c:v>0.17771599657827203</c:v>
                </c:pt>
                <c:pt idx="139">
                  <c:v>0.17771599657827203</c:v>
                </c:pt>
                <c:pt idx="140">
                  <c:v>0.18260869565217391</c:v>
                </c:pt>
                <c:pt idx="141">
                  <c:v>0.18260869565217391</c:v>
                </c:pt>
                <c:pt idx="142">
                  <c:v>0.18260869565217391</c:v>
                </c:pt>
                <c:pt idx="143">
                  <c:v>0.18260869565217391</c:v>
                </c:pt>
                <c:pt idx="144">
                  <c:v>0.18260869565217391</c:v>
                </c:pt>
                <c:pt idx="145">
                  <c:v>0.18260869565217391</c:v>
                </c:pt>
                <c:pt idx="146">
                  <c:v>0.18260869565217391</c:v>
                </c:pt>
                <c:pt idx="147">
                  <c:v>0.18260869565217391</c:v>
                </c:pt>
              </c:numCache>
            </c:numRef>
          </c:val>
        </c:ser>
        <c:ser>
          <c:idx val="3"/>
          <c:order val="3"/>
          <c:tx>
            <c:v>Jumbo</c:v>
          </c:tx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Query'!$AB$5:$AB$152</c:f>
              <c:numCache>
                <c:formatCode>0%</c:formatCode>
                <c:ptCount val="148"/>
                <c:pt idx="0">
                  <c:v>0.17449664429530201</c:v>
                </c:pt>
                <c:pt idx="1">
                  <c:v>0.17449664429530201</c:v>
                </c:pt>
                <c:pt idx="2">
                  <c:v>0.17449664429530201</c:v>
                </c:pt>
                <c:pt idx="3">
                  <c:v>0.17449664429530201</c:v>
                </c:pt>
                <c:pt idx="4">
                  <c:v>0.17449664429530201</c:v>
                </c:pt>
                <c:pt idx="5">
                  <c:v>0.17449664429530201</c:v>
                </c:pt>
                <c:pt idx="6">
                  <c:v>0.17449664429530201</c:v>
                </c:pt>
                <c:pt idx="7">
                  <c:v>0.17449664429530201</c:v>
                </c:pt>
                <c:pt idx="8">
                  <c:v>0.19884169884169883</c:v>
                </c:pt>
                <c:pt idx="9">
                  <c:v>0.19884169884169883</c:v>
                </c:pt>
                <c:pt idx="10">
                  <c:v>0.19884169884169883</c:v>
                </c:pt>
                <c:pt idx="11">
                  <c:v>0.19884169884169883</c:v>
                </c:pt>
                <c:pt idx="12">
                  <c:v>0.19884169884169883</c:v>
                </c:pt>
                <c:pt idx="13">
                  <c:v>0.19884169884169883</c:v>
                </c:pt>
                <c:pt idx="14">
                  <c:v>0.19884169884169883</c:v>
                </c:pt>
                <c:pt idx="15">
                  <c:v>0.19884169884169883</c:v>
                </c:pt>
                <c:pt idx="16">
                  <c:v>0.19884169884169883</c:v>
                </c:pt>
                <c:pt idx="17">
                  <c:v>0.19884169884169883</c:v>
                </c:pt>
                <c:pt idx="18">
                  <c:v>0.19884169884169883</c:v>
                </c:pt>
                <c:pt idx="19">
                  <c:v>0.19884169884169883</c:v>
                </c:pt>
                <c:pt idx="20">
                  <c:v>0.20689655172413793</c:v>
                </c:pt>
                <c:pt idx="21">
                  <c:v>0.20689655172413793</c:v>
                </c:pt>
                <c:pt idx="22">
                  <c:v>0.20689655172413793</c:v>
                </c:pt>
                <c:pt idx="23">
                  <c:v>0.20689655172413793</c:v>
                </c:pt>
                <c:pt idx="24">
                  <c:v>0.20689655172413793</c:v>
                </c:pt>
                <c:pt idx="25">
                  <c:v>0.20689655172413793</c:v>
                </c:pt>
                <c:pt idx="26">
                  <c:v>0.20689655172413793</c:v>
                </c:pt>
                <c:pt idx="27">
                  <c:v>0.20689655172413793</c:v>
                </c:pt>
                <c:pt idx="28">
                  <c:v>0.20689655172413793</c:v>
                </c:pt>
                <c:pt idx="29">
                  <c:v>0.20689655172413793</c:v>
                </c:pt>
                <c:pt idx="30">
                  <c:v>0.20689655172413793</c:v>
                </c:pt>
                <c:pt idx="31">
                  <c:v>0.20689655172413793</c:v>
                </c:pt>
                <c:pt idx="32">
                  <c:v>0.18823529411764706</c:v>
                </c:pt>
                <c:pt idx="33">
                  <c:v>0.18823529411764706</c:v>
                </c:pt>
                <c:pt idx="34">
                  <c:v>0.18823529411764706</c:v>
                </c:pt>
                <c:pt idx="35">
                  <c:v>0.18823529411764706</c:v>
                </c:pt>
                <c:pt idx="36">
                  <c:v>0.18823529411764706</c:v>
                </c:pt>
                <c:pt idx="37">
                  <c:v>0.18823529411764706</c:v>
                </c:pt>
                <c:pt idx="38">
                  <c:v>0.18823529411764706</c:v>
                </c:pt>
                <c:pt idx="39">
                  <c:v>0.18823529411764706</c:v>
                </c:pt>
                <c:pt idx="40">
                  <c:v>0.18823529411764706</c:v>
                </c:pt>
                <c:pt idx="41">
                  <c:v>0.18823529411764706</c:v>
                </c:pt>
                <c:pt idx="42">
                  <c:v>0.18823529411764706</c:v>
                </c:pt>
                <c:pt idx="43">
                  <c:v>0.18823529411764706</c:v>
                </c:pt>
                <c:pt idx="44">
                  <c:v>0.16722729456991831</c:v>
                </c:pt>
                <c:pt idx="45">
                  <c:v>0.16722729456991831</c:v>
                </c:pt>
                <c:pt idx="46">
                  <c:v>0.16722729456991831</c:v>
                </c:pt>
                <c:pt idx="47">
                  <c:v>0.16722729456991831</c:v>
                </c:pt>
                <c:pt idx="48">
                  <c:v>0.16722729456991831</c:v>
                </c:pt>
                <c:pt idx="49">
                  <c:v>0.16722729456991831</c:v>
                </c:pt>
                <c:pt idx="50">
                  <c:v>0.16722729456991831</c:v>
                </c:pt>
                <c:pt idx="51">
                  <c:v>0.16722729456991831</c:v>
                </c:pt>
                <c:pt idx="52">
                  <c:v>0.16722729456991831</c:v>
                </c:pt>
                <c:pt idx="53">
                  <c:v>0.16722729456991831</c:v>
                </c:pt>
                <c:pt idx="54">
                  <c:v>0.16722729456991831</c:v>
                </c:pt>
                <c:pt idx="55">
                  <c:v>0.16722729456991831</c:v>
                </c:pt>
                <c:pt idx="56">
                  <c:v>7.0809248554913301E-2</c:v>
                </c:pt>
                <c:pt idx="57">
                  <c:v>7.0809248554913301E-2</c:v>
                </c:pt>
                <c:pt idx="58">
                  <c:v>7.0809248554913301E-2</c:v>
                </c:pt>
                <c:pt idx="59">
                  <c:v>7.0809248554913301E-2</c:v>
                </c:pt>
                <c:pt idx="60">
                  <c:v>7.0809248554913301E-2</c:v>
                </c:pt>
                <c:pt idx="61">
                  <c:v>7.0809248554913301E-2</c:v>
                </c:pt>
                <c:pt idx="62">
                  <c:v>7.0809248554913301E-2</c:v>
                </c:pt>
                <c:pt idx="63">
                  <c:v>7.0809248554913301E-2</c:v>
                </c:pt>
                <c:pt idx="64">
                  <c:v>7.0809248554913301E-2</c:v>
                </c:pt>
                <c:pt idx="65">
                  <c:v>7.0809248554913301E-2</c:v>
                </c:pt>
                <c:pt idx="66">
                  <c:v>7.0809248554913301E-2</c:v>
                </c:pt>
                <c:pt idx="67">
                  <c:v>7.0809248554913301E-2</c:v>
                </c:pt>
                <c:pt idx="68">
                  <c:v>5.5144968732234227E-2</c:v>
                </c:pt>
                <c:pt idx="69">
                  <c:v>5.5144968732234227E-2</c:v>
                </c:pt>
                <c:pt idx="70">
                  <c:v>5.5144968732234227E-2</c:v>
                </c:pt>
                <c:pt idx="71">
                  <c:v>5.5144968732234227E-2</c:v>
                </c:pt>
                <c:pt idx="72">
                  <c:v>5.5144968732234227E-2</c:v>
                </c:pt>
                <c:pt idx="73">
                  <c:v>5.5144968732234227E-2</c:v>
                </c:pt>
                <c:pt idx="74">
                  <c:v>5.5144968732234227E-2</c:v>
                </c:pt>
                <c:pt idx="75">
                  <c:v>5.5144968732234227E-2</c:v>
                </c:pt>
                <c:pt idx="76">
                  <c:v>5.5144968732234227E-2</c:v>
                </c:pt>
                <c:pt idx="77">
                  <c:v>5.5144968732234227E-2</c:v>
                </c:pt>
                <c:pt idx="78">
                  <c:v>5.5144968732234227E-2</c:v>
                </c:pt>
                <c:pt idx="79">
                  <c:v>5.5144968732234227E-2</c:v>
                </c:pt>
                <c:pt idx="80">
                  <c:v>6.5781151170145477E-2</c:v>
                </c:pt>
                <c:pt idx="81">
                  <c:v>6.5781151170145477E-2</c:v>
                </c:pt>
                <c:pt idx="82">
                  <c:v>6.5781151170145477E-2</c:v>
                </c:pt>
                <c:pt idx="83">
                  <c:v>6.5781151170145477E-2</c:v>
                </c:pt>
                <c:pt idx="84">
                  <c:v>6.5781151170145477E-2</c:v>
                </c:pt>
                <c:pt idx="85">
                  <c:v>6.5781151170145477E-2</c:v>
                </c:pt>
                <c:pt idx="86">
                  <c:v>6.5781151170145477E-2</c:v>
                </c:pt>
                <c:pt idx="87">
                  <c:v>6.5781151170145477E-2</c:v>
                </c:pt>
                <c:pt idx="88">
                  <c:v>6.5781151170145477E-2</c:v>
                </c:pt>
                <c:pt idx="89">
                  <c:v>6.5781151170145477E-2</c:v>
                </c:pt>
                <c:pt idx="90">
                  <c:v>6.5781151170145477E-2</c:v>
                </c:pt>
                <c:pt idx="91">
                  <c:v>6.5781151170145477E-2</c:v>
                </c:pt>
                <c:pt idx="92">
                  <c:v>0.11764705882352941</c:v>
                </c:pt>
                <c:pt idx="93">
                  <c:v>0.11764705882352941</c:v>
                </c:pt>
                <c:pt idx="94">
                  <c:v>0.11764705882352941</c:v>
                </c:pt>
                <c:pt idx="95">
                  <c:v>0.11764705882352941</c:v>
                </c:pt>
                <c:pt idx="96">
                  <c:v>0.11764705882352941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0.11764705882352941</c:v>
                </c:pt>
                <c:pt idx="103">
                  <c:v>0.11764705882352941</c:v>
                </c:pt>
                <c:pt idx="104">
                  <c:v>0.10838150289017341</c:v>
                </c:pt>
                <c:pt idx="105">
                  <c:v>0.10838150289017341</c:v>
                </c:pt>
                <c:pt idx="106">
                  <c:v>0.10838150289017341</c:v>
                </c:pt>
                <c:pt idx="107">
                  <c:v>0.10838150289017341</c:v>
                </c:pt>
                <c:pt idx="108">
                  <c:v>0.10838150289017341</c:v>
                </c:pt>
                <c:pt idx="109">
                  <c:v>0.10838150289017341</c:v>
                </c:pt>
                <c:pt idx="110">
                  <c:v>0.10838150289017341</c:v>
                </c:pt>
                <c:pt idx="111">
                  <c:v>0.10838150289017341</c:v>
                </c:pt>
                <c:pt idx="112">
                  <c:v>0.10838150289017341</c:v>
                </c:pt>
                <c:pt idx="113">
                  <c:v>0.10838150289017341</c:v>
                </c:pt>
                <c:pt idx="114">
                  <c:v>0.10838150289017341</c:v>
                </c:pt>
                <c:pt idx="115">
                  <c:v>0.10838150289017341</c:v>
                </c:pt>
                <c:pt idx="116">
                  <c:v>0.14863387978142076</c:v>
                </c:pt>
                <c:pt idx="117">
                  <c:v>0.14863387978142076</c:v>
                </c:pt>
                <c:pt idx="118">
                  <c:v>0.14863387978142076</c:v>
                </c:pt>
                <c:pt idx="119">
                  <c:v>0.14863387978142076</c:v>
                </c:pt>
                <c:pt idx="120">
                  <c:v>0.14863387978142076</c:v>
                </c:pt>
                <c:pt idx="121">
                  <c:v>0.14863387978142076</c:v>
                </c:pt>
                <c:pt idx="122">
                  <c:v>0.14863387978142076</c:v>
                </c:pt>
                <c:pt idx="123">
                  <c:v>0.14863387978142076</c:v>
                </c:pt>
                <c:pt idx="124">
                  <c:v>0.14863387978142076</c:v>
                </c:pt>
                <c:pt idx="125">
                  <c:v>0.14863387978142076</c:v>
                </c:pt>
                <c:pt idx="126">
                  <c:v>0.14863387978142076</c:v>
                </c:pt>
                <c:pt idx="127">
                  <c:v>0.14863387978142076</c:v>
                </c:pt>
                <c:pt idx="128">
                  <c:v>0.20102651839178784</c:v>
                </c:pt>
                <c:pt idx="129">
                  <c:v>0.20102651839178784</c:v>
                </c:pt>
                <c:pt idx="130">
                  <c:v>0.20102651839178784</c:v>
                </c:pt>
                <c:pt idx="131">
                  <c:v>0.20102651839178784</c:v>
                </c:pt>
                <c:pt idx="132">
                  <c:v>0.20102651839178784</c:v>
                </c:pt>
                <c:pt idx="133">
                  <c:v>0.20102651839178784</c:v>
                </c:pt>
                <c:pt idx="134">
                  <c:v>0.20102651839178784</c:v>
                </c:pt>
                <c:pt idx="135">
                  <c:v>0.20102651839178784</c:v>
                </c:pt>
                <c:pt idx="136">
                  <c:v>0.20102651839178784</c:v>
                </c:pt>
                <c:pt idx="137">
                  <c:v>0.20102651839178784</c:v>
                </c:pt>
                <c:pt idx="138">
                  <c:v>0.20102651839178784</c:v>
                </c:pt>
                <c:pt idx="139">
                  <c:v>0.20102651839178784</c:v>
                </c:pt>
                <c:pt idx="140">
                  <c:v>0.20248447204968945</c:v>
                </c:pt>
                <c:pt idx="141">
                  <c:v>0.20248447204968945</c:v>
                </c:pt>
                <c:pt idx="142">
                  <c:v>0.20248447204968945</c:v>
                </c:pt>
                <c:pt idx="143">
                  <c:v>0.20248447204968945</c:v>
                </c:pt>
                <c:pt idx="144">
                  <c:v>0.20248447204968945</c:v>
                </c:pt>
                <c:pt idx="145">
                  <c:v>0.20248447204968945</c:v>
                </c:pt>
                <c:pt idx="146">
                  <c:v>0.20248447204968945</c:v>
                </c:pt>
                <c:pt idx="147">
                  <c:v>0.20248447204968945</c:v>
                </c:pt>
              </c:numCache>
            </c:numRef>
          </c:val>
        </c:ser>
        <c:ser>
          <c:idx val="4"/>
          <c:order val="4"/>
          <c:tx>
            <c:v>Alt-A</c:v>
          </c:tx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Query'!$AC$5:$AC$152</c:f>
              <c:numCache>
                <c:formatCode>0%</c:formatCode>
                <c:ptCount val="148"/>
                <c:pt idx="0">
                  <c:v>2.2818791946308724E-2</c:v>
                </c:pt>
                <c:pt idx="1">
                  <c:v>2.2818791946308724E-2</c:v>
                </c:pt>
                <c:pt idx="2">
                  <c:v>2.2818791946308724E-2</c:v>
                </c:pt>
                <c:pt idx="3">
                  <c:v>2.2818791946308724E-2</c:v>
                </c:pt>
                <c:pt idx="4">
                  <c:v>2.2818791946308724E-2</c:v>
                </c:pt>
                <c:pt idx="5">
                  <c:v>2.2818791946308724E-2</c:v>
                </c:pt>
                <c:pt idx="6">
                  <c:v>2.2818791946308724E-2</c:v>
                </c:pt>
                <c:pt idx="7">
                  <c:v>2.2818791946308724E-2</c:v>
                </c:pt>
                <c:pt idx="8">
                  <c:v>7.3359073359073365E-2</c:v>
                </c:pt>
                <c:pt idx="9">
                  <c:v>7.3359073359073365E-2</c:v>
                </c:pt>
                <c:pt idx="10">
                  <c:v>7.3359073359073365E-2</c:v>
                </c:pt>
                <c:pt idx="11">
                  <c:v>7.3359073359073365E-2</c:v>
                </c:pt>
                <c:pt idx="12">
                  <c:v>7.3359073359073365E-2</c:v>
                </c:pt>
                <c:pt idx="13">
                  <c:v>7.3359073359073365E-2</c:v>
                </c:pt>
                <c:pt idx="14">
                  <c:v>7.3359073359073365E-2</c:v>
                </c:pt>
                <c:pt idx="15">
                  <c:v>7.3359073359073365E-2</c:v>
                </c:pt>
                <c:pt idx="16">
                  <c:v>7.3359073359073365E-2</c:v>
                </c:pt>
                <c:pt idx="17">
                  <c:v>7.3359073359073365E-2</c:v>
                </c:pt>
                <c:pt idx="18">
                  <c:v>7.3359073359073365E-2</c:v>
                </c:pt>
                <c:pt idx="19">
                  <c:v>7.3359073359073365E-2</c:v>
                </c:pt>
                <c:pt idx="20">
                  <c:v>0.13793103448275862</c:v>
                </c:pt>
                <c:pt idx="21">
                  <c:v>0.13793103448275862</c:v>
                </c:pt>
                <c:pt idx="22">
                  <c:v>0.13793103448275862</c:v>
                </c:pt>
                <c:pt idx="23">
                  <c:v>0.13793103448275862</c:v>
                </c:pt>
                <c:pt idx="24">
                  <c:v>0.13793103448275862</c:v>
                </c:pt>
                <c:pt idx="25">
                  <c:v>0.13793103448275862</c:v>
                </c:pt>
                <c:pt idx="26">
                  <c:v>0.13793103448275862</c:v>
                </c:pt>
                <c:pt idx="27">
                  <c:v>0.13793103448275862</c:v>
                </c:pt>
                <c:pt idx="28">
                  <c:v>0.13793103448275862</c:v>
                </c:pt>
                <c:pt idx="29">
                  <c:v>0.13793103448275862</c:v>
                </c:pt>
                <c:pt idx="30">
                  <c:v>0.13793103448275862</c:v>
                </c:pt>
                <c:pt idx="31">
                  <c:v>0.13793103448275862</c:v>
                </c:pt>
                <c:pt idx="32">
                  <c:v>0.15686274509803921</c:v>
                </c:pt>
                <c:pt idx="33">
                  <c:v>0.15686274509803921</c:v>
                </c:pt>
                <c:pt idx="34">
                  <c:v>0.15686274509803921</c:v>
                </c:pt>
                <c:pt idx="35">
                  <c:v>0.15686274509803921</c:v>
                </c:pt>
                <c:pt idx="36">
                  <c:v>0.15686274509803921</c:v>
                </c:pt>
                <c:pt idx="37">
                  <c:v>0.15686274509803921</c:v>
                </c:pt>
                <c:pt idx="38">
                  <c:v>0.15686274509803921</c:v>
                </c:pt>
                <c:pt idx="39">
                  <c:v>0.15686274509803921</c:v>
                </c:pt>
                <c:pt idx="40">
                  <c:v>0.15686274509803921</c:v>
                </c:pt>
                <c:pt idx="41">
                  <c:v>0.15686274509803921</c:v>
                </c:pt>
                <c:pt idx="42">
                  <c:v>0.15686274509803921</c:v>
                </c:pt>
                <c:pt idx="43">
                  <c:v>0.15686274509803921</c:v>
                </c:pt>
                <c:pt idx="44">
                  <c:v>0.13214800576645844</c:v>
                </c:pt>
                <c:pt idx="45">
                  <c:v>0.13214800576645844</c:v>
                </c:pt>
                <c:pt idx="46">
                  <c:v>0.13214800576645844</c:v>
                </c:pt>
                <c:pt idx="47">
                  <c:v>0.13214800576645844</c:v>
                </c:pt>
                <c:pt idx="48">
                  <c:v>0.13214800576645844</c:v>
                </c:pt>
                <c:pt idx="49">
                  <c:v>0.13214800576645844</c:v>
                </c:pt>
                <c:pt idx="50">
                  <c:v>0.13214800576645844</c:v>
                </c:pt>
                <c:pt idx="51">
                  <c:v>0.13214800576645844</c:v>
                </c:pt>
                <c:pt idx="52">
                  <c:v>0.13214800576645844</c:v>
                </c:pt>
                <c:pt idx="53">
                  <c:v>0.13214800576645844</c:v>
                </c:pt>
                <c:pt idx="54">
                  <c:v>0.13214800576645844</c:v>
                </c:pt>
                <c:pt idx="55">
                  <c:v>0.13214800576645844</c:v>
                </c:pt>
                <c:pt idx="56">
                  <c:v>3.0346820809248554E-2</c:v>
                </c:pt>
                <c:pt idx="57">
                  <c:v>3.0346820809248554E-2</c:v>
                </c:pt>
                <c:pt idx="58">
                  <c:v>3.0346820809248554E-2</c:v>
                </c:pt>
                <c:pt idx="59">
                  <c:v>3.0346820809248554E-2</c:v>
                </c:pt>
                <c:pt idx="60">
                  <c:v>3.0346820809248554E-2</c:v>
                </c:pt>
                <c:pt idx="61">
                  <c:v>3.0346820809248554E-2</c:v>
                </c:pt>
                <c:pt idx="62">
                  <c:v>3.0346820809248554E-2</c:v>
                </c:pt>
                <c:pt idx="63">
                  <c:v>3.0346820809248554E-2</c:v>
                </c:pt>
                <c:pt idx="64">
                  <c:v>3.0346820809248554E-2</c:v>
                </c:pt>
                <c:pt idx="65">
                  <c:v>3.0346820809248554E-2</c:v>
                </c:pt>
                <c:pt idx="66">
                  <c:v>3.0346820809248554E-2</c:v>
                </c:pt>
                <c:pt idx="67">
                  <c:v>3.0346820809248554E-2</c:v>
                </c:pt>
                <c:pt idx="68">
                  <c:v>3.4110289937464467E-3</c:v>
                </c:pt>
                <c:pt idx="69">
                  <c:v>3.4110289937464467E-3</c:v>
                </c:pt>
                <c:pt idx="70">
                  <c:v>3.4110289937464467E-3</c:v>
                </c:pt>
                <c:pt idx="71">
                  <c:v>3.4110289937464467E-3</c:v>
                </c:pt>
                <c:pt idx="72">
                  <c:v>3.4110289937464467E-3</c:v>
                </c:pt>
                <c:pt idx="73">
                  <c:v>3.4110289937464467E-3</c:v>
                </c:pt>
                <c:pt idx="74">
                  <c:v>3.4110289937464467E-3</c:v>
                </c:pt>
                <c:pt idx="75">
                  <c:v>3.4110289937464467E-3</c:v>
                </c:pt>
                <c:pt idx="76">
                  <c:v>3.4110289937464467E-3</c:v>
                </c:pt>
                <c:pt idx="77">
                  <c:v>3.4110289937464467E-3</c:v>
                </c:pt>
                <c:pt idx="78">
                  <c:v>3.4110289937464467E-3</c:v>
                </c:pt>
                <c:pt idx="79">
                  <c:v>3.4110289937464467E-3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9.688581314878892E-3</c:v>
                </c:pt>
                <c:pt idx="93">
                  <c:v>9.688581314878892E-3</c:v>
                </c:pt>
                <c:pt idx="94">
                  <c:v>9.688581314878892E-3</c:v>
                </c:pt>
                <c:pt idx="95">
                  <c:v>9.688581314878892E-3</c:v>
                </c:pt>
                <c:pt idx="96">
                  <c:v>9.688581314878892E-3</c:v>
                </c:pt>
                <c:pt idx="97">
                  <c:v>9.688581314878892E-3</c:v>
                </c:pt>
                <c:pt idx="98">
                  <c:v>9.688581314878892E-3</c:v>
                </c:pt>
                <c:pt idx="99">
                  <c:v>9.688581314878892E-3</c:v>
                </c:pt>
                <c:pt idx="100">
                  <c:v>9.688581314878892E-3</c:v>
                </c:pt>
                <c:pt idx="101">
                  <c:v>9.688581314878892E-3</c:v>
                </c:pt>
                <c:pt idx="102">
                  <c:v>9.688581314878892E-3</c:v>
                </c:pt>
                <c:pt idx="103">
                  <c:v>9.688581314878892E-3</c:v>
                </c:pt>
                <c:pt idx="104">
                  <c:v>9.1522157996146436E-3</c:v>
                </c:pt>
                <c:pt idx="105">
                  <c:v>9.1522157996146436E-3</c:v>
                </c:pt>
                <c:pt idx="106">
                  <c:v>9.1522157996146436E-3</c:v>
                </c:pt>
                <c:pt idx="107">
                  <c:v>9.1522157996146436E-3</c:v>
                </c:pt>
                <c:pt idx="108">
                  <c:v>9.1522157996146436E-3</c:v>
                </c:pt>
                <c:pt idx="109">
                  <c:v>9.1522157996146436E-3</c:v>
                </c:pt>
                <c:pt idx="110">
                  <c:v>9.1522157996146436E-3</c:v>
                </c:pt>
                <c:pt idx="111">
                  <c:v>9.1522157996146436E-3</c:v>
                </c:pt>
                <c:pt idx="112">
                  <c:v>9.1522157996146436E-3</c:v>
                </c:pt>
                <c:pt idx="113">
                  <c:v>9.1522157996146436E-3</c:v>
                </c:pt>
                <c:pt idx="114">
                  <c:v>9.1522157996146436E-3</c:v>
                </c:pt>
                <c:pt idx="115">
                  <c:v>9.1522157996146436E-3</c:v>
                </c:pt>
                <c:pt idx="116">
                  <c:v>7.6502732240437158E-3</c:v>
                </c:pt>
                <c:pt idx="117">
                  <c:v>7.6502732240437158E-3</c:v>
                </c:pt>
                <c:pt idx="118">
                  <c:v>7.6502732240437158E-3</c:v>
                </c:pt>
                <c:pt idx="119">
                  <c:v>7.6502732240437158E-3</c:v>
                </c:pt>
                <c:pt idx="120">
                  <c:v>7.6502732240437158E-3</c:v>
                </c:pt>
                <c:pt idx="121">
                  <c:v>7.6502732240437158E-3</c:v>
                </c:pt>
                <c:pt idx="122">
                  <c:v>7.6502732240437158E-3</c:v>
                </c:pt>
                <c:pt idx="123">
                  <c:v>7.6502732240437158E-3</c:v>
                </c:pt>
                <c:pt idx="124">
                  <c:v>7.6502732240437158E-3</c:v>
                </c:pt>
                <c:pt idx="125">
                  <c:v>7.6502732240437158E-3</c:v>
                </c:pt>
                <c:pt idx="126">
                  <c:v>7.6502732240437158E-3</c:v>
                </c:pt>
                <c:pt idx="127">
                  <c:v>7.6502732240437158E-3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  <c:pt idx="147">
                  <c:v>2.4844720496894411E-3</c:v>
                </c:pt>
              </c:numCache>
            </c:numRef>
          </c:val>
        </c:ser>
        <c:ser>
          <c:idx val="5"/>
          <c:order val="5"/>
          <c:tx>
            <c:v>Subprime</c:v>
          </c:tx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Query'!$AD$5:$AD$152</c:f>
              <c:numCache>
                <c:formatCode>0%</c:formatCode>
                <c:ptCount val="148"/>
                <c:pt idx="0">
                  <c:v>8.3221476510067116E-2</c:v>
                </c:pt>
                <c:pt idx="1">
                  <c:v>8.3221476510067116E-2</c:v>
                </c:pt>
                <c:pt idx="2">
                  <c:v>8.3221476510067116E-2</c:v>
                </c:pt>
                <c:pt idx="3">
                  <c:v>8.3221476510067116E-2</c:v>
                </c:pt>
                <c:pt idx="4">
                  <c:v>8.3221476510067116E-2</c:v>
                </c:pt>
                <c:pt idx="5">
                  <c:v>8.3221476510067116E-2</c:v>
                </c:pt>
                <c:pt idx="6">
                  <c:v>8.3221476510067116E-2</c:v>
                </c:pt>
                <c:pt idx="7">
                  <c:v>8.3221476510067116E-2</c:v>
                </c:pt>
                <c:pt idx="8">
                  <c:v>0.20849420849420849</c:v>
                </c:pt>
                <c:pt idx="9">
                  <c:v>0.20849420849420849</c:v>
                </c:pt>
                <c:pt idx="10">
                  <c:v>0.20849420849420849</c:v>
                </c:pt>
                <c:pt idx="11">
                  <c:v>0.20849420849420849</c:v>
                </c:pt>
                <c:pt idx="12">
                  <c:v>0.20849420849420849</c:v>
                </c:pt>
                <c:pt idx="13">
                  <c:v>0.20849420849420849</c:v>
                </c:pt>
                <c:pt idx="14">
                  <c:v>0.20849420849420849</c:v>
                </c:pt>
                <c:pt idx="15">
                  <c:v>0.20849420849420849</c:v>
                </c:pt>
                <c:pt idx="16">
                  <c:v>0.20849420849420849</c:v>
                </c:pt>
                <c:pt idx="17">
                  <c:v>0.20849420849420849</c:v>
                </c:pt>
                <c:pt idx="18">
                  <c:v>0.20849420849420849</c:v>
                </c:pt>
                <c:pt idx="19">
                  <c:v>0.20849420849420849</c:v>
                </c:pt>
                <c:pt idx="20">
                  <c:v>0.22686025408348456</c:v>
                </c:pt>
                <c:pt idx="21">
                  <c:v>0.22686025408348456</c:v>
                </c:pt>
                <c:pt idx="22">
                  <c:v>0.22686025408348456</c:v>
                </c:pt>
                <c:pt idx="23">
                  <c:v>0.22686025408348456</c:v>
                </c:pt>
                <c:pt idx="24">
                  <c:v>0.22686025408348456</c:v>
                </c:pt>
                <c:pt idx="25">
                  <c:v>0.22686025408348456</c:v>
                </c:pt>
                <c:pt idx="26">
                  <c:v>0.22686025408348456</c:v>
                </c:pt>
                <c:pt idx="27">
                  <c:v>0.22686025408348456</c:v>
                </c:pt>
                <c:pt idx="28">
                  <c:v>0.22686025408348456</c:v>
                </c:pt>
                <c:pt idx="29">
                  <c:v>0.22686025408348456</c:v>
                </c:pt>
                <c:pt idx="30">
                  <c:v>0.22686025408348456</c:v>
                </c:pt>
                <c:pt idx="31">
                  <c:v>0.22686025408348456</c:v>
                </c:pt>
                <c:pt idx="32">
                  <c:v>0.23529411764705882</c:v>
                </c:pt>
                <c:pt idx="33">
                  <c:v>0.23529411764705882</c:v>
                </c:pt>
                <c:pt idx="34">
                  <c:v>0.23529411764705882</c:v>
                </c:pt>
                <c:pt idx="35">
                  <c:v>0.23529411764705882</c:v>
                </c:pt>
                <c:pt idx="36">
                  <c:v>0.23529411764705882</c:v>
                </c:pt>
                <c:pt idx="37">
                  <c:v>0.23529411764705882</c:v>
                </c:pt>
                <c:pt idx="38">
                  <c:v>0.23529411764705882</c:v>
                </c:pt>
                <c:pt idx="39">
                  <c:v>0.23529411764705882</c:v>
                </c:pt>
                <c:pt idx="40">
                  <c:v>0.23529411764705882</c:v>
                </c:pt>
                <c:pt idx="41">
                  <c:v>0.23529411764705882</c:v>
                </c:pt>
                <c:pt idx="42">
                  <c:v>0.23529411764705882</c:v>
                </c:pt>
                <c:pt idx="43">
                  <c:v>0.23529411764705882</c:v>
                </c:pt>
                <c:pt idx="44">
                  <c:v>9.1782796732340216E-2</c:v>
                </c:pt>
                <c:pt idx="45">
                  <c:v>9.1782796732340216E-2</c:v>
                </c:pt>
                <c:pt idx="46">
                  <c:v>9.1782796732340216E-2</c:v>
                </c:pt>
                <c:pt idx="47">
                  <c:v>9.1782796732340216E-2</c:v>
                </c:pt>
                <c:pt idx="48">
                  <c:v>9.1782796732340216E-2</c:v>
                </c:pt>
                <c:pt idx="49">
                  <c:v>9.1782796732340216E-2</c:v>
                </c:pt>
                <c:pt idx="50">
                  <c:v>9.1782796732340216E-2</c:v>
                </c:pt>
                <c:pt idx="51">
                  <c:v>9.1782796732340216E-2</c:v>
                </c:pt>
                <c:pt idx="52">
                  <c:v>9.1782796732340216E-2</c:v>
                </c:pt>
                <c:pt idx="53">
                  <c:v>9.1782796732340216E-2</c:v>
                </c:pt>
                <c:pt idx="54">
                  <c:v>9.1782796732340216E-2</c:v>
                </c:pt>
                <c:pt idx="55">
                  <c:v>9.1782796732340216E-2</c:v>
                </c:pt>
                <c:pt idx="56">
                  <c:v>1.6618497109826588E-2</c:v>
                </c:pt>
                <c:pt idx="57">
                  <c:v>1.6618497109826588E-2</c:v>
                </c:pt>
                <c:pt idx="58">
                  <c:v>1.6618497109826588E-2</c:v>
                </c:pt>
                <c:pt idx="59">
                  <c:v>1.6618497109826588E-2</c:v>
                </c:pt>
                <c:pt idx="60">
                  <c:v>1.6618497109826588E-2</c:v>
                </c:pt>
                <c:pt idx="61">
                  <c:v>1.6618497109826588E-2</c:v>
                </c:pt>
                <c:pt idx="62">
                  <c:v>1.6618497109826588E-2</c:v>
                </c:pt>
                <c:pt idx="63">
                  <c:v>1.6618497109826588E-2</c:v>
                </c:pt>
                <c:pt idx="64">
                  <c:v>1.6618497109826588E-2</c:v>
                </c:pt>
                <c:pt idx="65">
                  <c:v>1.6618497109826588E-2</c:v>
                </c:pt>
                <c:pt idx="66">
                  <c:v>1.6618497109826588E-2</c:v>
                </c:pt>
                <c:pt idx="67">
                  <c:v>1.6618497109826588E-2</c:v>
                </c:pt>
                <c:pt idx="68">
                  <c:v>2.2740193291642978E-3</c:v>
                </c:pt>
                <c:pt idx="69">
                  <c:v>2.2740193291642978E-3</c:v>
                </c:pt>
                <c:pt idx="70">
                  <c:v>2.2740193291642978E-3</c:v>
                </c:pt>
                <c:pt idx="71">
                  <c:v>2.2740193291642978E-3</c:v>
                </c:pt>
                <c:pt idx="72">
                  <c:v>2.2740193291642978E-3</c:v>
                </c:pt>
                <c:pt idx="73">
                  <c:v>2.2740193291642978E-3</c:v>
                </c:pt>
                <c:pt idx="74">
                  <c:v>2.2740193291642978E-3</c:v>
                </c:pt>
                <c:pt idx="75">
                  <c:v>2.2740193291642978E-3</c:v>
                </c:pt>
                <c:pt idx="76">
                  <c:v>2.2740193291642978E-3</c:v>
                </c:pt>
                <c:pt idx="77">
                  <c:v>2.2740193291642978E-3</c:v>
                </c:pt>
                <c:pt idx="78">
                  <c:v>2.2740193291642978E-3</c:v>
                </c:pt>
                <c:pt idx="79">
                  <c:v>2.2740193291642978E-3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2.7681660899653978E-3</c:v>
                </c:pt>
                <c:pt idx="93">
                  <c:v>2.7681660899653978E-3</c:v>
                </c:pt>
                <c:pt idx="94">
                  <c:v>2.7681660899653978E-3</c:v>
                </c:pt>
                <c:pt idx="95">
                  <c:v>2.7681660899653978E-3</c:v>
                </c:pt>
                <c:pt idx="96">
                  <c:v>2.7681660899653978E-3</c:v>
                </c:pt>
                <c:pt idx="97">
                  <c:v>2.7681660899653978E-3</c:v>
                </c:pt>
                <c:pt idx="98">
                  <c:v>2.7681660899653978E-3</c:v>
                </c:pt>
                <c:pt idx="99">
                  <c:v>2.7681660899653978E-3</c:v>
                </c:pt>
                <c:pt idx="100">
                  <c:v>2.7681660899653978E-3</c:v>
                </c:pt>
                <c:pt idx="101">
                  <c:v>2.7681660899653978E-3</c:v>
                </c:pt>
                <c:pt idx="102">
                  <c:v>2.7681660899653978E-3</c:v>
                </c:pt>
                <c:pt idx="103">
                  <c:v>2.7681660899653978E-3</c:v>
                </c:pt>
                <c:pt idx="104">
                  <c:v>1.9267822736030828E-3</c:v>
                </c:pt>
                <c:pt idx="105">
                  <c:v>1.9267822736030828E-3</c:v>
                </c:pt>
                <c:pt idx="106">
                  <c:v>1.9267822736030828E-3</c:v>
                </c:pt>
                <c:pt idx="107">
                  <c:v>1.9267822736030828E-3</c:v>
                </c:pt>
                <c:pt idx="108">
                  <c:v>1.9267822736030828E-3</c:v>
                </c:pt>
                <c:pt idx="109">
                  <c:v>1.9267822736030828E-3</c:v>
                </c:pt>
                <c:pt idx="110">
                  <c:v>1.9267822736030828E-3</c:v>
                </c:pt>
                <c:pt idx="111">
                  <c:v>1.9267822736030828E-3</c:v>
                </c:pt>
                <c:pt idx="112">
                  <c:v>1.9267822736030828E-3</c:v>
                </c:pt>
                <c:pt idx="113">
                  <c:v>1.9267822736030828E-3</c:v>
                </c:pt>
                <c:pt idx="114">
                  <c:v>1.9267822736030828E-3</c:v>
                </c:pt>
                <c:pt idx="115">
                  <c:v>1.9267822736030828E-3</c:v>
                </c:pt>
                <c:pt idx="116">
                  <c:v>2.185792349726776E-3</c:v>
                </c:pt>
                <c:pt idx="117">
                  <c:v>2.185792349726776E-3</c:v>
                </c:pt>
                <c:pt idx="118">
                  <c:v>2.185792349726776E-3</c:v>
                </c:pt>
                <c:pt idx="119">
                  <c:v>2.185792349726776E-3</c:v>
                </c:pt>
                <c:pt idx="120">
                  <c:v>2.185792349726776E-3</c:v>
                </c:pt>
                <c:pt idx="121">
                  <c:v>2.185792349726776E-3</c:v>
                </c:pt>
                <c:pt idx="122">
                  <c:v>2.185792349726776E-3</c:v>
                </c:pt>
                <c:pt idx="123">
                  <c:v>2.185792349726776E-3</c:v>
                </c:pt>
                <c:pt idx="124">
                  <c:v>2.185792349726776E-3</c:v>
                </c:pt>
                <c:pt idx="125">
                  <c:v>2.185792349726776E-3</c:v>
                </c:pt>
                <c:pt idx="126">
                  <c:v>2.185792349726776E-3</c:v>
                </c:pt>
                <c:pt idx="127">
                  <c:v>2.185792349726776E-3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  <c:pt idx="147">
                  <c:v>2.4844720496894411E-3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36704"/>
        <c:axId val="153633920"/>
      </c:areaChart>
      <c:catAx>
        <c:axId val="152136704"/>
        <c:scaling>
          <c:orientation val="minMax"/>
        </c:scaling>
        <c:delete val="0"/>
        <c:axPos val="b"/>
        <c:numFmt formatCode="#,##0;\-#,##0" sourceLinked="0"/>
        <c:majorTickMark val="out"/>
        <c:minorTickMark val="none"/>
        <c:tickLblPos val="nextTo"/>
        <c:crossAx val="15363392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536339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5213670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CAI in Recent</a:t>
            </a:r>
            <a:r>
              <a:rPr lang="en-US" sz="1200" baseline="0"/>
              <a:t> 12 Months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'Time Series Query'!$J$4</c:f>
              <c:strCache>
                <c:ptCount val="1"/>
                <c:pt idx="0">
                  <c:v>Universe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Query'!$J$5:$J$16</c:f>
              <c:numCache>
                <c:formatCode>General</c:formatCode>
                <c:ptCount val="12"/>
                <c:pt idx="0">
                  <c:v>2.5328336090739332</c:v>
                </c:pt>
                <c:pt idx="1">
                  <c:v>2.5938160640522971</c:v>
                </c:pt>
                <c:pt idx="2">
                  <c:v>2.8438064795132156</c:v>
                </c:pt>
                <c:pt idx="3">
                  <c:v>2.7603015241589377</c:v>
                </c:pt>
                <c:pt idx="4">
                  <c:v>2.7997455207385191</c:v>
                </c:pt>
                <c:pt idx="5">
                  <c:v>3.0226542638785809</c:v>
                </c:pt>
                <c:pt idx="6">
                  <c:v>2.9055851349389141</c:v>
                </c:pt>
                <c:pt idx="7">
                  <c:v>2.8154501709573867</c:v>
                </c:pt>
                <c:pt idx="8">
                  <c:v>2.8681732551102743</c:v>
                </c:pt>
                <c:pt idx="9">
                  <c:v>2.7551812902751118</c:v>
                </c:pt>
                <c:pt idx="10">
                  <c:v>2.7597484362159066</c:v>
                </c:pt>
                <c:pt idx="11">
                  <c:v>2.7129790670277321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Query'!$K$4</c:f>
              <c:strCache>
                <c:ptCount val="1"/>
                <c:pt idx="0">
                  <c:v>Conventional</c:v>
                </c:pt>
              </c:strCache>
            </c:strRef>
          </c:tx>
          <c:spPr>
            <a:ln w="12700">
              <a:solidFill>
                <a:srgbClr val="C7732D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C7732D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Query'!$K$5:$K$16</c:f>
              <c:numCache>
                <c:formatCode>General</c:formatCode>
                <c:ptCount val="12"/>
                <c:pt idx="0">
                  <c:v>1.64579390935898</c:v>
                </c:pt>
                <c:pt idx="1">
                  <c:v>1.67906224223657</c:v>
                </c:pt>
                <c:pt idx="2">
                  <c:v>1.8308992119838299</c:v>
                </c:pt>
                <c:pt idx="3">
                  <c:v>1.7579644452022301</c:v>
                </c:pt>
                <c:pt idx="4">
                  <c:v>1.7817477432637101</c:v>
                </c:pt>
                <c:pt idx="5">
                  <c:v>1.9426549529739001</c:v>
                </c:pt>
                <c:pt idx="6">
                  <c:v>1.8941540337179898</c:v>
                </c:pt>
                <c:pt idx="7">
                  <c:v>1.82731290646394</c:v>
                </c:pt>
                <c:pt idx="8">
                  <c:v>1.8702407855327199</c:v>
                </c:pt>
                <c:pt idx="9">
                  <c:v>1.7995520073933</c:v>
                </c:pt>
                <c:pt idx="10">
                  <c:v>1.7911224377334798</c:v>
                </c:pt>
                <c:pt idx="11">
                  <c:v>1.7686077599562497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'Time Series Query'!$L$4</c:f>
              <c:strCache>
                <c:ptCount val="1"/>
                <c:pt idx="0">
                  <c:v>FHA</c:v>
                </c:pt>
              </c:strCache>
            </c:strRef>
          </c:tx>
          <c:spPr>
            <a:ln w="12700">
              <a:solidFill>
                <a:srgbClr val="AD275C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AD275C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Query'!$L$5:$L$16</c:f>
              <c:numCache>
                <c:formatCode>General</c:formatCode>
                <c:ptCount val="12"/>
                <c:pt idx="0">
                  <c:v>5.4443951953697205</c:v>
                </c:pt>
                <c:pt idx="1">
                  <c:v>5.5814197233407601</c:v>
                </c:pt>
                <c:pt idx="2">
                  <c:v>6.1448839793864405</c:v>
                </c:pt>
                <c:pt idx="3">
                  <c:v>6.0306400919081202</c:v>
                </c:pt>
                <c:pt idx="4">
                  <c:v>6.1486236715359199</c:v>
                </c:pt>
                <c:pt idx="5">
                  <c:v>6.6263717165098006</c:v>
                </c:pt>
                <c:pt idx="6">
                  <c:v>6.2622998242086405</c:v>
                </c:pt>
                <c:pt idx="7">
                  <c:v>6.08416229064734</c:v>
                </c:pt>
                <c:pt idx="8">
                  <c:v>6.2400887079476899</c:v>
                </c:pt>
                <c:pt idx="9">
                  <c:v>5.9874562188320501</c:v>
                </c:pt>
                <c:pt idx="10">
                  <c:v>6.0455601405621495</c:v>
                </c:pt>
                <c:pt idx="11">
                  <c:v>5.9232734324811203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'Time Series Query'!$M$4</c:f>
              <c:strCache>
                <c:ptCount val="1"/>
                <c:pt idx="0">
                  <c:v>VA</c:v>
                </c:pt>
              </c:strCache>
            </c:strRef>
          </c:tx>
          <c:spPr>
            <a:ln w="12700">
              <a:solidFill>
                <a:srgbClr val="1B7A76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1B7A76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Query'!$M$5:$M$16</c:f>
              <c:numCache>
                <c:formatCode>General</c:formatCode>
                <c:ptCount val="12"/>
                <c:pt idx="0">
                  <c:v>4.25688737431443</c:v>
                </c:pt>
                <c:pt idx="1">
                  <c:v>4.4194488795020703</c:v>
                </c:pt>
                <c:pt idx="2">
                  <c:v>4.8892254020369803</c:v>
                </c:pt>
                <c:pt idx="3">
                  <c:v>4.7760885529275798</c:v>
                </c:pt>
                <c:pt idx="4">
                  <c:v>4.7615630618715095</c:v>
                </c:pt>
                <c:pt idx="5">
                  <c:v>4.9418960876341806</c:v>
                </c:pt>
                <c:pt idx="6">
                  <c:v>4.75524114466943</c:v>
                </c:pt>
                <c:pt idx="7">
                  <c:v>4.6573252211123597</c:v>
                </c:pt>
                <c:pt idx="8">
                  <c:v>4.6873892515583497</c:v>
                </c:pt>
                <c:pt idx="9">
                  <c:v>4.4860699739032404</c:v>
                </c:pt>
                <c:pt idx="10">
                  <c:v>4.4866368406642501</c:v>
                </c:pt>
                <c:pt idx="11">
                  <c:v>4.3732377941726401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'Time Series Query'!$N$4</c:f>
              <c:strCache>
                <c:ptCount val="1"/>
                <c:pt idx="0">
                  <c:v>Non-Agency</c:v>
                </c:pt>
              </c:strCache>
            </c:strRef>
          </c:tx>
          <c:spPr>
            <a:ln w="12700">
              <a:solidFill>
                <a:srgbClr val="C8C42D"/>
              </a:solidFill>
            </a:ln>
          </c:spPr>
          <c:marker>
            <c:symbol val="circle"/>
            <c:size val="3"/>
            <c:spPr>
              <a:solidFill>
                <a:srgbClr val="C8C42D"/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Query'!$N$5:$N$16</c:f>
              <c:numCache>
                <c:formatCode>General</c:formatCode>
                <c:ptCount val="12"/>
                <c:pt idx="0">
                  <c:v>1.8118357623179107</c:v>
                </c:pt>
                <c:pt idx="1">
                  <c:v>1.8494294974062397</c:v>
                </c:pt>
                <c:pt idx="2">
                  <c:v>2.0187830816866272</c:v>
                </c:pt>
                <c:pt idx="3">
                  <c:v>1.9430539494887094</c:v>
                </c:pt>
                <c:pt idx="4">
                  <c:v>1.9706489336794248</c:v>
                </c:pt>
                <c:pt idx="5">
                  <c:v>2.1458301951304093</c:v>
                </c:pt>
                <c:pt idx="6">
                  <c:v>2.0851201226048039</c:v>
                </c:pt>
                <c:pt idx="7">
                  <c:v>2.0130795832573067</c:v>
                </c:pt>
                <c:pt idx="8">
                  <c:v>2.1322145294922912</c:v>
                </c:pt>
                <c:pt idx="9">
                  <c:v>2.0507954748073933</c:v>
                </c:pt>
                <c:pt idx="10">
                  <c:v>2.0454433721381911</c:v>
                </c:pt>
                <c:pt idx="11">
                  <c:v>2.0174457625489901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204416"/>
        <c:axId val="155739264"/>
      </c:lineChart>
      <c:catAx>
        <c:axId val="154204416"/>
        <c:scaling>
          <c:orientation val="maxMin"/>
        </c:scaling>
        <c:delete val="0"/>
        <c:axPos val="b"/>
        <c:majorTickMark val="out"/>
        <c:minorTickMark val="none"/>
        <c:tickLblPos val="nextTo"/>
        <c:crossAx val="155739264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155739264"/>
        <c:scaling>
          <c:orientation val="minMax"/>
          <c:min val="1"/>
        </c:scaling>
        <c:delete val="0"/>
        <c:axPos val="r"/>
        <c:majorGridlines/>
        <c:numFmt formatCode="#,##0.0" sourceLinked="0"/>
        <c:majorTickMark val="out"/>
        <c:minorTickMark val="none"/>
        <c:tickLblPos val="nextTo"/>
        <c:crossAx val="15420441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215397</xdr:colOff>
      <xdr:row>41</xdr:row>
      <xdr:rowOff>96371</xdr:rowOff>
    </xdr:from>
    <xdr:to>
      <xdr:col>12</xdr:col>
      <xdr:colOff>717177</xdr:colOff>
      <xdr:row>43</xdr:row>
      <xdr:rowOff>156882</xdr:rowOff>
    </xdr:to>
    <xdr:sp macro="" textlink="">
      <xdr:nvSpPr>
        <xdr:cNvPr id="2" name="TextBox 1"/>
        <xdr:cNvSpPr txBox="1"/>
      </xdr:nvSpPr>
      <xdr:spPr>
        <a:xfrm>
          <a:off x="7902632" y="8287871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</a:t>
          </a:r>
          <a:r>
            <a:rPr lang="en-US" sz="900" baseline="0"/>
            <a:t> </a:t>
          </a:r>
          <a:endParaRPr lang="en-US" sz="900"/>
        </a:p>
      </xdr:txBody>
    </xdr:sp>
    <xdr:clientData/>
  </xdr:twoCellAnchor>
  <xdr:twoCellAnchor>
    <xdr:from>
      <xdr:col>2</xdr:col>
      <xdr:colOff>221627</xdr:colOff>
      <xdr:row>17</xdr:row>
      <xdr:rowOff>139451</xdr:rowOff>
    </xdr:from>
    <xdr:to>
      <xdr:col>13</xdr:col>
      <xdr:colOff>145676</xdr:colOff>
      <xdr:row>41</xdr:row>
      <xdr:rowOff>150034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220382</xdr:colOff>
      <xdr:row>44</xdr:row>
      <xdr:rowOff>41088</xdr:rowOff>
    </xdr:from>
    <xdr:to>
      <xdr:col>13</xdr:col>
      <xdr:colOff>257735</xdr:colOff>
      <xdr:row>59</xdr:row>
      <xdr:rowOff>32311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683558</xdr:colOff>
      <xdr:row>17</xdr:row>
      <xdr:rowOff>112059</xdr:rowOff>
    </xdr:from>
    <xdr:to>
      <xdr:col>14</xdr:col>
      <xdr:colOff>0</xdr:colOff>
      <xdr:row>41</xdr:row>
      <xdr:rowOff>156880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67236</xdr:colOff>
      <xdr:row>58</xdr:row>
      <xdr:rowOff>100853</xdr:rowOff>
    </xdr:from>
    <xdr:to>
      <xdr:col>12</xdr:col>
      <xdr:colOff>569016</xdr:colOff>
      <xdr:row>60</xdr:row>
      <xdr:rowOff>161364</xdr:rowOff>
    </xdr:to>
    <xdr:sp macro="" textlink="">
      <xdr:nvSpPr>
        <xdr:cNvPr id="9" name="TextBox 8"/>
        <xdr:cNvSpPr txBox="1"/>
      </xdr:nvSpPr>
      <xdr:spPr>
        <a:xfrm>
          <a:off x="7754471" y="11149853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Cello, Inside Mortgage Finance</a:t>
          </a:r>
          <a:r>
            <a:rPr lang="en-US" sz="900" baseline="0"/>
            <a:t> </a:t>
          </a:r>
          <a:endParaRPr lang="en-US" sz="9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Query from Agency_15" backgroundRefresh="0" adjustColumnWidth="0" connectionId="2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2.xml><?xml version="1.0" encoding="utf-8"?>
<queryTable xmlns="http://schemas.openxmlformats.org/spreadsheetml/2006/main" name="Query from Agency_16" backgroundRefresh="0" adjustColumnWidth="0" connectionId="7" autoFormatId="16" applyNumberFormats="0" applyBorderFormats="0" applyFontFormats="0" applyPatternFormats="0" applyAlignmentFormats="0" applyWidthHeightFormats="0">
  <queryTableRefresh nextId="92" unboundColumnsRight="6">
    <queryTableFields count="8">
      <queryTableField id="51" name="AsOfDate" tableColumnId="10"/>
      <queryTableField id="68" name="SeriesNumValue" tableColumnId="5"/>
      <queryTableField id="86" dataBound="0" tableColumnId="1"/>
      <queryTableField id="88" dataBound="0" tableColumnId="3"/>
      <queryTableField id="87" dataBound="0" tableColumnId="2"/>
      <queryTableField id="89" dataBound="0" tableColumnId="4"/>
      <queryTableField id="90" dataBound="0" tableColumnId="6"/>
      <queryTableField id="91" dataBound="0" tableColumnId="7"/>
    </queryTableFields>
  </queryTableRefresh>
</queryTable>
</file>

<file path=xl/queryTables/queryTable3.xml><?xml version="1.0" encoding="utf-8"?>
<queryTable xmlns="http://schemas.openxmlformats.org/spreadsheetml/2006/main" name="Query from Agency_18" backgroundRefresh="0" adjustColumnWidth="0" connectionId="1" autoFormatId="16" applyNumberFormats="0" applyBorderFormats="0" applyFontFormats="0" applyPatternFormats="0" applyAlignmentFormats="0" applyWidthHeightFormats="0">
  <queryTableRefresh nextId="102" unboundColumnsRight="14">
    <queryTableFields count="16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8" dataBound="0" tableColumnId="16"/>
      <queryTableField id="97" dataBound="0" tableColumnId="15"/>
      <queryTableField id="91" dataBound="0" tableColumnId="8"/>
      <queryTableField id="92" dataBound="0" tableColumnId="9"/>
      <queryTableField id="93" dataBound="0" tableColumnId="11"/>
      <queryTableField id="94" dataBound="0" tableColumnId="12"/>
      <queryTableField id="95" dataBound="0" tableColumnId="13"/>
      <queryTableField id="96" dataBound="0" tableColumnId="14"/>
      <queryTableField id="99" dataBound="0" tableColumnId="17"/>
      <queryTableField id="101" dataBound="0" tableColumnId="1"/>
    </queryTableFields>
  </queryTableRefresh>
</queryTable>
</file>

<file path=xl/queryTables/queryTable4.xml><?xml version="1.0" encoding="utf-8"?>
<queryTable xmlns="http://schemas.openxmlformats.org/spreadsheetml/2006/main" name="Query from Agency_19" backgroundRefresh="0" adjustColumnWidth="0" connectionId="3" autoFormatId="16" applyNumberFormats="0" applyBorderFormats="0" applyFontFormats="0" applyPatternFormats="0" applyAlignmentFormats="0" applyWidthHeightFormats="0">
  <queryTableRefresh nextId="91" unboundColumnsRight="5">
    <queryTableFields count="7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</queryTableFields>
  </queryTableRefresh>
</queryTable>
</file>

<file path=xl/queryTables/queryTable5.xml><?xml version="1.0" encoding="utf-8"?>
<queryTable xmlns="http://schemas.openxmlformats.org/spreadsheetml/2006/main" name="Query from Agency_20" backgroundRefresh="0" adjustColumnWidth="0" connectionId="4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6.xml><?xml version="1.0" encoding="utf-8"?>
<queryTable xmlns="http://schemas.openxmlformats.org/spreadsheetml/2006/main" name="Query from Agency_21" backgroundRefresh="0" adjustColumnWidth="0" connectionId="5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7.xml><?xml version="1.0" encoding="utf-8"?>
<queryTable xmlns="http://schemas.openxmlformats.org/spreadsheetml/2006/main" name="Query from Agency_22" backgroundRefresh="0" adjustColumnWidth="0" connectionId="6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10" name="CurrentMtgRatesDataTable8711" displayName="CurrentMtgRatesDataTable8711" ref="B4:D152" tableType="queryTable" totalsRowShown="0" headerRowDxfId="56" dataDxfId="55">
  <tableColumns count="3">
    <tableColumn id="10" uniqueName="10" name="asofdate" queryTableFieldId="51" dataDxfId="54" dataCellStyle="Normal 2 7"/>
    <tableColumn id="5" uniqueName="5" name="SeriesNumValue" queryTableFieldId="68" dataDxfId="53" dataCellStyle="Percent"/>
    <tableColumn id="1" uniqueName="1" name="Column1" queryTableFieldId="85" dataDxfId="52">
      <calculatedColumnFormula>((CurrentMtgRatesDataTable8711[[#This Row],[SeriesNumValue]]-$C$1)/$C$1+1)*100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1" name="CurrentMtgRatesDataTable871112" displayName="CurrentMtgRatesDataTable871112" ref="G4:N152" tableType="queryTable" totalsRowShown="0" headerRowDxfId="51" dataDxfId="50">
  <tableColumns count="8">
    <tableColumn id="10" uniqueName="10" name="asofdate" queryTableFieldId="51" dataDxfId="49" dataCellStyle="Normal 2 7"/>
    <tableColumn id="5" uniqueName="5" name="SeriesNumValue" queryTableFieldId="68" dataDxfId="48" dataCellStyle="Percent"/>
    <tableColumn id="1" uniqueName="1" name="Month" queryTableFieldId="86" dataDxfId="47" dataCellStyle="Percent">
      <calculatedColumnFormula>YEAR(CurrentMtgRatesDataTable871112[[#This Row],[asofdate]])&amp;"-"&amp;MONTH(CurrentMtgRatesDataTable871112[[#This Row],[asofdate]])</calculatedColumnFormula>
    </tableColumn>
    <tableColumn id="3" uniqueName="3" name="Universe" queryTableFieldId="88" dataDxfId="46" dataCellStyle="Percent">
      <calculatedColumnFormula>VLOOKUP(CurrentMtgRatesDataTable871112[[#This Row],[asofdate]],Q:AE,15,0)*100</calculatedColumnFormula>
    </tableColumn>
    <tableColumn id="2" uniqueName="2" name="Conventional" queryTableFieldId="87" dataDxfId="45" dataCellStyle="Percent">
      <calculatedColumnFormula>VLOOKUP(CurrentMtgRatesDataTable871112[[#This Row],[asofdate]],Q:AE,4,0)*100</calculatedColumnFormula>
    </tableColumn>
    <tableColumn id="4" uniqueName="4" name="FHA" queryTableFieldId="89" dataDxfId="44" dataCellStyle="Percent">
      <calculatedColumnFormula>VLOOKUP(CurrentMtgRatesDataTable871112[[#This Row],[asofdate]],Q:AE,5,0)*100</calculatedColumnFormula>
    </tableColumn>
    <tableColumn id="6" uniqueName="6" name="VA" queryTableFieldId="90" dataDxfId="43" dataCellStyle="Percent">
      <calculatedColumnFormula>VLOOKUP(CurrentMtgRatesDataTable871112[[#This Row],[asofdate]],Q:AE,6,0)*100</calculatedColumnFormula>
    </tableColumn>
    <tableColumn id="7" uniqueName="7" name="Non-Agency" queryTableFieldId="91" dataDxfId="42" dataCellStyle="Percent">
      <calculatedColumnFormula>VLOOKUP(CurrentMtgRatesDataTable871112[[#This Row],[asofdate]],Q:AF,16,0)*100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3" name="CurrentMtgRatesDataTable8711121314" displayName="CurrentMtgRatesDataTable8711121314" ref="Q4:AF152" tableType="queryTable" totalsRowShown="0" headerRowDxfId="41" dataDxfId="40">
  <tableColumns count="16">
    <tableColumn id="10" uniqueName="10" name="asofdate" queryTableFieldId="51" dataDxfId="39" dataCellStyle="Normal 2 7"/>
    <tableColumn id="5" uniqueName="5" name="SeriesNumValue" queryTableFieldId="68" dataDxfId="38" dataCellStyle="Percent"/>
    <tableColumn id="2" uniqueName="2" name="Month" queryTableFieldId="86" dataDxfId="37" dataCellStyle="Normal 2 7">
      <calculatedColumnFormula>YEAR(CurrentMtgRatesDataTable8711121314[[#This Row],[asofdate]])&amp;"-"&amp;MONTH(CurrentMtgRatesDataTable8711121314[[#This Row],[asofdate]])</calculatedColumnFormula>
    </tableColumn>
    <tableColumn id="3" uniqueName="3" name="Conventional" queryTableFieldId="87" dataDxfId="36" dataCellStyle="Percent">
      <calculatedColumnFormula>CurrentMtgRatesDataTable8711121314[[#This Row],[SeriesNumValue]]</calculatedColumnFormula>
    </tableColumn>
    <tableColumn id="4" uniqueName="4" name="FHA" queryTableFieldId="88" dataDxfId="35" dataCellStyle="Percent">
      <calculatedColumnFormula>VLOOKUP(CurrentMtgRatesDataTable8711121314[[#This Row],[asofdate]],B:D,2,0)</calculatedColumnFormula>
    </tableColumn>
    <tableColumn id="6" uniqueName="6" name="VA" queryTableFieldId="89" dataDxfId="34" dataCellStyle="Percent">
      <calculatedColumnFormula>IF(VLOOKUP(CurrentMtgRatesDataTable8711121314[[#This Row],[asofdate]],G:H,2,0)&lt;&gt;0,VLOOKUP(CurrentMtgRatesDataTable8711121314[[#This Row],[asofdate]],G:H,2,0),V4)</calculatedColumnFormula>
    </tableColumn>
    <tableColumn id="16" uniqueName="16" name="FHA + 0.5 Conforming" queryTableFieldId="98" dataDxfId="33" dataCellStyle="Percent">
      <calculatedColumnFormula>CurrentMtgRatesDataTable8711121314[[#This Row],[FHA]]+0.5*CurrentMtgRatesDataTable8711121314[[#This Row],[Conventional]]</calculatedColumnFormula>
    </tableColumn>
    <tableColumn id="15" uniqueName="15" name="2xFHA" queryTableFieldId="97" dataDxfId="32" dataCellStyle="Percent">
      <calculatedColumnFormula>2*CurrentMtgRatesDataTable8711121314[[#This Row],[FHA]]</calculatedColumnFormula>
    </tableColumn>
    <tableColumn id="8" uniqueName="8" name="Pct Conventional" queryTableFieldId="91" dataDxfId="31" dataCellStyle="Percent">
      <calculatedColumnFormula>VLOOKUP(YEAR(CurrentMtgRatesDataTable8711121314[[#This Row],[asofdate]]),OriginationVolume!$A:$N,8,FALSE)</calculatedColumnFormula>
    </tableColumn>
    <tableColumn id="9" uniqueName="9" name="Pct VA" queryTableFieldId="92" dataDxfId="30" dataCellStyle="Percent">
      <calculatedColumnFormula>VLOOKUP(YEAR(CurrentMtgRatesDataTable8711121314[[#This Row],[asofdate]]),OriginationVolume!$A:$N,9,FALSE)</calculatedColumnFormula>
    </tableColumn>
    <tableColumn id="11" uniqueName="11" name="Pct FHA" queryTableFieldId="93" dataDxfId="29" dataCellStyle="Percent">
      <calculatedColumnFormula>VLOOKUP(YEAR(CurrentMtgRatesDataTable8711121314[[#This Row],[asofdate]]),OriginationVolume!$A:$N,10,FALSE)</calculatedColumnFormula>
    </tableColumn>
    <tableColumn id="12" uniqueName="12" name="Pct Jumbo" queryTableFieldId="94" dataDxfId="28" dataCellStyle="Percent">
      <calculatedColumnFormula>VLOOKUP(YEAR(CurrentMtgRatesDataTable8711121314[[#This Row],[asofdate]]),OriginationVolume!$A:$N,11,FALSE)</calculatedColumnFormula>
    </tableColumn>
    <tableColumn id="13" uniqueName="13" name="Pct Alt-A" queryTableFieldId="95" dataDxfId="27" dataCellStyle="Percent">
      <calculatedColumnFormula>VLOOKUP(YEAR(CurrentMtgRatesDataTable8711121314[[#This Row],[asofdate]]),OriginationVolume!$A:$N,12,FALSE)</calculatedColumnFormula>
    </tableColumn>
    <tableColumn id="14" uniqueName="14" name="Pct Subprime" queryTableFieldId="96" dataDxfId="26" dataCellStyle="Percent">
      <calculatedColumnFormula>VLOOKUP(YEAR(CurrentMtgRatesDataTable8711121314[[#This Row],[asofdate]]),OriginationVolume!$A:$N,13,FALSE)</calculatedColumnFormula>
    </tableColumn>
    <tableColumn id="17" uniqueName="17" name="Universe" queryTableFieldId="99" dataDxfId="25" dataCellStyle="Percent">
      <calculatedColumnFormula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calculatedColumnFormula>
    </tableColumn>
    <tableColumn id="1" uniqueName="1" name="Non-Agency" queryTableFieldId="101" dataDxfId="24" dataCellStyle="Percent">
      <calculatedColumnFormula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6" name="CurrentMtgRatesDataTable871112131417" displayName="CurrentMtgRatesDataTable871112131417" ref="AS4:AY151" tableType="queryTable" totalsRowShown="0" headerRowDxfId="23" dataDxfId="22">
  <tableColumns count="7">
    <tableColumn id="10" uniqueName="10" name="asofdate" queryTableFieldId="51" dataDxfId="21" dataCellStyle="Normal 2 7"/>
    <tableColumn id="5" uniqueName="5" name="SeriesNumValue" queryTableFieldId="68" dataDxfId="20"/>
    <tableColumn id="2" uniqueName="2" name="Month" queryTableFieldId="86" dataDxfId="19" dataCellStyle="Normal 2 7">
      <calculatedColumnFormula>YEAR(CurrentMtgRatesDataTable871112131417[[#This Row],[asofdate]])&amp;"-"&amp;MONTH(CurrentMtgRatesDataTable871112131417[[#This Row],[asofdate]])</calculatedColumnFormula>
    </tableColumn>
    <tableColumn id="3" uniqueName="3" name="Conventional" queryTableFieldId="87" dataDxfId="18" dataCellStyle="Normal 2 7">
      <calculatedColumnFormula>CurrentMtgRatesDataTable871112131417[[#This Row],[SeriesNumValue]]</calculatedColumnFormula>
    </tableColumn>
    <tableColumn id="4" uniqueName="4" name="FHA" queryTableFieldId="88" dataDxfId="17" dataCellStyle="Normal 2 7">
      <calculatedColumnFormula>VLOOKUP(CurrentMtgRatesDataTable871112131417[[#This Row],[asofdate]],AG:AH,2,0)</calculatedColumnFormula>
    </tableColumn>
    <tableColumn id="6" uniqueName="6" name="VA" queryTableFieldId="89" dataDxfId="16" dataCellStyle="Normal 2 7">
      <calculatedColumnFormula>IF(VLOOKUP(CurrentMtgRatesDataTable871112131417[[#This Row],[asofdate]],AK:AL,2,0)&lt;&gt;0,VLOOKUP(CurrentMtgRatesDataTable871112131417[[#This Row],[asofdate]],AK:AL,2,0),AX4)</calculatedColumnFormula>
    </tableColumn>
    <tableColumn id="7" uniqueName="7" name="Combined" queryTableFieldId="90" dataDxfId="15" dataCellStyle="Normal 2 7">
      <calculatedColumnFormula>VLOOKUP(CurrentMtgRatesDataTable871112131417[[#This Row],[asofdate]],AO:AP,2,0)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5" name="CurrentMtgRatesDataTable8711121316" displayName="CurrentMtgRatesDataTable8711121316" ref="AO4:AP151" tableType="queryTable" totalsRowShown="0" headerRowDxfId="14" dataDxfId="13">
  <tableColumns count="2">
    <tableColumn id="10" uniqueName="10" name="asofdate" queryTableFieldId="51" dataDxfId="12" dataCellStyle="Normal 2 7"/>
    <tableColumn id="5" uniqueName="5" name="SeriesNumValue" queryTableFieldId="68" dataDxfId="11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4" name="CurrentMtgRatesDataTable87111215" displayName="CurrentMtgRatesDataTable87111215" ref="AK4:AL151" tableType="queryTable" totalsRowShown="0" headerRowDxfId="10" dataDxfId="9">
  <tableColumns count="2">
    <tableColumn id="10" uniqueName="10" name="asofdate" queryTableFieldId="51" dataDxfId="8" dataCellStyle="Normal 2 7"/>
    <tableColumn id="5" uniqueName="5" name="SeriesNumValue" queryTableFieldId="68" dataDxfId="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9" name="CurrentMtgRatesDataTable871110" displayName="CurrentMtgRatesDataTable871110" ref="AG4:AH151" tableType="queryTable" totalsRowShown="0" headerRowDxfId="6" dataDxfId="5">
  <tableColumns count="2">
    <tableColumn id="10" uniqueName="10" name="asofdate" queryTableFieldId="51" dataDxfId="4" dataCellStyle="Normal 2 7"/>
    <tableColumn id="5" uniqueName="5" name="SeriesNumValue" queryTableFieldId="68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17:N132"/>
  <sheetViews>
    <sheetView showGridLines="0" tabSelected="1" zoomScale="85" zoomScaleNormal="85" workbookViewId="0">
      <selection activeCell="Y26" sqref="Y26"/>
    </sheetView>
  </sheetViews>
  <sheetFormatPr defaultRowHeight="15"/>
  <cols>
    <col min="2" max="2" width="8.140625" customWidth="1"/>
    <col min="3" max="13" width="12.28515625" customWidth="1"/>
    <col min="14" max="14" width="5.5703125" customWidth="1"/>
  </cols>
  <sheetData>
    <row r="117" spans="3:14">
      <c r="C117" s="10" t="s">
        <v>152</v>
      </c>
      <c r="L117" s="10" t="s">
        <v>153</v>
      </c>
    </row>
    <row r="118" spans="3:14" s="16" customFormat="1">
      <c r="C118" s="12"/>
      <c r="D118" s="13" t="s">
        <v>148</v>
      </c>
      <c r="E118" s="14" t="e">
        <f>#REF!</f>
        <v>#REF!</v>
      </c>
      <c r="F118" s="13" t="e">
        <f>#REF!</f>
        <v>#REF!</v>
      </c>
      <c r="G118" s="14" t="e">
        <f>#REF!</f>
        <v>#REF!</v>
      </c>
      <c r="H118" s="13" t="e">
        <f>#REF!</f>
        <v>#REF!</v>
      </c>
      <c r="I118" s="14" t="e">
        <f>#REF!</f>
        <v>#REF!</v>
      </c>
      <c r="J118" s="13" t="e">
        <f>#REF!</f>
        <v>#REF!</v>
      </c>
      <c r="K118" s="15"/>
      <c r="L118" s="12"/>
      <c r="M118" s="13" t="s">
        <v>148</v>
      </c>
      <c r="N118" s="14" t="e">
        <f>#REF!</f>
        <v>#REF!</v>
      </c>
    </row>
    <row r="119" spans="3:14">
      <c r="C119" s="8" t="e">
        <f>'Time Series Query'!#REF!</f>
        <v>#REF!</v>
      </c>
      <c r="D119" s="8" t="e">
        <f>'Time Series Query'!#REF!</f>
        <v>#REF!</v>
      </c>
      <c r="E119" s="17" t="e">
        <f>'Time Series Query'!#REF!</f>
        <v>#REF!</v>
      </c>
      <c r="F119" s="18" t="e">
        <f>'Time Series Query'!#REF!</f>
        <v>#REF!</v>
      </c>
      <c r="G119" s="17" t="e">
        <f>'Time Series Query'!#REF!</f>
        <v>#REF!</v>
      </c>
      <c r="H119" s="18" t="e">
        <f>'Time Series Query'!#REF!</f>
        <v>#REF!</v>
      </c>
      <c r="I119" s="17" t="e">
        <f>'Time Series Query'!#REF!</f>
        <v>#REF!</v>
      </c>
      <c r="J119" s="18" t="e">
        <f>'Time Series Query'!#REF!</f>
        <v>#REF!</v>
      </c>
      <c r="L119" s="8" t="e">
        <f>C119</f>
        <v>#REF!</v>
      </c>
      <c r="M119" s="8" t="e">
        <f>'Time Series Query'!#REF!</f>
        <v>#REF!</v>
      </c>
      <c r="N119" s="9" t="e">
        <f>'Time Series Query'!#REF!-'Time Series Query'!#REF!</f>
        <v>#REF!</v>
      </c>
    </row>
    <row r="120" spans="3:14">
      <c r="C120" s="8" t="e">
        <f>'Time Series Query'!#REF!</f>
        <v>#REF!</v>
      </c>
      <c r="D120" s="8" t="e">
        <f>'Time Series Query'!#REF!</f>
        <v>#REF!</v>
      </c>
      <c r="E120" s="17" t="e">
        <f>'Time Series Query'!#REF!</f>
        <v>#REF!</v>
      </c>
      <c r="F120" s="18" t="e">
        <f>'Time Series Query'!#REF!</f>
        <v>#REF!</v>
      </c>
      <c r="G120" s="17" t="e">
        <f>'Time Series Query'!#REF!</f>
        <v>#REF!</v>
      </c>
      <c r="H120" s="18" t="e">
        <f>'Time Series Query'!#REF!</f>
        <v>#REF!</v>
      </c>
      <c r="I120" s="17" t="e">
        <f>'Time Series Query'!#REF!</f>
        <v>#REF!</v>
      </c>
      <c r="J120" s="18" t="e">
        <f>'Time Series Query'!#REF!</f>
        <v>#REF!</v>
      </c>
      <c r="L120" s="8" t="e">
        <f t="shared" ref="L120:L131" si="0">C120</f>
        <v>#REF!</v>
      </c>
      <c r="M120" s="8" t="e">
        <f>'Time Series Query'!#REF!</f>
        <v>#REF!</v>
      </c>
      <c r="N120" s="9" t="e">
        <f>'Time Series Query'!#REF!-'Time Series Query'!#REF!</f>
        <v>#REF!</v>
      </c>
    </row>
    <row r="121" spans="3:14">
      <c r="C121" s="8" t="e">
        <f>'Time Series Query'!#REF!</f>
        <v>#REF!</v>
      </c>
      <c r="D121" s="8" t="e">
        <f>'Time Series Query'!#REF!</f>
        <v>#REF!</v>
      </c>
      <c r="E121" s="17" t="e">
        <f>'Time Series Query'!#REF!</f>
        <v>#REF!</v>
      </c>
      <c r="F121" s="18" t="e">
        <f>'Time Series Query'!#REF!</f>
        <v>#REF!</v>
      </c>
      <c r="G121" s="17" t="e">
        <f>'Time Series Query'!#REF!</f>
        <v>#REF!</v>
      </c>
      <c r="H121" s="18" t="e">
        <f>'Time Series Query'!#REF!</f>
        <v>#REF!</v>
      </c>
      <c r="I121" s="17" t="e">
        <f>'Time Series Query'!#REF!</f>
        <v>#REF!</v>
      </c>
      <c r="J121" s="18" t="e">
        <f>'Time Series Query'!#REF!</f>
        <v>#REF!</v>
      </c>
      <c r="L121" s="8" t="e">
        <f t="shared" si="0"/>
        <v>#REF!</v>
      </c>
      <c r="M121" s="8" t="e">
        <f>'Time Series Query'!#REF!</f>
        <v>#REF!</v>
      </c>
      <c r="N121" s="9" t="e">
        <f>'Time Series Query'!#REF!-'Time Series Query'!#REF!</f>
        <v>#REF!</v>
      </c>
    </row>
    <row r="122" spans="3:14">
      <c r="C122" s="8" t="e">
        <f>'Time Series Query'!#REF!</f>
        <v>#REF!</v>
      </c>
      <c r="D122" s="8" t="e">
        <f>'Time Series Query'!#REF!</f>
        <v>#REF!</v>
      </c>
      <c r="E122" s="17" t="e">
        <f>'Time Series Query'!#REF!</f>
        <v>#REF!</v>
      </c>
      <c r="F122" s="18" t="e">
        <f>'Time Series Query'!#REF!</f>
        <v>#REF!</v>
      </c>
      <c r="G122" s="17" t="e">
        <f>'Time Series Query'!#REF!</f>
        <v>#REF!</v>
      </c>
      <c r="H122" s="18" t="e">
        <f>'Time Series Query'!#REF!</f>
        <v>#REF!</v>
      </c>
      <c r="I122" s="17" t="e">
        <f>'Time Series Query'!#REF!</f>
        <v>#REF!</v>
      </c>
      <c r="J122" s="18" t="e">
        <f>'Time Series Query'!#REF!</f>
        <v>#REF!</v>
      </c>
      <c r="L122" s="8" t="e">
        <f t="shared" si="0"/>
        <v>#REF!</v>
      </c>
      <c r="M122" s="8" t="e">
        <f>'Time Series Query'!#REF!</f>
        <v>#REF!</v>
      </c>
      <c r="N122" s="9" t="e">
        <f>'Time Series Query'!#REF!-'Time Series Query'!#REF!</f>
        <v>#REF!</v>
      </c>
    </row>
    <row r="123" spans="3:14">
      <c r="C123" s="8" t="e">
        <f>'Time Series Query'!#REF!</f>
        <v>#REF!</v>
      </c>
      <c r="D123" s="8" t="e">
        <f>'Time Series Query'!#REF!</f>
        <v>#REF!</v>
      </c>
      <c r="E123" s="17" t="e">
        <f>'Time Series Query'!#REF!</f>
        <v>#REF!</v>
      </c>
      <c r="F123" s="18" t="e">
        <f>'Time Series Query'!#REF!</f>
        <v>#REF!</v>
      </c>
      <c r="G123" s="17" t="e">
        <f>'Time Series Query'!#REF!</f>
        <v>#REF!</v>
      </c>
      <c r="H123" s="18" t="e">
        <f>'Time Series Query'!#REF!</f>
        <v>#REF!</v>
      </c>
      <c r="I123" s="17" t="e">
        <f>'Time Series Query'!#REF!</f>
        <v>#REF!</v>
      </c>
      <c r="J123" s="18" t="e">
        <f>'Time Series Query'!#REF!</f>
        <v>#REF!</v>
      </c>
      <c r="L123" s="8" t="e">
        <f t="shared" si="0"/>
        <v>#REF!</v>
      </c>
      <c r="M123" s="8" t="e">
        <f>'Time Series Query'!#REF!</f>
        <v>#REF!</v>
      </c>
      <c r="N123" s="9" t="e">
        <f>'Time Series Query'!#REF!-'Time Series Query'!#REF!</f>
        <v>#REF!</v>
      </c>
    </row>
    <row r="124" spans="3:14">
      <c r="C124" s="8" t="e">
        <f>'Time Series Query'!#REF!</f>
        <v>#REF!</v>
      </c>
      <c r="D124" s="8" t="e">
        <f>'Time Series Query'!#REF!</f>
        <v>#REF!</v>
      </c>
      <c r="E124" s="17" t="e">
        <f>'Time Series Query'!#REF!</f>
        <v>#REF!</v>
      </c>
      <c r="F124" s="18" t="e">
        <f>'Time Series Query'!#REF!</f>
        <v>#REF!</v>
      </c>
      <c r="G124" s="17" t="e">
        <f>'Time Series Query'!#REF!</f>
        <v>#REF!</v>
      </c>
      <c r="H124" s="18" t="e">
        <f>'Time Series Query'!#REF!</f>
        <v>#REF!</v>
      </c>
      <c r="I124" s="17" t="e">
        <f>'Time Series Query'!#REF!</f>
        <v>#REF!</v>
      </c>
      <c r="J124" s="18" t="e">
        <f>'Time Series Query'!#REF!</f>
        <v>#REF!</v>
      </c>
      <c r="L124" s="8" t="e">
        <f t="shared" si="0"/>
        <v>#REF!</v>
      </c>
      <c r="M124" s="8" t="e">
        <f>'Time Series Query'!#REF!</f>
        <v>#REF!</v>
      </c>
      <c r="N124" s="9" t="e">
        <f>'Time Series Query'!#REF!-'Time Series Query'!#REF!</f>
        <v>#REF!</v>
      </c>
    </row>
    <row r="125" spans="3:14">
      <c r="C125" s="8" t="e">
        <f>'Time Series Query'!#REF!</f>
        <v>#REF!</v>
      </c>
      <c r="D125" s="8" t="e">
        <f>'Time Series Query'!#REF!</f>
        <v>#REF!</v>
      </c>
      <c r="E125" s="17" t="e">
        <f>'Time Series Query'!#REF!</f>
        <v>#REF!</v>
      </c>
      <c r="F125" s="18" t="e">
        <f>'Time Series Query'!#REF!</f>
        <v>#REF!</v>
      </c>
      <c r="G125" s="17" t="e">
        <f>'Time Series Query'!#REF!</f>
        <v>#REF!</v>
      </c>
      <c r="H125" s="18" t="e">
        <f>'Time Series Query'!#REF!</f>
        <v>#REF!</v>
      </c>
      <c r="I125" s="17" t="e">
        <f>'Time Series Query'!#REF!</f>
        <v>#REF!</v>
      </c>
      <c r="J125" s="18" t="e">
        <f>'Time Series Query'!#REF!</f>
        <v>#REF!</v>
      </c>
      <c r="L125" s="8" t="e">
        <f t="shared" si="0"/>
        <v>#REF!</v>
      </c>
      <c r="M125" s="8" t="e">
        <f>'Time Series Query'!#REF!</f>
        <v>#REF!</v>
      </c>
      <c r="N125" s="9" t="e">
        <f>'Time Series Query'!#REF!-'Time Series Query'!#REF!</f>
        <v>#REF!</v>
      </c>
    </row>
    <row r="126" spans="3:14">
      <c r="C126" s="8" t="e">
        <f>'Time Series Query'!#REF!</f>
        <v>#REF!</v>
      </c>
      <c r="D126" s="8" t="e">
        <f>'Time Series Query'!#REF!</f>
        <v>#REF!</v>
      </c>
      <c r="E126" s="17" t="e">
        <f>'Time Series Query'!#REF!</f>
        <v>#REF!</v>
      </c>
      <c r="F126" s="18" t="e">
        <f>'Time Series Query'!#REF!</f>
        <v>#REF!</v>
      </c>
      <c r="G126" s="17" t="e">
        <f>'Time Series Query'!#REF!</f>
        <v>#REF!</v>
      </c>
      <c r="H126" s="18" t="e">
        <f>'Time Series Query'!#REF!</f>
        <v>#REF!</v>
      </c>
      <c r="I126" s="17" t="e">
        <f>'Time Series Query'!#REF!</f>
        <v>#REF!</v>
      </c>
      <c r="J126" s="18" t="e">
        <f>'Time Series Query'!#REF!</f>
        <v>#REF!</v>
      </c>
      <c r="L126" s="8" t="e">
        <f t="shared" si="0"/>
        <v>#REF!</v>
      </c>
      <c r="M126" s="8" t="e">
        <f>'Time Series Query'!#REF!</f>
        <v>#REF!</v>
      </c>
      <c r="N126" s="9" t="e">
        <f>'Time Series Query'!#REF!-'Time Series Query'!#REF!</f>
        <v>#REF!</v>
      </c>
    </row>
    <row r="127" spans="3:14">
      <c r="C127" s="8" t="e">
        <f>'Time Series Query'!#REF!</f>
        <v>#REF!</v>
      </c>
      <c r="D127" s="8" t="e">
        <f>'Time Series Query'!#REF!</f>
        <v>#REF!</v>
      </c>
      <c r="E127" s="17" t="e">
        <f>'Time Series Query'!#REF!</f>
        <v>#REF!</v>
      </c>
      <c r="F127" s="18" t="e">
        <f>'Time Series Query'!#REF!</f>
        <v>#REF!</v>
      </c>
      <c r="G127" s="17" t="e">
        <f>'Time Series Query'!#REF!</f>
        <v>#REF!</v>
      </c>
      <c r="H127" s="18" t="e">
        <f>'Time Series Query'!#REF!</f>
        <v>#REF!</v>
      </c>
      <c r="I127" s="17" t="e">
        <f>'Time Series Query'!#REF!</f>
        <v>#REF!</v>
      </c>
      <c r="J127" s="18" t="e">
        <f>'Time Series Query'!#REF!</f>
        <v>#REF!</v>
      </c>
      <c r="L127" s="8" t="e">
        <f t="shared" si="0"/>
        <v>#REF!</v>
      </c>
      <c r="M127" s="8" t="e">
        <f>'Time Series Query'!#REF!</f>
        <v>#REF!</v>
      </c>
      <c r="N127" s="9" t="e">
        <f>'Time Series Query'!#REF!-'Time Series Query'!#REF!</f>
        <v>#REF!</v>
      </c>
    </row>
    <row r="128" spans="3:14">
      <c r="C128" s="8" t="e">
        <f>'Time Series Query'!#REF!</f>
        <v>#REF!</v>
      </c>
      <c r="D128" s="8" t="e">
        <f>'Time Series Query'!#REF!</f>
        <v>#REF!</v>
      </c>
      <c r="E128" s="17" t="e">
        <f>'Time Series Query'!#REF!</f>
        <v>#REF!</v>
      </c>
      <c r="F128" s="18" t="e">
        <f>'Time Series Query'!#REF!</f>
        <v>#REF!</v>
      </c>
      <c r="G128" s="17" t="e">
        <f>'Time Series Query'!#REF!</f>
        <v>#REF!</v>
      </c>
      <c r="H128" s="18" t="e">
        <f>'Time Series Query'!#REF!</f>
        <v>#REF!</v>
      </c>
      <c r="I128" s="17" t="e">
        <f>'Time Series Query'!#REF!</f>
        <v>#REF!</v>
      </c>
      <c r="J128" s="18" t="e">
        <f>'Time Series Query'!#REF!</f>
        <v>#REF!</v>
      </c>
      <c r="L128" s="8" t="e">
        <f t="shared" si="0"/>
        <v>#REF!</v>
      </c>
      <c r="M128" s="8" t="e">
        <f>'Time Series Query'!#REF!</f>
        <v>#REF!</v>
      </c>
      <c r="N128" s="9" t="e">
        <f>'Time Series Query'!#REF!-'Time Series Query'!#REF!</f>
        <v>#REF!</v>
      </c>
    </row>
    <row r="129" spans="3:14">
      <c r="C129" s="8" t="e">
        <f>'Time Series Query'!#REF!</f>
        <v>#REF!</v>
      </c>
      <c r="D129" s="8" t="e">
        <f>'Time Series Query'!#REF!</f>
        <v>#REF!</v>
      </c>
      <c r="E129" s="17" t="e">
        <f>'Time Series Query'!#REF!</f>
        <v>#REF!</v>
      </c>
      <c r="F129" s="18" t="e">
        <f>'Time Series Query'!#REF!</f>
        <v>#REF!</v>
      </c>
      <c r="G129" s="17" t="e">
        <f>'Time Series Query'!#REF!</f>
        <v>#REF!</v>
      </c>
      <c r="H129" s="18" t="e">
        <f>'Time Series Query'!#REF!</f>
        <v>#REF!</v>
      </c>
      <c r="I129" s="17" t="e">
        <f>'Time Series Query'!#REF!</f>
        <v>#REF!</v>
      </c>
      <c r="J129" s="18" t="e">
        <f>'Time Series Query'!#REF!</f>
        <v>#REF!</v>
      </c>
      <c r="L129" s="8" t="e">
        <f t="shared" si="0"/>
        <v>#REF!</v>
      </c>
      <c r="M129" s="8" t="e">
        <f>'Time Series Query'!#REF!</f>
        <v>#REF!</v>
      </c>
      <c r="N129" s="9" t="e">
        <f>'Time Series Query'!#REF!-'Time Series Query'!#REF!</f>
        <v>#REF!</v>
      </c>
    </row>
    <row r="130" spans="3:14">
      <c r="C130" s="8" t="e">
        <f>'Time Series Query'!#REF!</f>
        <v>#REF!</v>
      </c>
      <c r="D130" s="8" t="e">
        <f>'Time Series Query'!#REF!</f>
        <v>#REF!</v>
      </c>
      <c r="E130" s="17" t="e">
        <f>'Time Series Query'!#REF!</f>
        <v>#REF!</v>
      </c>
      <c r="F130" s="18" t="e">
        <f>'Time Series Query'!#REF!</f>
        <v>#REF!</v>
      </c>
      <c r="G130" s="17" t="e">
        <f>'Time Series Query'!#REF!</f>
        <v>#REF!</v>
      </c>
      <c r="H130" s="18" t="e">
        <f>'Time Series Query'!#REF!</f>
        <v>#REF!</v>
      </c>
      <c r="I130" s="17" t="e">
        <f>'Time Series Query'!#REF!</f>
        <v>#REF!</v>
      </c>
      <c r="J130" s="18" t="e">
        <f>'Time Series Query'!#REF!</f>
        <v>#REF!</v>
      </c>
      <c r="L130" s="8" t="e">
        <f t="shared" si="0"/>
        <v>#REF!</v>
      </c>
      <c r="M130" s="8" t="e">
        <f>'Time Series Query'!#REF!</f>
        <v>#REF!</v>
      </c>
      <c r="N130" s="9" t="e">
        <f>'Time Series Query'!#REF!-'Time Series Query'!#REF!</f>
        <v>#REF!</v>
      </c>
    </row>
    <row r="131" spans="3:14">
      <c r="C131" s="8" t="e">
        <f>'Time Series Query'!#REF!</f>
        <v>#REF!</v>
      </c>
      <c r="D131" s="8" t="e">
        <f>'Time Series Query'!#REF!</f>
        <v>#REF!</v>
      </c>
      <c r="E131" s="17" t="e">
        <f>'Time Series Query'!#REF!</f>
        <v>#REF!</v>
      </c>
      <c r="F131" s="18" t="e">
        <f>'Time Series Query'!#REF!</f>
        <v>#REF!</v>
      </c>
      <c r="G131" s="17" t="e">
        <f>'Time Series Query'!#REF!</f>
        <v>#REF!</v>
      </c>
      <c r="H131" s="18" t="e">
        <f>'Time Series Query'!#REF!</f>
        <v>#REF!</v>
      </c>
      <c r="I131" s="17" t="e">
        <f>'Time Series Query'!#REF!</f>
        <v>#REF!</v>
      </c>
      <c r="J131" s="18" t="e">
        <f>'Time Series Query'!#REF!</f>
        <v>#REF!</v>
      </c>
      <c r="L131" s="8" t="e">
        <f t="shared" si="0"/>
        <v>#REF!</v>
      </c>
      <c r="M131" s="8" t="e">
        <f>'Time Series Query'!#REF!</f>
        <v>#REF!</v>
      </c>
      <c r="N131" s="9" t="e">
        <f>'Time Series Query'!#REF!-'Time Series Query'!#REF!</f>
        <v>#REF!</v>
      </c>
    </row>
    <row r="132" spans="3:14">
      <c r="C132" t="s">
        <v>151</v>
      </c>
    </row>
  </sheetData>
  <conditionalFormatting sqref="M119:N131">
    <cfRule type="cellIs" dxfId="2" priority="42" operator="lessThan">
      <formula>0</formula>
    </cfRule>
  </conditionalFormatting>
  <conditionalFormatting sqref="D119:D131">
    <cfRule type="colorScale" priority="32">
      <colorScale>
        <cfvo type="min"/>
        <cfvo type="max"/>
        <color theme="0"/>
        <color theme="3" tint="0.59999389629810485"/>
      </colorScale>
    </cfRule>
  </conditionalFormatting>
  <conditionalFormatting sqref="E119:E131">
    <cfRule type="colorScale" priority="29">
      <colorScale>
        <cfvo type="min"/>
        <cfvo type="max"/>
        <color theme="0"/>
        <color theme="3" tint="0.59999389629810485"/>
      </colorScale>
    </cfRule>
  </conditionalFormatting>
  <conditionalFormatting sqref="F119:F131">
    <cfRule type="colorScale" priority="27">
      <colorScale>
        <cfvo type="min"/>
        <cfvo type="max"/>
        <color theme="0"/>
        <color theme="3" tint="0.59999389629810485"/>
      </colorScale>
    </cfRule>
  </conditionalFormatting>
  <conditionalFormatting sqref="G119:G131">
    <cfRule type="colorScale" priority="18">
      <colorScale>
        <cfvo type="min"/>
        <cfvo type="max"/>
        <color theme="0"/>
        <color theme="3" tint="0.59999389629810485"/>
      </colorScale>
    </cfRule>
  </conditionalFormatting>
  <conditionalFormatting sqref="H119:H131">
    <cfRule type="colorScale" priority="16">
      <colorScale>
        <cfvo type="min"/>
        <cfvo type="max"/>
        <color theme="0"/>
        <color theme="3" tint="0.59999389629810485"/>
      </colorScale>
    </cfRule>
  </conditionalFormatting>
  <conditionalFormatting sqref="I119:I131">
    <cfRule type="colorScale" priority="14">
      <colorScale>
        <cfvo type="min"/>
        <cfvo type="max"/>
        <color theme="3" tint="0.59999389629810485"/>
        <color theme="0"/>
      </colorScale>
    </cfRule>
  </conditionalFormatting>
  <conditionalFormatting sqref="J119:J131">
    <cfRule type="colorScale" priority="12">
      <colorScale>
        <cfvo type="min"/>
        <cfvo type="max"/>
        <color theme="0"/>
        <color theme="3" tint="0.59999389629810485"/>
      </colorScale>
    </cfRule>
  </conditionalFormatting>
  <pageMargins left="0.25" right="0.25" top="0.255" bottom="0.25" header="0.1" footer="0.1"/>
  <pageSetup scale="66" orientation="landscape" r:id="rId1"/>
  <headerFooter scaleWithDoc="0">
    <oddHeader>&amp;L&amp;G&amp;C&amp;"-,Bold"&amp;10&amp;K2E398A
&amp;15Mortgage Credit Availability Index:  Universe&amp;R&amp;"-,Bold"&amp;10&amp;K2E398A
As of 10/20/2015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B1:AY152"/>
  <sheetViews>
    <sheetView topLeftCell="F88" workbookViewId="0">
      <selection activeCell="Q5" sqref="Q5"/>
    </sheetView>
  </sheetViews>
  <sheetFormatPr defaultRowHeight="12.75"/>
  <cols>
    <col min="1" max="1" width="9.140625" style="1"/>
    <col min="2" max="2" width="10" style="1" customWidth="1"/>
    <col min="3" max="3" width="10" style="19" customWidth="1"/>
    <col min="4" max="5" width="10" style="1" customWidth="1"/>
    <col min="6" max="6" width="9.140625" style="1"/>
    <col min="7" max="7" width="10" style="1" customWidth="1"/>
    <col min="8" max="9" width="10" style="19" customWidth="1"/>
    <col min="10" max="10" width="10" style="39" customWidth="1"/>
    <col min="11" max="14" width="10" style="19" customWidth="1"/>
    <col min="15" max="16" width="9.140625" style="1"/>
    <col min="17" max="17" width="17.85546875" style="1" bestFit="1" customWidth="1"/>
    <col min="18" max="18" width="14.140625" style="19" customWidth="1"/>
    <col min="19" max="19" width="8.7109375" style="1" customWidth="1"/>
    <col min="20" max="22" width="12" style="1" bestFit="1" customWidth="1"/>
    <col min="23" max="24" width="12" style="1" customWidth="1"/>
    <col min="25" max="25" width="14.28515625" style="1" bestFit="1" customWidth="1"/>
    <col min="26" max="30" width="12" style="1" bestFit="1" customWidth="1"/>
    <col min="31" max="32" width="9.140625" style="1"/>
    <col min="33" max="33" width="10.140625" style="1" hidden="1" customWidth="1"/>
    <col min="34" max="34" width="14.140625" style="1" hidden="1" customWidth="1"/>
    <col min="35" max="35" width="10" style="1" hidden="1" customWidth="1"/>
    <col min="36" max="36" width="0" style="1" hidden="1" customWidth="1"/>
    <col min="37" max="37" width="10.140625" style="1" hidden="1" customWidth="1"/>
    <col min="38" max="38" width="14.140625" style="1" hidden="1" customWidth="1"/>
    <col min="39" max="39" width="10" style="1" hidden="1" customWidth="1"/>
    <col min="40" max="40" width="0" style="1" hidden="1" customWidth="1"/>
    <col min="41" max="41" width="14" style="1" hidden="1" customWidth="1"/>
    <col min="42" max="42" width="14.140625" style="1" hidden="1" customWidth="1"/>
    <col min="43" max="44" width="0" style="1" hidden="1" customWidth="1"/>
    <col min="45" max="45" width="17.85546875" style="1" hidden="1" customWidth="1"/>
    <col min="46" max="46" width="14.140625" style="1" hidden="1" customWidth="1"/>
    <col min="47" max="47" width="7.5703125" style="1" hidden="1" customWidth="1"/>
    <col min="48" max="49" width="12" style="1" hidden="1" customWidth="1"/>
    <col min="50" max="50" width="11" style="1" hidden="1" customWidth="1"/>
    <col min="51" max="51" width="12" style="1" hidden="1" customWidth="1"/>
    <col min="52" max="16384" width="9.140625" style="1"/>
  </cols>
  <sheetData>
    <row r="1" spans="2:51">
      <c r="B1" s="1" t="s">
        <v>150</v>
      </c>
      <c r="C1" s="19">
        <v>1.4999999999999999E-2</v>
      </c>
    </row>
    <row r="3" spans="2:51" ht="21">
      <c r="B3" s="11" t="s">
        <v>155</v>
      </c>
      <c r="G3" s="11" t="s">
        <v>156</v>
      </c>
      <c r="I3" s="11" t="s">
        <v>187</v>
      </c>
      <c r="J3" s="41"/>
      <c r="Q3" s="11" t="s">
        <v>159</v>
      </c>
      <c r="S3" s="11" t="s">
        <v>183</v>
      </c>
      <c r="Y3" s="11" t="s">
        <v>184</v>
      </c>
      <c r="AG3" s="11" t="s">
        <v>155</v>
      </c>
      <c r="AH3" s="11" t="s">
        <v>160</v>
      </c>
      <c r="AK3" s="11" t="s">
        <v>156</v>
      </c>
      <c r="AL3" s="11" t="s">
        <v>160</v>
      </c>
      <c r="AO3" s="11" t="s">
        <v>157</v>
      </c>
      <c r="AP3" s="11" t="s">
        <v>160</v>
      </c>
      <c r="AS3" s="11" t="s">
        <v>159</v>
      </c>
      <c r="AU3" s="11" t="s">
        <v>182</v>
      </c>
    </row>
    <row r="4" spans="2:51" s="7" customFormat="1">
      <c r="B4" s="7" t="s">
        <v>23</v>
      </c>
      <c r="C4" s="20" t="s">
        <v>0</v>
      </c>
      <c r="D4" s="28" t="s">
        <v>158</v>
      </c>
      <c r="E4" s="28"/>
      <c r="G4" s="7" t="s">
        <v>23</v>
      </c>
      <c r="H4" s="20" t="s">
        <v>0</v>
      </c>
      <c r="I4" s="20" t="s">
        <v>149</v>
      </c>
      <c r="J4" s="38" t="s">
        <v>186</v>
      </c>
      <c r="K4" s="38" t="s">
        <v>159</v>
      </c>
      <c r="L4" s="38" t="s">
        <v>155</v>
      </c>
      <c r="M4" s="38" t="s">
        <v>156</v>
      </c>
      <c r="N4" s="38" t="s">
        <v>189</v>
      </c>
      <c r="Q4" s="7" t="s">
        <v>23</v>
      </c>
      <c r="R4" s="20" t="s">
        <v>0</v>
      </c>
      <c r="S4" s="28" t="s">
        <v>149</v>
      </c>
      <c r="T4" s="28" t="s">
        <v>159</v>
      </c>
      <c r="U4" s="28" t="s">
        <v>155</v>
      </c>
      <c r="V4" s="28" t="s">
        <v>156</v>
      </c>
      <c r="W4" s="7" t="s">
        <v>178</v>
      </c>
      <c r="X4" s="7" t="s">
        <v>181</v>
      </c>
      <c r="Y4" s="7" t="s">
        <v>180</v>
      </c>
      <c r="Z4" s="7" t="s">
        <v>168</v>
      </c>
      <c r="AA4" s="7" t="s">
        <v>169</v>
      </c>
      <c r="AB4" s="7" t="s">
        <v>171</v>
      </c>
      <c r="AC4" s="7" t="s">
        <v>172</v>
      </c>
      <c r="AD4" s="7" t="s">
        <v>173</v>
      </c>
      <c r="AE4" s="7" t="s">
        <v>186</v>
      </c>
      <c r="AF4" s="7" t="s">
        <v>189</v>
      </c>
      <c r="AG4" s="7" t="s">
        <v>23</v>
      </c>
      <c r="AH4" s="7" t="s">
        <v>0</v>
      </c>
      <c r="AI4" s="28"/>
      <c r="AK4" s="7" t="s">
        <v>23</v>
      </c>
      <c r="AL4" s="7" t="s">
        <v>0</v>
      </c>
      <c r="AM4" s="28"/>
      <c r="AO4" s="7" t="s">
        <v>23</v>
      </c>
      <c r="AP4" s="7" t="s">
        <v>0</v>
      </c>
      <c r="AQ4" s="28"/>
      <c r="AS4" s="7" t="s">
        <v>23</v>
      </c>
      <c r="AT4" s="7" t="s">
        <v>0</v>
      </c>
      <c r="AU4" s="28" t="s">
        <v>149</v>
      </c>
      <c r="AV4" s="28" t="s">
        <v>159</v>
      </c>
      <c r="AW4" s="28" t="s">
        <v>155</v>
      </c>
      <c r="AX4" s="28" t="s">
        <v>156</v>
      </c>
      <c r="AY4" s="28" t="s">
        <v>157</v>
      </c>
    </row>
    <row r="5" spans="2:51" s="2" customFormat="1">
      <c r="B5" s="3" t="s">
        <v>24</v>
      </c>
      <c r="C5" s="19">
        <v>9.4285995591371505E-2</v>
      </c>
      <c r="D5" s="25">
        <f>((CurrentMtgRatesDataTable8711[[#This Row],[SeriesNumValue]]-$C$1)/$C$1+1)*100</f>
        <v>628.57330394247674</v>
      </c>
      <c r="E5" s="25"/>
      <c r="G5" s="3" t="s">
        <v>188</v>
      </c>
      <c r="H5" s="19">
        <v>4.2568873743144303E-2</v>
      </c>
      <c r="I5" s="19" t="str">
        <f>YEAR(CurrentMtgRatesDataTable871112[[#This Row],[asofdate]])&amp;"-"&amp;MONTH(CurrentMtgRatesDataTable871112[[#This Row],[asofdate]])</f>
        <v>2015-8</v>
      </c>
      <c r="J5" s="39">
        <f>VLOOKUP(CurrentMtgRatesDataTable871112[[#This Row],[asofdate]],Q:AE,15,0)*100</f>
        <v>2.5328336090739332</v>
      </c>
      <c r="K5" s="40">
        <f>VLOOKUP(CurrentMtgRatesDataTable871112[[#This Row],[asofdate]],Q:AE,4,0)*100</f>
        <v>1.64579390935898</v>
      </c>
      <c r="L5" s="40">
        <f>VLOOKUP(CurrentMtgRatesDataTable871112[[#This Row],[asofdate]],Q:AE,5,0)*100</f>
        <v>5.4443951953697205</v>
      </c>
      <c r="M5" s="40">
        <f>VLOOKUP(CurrentMtgRatesDataTable871112[[#This Row],[asofdate]],Q:AE,6,0)*100</f>
        <v>4.25688737431443</v>
      </c>
      <c r="N5" s="40">
        <f>VLOOKUP(CurrentMtgRatesDataTable871112[[#This Row],[asofdate]],Q:AF,16,0)*100</f>
        <v>1.8118357623179107</v>
      </c>
      <c r="Q5" s="3" t="s">
        <v>24</v>
      </c>
      <c r="R5" s="19">
        <v>2.1450741055419598E-2</v>
      </c>
      <c r="S5" s="29" t="str">
        <f>YEAR(CurrentMtgRatesDataTable8711121314[[#This Row],[asofdate]])&amp;"-"&amp;MONTH(CurrentMtgRatesDataTable8711121314[[#This Row],[asofdate]])</f>
        <v>2003-5</v>
      </c>
      <c r="T5" s="37">
        <f>CurrentMtgRatesDataTable8711121314[[#This Row],[SeriesNumValue]]</f>
        <v>2.1450741055419598E-2</v>
      </c>
      <c r="U5" s="37">
        <f>VLOOKUP(CurrentMtgRatesDataTable8711121314[[#This Row],[asofdate]],B:D,2,0)</f>
        <v>9.4285995591371505E-2</v>
      </c>
      <c r="V5" s="37">
        <f>IF(VLOOKUP(CurrentMtgRatesDataTable8711121314[[#This Row],[asofdate]],G:H,2,0)&lt;&gt;0,VLOOKUP(CurrentMtgRatesDataTable8711121314[[#This Row],[asofdate]],G:H,2,0),V4)</f>
        <v>7.43698517370701E-2</v>
      </c>
      <c r="W5" s="37">
        <f>CurrentMtgRatesDataTable8711121314[[#This Row],[FHA]]+0.5*CurrentMtgRatesDataTable8711121314[[#This Row],[Conventional]]</f>
        <v>0.10501136611908131</v>
      </c>
      <c r="X5" s="37">
        <f>2*CurrentMtgRatesDataTable8711121314[[#This Row],[FHA]]</f>
        <v>0.18857199118274301</v>
      </c>
      <c r="Y5" s="19">
        <f>VLOOKUP(YEAR(CurrentMtgRatesDataTable8711121314[[#This Row],[asofdate]]),OriginationVolume!$A:$N,8,FALSE)</f>
        <v>0.66040268456375839</v>
      </c>
      <c r="Z5" s="19">
        <f>VLOOKUP(YEAR(CurrentMtgRatesDataTable8711121314[[#This Row],[asofdate]]),OriginationVolume!$A:$N,9,FALSE)</f>
        <v>1.4765100671140939E-2</v>
      </c>
      <c r="AA5" s="19">
        <f>VLOOKUP(YEAR(CurrentMtgRatesDataTable8711121314[[#This Row],[asofdate]]),OriginationVolume!$A:$N,10,FALSE)</f>
        <v>4.429530201342282E-2</v>
      </c>
      <c r="AB5" s="19">
        <f>VLOOKUP(YEAR(CurrentMtgRatesDataTable8711121314[[#This Row],[asofdate]]),OriginationVolume!$A:$N,11,FALSE)</f>
        <v>0.17449664429530201</v>
      </c>
      <c r="AC5" s="19">
        <f>VLOOKUP(YEAR(CurrentMtgRatesDataTable8711121314[[#This Row],[asofdate]]),OriginationVolume!$A:$N,12,FALSE)</f>
        <v>2.2818791946308724E-2</v>
      </c>
      <c r="AD5" s="19">
        <f>VLOOKUP(YEAR(CurrentMtgRatesDataTable8711121314[[#This Row],[asofdate]]),OriginationVolume!$A:$N,13,FALSE)</f>
        <v>8.3221476510067116E-2</v>
      </c>
      <c r="AE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4.1273186358991243E-2</v>
      </c>
      <c r="AF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7.7824177103153092E-2</v>
      </c>
      <c r="AG5" s="3" t="s">
        <v>24</v>
      </c>
      <c r="AH5" s="6">
        <v>113035000</v>
      </c>
      <c r="AI5" s="25"/>
      <c r="AK5" s="3" t="s">
        <v>24</v>
      </c>
      <c r="AL5" s="6">
        <v>30154000</v>
      </c>
      <c r="AM5" s="25"/>
      <c r="AO5" s="3" t="s">
        <v>24</v>
      </c>
      <c r="AP5" s="6">
        <v>2625285436.02</v>
      </c>
      <c r="AQ5" s="29"/>
      <c r="AS5" s="3" t="s">
        <v>24</v>
      </c>
      <c r="AT5" s="6">
        <v>2482096436.02</v>
      </c>
      <c r="AU5" s="29" t="str">
        <f>YEAR(CurrentMtgRatesDataTable871112131417[[#This Row],[asofdate]])&amp;"-"&amp;MONTH(CurrentMtgRatesDataTable871112131417[[#This Row],[asofdate]])</f>
        <v>2003-5</v>
      </c>
      <c r="AV5" s="29">
        <f>CurrentMtgRatesDataTable871112131417[[#This Row],[SeriesNumValue]]</f>
        <v>2482096436.02</v>
      </c>
      <c r="AW5" s="29">
        <f>VLOOKUP(CurrentMtgRatesDataTable871112131417[[#This Row],[asofdate]],AG:AH,2,0)</f>
        <v>113035000</v>
      </c>
      <c r="AX5" s="25">
        <f>IF(VLOOKUP(CurrentMtgRatesDataTable871112131417[[#This Row],[asofdate]],AK:AL,2,0)&lt;&gt;0,VLOOKUP(CurrentMtgRatesDataTable871112131417[[#This Row],[asofdate]],AK:AL,2,0),AX4)</f>
        <v>30154000</v>
      </c>
      <c r="AY5" s="25">
        <f>VLOOKUP(CurrentMtgRatesDataTable871112131417[[#This Row],[asofdate]],AO:AP,2,0)</f>
        <v>2625285436.02</v>
      </c>
    </row>
    <row r="6" spans="2:51" s="2" customFormat="1">
      <c r="B6" s="3" t="s">
        <v>25</v>
      </c>
      <c r="C6" s="21">
        <v>8.5363662487838804E-2</v>
      </c>
      <c r="D6" s="26">
        <f>((CurrentMtgRatesDataTable8711[[#This Row],[SeriesNumValue]]-$C$1)/$C$1+1)*100</f>
        <v>569.09108325225873</v>
      </c>
      <c r="E6" s="26"/>
      <c r="G6" s="3" t="s">
        <v>154</v>
      </c>
      <c r="H6" s="21">
        <v>4.4194488795020699E-2</v>
      </c>
      <c r="I6" s="21" t="str">
        <f>YEAR(CurrentMtgRatesDataTable871112[[#This Row],[asofdate]])&amp;"-"&amp;MONTH(CurrentMtgRatesDataTable871112[[#This Row],[asofdate]])</f>
        <v>2015-7</v>
      </c>
      <c r="J6" s="40">
        <f>VLOOKUP(CurrentMtgRatesDataTable871112[[#This Row],[asofdate]],Q:AE,15,0)*100</f>
        <v>2.5938160640522971</v>
      </c>
      <c r="K6" s="40">
        <f>VLOOKUP(CurrentMtgRatesDataTable871112[[#This Row],[asofdate]],Q:AE,4,0)*100</f>
        <v>1.67906224223657</v>
      </c>
      <c r="L6" s="40">
        <f>VLOOKUP(CurrentMtgRatesDataTable871112[[#This Row],[asofdate]],Q:AE,5,0)*100</f>
        <v>5.5814197233407601</v>
      </c>
      <c r="M6" s="40">
        <f>VLOOKUP(CurrentMtgRatesDataTable871112[[#This Row],[asofdate]],Q:AE,6,0)*100</f>
        <v>4.4194488795020703</v>
      </c>
      <c r="N6" s="40">
        <f>VLOOKUP(CurrentMtgRatesDataTable871112[[#This Row],[asofdate]],Q:AF,16,0)*100</f>
        <v>1.8494294974062397</v>
      </c>
      <c r="Q6" s="3" t="s">
        <v>25</v>
      </c>
      <c r="R6" s="21">
        <v>2.0777950043804699E-2</v>
      </c>
      <c r="S6" s="29" t="str">
        <f>YEAR(CurrentMtgRatesDataTable8711121314[[#This Row],[asofdate]])&amp;"-"&amp;MONTH(CurrentMtgRatesDataTable8711121314[[#This Row],[asofdate]])</f>
        <v>2003-6</v>
      </c>
      <c r="T6" s="37">
        <f>CurrentMtgRatesDataTable8711121314[[#This Row],[SeriesNumValue]]</f>
        <v>2.0777950043804699E-2</v>
      </c>
      <c r="U6" s="37">
        <f>VLOOKUP(CurrentMtgRatesDataTable8711121314[[#This Row],[asofdate]],B:D,2,0)</f>
        <v>8.5363662487838804E-2</v>
      </c>
      <c r="V6" s="37">
        <f>IF(VLOOKUP(CurrentMtgRatesDataTable8711121314[[#This Row],[asofdate]],G:H,2,0)&lt;&gt;0,VLOOKUP(CurrentMtgRatesDataTable8711121314[[#This Row],[asofdate]],G:H,2,0),V5)</f>
        <v>7.30825171843862E-2</v>
      </c>
      <c r="W6" s="37">
        <f>CurrentMtgRatesDataTable8711121314[[#This Row],[FHA]]+0.5*CurrentMtgRatesDataTable8711121314[[#This Row],[Conventional]]</f>
        <v>9.5752637509741154E-2</v>
      </c>
      <c r="X6" s="37">
        <f>2*CurrentMtgRatesDataTable8711121314[[#This Row],[FHA]]</f>
        <v>0.17072732497567761</v>
      </c>
      <c r="Y6" s="19">
        <f>VLOOKUP(YEAR(CurrentMtgRatesDataTable8711121314[[#This Row],[asofdate]]),OriginationVolume!$A:$N,8,FALSE)</f>
        <v>0.66040268456375839</v>
      </c>
      <c r="Z6" s="19">
        <f>VLOOKUP(YEAR(CurrentMtgRatesDataTable8711121314[[#This Row],[asofdate]]),OriginationVolume!$A:$N,9,FALSE)</f>
        <v>1.4765100671140939E-2</v>
      </c>
      <c r="AA6" s="19">
        <f>VLOOKUP(YEAR(CurrentMtgRatesDataTable8711121314[[#This Row],[asofdate]]),OriginationVolume!$A:$N,10,FALSE)</f>
        <v>4.429530201342282E-2</v>
      </c>
      <c r="AB6" s="19">
        <f>VLOOKUP(YEAR(CurrentMtgRatesDataTable8711121314[[#This Row],[asofdate]]),OriginationVolume!$A:$N,11,FALSE)</f>
        <v>0.17449664429530201</v>
      </c>
      <c r="AC6" s="19">
        <f>VLOOKUP(YEAR(CurrentMtgRatesDataTable8711121314[[#This Row],[asofdate]]),OriginationVolume!$A:$N,12,FALSE)</f>
        <v>2.2818791946308724E-2</v>
      </c>
      <c r="AD6" s="19">
        <f>VLOOKUP(YEAR(CurrentMtgRatesDataTable8711121314[[#This Row],[asofdate]]),OriginationVolume!$A:$N,13,FALSE)</f>
        <v>8.3221476510067116E-2</v>
      </c>
      <c r="AE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3.8600916059773241E-2</v>
      </c>
      <c r="AF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7.1358959291158958E-2</v>
      </c>
      <c r="AG6" s="3" t="s">
        <v>25</v>
      </c>
      <c r="AH6" s="5">
        <v>143944000</v>
      </c>
      <c r="AI6" s="26"/>
      <c r="AK6" s="3" t="s">
        <v>25</v>
      </c>
      <c r="AL6" s="5">
        <v>35561000</v>
      </c>
      <c r="AM6" s="26"/>
      <c r="AO6" s="3" t="s">
        <v>25</v>
      </c>
      <c r="AP6" s="5">
        <v>3014884433.79</v>
      </c>
      <c r="AQ6" s="29"/>
      <c r="AS6" s="3" t="s">
        <v>25</v>
      </c>
      <c r="AT6" s="5">
        <v>2835379433.79</v>
      </c>
      <c r="AU6" s="29" t="str">
        <f>YEAR(CurrentMtgRatesDataTable871112131417[[#This Row],[asofdate]])&amp;"-"&amp;MONTH(CurrentMtgRatesDataTable871112131417[[#This Row],[asofdate]])</f>
        <v>2003-6</v>
      </c>
      <c r="AV6" s="29">
        <f>CurrentMtgRatesDataTable871112131417[[#This Row],[SeriesNumValue]]</f>
        <v>2835379433.79</v>
      </c>
      <c r="AW6" s="29">
        <f>VLOOKUP(CurrentMtgRatesDataTable871112131417[[#This Row],[asofdate]],AG:AH,2,0)</f>
        <v>143944000</v>
      </c>
      <c r="AX6" s="25">
        <f>IF(VLOOKUP(CurrentMtgRatesDataTable871112131417[[#This Row],[asofdate]],AK:AL,2,0)&lt;&gt;0,VLOOKUP(CurrentMtgRatesDataTable871112131417[[#This Row],[asofdate]],AK:AL,2,0),AX5)</f>
        <v>35561000</v>
      </c>
      <c r="AY6" s="25">
        <f>VLOOKUP(CurrentMtgRatesDataTable871112131417[[#This Row],[asofdate]],AO:AP,2,0)</f>
        <v>3014884433.79</v>
      </c>
    </row>
    <row r="7" spans="2:51" s="2" customFormat="1">
      <c r="B7" s="3" t="s">
        <v>26</v>
      </c>
      <c r="C7" s="21">
        <v>9.1805440656946596E-2</v>
      </c>
      <c r="D7" s="26">
        <f>((CurrentMtgRatesDataTable8711[[#This Row],[SeriesNumValue]]-$C$1)/$C$1+1)*100</f>
        <v>612.03627104631073</v>
      </c>
      <c r="E7" s="26"/>
      <c r="G7" s="3" t="s">
        <v>22</v>
      </c>
      <c r="H7" s="21">
        <v>4.8892254020369799E-2</v>
      </c>
      <c r="I7" s="21" t="str">
        <f>YEAR(CurrentMtgRatesDataTable871112[[#This Row],[asofdate]])&amp;"-"&amp;MONTH(CurrentMtgRatesDataTable871112[[#This Row],[asofdate]])</f>
        <v>2015-6</v>
      </c>
      <c r="J7" s="40">
        <f>VLOOKUP(CurrentMtgRatesDataTable871112[[#This Row],[asofdate]],Q:AE,15,0)*100</f>
        <v>2.8438064795132156</v>
      </c>
      <c r="K7" s="40">
        <f>VLOOKUP(CurrentMtgRatesDataTable871112[[#This Row],[asofdate]],Q:AE,4,0)*100</f>
        <v>1.8308992119838299</v>
      </c>
      <c r="L7" s="40">
        <f>VLOOKUP(CurrentMtgRatesDataTable871112[[#This Row],[asofdate]],Q:AE,5,0)*100</f>
        <v>6.1448839793864405</v>
      </c>
      <c r="M7" s="40">
        <f>VLOOKUP(CurrentMtgRatesDataTable871112[[#This Row],[asofdate]],Q:AE,6,0)*100</f>
        <v>4.8892254020369803</v>
      </c>
      <c r="N7" s="40">
        <f>VLOOKUP(CurrentMtgRatesDataTable871112[[#This Row],[asofdate]],Q:AF,16,0)*100</f>
        <v>2.0187830816866272</v>
      </c>
      <c r="Q7" s="3" t="s">
        <v>26</v>
      </c>
      <c r="R7" s="21">
        <v>2.24205388581304E-2</v>
      </c>
      <c r="S7" s="29" t="str">
        <f>YEAR(CurrentMtgRatesDataTable8711121314[[#This Row],[asofdate]])&amp;"-"&amp;MONTH(CurrentMtgRatesDataTable8711121314[[#This Row],[asofdate]])</f>
        <v>2003-7</v>
      </c>
      <c r="T7" s="37">
        <f>CurrentMtgRatesDataTable8711121314[[#This Row],[SeriesNumValue]]</f>
        <v>2.24205388581304E-2</v>
      </c>
      <c r="U7" s="37">
        <f>VLOOKUP(CurrentMtgRatesDataTable8711121314[[#This Row],[asofdate]],B:D,2,0)</f>
        <v>9.1805440656946596E-2</v>
      </c>
      <c r="V7" s="37">
        <f>IF(VLOOKUP(CurrentMtgRatesDataTable8711121314[[#This Row],[asofdate]],G:H,2,0)&lt;&gt;0,VLOOKUP(CurrentMtgRatesDataTable8711121314[[#This Row],[asofdate]],G:H,2,0),V6)</f>
        <v>7.5057002809456902E-2</v>
      </c>
      <c r="W7" s="37">
        <f>CurrentMtgRatesDataTable8711121314[[#This Row],[FHA]]+0.5*CurrentMtgRatesDataTable8711121314[[#This Row],[Conventional]]</f>
        <v>0.10301571008601179</v>
      </c>
      <c r="X7" s="37">
        <f>2*CurrentMtgRatesDataTable8711121314[[#This Row],[FHA]]</f>
        <v>0.18361088131389319</v>
      </c>
      <c r="Y7" s="19">
        <f>VLOOKUP(YEAR(CurrentMtgRatesDataTable8711121314[[#This Row],[asofdate]]),OriginationVolume!$A:$N,8,FALSE)</f>
        <v>0.66040268456375839</v>
      </c>
      <c r="Z7" s="19">
        <f>VLOOKUP(YEAR(CurrentMtgRatesDataTable8711121314[[#This Row],[asofdate]]),OriginationVolume!$A:$N,9,FALSE)</f>
        <v>1.4765100671140939E-2</v>
      </c>
      <c r="AA7" s="19">
        <f>VLOOKUP(YEAR(CurrentMtgRatesDataTable8711121314[[#This Row],[asofdate]]),OriginationVolume!$A:$N,10,FALSE)</f>
        <v>4.429530201342282E-2</v>
      </c>
      <c r="AB7" s="19">
        <f>VLOOKUP(YEAR(CurrentMtgRatesDataTable8711121314[[#This Row],[asofdate]]),OriginationVolume!$A:$N,11,FALSE)</f>
        <v>0.17449664429530201</v>
      </c>
      <c r="AC7" s="19">
        <f>VLOOKUP(YEAR(CurrentMtgRatesDataTable8711121314[[#This Row],[asofdate]]),OriginationVolume!$A:$N,12,FALSE)</f>
        <v>2.2818791946308724E-2</v>
      </c>
      <c r="AD7" s="19">
        <f>VLOOKUP(YEAR(CurrentMtgRatesDataTable8711121314[[#This Row],[asofdate]]),OriginationVolume!$A:$N,13,FALSE)</f>
        <v>8.3221476510067116E-2</v>
      </c>
      <c r="AE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4.1524729470152955E-2</v>
      </c>
      <c r="AF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7.6793357724787223E-2</v>
      </c>
      <c r="AG7" s="3" t="s">
        <v>26</v>
      </c>
      <c r="AH7" s="5">
        <v>164026000</v>
      </c>
      <c r="AI7" s="26"/>
      <c r="AK7" s="3" t="s">
        <v>26</v>
      </c>
      <c r="AL7" s="5">
        <v>41545000</v>
      </c>
      <c r="AM7" s="26"/>
      <c r="AO7" s="3" t="s">
        <v>26</v>
      </c>
      <c r="AP7" s="5">
        <v>3651588513.8000002</v>
      </c>
      <c r="AQ7" s="29"/>
      <c r="AS7" s="3" t="s">
        <v>26</v>
      </c>
      <c r="AT7" s="5">
        <v>3446017513.8000002</v>
      </c>
      <c r="AU7" s="29" t="str">
        <f>YEAR(CurrentMtgRatesDataTable871112131417[[#This Row],[asofdate]])&amp;"-"&amp;MONTH(CurrentMtgRatesDataTable871112131417[[#This Row],[asofdate]])</f>
        <v>2003-7</v>
      </c>
      <c r="AV7" s="29">
        <f>CurrentMtgRatesDataTable871112131417[[#This Row],[SeriesNumValue]]</f>
        <v>3446017513.8000002</v>
      </c>
      <c r="AW7" s="29">
        <f>VLOOKUP(CurrentMtgRatesDataTable871112131417[[#This Row],[asofdate]],AG:AH,2,0)</f>
        <v>164026000</v>
      </c>
      <c r="AX7" s="25">
        <f>IF(VLOOKUP(CurrentMtgRatesDataTable871112131417[[#This Row],[asofdate]],AK:AL,2,0)&lt;&gt;0,VLOOKUP(CurrentMtgRatesDataTable871112131417[[#This Row],[asofdate]],AK:AL,2,0),AX6)</f>
        <v>41545000</v>
      </c>
      <c r="AY7" s="25">
        <f>VLOOKUP(CurrentMtgRatesDataTable871112131417[[#This Row],[asofdate]],AO:AP,2,0)</f>
        <v>3651588513.8000002</v>
      </c>
    </row>
    <row r="8" spans="2:51" s="2" customFormat="1">
      <c r="B8" s="3" t="s">
        <v>27</v>
      </c>
      <c r="C8" s="21">
        <v>9.2379201142605005E-2</v>
      </c>
      <c r="D8" s="26">
        <f>((CurrentMtgRatesDataTable8711[[#This Row],[SeriesNumValue]]-$C$1)/$C$1+1)*100</f>
        <v>615.86134095070008</v>
      </c>
      <c r="E8" s="26"/>
      <c r="G8" s="3" t="s">
        <v>21</v>
      </c>
      <c r="H8" s="21">
        <v>4.77608855292758E-2</v>
      </c>
      <c r="I8" s="21" t="str">
        <f>YEAR(CurrentMtgRatesDataTable871112[[#This Row],[asofdate]])&amp;"-"&amp;MONTH(CurrentMtgRatesDataTable871112[[#This Row],[asofdate]])</f>
        <v>2015-5</v>
      </c>
      <c r="J8" s="40">
        <f>VLOOKUP(CurrentMtgRatesDataTable871112[[#This Row],[asofdate]],Q:AE,15,0)*100</f>
        <v>2.7603015241589377</v>
      </c>
      <c r="K8" s="40">
        <f>VLOOKUP(CurrentMtgRatesDataTable871112[[#This Row],[asofdate]],Q:AE,4,0)*100</f>
        <v>1.7579644452022301</v>
      </c>
      <c r="L8" s="40">
        <f>VLOOKUP(CurrentMtgRatesDataTable871112[[#This Row],[asofdate]],Q:AE,5,0)*100</f>
        <v>6.0306400919081202</v>
      </c>
      <c r="M8" s="40">
        <f>VLOOKUP(CurrentMtgRatesDataTable871112[[#This Row],[asofdate]],Q:AE,6,0)*100</f>
        <v>4.7760885529275798</v>
      </c>
      <c r="N8" s="40">
        <f>VLOOKUP(CurrentMtgRatesDataTable871112[[#This Row],[asofdate]],Q:AF,16,0)*100</f>
        <v>1.9430539494887094</v>
      </c>
      <c r="Q8" s="3" t="s">
        <v>27</v>
      </c>
      <c r="R8" s="21">
        <v>2.1746038746394102E-2</v>
      </c>
      <c r="S8" s="29" t="str">
        <f>YEAR(CurrentMtgRatesDataTable8711121314[[#This Row],[asofdate]])&amp;"-"&amp;MONTH(CurrentMtgRatesDataTable8711121314[[#This Row],[asofdate]])</f>
        <v>2003-8</v>
      </c>
      <c r="T8" s="37">
        <f>CurrentMtgRatesDataTable8711121314[[#This Row],[SeriesNumValue]]</f>
        <v>2.1746038746394102E-2</v>
      </c>
      <c r="U8" s="37">
        <f>VLOOKUP(CurrentMtgRatesDataTable8711121314[[#This Row],[asofdate]],B:D,2,0)</f>
        <v>9.2379201142605005E-2</v>
      </c>
      <c r="V8" s="37">
        <f>IF(VLOOKUP(CurrentMtgRatesDataTable8711121314[[#This Row],[asofdate]],G:H,2,0)&lt;&gt;0,VLOOKUP(CurrentMtgRatesDataTable8711121314[[#This Row],[asofdate]],G:H,2,0),V7)</f>
        <v>7.2909944145716804E-2</v>
      </c>
      <c r="W8" s="37">
        <f>CurrentMtgRatesDataTable8711121314[[#This Row],[FHA]]+0.5*CurrentMtgRatesDataTable8711121314[[#This Row],[Conventional]]</f>
        <v>0.10325222051580206</v>
      </c>
      <c r="X8" s="37">
        <f>2*CurrentMtgRatesDataTable8711121314[[#This Row],[FHA]]</f>
        <v>0.18475840228521001</v>
      </c>
      <c r="Y8" s="19">
        <f>VLOOKUP(YEAR(CurrentMtgRatesDataTable8711121314[[#This Row],[asofdate]]),OriginationVolume!$A:$N,8,FALSE)</f>
        <v>0.66040268456375839</v>
      </c>
      <c r="Z8" s="19">
        <f>VLOOKUP(YEAR(CurrentMtgRatesDataTable8711121314[[#This Row],[asofdate]]),OriginationVolume!$A:$N,9,FALSE)</f>
        <v>1.4765100671140939E-2</v>
      </c>
      <c r="AA8" s="19">
        <f>VLOOKUP(YEAR(CurrentMtgRatesDataTable8711121314[[#This Row],[asofdate]]),OriginationVolume!$A:$N,10,FALSE)</f>
        <v>4.429530201342282E-2</v>
      </c>
      <c r="AB8" s="19">
        <f>VLOOKUP(YEAR(CurrentMtgRatesDataTable8711121314[[#This Row],[asofdate]]),OriginationVolume!$A:$N,11,FALSE)</f>
        <v>0.17449664429530201</v>
      </c>
      <c r="AC8" s="19">
        <f>VLOOKUP(YEAR(CurrentMtgRatesDataTable8711121314[[#This Row],[asofdate]]),OriginationVolume!$A:$N,12,FALSE)</f>
        <v>2.2818791946308724E-2</v>
      </c>
      <c r="AD8" s="19">
        <f>VLOOKUP(YEAR(CurrentMtgRatesDataTable8711121314[[#This Row],[asofdate]]),OriginationVolume!$A:$N,13,FALSE)</f>
        <v>8.3221476510067116E-2</v>
      </c>
      <c r="AE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4.1056198408077366E-2</v>
      </c>
      <c r="AF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7.6733462810922914E-2</v>
      </c>
      <c r="AG8" s="3" t="s">
        <v>27</v>
      </c>
      <c r="AH8" s="5">
        <v>185993000</v>
      </c>
      <c r="AI8" s="26"/>
      <c r="AK8" s="3" t="s">
        <v>27</v>
      </c>
      <c r="AL8" s="5">
        <v>52420000</v>
      </c>
      <c r="AM8" s="26"/>
      <c r="AO8" s="3" t="s">
        <v>27</v>
      </c>
      <c r="AP8" s="5">
        <v>4809370938.4499998</v>
      </c>
      <c r="AQ8" s="29"/>
      <c r="AS8" s="3" t="s">
        <v>27</v>
      </c>
      <c r="AT8" s="5">
        <v>4570957938.4499998</v>
      </c>
      <c r="AU8" s="29" t="str">
        <f>YEAR(CurrentMtgRatesDataTable871112131417[[#This Row],[asofdate]])&amp;"-"&amp;MONTH(CurrentMtgRatesDataTable871112131417[[#This Row],[asofdate]])</f>
        <v>2003-8</v>
      </c>
      <c r="AV8" s="29">
        <f>CurrentMtgRatesDataTable871112131417[[#This Row],[SeriesNumValue]]</f>
        <v>4570957938.4499998</v>
      </c>
      <c r="AW8" s="29">
        <f>VLOOKUP(CurrentMtgRatesDataTable871112131417[[#This Row],[asofdate]],AG:AH,2,0)</f>
        <v>185993000</v>
      </c>
      <c r="AX8" s="25">
        <f>IF(VLOOKUP(CurrentMtgRatesDataTable871112131417[[#This Row],[asofdate]],AK:AL,2,0)&lt;&gt;0,VLOOKUP(CurrentMtgRatesDataTable871112131417[[#This Row],[asofdate]],AK:AL,2,0),AX7)</f>
        <v>52420000</v>
      </c>
      <c r="AY8" s="25">
        <f>VLOOKUP(CurrentMtgRatesDataTable871112131417[[#This Row],[asofdate]],AO:AP,2,0)</f>
        <v>4809370938.4499998</v>
      </c>
    </row>
    <row r="9" spans="2:51" s="2" customFormat="1">
      <c r="B9" s="3" t="s">
        <v>28</v>
      </c>
      <c r="C9" s="21">
        <v>7.25860078665896E-2</v>
      </c>
      <c r="D9" s="26">
        <f>((CurrentMtgRatesDataTable8711[[#This Row],[SeriesNumValue]]-$C$1)/$C$1+1)*100</f>
        <v>483.90671911059735</v>
      </c>
      <c r="E9" s="26"/>
      <c r="G9" s="3" t="s">
        <v>20</v>
      </c>
      <c r="H9" s="21">
        <v>4.7615630618715099E-2</v>
      </c>
      <c r="I9" s="21" t="str">
        <f>YEAR(CurrentMtgRatesDataTable871112[[#This Row],[asofdate]])&amp;"-"&amp;MONTH(CurrentMtgRatesDataTable871112[[#This Row],[asofdate]])</f>
        <v>2015-4</v>
      </c>
      <c r="J9" s="40">
        <f>VLOOKUP(CurrentMtgRatesDataTable871112[[#This Row],[asofdate]],Q:AE,15,0)*100</f>
        <v>2.7997455207385191</v>
      </c>
      <c r="K9" s="40">
        <f>VLOOKUP(CurrentMtgRatesDataTable871112[[#This Row],[asofdate]],Q:AE,4,0)*100</f>
        <v>1.7817477432637101</v>
      </c>
      <c r="L9" s="40">
        <f>VLOOKUP(CurrentMtgRatesDataTable871112[[#This Row],[asofdate]],Q:AE,5,0)*100</f>
        <v>6.1486236715359199</v>
      </c>
      <c r="M9" s="40">
        <f>VLOOKUP(CurrentMtgRatesDataTable871112[[#This Row],[asofdate]],Q:AE,6,0)*100</f>
        <v>4.7615630618715095</v>
      </c>
      <c r="N9" s="40">
        <f>VLOOKUP(CurrentMtgRatesDataTable871112[[#This Row],[asofdate]],Q:AF,16,0)*100</f>
        <v>1.9706489336794248</v>
      </c>
      <c r="Q9" s="3" t="s">
        <v>28</v>
      </c>
      <c r="R9" s="21">
        <v>1.7642684597579599E-2</v>
      </c>
      <c r="S9" s="29" t="str">
        <f>YEAR(CurrentMtgRatesDataTable8711121314[[#This Row],[asofdate]])&amp;"-"&amp;MONTH(CurrentMtgRatesDataTable8711121314[[#This Row],[asofdate]])</f>
        <v>2003-9</v>
      </c>
      <c r="T9" s="37">
        <f>CurrentMtgRatesDataTable8711121314[[#This Row],[SeriesNumValue]]</f>
        <v>1.7642684597579599E-2</v>
      </c>
      <c r="U9" s="37">
        <f>VLOOKUP(CurrentMtgRatesDataTable8711121314[[#This Row],[asofdate]],B:D,2,0)</f>
        <v>7.25860078665896E-2</v>
      </c>
      <c r="V9" s="37">
        <f>IF(VLOOKUP(CurrentMtgRatesDataTable8711121314[[#This Row],[asofdate]],G:H,2,0)&lt;&gt;0,VLOOKUP(CurrentMtgRatesDataTable8711121314[[#This Row],[asofdate]],G:H,2,0),V8)</f>
        <v>5.9572386776244698E-2</v>
      </c>
      <c r="W9" s="37">
        <f>CurrentMtgRatesDataTable8711121314[[#This Row],[FHA]]+0.5*CurrentMtgRatesDataTable8711121314[[#This Row],[Conventional]]</f>
        <v>8.1407350165379394E-2</v>
      </c>
      <c r="X9" s="37">
        <f>2*CurrentMtgRatesDataTable8711121314[[#This Row],[FHA]]</f>
        <v>0.1451720157331792</v>
      </c>
      <c r="Y9" s="19">
        <f>VLOOKUP(YEAR(CurrentMtgRatesDataTable8711121314[[#This Row],[asofdate]]),OriginationVolume!$A:$N,8,FALSE)</f>
        <v>0.66040268456375839</v>
      </c>
      <c r="Z9" s="19">
        <f>VLOOKUP(YEAR(CurrentMtgRatesDataTable8711121314[[#This Row],[asofdate]]),OriginationVolume!$A:$N,9,FALSE)</f>
        <v>1.4765100671140939E-2</v>
      </c>
      <c r="AA9" s="19">
        <f>VLOOKUP(YEAR(CurrentMtgRatesDataTable8711121314[[#This Row],[asofdate]]),OriginationVolume!$A:$N,10,FALSE)</f>
        <v>4.429530201342282E-2</v>
      </c>
      <c r="AB9" s="19">
        <f>VLOOKUP(YEAR(CurrentMtgRatesDataTable8711121314[[#This Row],[asofdate]]),OriginationVolume!$A:$N,11,FALSE)</f>
        <v>0.17449664429530201</v>
      </c>
      <c r="AC9" s="19">
        <f>VLOOKUP(YEAR(CurrentMtgRatesDataTable8711121314[[#This Row],[asofdate]]),OriginationVolume!$A:$N,12,FALSE)</f>
        <v>2.2818791946308724E-2</v>
      </c>
      <c r="AD9" s="19">
        <f>VLOOKUP(YEAR(CurrentMtgRatesDataTable8711121314[[#This Row],[asofdate]]),OriginationVolume!$A:$N,13,FALSE)</f>
        <v>8.3221476510067116E-2</v>
      </c>
      <c r="AE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3.2763723841743919E-2</v>
      </c>
      <c r="AF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6.066095179882252E-2</v>
      </c>
      <c r="AG9" s="3" t="s">
        <v>28</v>
      </c>
      <c r="AH9" s="5">
        <v>205840000</v>
      </c>
      <c r="AI9" s="26"/>
      <c r="AK9" s="3" t="s">
        <v>28</v>
      </c>
      <c r="AL9" s="5">
        <v>61780000</v>
      </c>
      <c r="AM9" s="26"/>
      <c r="AO9" s="3" t="s">
        <v>28</v>
      </c>
      <c r="AP9" s="5">
        <v>4793848935.9399996</v>
      </c>
      <c r="AQ9" s="29"/>
      <c r="AS9" s="3" t="s">
        <v>28</v>
      </c>
      <c r="AT9" s="5">
        <v>4526228935.9399996</v>
      </c>
      <c r="AU9" s="29" t="str">
        <f>YEAR(CurrentMtgRatesDataTable871112131417[[#This Row],[asofdate]])&amp;"-"&amp;MONTH(CurrentMtgRatesDataTable871112131417[[#This Row],[asofdate]])</f>
        <v>2003-9</v>
      </c>
      <c r="AV9" s="29">
        <f>CurrentMtgRatesDataTable871112131417[[#This Row],[SeriesNumValue]]</f>
        <v>4526228935.9399996</v>
      </c>
      <c r="AW9" s="29">
        <f>VLOOKUP(CurrentMtgRatesDataTable871112131417[[#This Row],[asofdate]],AG:AH,2,0)</f>
        <v>205840000</v>
      </c>
      <c r="AX9" s="25">
        <f>IF(VLOOKUP(CurrentMtgRatesDataTable871112131417[[#This Row],[asofdate]],AK:AL,2,0)&lt;&gt;0,VLOOKUP(CurrentMtgRatesDataTable871112131417[[#This Row],[asofdate]],AK:AL,2,0),AX8)</f>
        <v>61780000</v>
      </c>
      <c r="AY9" s="25">
        <f>VLOOKUP(CurrentMtgRatesDataTable871112131417[[#This Row],[asofdate]],AO:AP,2,0)</f>
        <v>4793848935.9399996</v>
      </c>
    </row>
    <row r="10" spans="2:51" s="2" customFormat="1">
      <c r="B10" s="3" t="s">
        <v>29</v>
      </c>
      <c r="C10" s="21">
        <v>6.51072617401625E-2</v>
      </c>
      <c r="D10" s="26">
        <f>((CurrentMtgRatesDataTable8711[[#This Row],[SeriesNumValue]]-$C$1)/$C$1+1)*100</f>
        <v>434.04841160108327</v>
      </c>
      <c r="E10" s="26"/>
      <c r="G10" s="3" t="s">
        <v>147</v>
      </c>
      <c r="H10" s="21">
        <v>4.9418960876341803E-2</v>
      </c>
      <c r="I10" s="21" t="str">
        <f>YEAR(CurrentMtgRatesDataTable871112[[#This Row],[asofdate]])&amp;"-"&amp;MONTH(CurrentMtgRatesDataTable871112[[#This Row],[asofdate]])</f>
        <v>2015-3</v>
      </c>
      <c r="J10" s="40">
        <f>VLOOKUP(CurrentMtgRatesDataTable871112[[#This Row],[asofdate]],Q:AE,15,0)*100</f>
        <v>3.0226542638785809</v>
      </c>
      <c r="K10" s="40">
        <f>VLOOKUP(CurrentMtgRatesDataTable871112[[#This Row],[asofdate]],Q:AE,4,0)*100</f>
        <v>1.9426549529739001</v>
      </c>
      <c r="L10" s="40">
        <f>VLOOKUP(CurrentMtgRatesDataTable871112[[#This Row],[asofdate]],Q:AE,5,0)*100</f>
        <v>6.6263717165098006</v>
      </c>
      <c r="M10" s="40">
        <f>VLOOKUP(CurrentMtgRatesDataTable871112[[#This Row],[asofdate]],Q:AE,6,0)*100</f>
        <v>4.9418960876341806</v>
      </c>
      <c r="N10" s="40">
        <f>VLOOKUP(CurrentMtgRatesDataTable871112[[#This Row],[asofdate]],Q:AF,16,0)*100</f>
        <v>2.1458301951304093</v>
      </c>
      <c r="Q10" s="3" t="s">
        <v>29</v>
      </c>
      <c r="R10" s="21">
        <v>1.64145800400433E-2</v>
      </c>
      <c r="S10" s="29" t="str">
        <f>YEAR(CurrentMtgRatesDataTable8711121314[[#This Row],[asofdate]])&amp;"-"&amp;MONTH(CurrentMtgRatesDataTable8711121314[[#This Row],[asofdate]])</f>
        <v>2003-10</v>
      </c>
      <c r="T10" s="37">
        <f>CurrentMtgRatesDataTable8711121314[[#This Row],[SeriesNumValue]]</f>
        <v>1.64145800400433E-2</v>
      </c>
      <c r="U10" s="37">
        <f>VLOOKUP(CurrentMtgRatesDataTable8711121314[[#This Row],[asofdate]],B:D,2,0)</f>
        <v>6.51072617401625E-2</v>
      </c>
      <c r="V10" s="37">
        <f>IF(VLOOKUP(CurrentMtgRatesDataTable8711121314[[#This Row],[asofdate]],G:H,2,0)&lt;&gt;0,VLOOKUP(CurrentMtgRatesDataTable8711121314[[#This Row],[asofdate]],G:H,2,0),V9)</f>
        <v>5.8551251558796702E-2</v>
      </c>
      <c r="W10" s="37">
        <f>CurrentMtgRatesDataTable8711121314[[#This Row],[FHA]]+0.5*CurrentMtgRatesDataTable8711121314[[#This Row],[Conventional]]</f>
        <v>7.3314551760184143E-2</v>
      </c>
      <c r="X10" s="37">
        <f>2*CurrentMtgRatesDataTable8711121314[[#This Row],[FHA]]</f>
        <v>0.130214523480325</v>
      </c>
      <c r="Y10" s="19">
        <f>VLOOKUP(YEAR(CurrentMtgRatesDataTable8711121314[[#This Row],[asofdate]]),OriginationVolume!$A:$N,8,FALSE)</f>
        <v>0.66040268456375839</v>
      </c>
      <c r="Z10" s="19">
        <f>VLOOKUP(YEAR(CurrentMtgRatesDataTable8711121314[[#This Row],[asofdate]]),OriginationVolume!$A:$N,9,FALSE)</f>
        <v>1.4765100671140939E-2</v>
      </c>
      <c r="AA10" s="19">
        <f>VLOOKUP(YEAR(CurrentMtgRatesDataTable8711121314[[#This Row],[asofdate]]),OriginationVolume!$A:$N,10,FALSE)</f>
        <v>4.429530201342282E-2</v>
      </c>
      <c r="AB10" s="19">
        <f>VLOOKUP(YEAR(CurrentMtgRatesDataTable8711121314[[#This Row],[asofdate]]),OriginationVolume!$A:$N,11,FALSE)</f>
        <v>0.17449664429530201</v>
      </c>
      <c r="AC10" s="19">
        <f>VLOOKUP(YEAR(CurrentMtgRatesDataTable8711121314[[#This Row],[asofdate]]),OriginationVolume!$A:$N,12,FALSE)</f>
        <v>2.2818791946308724E-2</v>
      </c>
      <c r="AD10" s="19">
        <f>VLOOKUP(YEAR(CurrentMtgRatesDataTable8711121314[[#This Row],[asofdate]]),OriginationVolume!$A:$N,13,FALSE)</f>
        <v>8.3221476510067116E-2</v>
      </c>
      <c r="AE1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2.9962577215009851E-2</v>
      </c>
      <c r="AF1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5.480164230099957E-2</v>
      </c>
      <c r="AG10" s="3" t="s">
        <v>29</v>
      </c>
      <c r="AH10" s="5">
        <v>173162000</v>
      </c>
      <c r="AI10" s="26"/>
      <c r="AK10" s="3" t="s">
        <v>29</v>
      </c>
      <c r="AL10" s="5">
        <v>53874000</v>
      </c>
      <c r="AM10" s="26"/>
      <c r="AO10" s="3" t="s">
        <v>29</v>
      </c>
      <c r="AP10" s="5">
        <v>3366345364.3299999</v>
      </c>
      <c r="AQ10" s="29"/>
      <c r="AS10" s="3" t="s">
        <v>29</v>
      </c>
      <c r="AT10" s="5">
        <v>3139309364.3299999</v>
      </c>
      <c r="AU10" s="29" t="str">
        <f>YEAR(CurrentMtgRatesDataTable871112131417[[#This Row],[asofdate]])&amp;"-"&amp;MONTH(CurrentMtgRatesDataTable871112131417[[#This Row],[asofdate]])</f>
        <v>2003-10</v>
      </c>
      <c r="AV10" s="29">
        <f>CurrentMtgRatesDataTable871112131417[[#This Row],[SeriesNumValue]]</f>
        <v>3139309364.3299999</v>
      </c>
      <c r="AW10" s="29">
        <f>VLOOKUP(CurrentMtgRatesDataTable871112131417[[#This Row],[asofdate]],AG:AH,2,0)</f>
        <v>173162000</v>
      </c>
      <c r="AX10" s="25">
        <f>IF(VLOOKUP(CurrentMtgRatesDataTable871112131417[[#This Row],[asofdate]],AK:AL,2,0)&lt;&gt;0,VLOOKUP(CurrentMtgRatesDataTable871112131417[[#This Row],[asofdate]],AK:AL,2,0),AX9)</f>
        <v>53874000</v>
      </c>
      <c r="AY10" s="25">
        <f>VLOOKUP(CurrentMtgRatesDataTable871112131417[[#This Row],[asofdate]],AO:AP,2,0)</f>
        <v>3366345364.3299999</v>
      </c>
    </row>
    <row r="11" spans="2:51" s="2" customFormat="1">
      <c r="B11" s="3" t="s">
        <v>30</v>
      </c>
      <c r="C11" s="21">
        <v>8.6871460414936999E-2</v>
      </c>
      <c r="D11" s="26">
        <f>((CurrentMtgRatesDataTable8711[[#This Row],[SeriesNumValue]]-$C$1)/$C$1+1)*100</f>
        <v>579.14306943291342</v>
      </c>
      <c r="E11" s="26"/>
      <c r="G11" s="3" t="s">
        <v>146</v>
      </c>
      <c r="H11" s="21">
        <v>4.7552411446694302E-2</v>
      </c>
      <c r="I11" s="21" t="str">
        <f>YEAR(CurrentMtgRatesDataTable871112[[#This Row],[asofdate]])&amp;"-"&amp;MONTH(CurrentMtgRatesDataTable871112[[#This Row],[asofdate]])</f>
        <v>2015-2</v>
      </c>
      <c r="J11" s="40">
        <f>VLOOKUP(CurrentMtgRatesDataTable871112[[#This Row],[asofdate]],Q:AE,15,0)*100</f>
        <v>2.9055851349389141</v>
      </c>
      <c r="K11" s="40">
        <f>VLOOKUP(CurrentMtgRatesDataTable871112[[#This Row],[asofdate]],Q:AE,4,0)*100</f>
        <v>1.8941540337179898</v>
      </c>
      <c r="L11" s="40">
        <f>VLOOKUP(CurrentMtgRatesDataTable871112[[#This Row],[asofdate]],Q:AE,5,0)*100</f>
        <v>6.2622998242086405</v>
      </c>
      <c r="M11" s="40">
        <f>VLOOKUP(CurrentMtgRatesDataTable871112[[#This Row],[asofdate]],Q:AE,6,0)*100</f>
        <v>4.75524114466943</v>
      </c>
      <c r="N11" s="40">
        <f>VLOOKUP(CurrentMtgRatesDataTable871112[[#This Row],[asofdate]],Q:AF,16,0)*100</f>
        <v>2.0851201226048039</v>
      </c>
      <c r="Q11" s="3" t="s">
        <v>30</v>
      </c>
      <c r="R11" s="21">
        <v>2.1358095033052499E-2</v>
      </c>
      <c r="S11" s="29" t="str">
        <f>YEAR(CurrentMtgRatesDataTable8711121314[[#This Row],[asofdate]])&amp;"-"&amp;MONTH(CurrentMtgRatesDataTable8711121314[[#This Row],[asofdate]])</f>
        <v>2003-11</v>
      </c>
      <c r="T11" s="37">
        <f>CurrentMtgRatesDataTable8711121314[[#This Row],[SeriesNumValue]]</f>
        <v>2.1358095033052499E-2</v>
      </c>
      <c r="U11" s="37">
        <f>VLOOKUP(CurrentMtgRatesDataTable8711121314[[#This Row],[asofdate]],B:D,2,0)</f>
        <v>8.6871460414936999E-2</v>
      </c>
      <c r="V11" s="37">
        <f>IF(VLOOKUP(CurrentMtgRatesDataTable8711121314[[#This Row],[asofdate]],G:H,2,0)&lt;&gt;0,VLOOKUP(CurrentMtgRatesDataTable8711121314[[#This Row],[asofdate]],G:H,2,0),V10)</f>
        <v>7.5610136798633196E-2</v>
      </c>
      <c r="W11" s="37">
        <f>CurrentMtgRatesDataTable8711121314[[#This Row],[FHA]]+0.5*CurrentMtgRatesDataTable8711121314[[#This Row],[Conventional]]</f>
        <v>9.7550507931463248E-2</v>
      </c>
      <c r="X11" s="37">
        <f>2*CurrentMtgRatesDataTable8711121314[[#This Row],[FHA]]</f>
        <v>0.173742920829874</v>
      </c>
      <c r="Y11" s="19">
        <f>VLOOKUP(YEAR(CurrentMtgRatesDataTable8711121314[[#This Row],[asofdate]]),OriginationVolume!$A:$N,8,FALSE)</f>
        <v>0.66040268456375839</v>
      </c>
      <c r="Z11" s="19">
        <f>VLOOKUP(YEAR(CurrentMtgRatesDataTable8711121314[[#This Row],[asofdate]]),OriginationVolume!$A:$N,9,FALSE)</f>
        <v>1.4765100671140939E-2</v>
      </c>
      <c r="AA11" s="19">
        <f>VLOOKUP(YEAR(CurrentMtgRatesDataTable8711121314[[#This Row],[asofdate]]),OriginationVolume!$A:$N,10,FALSE)</f>
        <v>4.429530201342282E-2</v>
      </c>
      <c r="AB11" s="19">
        <f>VLOOKUP(YEAR(CurrentMtgRatesDataTable8711121314[[#This Row],[asofdate]]),OriginationVolume!$A:$N,11,FALSE)</f>
        <v>0.17449664429530201</v>
      </c>
      <c r="AC11" s="19">
        <f>VLOOKUP(YEAR(CurrentMtgRatesDataTable8711121314[[#This Row],[asofdate]]),OriginationVolume!$A:$N,12,FALSE)</f>
        <v>2.2818791946308724E-2</v>
      </c>
      <c r="AD11" s="19">
        <f>VLOOKUP(YEAR(CurrentMtgRatesDataTable8711121314[[#This Row],[asofdate]]),OriginationVolume!$A:$N,13,FALSE)</f>
        <v>8.3221476510067116E-2</v>
      </c>
      <c r="AE1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3.9481375215199468E-2</v>
      </c>
      <c r="AF1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7.2760631964516209E-2</v>
      </c>
      <c r="AG11" s="3" t="s">
        <v>30</v>
      </c>
      <c r="AH11" s="5">
        <v>128151000</v>
      </c>
      <c r="AI11" s="26"/>
      <c r="AK11" s="3" t="s">
        <v>30</v>
      </c>
      <c r="AL11" s="5">
        <v>37241000</v>
      </c>
      <c r="AM11" s="26"/>
      <c r="AO11" s="3" t="s">
        <v>30</v>
      </c>
      <c r="AP11" s="5">
        <v>2323781186.5599999</v>
      </c>
      <c r="AQ11" s="29"/>
      <c r="AS11" s="3" t="s">
        <v>30</v>
      </c>
      <c r="AT11" s="5">
        <v>2158389186.5599999</v>
      </c>
      <c r="AU11" s="29" t="str">
        <f>YEAR(CurrentMtgRatesDataTable871112131417[[#This Row],[asofdate]])&amp;"-"&amp;MONTH(CurrentMtgRatesDataTable871112131417[[#This Row],[asofdate]])</f>
        <v>2003-11</v>
      </c>
      <c r="AV11" s="29">
        <f>CurrentMtgRatesDataTable871112131417[[#This Row],[SeriesNumValue]]</f>
        <v>2158389186.5599999</v>
      </c>
      <c r="AW11" s="29">
        <f>VLOOKUP(CurrentMtgRatesDataTable871112131417[[#This Row],[asofdate]],AG:AH,2,0)</f>
        <v>128151000</v>
      </c>
      <c r="AX11" s="25">
        <f>IF(VLOOKUP(CurrentMtgRatesDataTable871112131417[[#This Row],[asofdate]],AK:AL,2,0)&lt;&gt;0,VLOOKUP(CurrentMtgRatesDataTable871112131417[[#This Row],[asofdate]],AK:AL,2,0),AX10)</f>
        <v>37241000</v>
      </c>
      <c r="AY11" s="25">
        <f>VLOOKUP(CurrentMtgRatesDataTable871112131417[[#This Row],[asofdate]],AO:AP,2,0)</f>
        <v>2323781186.5599999</v>
      </c>
    </row>
    <row r="12" spans="2:51" s="2" customFormat="1">
      <c r="B12" s="3" t="s">
        <v>31</v>
      </c>
      <c r="C12" s="21">
        <v>9.0167160769596993E-2</v>
      </c>
      <c r="D12" s="26">
        <f>((CurrentMtgRatesDataTable8711[[#This Row],[SeriesNumValue]]-$C$1)/$C$1+1)*100</f>
        <v>601.11440513064667</v>
      </c>
      <c r="E12" s="26"/>
      <c r="G12" s="3" t="s">
        <v>145</v>
      </c>
      <c r="H12" s="21">
        <v>4.65732522111236E-2</v>
      </c>
      <c r="I12" s="21" t="str">
        <f>YEAR(CurrentMtgRatesDataTable871112[[#This Row],[asofdate]])&amp;"-"&amp;MONTH(CurrentMtgRatesDataTable871112[[#This Row],[asofdate]])</f>
        <v>2015-1</v>
      </c>
      <c r="J12" s="40">
        <f>VLOOKUP(CurrentMtgRatesDataTable871112[[#This Row],[asofdate]],Q:AE,15,0)*100</f>
        <v>2.8154501709573867</v>
      </c>
      <c r="K12" s="40">
        <f>VLOOKUP(CurrentMtgRatesDataTable871112[[#This Row],[asofdate]],Q:AE,4,0)*100</f>
        <v>1.82731290646394</v>
      </c>
      <c r="L12" s="40">
        <f>VLOOKUP(CurrentMtgRatesDataTable871112[[#This Row],[asofdate]],Q:AE,5,0)*100</f>
        <v>6.08416229064734</v>
      </c>
      <c r="M12" s="40">
        <f>VLOOKUP(CurrentMtgRatesDataTable871112[[#This Row],[asofdate]],Q:AE,6,0)*100</f>
        <v>4.6573252211123597</v>
      </c>
      <c r="N12" s="40">
        <f>VLOOKUP(CurrentMtgRatesDataTable871112[[#This Row],[asofdate]],Q:AF,16,0)*100</f>
        <v>2.0130795832573067</v>
      </c>
      <c r="Q12" s="3" t="s">
        <v>31</v>
      </c>
      <c r="R12" s="21">
        <v>2.1730055868424501E-2</v>
      </c>
      <c r="S12" s="29" t="str">
        <f>YEAR(CurrentMtgRatesDataTable8711121314[[#This Row],[asofdate]])&amp;"-"&amp;MONTH(CurrentMtgRatesDataTable8711121314[[#This Row],[asofdate]])</f>
        <v>2003-12</v>
      </c>
      <c r="T12" s="37">
        <f>CurrentMtgRatesDataTable8711121314[[#This Row],[SeriesNumValue]]</f>
        <v>2.1730055868424501E-2</v>
      </c>
      <c r="U12" s="37">
        <f>VLOOKUP(CurrentMtgRatesDataTable8711121314[[#This Row],[asofdate]],B:D,2,0)</f>
        <v>9.0167160769596993E-2</v>
      </c>
      <c r="V12" s="37">
        <f>IF(VLOOKUP(CurrentMtgRatesDataTable8711121314[[#This Row],[asofdate]],G:H,2,0)&lt;&gt;0,VLOOKUP(CurrentMtgRatesDataTable8711121314[[#This Row],[asofdate]],G:H,2,0),V11)</f>
        <v>7.7229764557536801E-2</v>
      </c>
      <c r="W12" s="37">
        <f>CurrentMtgRatesDataTable8711121314[[#This Row],[FHA]]+0.5*CurrentMtgRatesDataTable8711121314[[#This Row],[Conventional]]</f>
        <v>0.10103218870380924</v>
      </c>
      <c r="X12" s="37">
        <f>2*CurrentMtgRatesDataTable8711121314[[#This Row],[FHA]]</f>
        <v>0.18033432153919399</v>
      </c>
      <c r="Y12" s="19">
        <f>VLOOKUP(YEAR(CurrentMtgRatesDataTable8711121314[[#This Row],[asofdate]]),OriginationVolume!$A:$N,8,FALSE)</f>
        <v>0.66040268456375839</v>
      </c>
      <c r="Z12" s="19">
        <f>VLOOKUP(YEAR(CurrentMtgRatesDataTable8711121314[[#This Row],[asofdate]]),OriginationVolume!$A:$N,9,FALSE)</f>
        <v>1.4765100671140939E-2</v>
      </c>
      <c r="AA12" s="19">
        <f>VLOOKUP(YEAR(CurrentMtgRatesDataTable8711121314[[#This Row],[asofdate]]),OriginationVolume!$A:$N,10,FALSE)</f>
        <v>4.429530201342282E-2</v>
      </c>
      <c r="AB12" s="19">
        <f>VLOOKUP(YEAR(CurrentMtgRatesDataTable8711121314[[#This Row],[asofdate]]),OriginationVolume!$A:$N,11,FALSE)</f>
        <v>0.17449664429530201</v>
      </c>
      <c r="AC12" s="19">
        <f>VLOOKUP(YEAR(CurrentMtgRatesDataTable8711121314[[#This Row],[asofdate]]),OriginationVolume!$A:$N,12,FALSE)</f>
        <v>2.2818791946308724E-2</v>
      </c>
      <c r="AD12" s="19">
        <f>VLOOKUP(YEAR(CurrentMtgRatesDataTable8711121314[[#This Row],[asofdate]]),OriginationVolume!$A:$N,13,FALSE)</f>
        <v>8.3221476510067116E-2</v>
      </c>
      <c r="AE1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4.0589816924945545E-2</v>
      </c>
      <c r="AF1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7.5230537829138605E-2</v>
      </c>
      <c r="AG12" s="3" t="s">
        <v>31</v>
      </c>
      <c r="AH12" s="5">
        <v>132948000</v>
      </c>
      <c r="AI12" s="26"/>
      <c r="AK12" s="3" t="s">
        <v>31</v>
      </c>
      <c r="AL12" s="5">
        <v>34516000</v>
      </c>
      <c r="AM12" s="26"/>
      <c r="AO12" s="3" t="s">
        <v>31</v>
      </c>
      <c r="AP12" s="5">
        <v>2482247302.0700002</v>
      </c>
      <c r="AQ12" s="29"/>
      <c r="AS12" s="3" t="s">
        <v>31</v>
      </c>
      <c r="AT12" s="5">
        <v>2314783302.0700002</v>
      </c>
      <c r="AU12" s="29" t="str">
        <f>YEAR(CurrentMtgRatesDataTable871112131417[[#This Row],[asofdate]])&amp;"-"&amp;MONTH(CurrentMtgRatesDataTable871112131417[[#This Row],[asofdate]])</f>
        <v>2003-12</v>
      </c>
      <c r="AV12" s="29">
        <f>CurrentMtgRatesDataTable871112131417[[#This Row],[SeriesNumValue]]</f>
        <v>2314783302.0700002</v>
      </c>
      <c r="AW12" s="29">
        <f>VLOOKUP(CurrentMtgRatesDataTable871112131417[[#This Row],[asofdate]],AG:AH,2,0)</f>
        <v>132948000</v>
      </c>
      <c r="AX12" s="25">
        <f>IF(VLOOKUP(CurrentMtgRatesDataTable871112131417[[#This Row],[asofdate]],AK:AL,2,0)&lt;&gt;0,VLOOKUP(CurrentMtgRatesDataTable871112131417[[#This Row],[asofdate]],AK:AL,2,0),AX11)</f>
        <v>34516000</v>
      </c>
      <c r="AY12" s="25">
        <f>VLOOKUP(CurrentMtgRatesDataTable871112131417[[#This Row],[asofdate]],AO:AP,2,0)</f>
        <v>2482247302.0700002</v>
      </c>
    </row>
    <row r="13" spans="2:51" s="2" customFormat="1">
      <c r="B13" s="3" t="s">
        <v>32</v>
      </c>
      <c r="C13" s="21">
        <v>9.1083275828594504E-2</v>
      </c>
      <c r="D13" s="26">
        <f>((CurrentMtgRatesDataTable8711[[#This Row],[SeriesNumValue]]-$C$1)/$C$1+1)*100</f>
        <v>607.22183885729669</v>
      </c>
      <c r="E13" s="26"/>
      <c r="G13" s="3" t="s">
        <v>11</v>
      </c>
      <c r="H13" s="21">
        <v>4.68738925155835E-2</v>
      </c>
      <c r="I13" s="21" t="str">
        <f>YEAR(CurrentMtgRatesDataTable871112[[#This Row],[asofdate]])&amp;"-"&amp;MONTH(CurrentMtgRatesDataTable871112[[#This Row],[asofdate]])</f>
        <v>2014-12</v>
      </c>
      <c r="J13" s="40">
        <f>VLOOKUP(CurrentMtgRatesDataTable871112[[#This Row],[asofdate]],Q:AE,15,0)*100</f>
        <v>2.8681732551102743</v>
      </c>
      <c r="K13" s="40">
        <f>VLOOKUP(CurrentMtgRatesDataTable871112[[#This Row],[asofdate]],Q:AE,4,0)*100</f>
        <v>1.8702407855327199</v>
      </c>
      <c r="L13" s="40">
        <f>VLOOKUP(CurrentMtgRatesDataTable871112[[#This Row],[asofdate]],Q:AE,5,0)*100</f>
        <v>6.2400887079476899</v>
      </c>
      <c r="M13" s="40">
        <f>VLOOKUP(CurrentMtgRatesDataTable871112[[#This Row],[asofdate]],Q:AE,6,0)*100</f>
        <v>4.6873892515583497</v>
      </c>
      <c r="N13" s="40">
        <f>VLOOKUP(CurrentMtgRatesDataTable871112[[#This Row],[asofdate]],Q:AF,16,0)*100</f>
        <v>2.1322145294922912</v>
      </c>
      <c r="Q13" s="3" t="s">
        <v>32</v>
      </c>
      <c r="R13" s="21">
        <v>2.12987117078158E-2</v>
      </c>
      <c r="S13" s="29" t="str">
        <f>YEAR(CurrentMtgRatesDataTable8711121314[[#This Row],[asofdate]])&amp;"-"&amp;MONTH(CurrentMtgRatesDataTable8711121314[[#This Row],[asofdate]])</f>
        <v>2004-1</v>
      </c>
      <c r="T13" s="37">
        <f>CurrentMtgRatesDataTable8711121314[[#This Row],[SeriesNumValue]]</f>
        <v>2.12987117078158E-2</v>
      </c>
      <c r="U13" s="37">
        <f>VLOOKUP(CurrentMtgRatesDataTable8711121314[[#This Row],[asofdate]],B:D,2,0)</f>
        <v>9.1083275828594504E-2</v>
      </c>
      <c r="V13" s="37">
        <f>IF(VLOOKUP(CurrentMtgRatesDataTable8711121314[[#This Row],[asofdate]],G:H,2,0)&lt;&gt;0,VLOOKUP(CurrentMtgRatesDataTable8711121314[[#This Row],[asofdate]],G:H,2,0),V12)</f>
        <v>7.3919928128802895E-2</v>
      </c>
      <c r="W13" s="37">
        <f>CurrentMtgRatesDataTable8711121314[[#This Row],[FHA]]+0.5*CurrentMtgRatesDataTable8711121314[[#This Row],[Conventional]]</f>
        <v>0.10173263168250241</v>
      </c>
      <c r="X13" s="37">
        <f>2*CurrentMtgRatesDataTable8711121314[[#This Row],[FHA]]</f>
        <v>0.18216655165718901</v>
      </c>
      <c r="Y13" s="19">
        <f>VLOOKUP(YEAR(CurrentMtgRatesDataTable8711121314[[#This Row],[asofdate]]),OriginationVolume!$A:$N,8,FALSE)</f>
        <v>0.46718146718146719</v>
      </c>
      <c r="Z13" s="19">
        <f>VLOOKUP(YEAR(CurrentMtgRatesDataTable8711121314[[#This Row],[asofdate]]),OriginationVolume!$A:$N,9,FALSE)</f>
        <v>1.3030888030888031E-2</v>
      </c>
      <c r="AA13" s="19">
        <f>VLOOKUP(YEAR(CurrentMtgRatesDataTable8711121314[[#This Row],[asofdate]]),OriginationVolume!$A:$N,10,FALSE)</f>
        <v>3.9092664092664091E-2</v>
      </c>
      <c r="AB13" s="19">
        <f>VLOOKUP(YEAR(CurrentMtgRatesDataTable8711121314[[#This Row],[asofdate]]),OriginationVolume!$A:$N,11,FALSE)</f>
        <v>0.19884169884169883</v>
      </c>
      <c r="AC13" s="19">
        <f>VLOOKUP(YEAR(CurrentMtgRatesDataTable8711121314[[#This Row],[asofdate]]),OriginationVolume!$A:$N,12,FALSE)</f>
        <v>7.3359073359073365E-2</v>
      </c>
      <c r="AD13" s="19">
        <f>VLOOKUP(YEAR(CurrentMtgRatesDataTable8711121314[[#This Row],[asofdate]]),OriginationVolume!$A:$N,13,FALSE)</f>
        <v>0.20849420849420849</v>
      </c>
      <c r="AE1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6.4153048209471847E-2</v>
      </c>
      <c r="AF1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0.10334777063781739</v>
      </c>
      <c r="AG13" s="3" t="s">
        <v>32</v>
      </c>
      <c r="AH13" s="5">
        <v>107918000</v>
      </c>
      <c r="AI13" s="26"/>
      <c r="AK13" s="3" t="s">
        <v>32</v>
      </c>
      <c r="AL13" s="5">
        <v>32126000</v>
      </c>
      <c r="AM13" s="26"/>
      <c r="AO13" s="3" t="s">
        <v>32</v>
      </c>
      <c r="AP13" s="5">
        <v>2182102190.5999999</v>
      </c>
      <c r="AQ13" s="29"/>
      <c r="AS13" s="3" t="s">
        <v>32</v>
      </c>
      <c r="AT13" s="5">
        <v>2042058190.5999999</v>
      </c>
      <c r="AU13" s="29" t="str">
        <f>YEAR(CurrentMtgRatesDataTable871112131417[[#This Row],[asofdate]])&amp;"-"&amp;MONTH(CurrentMtgRatesDataTable871112131417[[#This Row],[asofdate]])</f>
        <v>2004-1</v>
      </c>
      <c r="AV13" s="29">
        <f>CurrentMtgRatesDataTable871112131417[[#This Row],[SeriesNumValue]]</f>
        <v>2042058190.5999999</v>
      </c>
      <c r="AW13" s="29">
        <f>VLOOKUP(CurrentMtgRatesDataTable871112131417[[#This Row],[asofdate]],AG:AH,2,0)</f>
        <v>107918000</v>
      </c>
      <c r="AX13" s="25">
        <f>IF(VLOOKUP(CurrentMtgRatesDataTable871112131417[[#This Row],[asofdate]],AK:AL,2,0)&lt;&gt;0,VLOOKUP(CurrentMtgRatesDataTable871112131417[[#This Row],[asofdate]],AK:AL,2,0),AX12)</f>
        <v>32126000</v>
      </c>
      <c r="AY13" s="25">
        <f>VLOOKUP(CurrentMtgRatesDataTable871112131417[[#This Row],[asofdate]],AO:AP,2,0)</f>
        <v>2182102190.5999999</v>
      </c>
    </row>
    <row r="14" spans="2:51" s="2" customFormat="1">
      <c r="B14" s="3" t="s">
        <v>33</v>
      </c>
      <c r="C14" s="21">
        <v>8.9059484799799998E-2</v>
      </c>
      <c r="D14" s="26">
        <f>((CurrentMtgRatesDataTable8711[[#This Row],[SeriesNumValue]]-$C$1)/$C$1+1)*100</f>
        <v>593.72989866533339</v>
      </c>
      <c r="E14" s="26"/>
      <c r="G14" s="3" t="s">
        <v>144</v>
      </c>
      <c r="H14" s="21">
        <v>4.4860699739032402E-2</v>
      </c>
      <c r="I14" s="21" t="str">
        <f>YEAR(CurrentMtgRatesDataTable871112[[#This Row],[asofdate]])&amp;"-"&amp;MONTH(CurrentMtgRatesDataTable871112[[#This Row],[asofdate]])</f>
        <v>2014-11</v>
      </c>
      <c r="J14" s="40">
        <f>VLOOKUP(CurrentMtgRatesDataTable871112[[#This Row],[asofdate]],Q:AE,15,0)*100</f>
        <v>2.7551812902751118</v>
      </c>
      <c r="K14" s="40">
        <f>VLOOKUP(CurrentMtgRatesDataTable871112[[#This Row],[asofdate]],Q:AE,4,0)*100</f>
        <v>1.7995520073933</v>
      </c>
      <c r="L14" s="40">
        <f>VLOOKUP(CurrentMtgRatesDataTable871112[[#This Row],[asofdate]],Q:AE,5,0)*100</f>
        <v>5.9874562188320501</v>
      </c>
      <c r="M14" s="40">
        <f>VLOOKUP(CurrentMtgRatesDataTable871112[[#This Row],[asofdate]],Q:AE,6,0)*100</f>
        <v>4.4860699739032404</v>
      </c>
      <c r="N14" s="40">
        <f>VLOOKUP(CurrentMtgRatesDataTable871112[[#This Row],[asofdate]],Q:AF,16,0)*100</f>
        <v>2.0507954748073933</v>
      </c>
      <c r="Q14" s="3" t="s">
        <v>33</v>
      </c>
      <c r="R14" s="21">
        <v>2.04919210486827E-2</v>
      </c>
      <c r="S14" s="29" t="str">
        <f>YEAR(CurrentMtgRatesDataTable8711121314[[#This Row],[asofdate]])&amp;"-"&amp;MONTH(CurrentMtgRatesDataTable8711121314[[#This Row],[asofdate]])</f>
        <v>2004-2</v>
      </c>
      <c r="T14" s="37">
        <f>CurrentMtgRatesDataTable8711121314[[#This Row],[SeriesNumValue]]</f>
        <v>2.04919210486827E-2</v>
      </c>
      <c r="U14" s="37">
        <f>VLOOKUP(CurrentMtgRatesDataTable8711121314[[#This Row],[asofdate]],B:D,2,0)</f>
        <v>8.9059484799799998E-2</v>
      </c>
      <c r="V14" s="37">
        <f>IF(VLOOKUP(CurrentMtgRatesDataTable8711121314[[#This Row],[asofdate]],G:H,2,0)&lt;&gt;0,VLOOKUP(CurrentMtgRatesDataTable8711121314[[#This Row],[asofdate]],G:H,2,0),V13)</f>
        <v>7.5837312969968707E-2</v>
      </c>
      <c r="W14" s="37">
        <f>CurrentMtgRatesDataTable8711121314[[#This Row],[FHA]]+0.5*CurrentMtgRatesDataTable8711121314[[#This Row],[Conventional]]</f>
        <v>9.9305445324141345E-2</v>
      </c>
      <c r="X14" s="37">
        <f>2*CurrentMtgRatesDataTable8711121314[[#This Row],[FHA]]</f>
        <v>0.1781189695996</v>
      </c>
      <c r="Y14" s="19">
        <f>VLOOKUP(YEAR(CurrentMtgRatesDataTable8711121314[[#This Row],[asofdate]]),OriginationVolume!$A:$N,8,FALSE)</f>
        <v>0.46718146718146719</v>
      </c>
      <c r="Z14" s="19">
        <f>VLOOKUP(YEAR(CurrentMtgRatesDataTable8711121314[[#This Row],[asofdate]]),OriginationVolume!$A:$N,9,FALSE)</f>
        <v>1.3030888030888031E-2</v>
      </c>
      <c r="AA14" s="19">
        <f>VLOOKUP(YEAR(CurrentMtgRatesDataTable8711121314[[#This Row],[asofdate]]),OriginationVolume!$A:$N,10,FALSE)</f>
        <v>3.9092664092664091E-2</v>
      </c>
      <c r="AB14" s="19">
        <f>VLOOKUP(YEAR(CurrentMtgRatesDataTable8711121314[[#This Row],[asofdate]]),OriginationVolume!$A:$N,11,FALSE)</f>
        <v>0.19884169884169883</v>
      </c>
      <c r="AC14" s="19">
        <f>VLOOKUP(YEAR(CurrentMtgRatesDataTable8711121314[[#This Row],[asofdate]]),OriginationVolume!$A:$N,12,FALSE)</f>
        <v>7.3359073359073365E-2</v>
      </c>
      <c r="AD14" s="19">
        <f>VLOOKUP(YEAR(CurrentMtgRatesDataTable8711121314[[#This Row],[asofdate]]),OriginationVolume!$A:$N,13,FALSE)</f>
        <v>0.20849420849420849</v>
      </c>
      <c r="AE1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6.2539623225121507E-2</v>
      </c>
      <c r="AF1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0.10088804621320677</v>
      </c>
      <c r="AG14" s="3" t="s">
        <v>33</v>
      </c>
      <c r="AH14" s="5">
        <v>107712000</v>
      </c>
      <c r="AI14" s="26"/>
      <c r="AK14" s="3" t="s">
        <v>33</v>
      </c>
      <c r="AL14" s="5">
        <v>36831000</v>
      </c>
      <c r="AM14" s="26"/>
      <c r="AO14" s="3" t="s">
        <v>33</v>
      </c>
      <c r="AP14" s="5">
        <v>2485253534.2600002</v>
      </c>
      <c r="AQ14" s="29"/>
      <c r="AS14" s="3" t="s">
        <v>33</v>
      </c>
      <c r="AT14" s="5">
        <v>2340710534.2600002</v>
      </c>
      <c r="AU14" s="29" t="str">
        <f>YEAR(CurrentMtgRatesDataTable871112131417[[#This Row],[asofdate]])&amp;"-"&amp;MONTH(CurrentMtgRatesDataTable871112131417[[#This Row],[asofdate]])</f>
        <v>2004-2</v>
      </c>
      <c r="AV14" s="29">
        <f>CurrentMtgRatesDataTable871112131417[[#This Row],[SeriesNumValue]]</f>
        <v>2340710534.2600002</v>
      </c>
      <c r="AW14" s="29">
        <f>VLOOKUP(CurrentMtgRatesDataTable871112131417[[#This Row],[asofdate]],AG:AH,2,0)</f>
        <v>107712000</v>
      </c>
      <c r="AX14" s="25">
        <f>IF(VLOOKUP(CurrentMtgRatesDataTable871112131417[[#This Row],[asofdate]],AK:AL,2,0)&lt;&gt;0,VLOOKUP(CurrentMtgRatesDataTable871112131417[[#This Row],[asofdate]],AK:AL,2,0),AX13)</f>
        <v>36831000</v>
      </c>
      <c r="AY14" s="25">
        <f>VLOOKUP(CurrentMtgRatesDataTable871112131417[[#This Row],[asofdate]],AO:AP,2,0)</f>
        <v>2485253534.2600002</v>
      </c>
    </row>
    <row r="15" spans="2:51" s="2" customFormat="1">
      <c r="B15" s="3" t="s">
        <v>34</v>
      </c>
      <c r="C15" s="21">
        <v>9.1836813388869107E-2</v>
      </c>
      <c r="D15" s="26">
        <f>((CurrentMtgRatesDataTable8711[[#This Row],[SeriesNumValue]]-$C$1)/$C$1+1)*100</f>
        <v>612.24542259246073</v>
      </c>
      <c r="E15" s="26"/>
      <c r="G15" s="3" t="s">
        <v>3</v>
      </c>
      <c r="H15" s="21">
        <v>4.4866368406642501E-2</v>
      </c>
      <c r="I15" s="21" t="str">
        <f>YEAR(CurrentMtgRatesDataTable871112[[#This Row],[asofdate]])&amp;"-"&amp;MONTH(CurrentMtgRatesDataTable871112[[#This Row],[asofdate]])</f>
        <v>2014-10</v>
      </c>
      <c r="J15" s="40">
        <f>VLOOKUP(CurrentMtgRatesDataTable871112[[#This Row],[asofdate]],Q:AE,15,0)*100</f>
        <v>2.7597484362159066</v>
      </c>
      <c r="K15" s="40">
        <f>VLOOKUP(CurrentMtgRatesDataTable871112[[#This Row],[asofdate]],Q:AE,4,0)*100</f>
        <v>1.7911224377334798</v>
      </c>
      <c r="L15" s="40">
        <f>VLOOKUP(CurrentMtgRatesDataTable871112[[#This Row],[asofdate]],Q:AE,5,0)*100</f>
        <v>6.0455601405621495</v>
      </c>
      <c r="M15" s="40">
        <f>VLOOKUP(CurrentMtgRatesDataTable871112[[#This Row],[asofdate]],Q:AE,6,0)*100</f>
        <v>4.4866368406642501</v>
      </c>
      <c r="N15" s="40">
        <f>VLOOKUP(CurrentMtgRatesDataTable871112[[#This Row],[asofdate]],Q:AF,16,0)*100</f>
        <v>2.0454433721381911</v>
      </c>
      <c r="Q15" s="3" t="s">
        <v>34</v>
      </c>
      <c r="R15" s="21">
        <v>2.0715890182779199E-2</v>
      </c>
      <c r="S15" s="29" t="str">
        <f>YEAR(CurrentMtgRatesDataTable8711121314[[#This Row],[asofdate]])&amp;"-"&amp;MONTH(CurrentMtgRatesDataTable8711121314[[#This Row],[asofdate]])</f>
        <v>2004-3</v>
      </c>
      <c r="T15" s="37">
        <f>CurrentMtgRatesDataTable8711121314[[#This Row],[SeriesNumValue]]</f>
        <v>2.0715890182779199E-2</v>
      </c>
      <c r="U15" s="37">
        <f>VLOOKUP(CurrentMtgRatesDataTable8711121314[[#This Row],[asofdate]],B:D,2,0)</f>
        <v>9.1836813388869107E-2</v>
      </c>
      <c r="V15" s="37">
        <f>IF(VLOOKUP(CurrentMtgRatesDataTable8711121314[[#This Row],[asofdate]],G:H,2,0)&lt;&gt;0,VLOOKUP(CurrentMtgRatesDataTable8711121314[[#This Row],[asofdate]],G:H,2,0),V14)</f>
        <v>6.9937168914830303E-2</v>
      </c>
      <c r="W15" s="37">
        <f>CurrentMtgRatesDataTable8711121314[[#This Row],[FHA]]+0.5*CurrentMtgRatesDataTable8711121314[[#This Row],[Conventional]]</f>
        <v>0.1021947584802587</v>
      </c>
      <c r="X15" s="37">
        <f>2*CurrentMtgRatesDataTable8711121314[[#This Row],[FHA]]</f>
        <v>0.18367362677773821</v>
      </c>
      <c r="Y15" s="19">
        <f>VLOOKUP(YEAR(CurrentMtgRatesDataTable8711121314[[#This Row],[asofdate]]),OriginationVolume!$A:$N,8,FALSE)</f>
        <v>0.46718146718146719</v>
      </c>
      <c r="Z15" s="19">
        <f>VLOOKUP(YEAR(CurrentMtgRatesDataTable8711121314[[#This Row],[asofdate]]),OriginationVolume!$A:$N,9,FALSE)</f>
        <v>1.3030888030888031E-2</v>
      </c>
      <c r="AA15" s="19">
        <f>VLOOKUP(YEAR(CurrentMtgRatesDataTable8711121314[[#This Row],[asofdate]]),OriginationVolume!$A:$N,10,FALSE)</f>
        <v>3.9092664092664091E-2</v>
      </c>
      <c r="AB15" s="19">
        <f>VLOOKUP(YEAR(CurrentMtgRatesDataTable8711121314[[#This Row],[asofdate]]),OriginationVolume!$A:$N,11,FALSE)</f>
        <v>0.19884169884169883</v>
      </c>
      <c r="AC15" s="19">
        <f>VLOOKUP(YEAR(CurrentMtgRatesDataTable8711121314[[#This Row],[asofdate]]),OriginationVolume!$A:$N,12,FALSE)</f>
        <v>7.3359073359073365E-2</v>
      </c>
      <c r="AD15" s="19">
        <f>VLOOKUP(YEAR(CurrentMtgRatesDataTable8711121314[[#This Row],[asofdate]]),OriginationVolume!$A:$N,13,FALSE)</f>
        <v>0.20849420849420849</v>
      </c>
      <c r="AE1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6.4090552101552289E-2</v>
      </c>
      <c r="AF1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0.10383088033362174</v>
      </c>
      <c r="AG15" s="3" t="s">
        <v>34</v>
      </c>
      <c r="AH15" s="5">
        <v>83527000</v>
      </c>
      <c r="AI15" s="26"/>
      <c r="AK15" s="3" t="s">
        <v>34</v>
      </c>
      <c r="AL15" s="5">
        <v>27390000</v>
      </c>
      <c r="AM15" s="26"/>
      <c r="AO15" s="3" t="s">
        <v>34</v>
      </c>
      <c r="AP15" s="5">
        <v>1997909919.6700001</v>
      </c>
      <c r="AQ15" s="29"/>
      <c r="AS15" s="3" t="s">
        <v>34</v>
      </c>
      <c r="AT15" s="5">
        <v>1886992919.6700001</v>
      </c>
      <c r="AU15" s="29" t="str">
        <f>YEAR(CurrentMtgRatesDataTable871112131417[[#This Row],[asofdate]])&amp;"-"&amp;MONTH(CurrentMtgRatesDataTable871112131417[[#This Row],[asofdate]])</f>
        <v>2004-3</v>
      </c>
      <c r="AV15" s="29">
        <f>CurrentMtgRatesDataTable871112131417[[#This Row],[SeriesNumValue]]</f>
        <v>1886992919.6700001</v>
      </c>
      <c r="AW15" s="29">
        <f>VLOOKUP(CurrentMtgRatesDataTable871112131417[[#This Row],[asofdate]],AG:AH,2,0)</f>
        <v>83527000</v>
      </c>
      <c r="AX15" s="25">
        <f>IF(VLOOKUP(CurrentMtgRatesDataTable871112131417[[#This Row],[asofdate]],AK:AL,2,0)&lt;&gt;0,VLOOKUP(CurrentMtgRatesDataTable871112131417[[#This Row],[asofdate]],AK:AL,2,0),AX14)</f>
        <v>27390000</v>
      </c>
      <c r="AY15" s="25">
        <f>VLOOKUP(CurrentMtgRatesDataTable871112131417[[#This Row],[asofdate]],AO:AP,2,0)</f>
        <v>1997909919.6700001</v>
      </c>
    </row>
    <row r="16" spans="2:51" s="2" customFormat="1">
      <c r="B16" s="3" t="s">
        <v>35</v>
      </c>
      <c r="C16" s="21">
        <v>9.4924068582742202E-2</v>
      </c>
      <c r="D16" s="26">
        <f>((CurrentMtgRatesDataTable8711[[#This Row],[SeriesNumValue]]-$C$1)/$C$1+1)*100</f>
        <v>632.82712388494804</v>
      </c>
      <c r="E16" s="26"/>
      <c r="G16" s="3" t="s">
        <v>143</v>
      </c>
      <c r="H16" s="21">
        <v>4.3732377941726401E-2</v>
      </c>
      <c r="I16" s="21" t="str">
        <f>YEAR(CurrentMtgRatesDataTable871112[[#This Row],[asofdate]])&amp;"-"&amp;MONTH(CurrentMtgRatesDataTable871112[[#This Row],[asofdate]])</f>
        <v>2014-9</v>
      </c>
      <c r="J16" s="40">
        <f>VLOOKUP(CurrentMtgRatesDataTable871112[[#This Row],[asofdate]],Q:AE,15,0)*100</f>
        <v>2.7129790670277321</v>
      </c>
      <c r="K16" s="40">
        <f>VLOOKUP(CurrentMtgRatesDataTable871112[[#This Row],[asofdate]],Q:AE,4,0)*100</f>
        <v>1.7686077599562497</v>
      </c>
      <c r="L16" s="40">
        <f>VLOOKUP(CurrentMtgRatesDataTable871112[[#This Row],[asofdate]],Q:AE,5,0)*100</f>
        <v>5.9232734324811203</v>
      </c>
      <c r="M16" s="40">
        <f>VLOOKUP(CurrentMtgRatesDataTable871112[[#This Row],[asofdate]],Q:AE,6,0)*100</f>
        <v>4.3732377941726401</v>
      </c>
      <c r="N16" s="40">
        <f>VLOOKUP(CurrentMtgRatesDataTable871112[[#This Row],[asofdate]],Q:AF,16,0)*100</f>
        <v>2.0174457625489901</v>
      </c>
      <c r="Q16" s="3" t="s">
        <v>35</v>
      </c>
      <c r="R16" s="21">
        <v>2.1443810366087699E-2</v>
      </c>
      <c r="S16" s="29" t="str">
        <f>YEAR(CurrentMtgRatesDataTable8711121314[[#This Row],[asofdate]])&amp;"-"&amp;MONTH(CurrentMtgRatesDataTable8711121314[[#This Row],[asofdate]])</f>
        <v>2004-4</v>
      </c>
      <c r="T16" s="37">
        <f>CurrentMtgRatesDataTable8711121314[[#This Row],[SeriesNumValue]]</f>
        <v>2.1443810366087699E-2</v>
      </c>
      <c r="U16" s="37">
        <f>VLOOKUP(CurrentMtgRatesDataTable8711121314[[#This Row],[asofdate]],B:D,2,0)</f>
        <v>9.4924068582742202E-2</v>
      </c>
      <c r="V16" s="37">
        <f>IF(VLOOKUP(CurrentMtgRatesDataTable8711121314[[#This Row],[asofdate]],G:H,2,0)&lt;&gt;0,VLOOKUP(CurrentMtgRatesDataTable8711121314[[#This Row],[asofdate]],G:H,2,0),V15)</f>
        <v>7.4150153276567904E-2</v>
      </c>
      <c r="W16" s="37">
        <f>CurrentMtgRatesDataTable8711121314[[#This Row],[FHA]]+0.5*CurrentMtgRatesDataTable8711121314[[#This Row],[Conventional]]</f>
        <v>0.10564597376578605</v>
      </c>
      <c r="X16" s="37">
        <f>2*CurrentMtgRatesDataTable8711121314[[#This Row],[FHA]]</f>
        <v>0.1898481371654844</v>
      </c>
      <c r="Y16" s="19">
        <f>VLOOKUP(YEAR(CurrentMtgRatesDataTable8711121314[[#This Row],[asofdate]]),OriginationVolume!$A:$N,8,FALSE)</f>
        <v>0.46718146718146719</v>
      </c>
      <c r="Z16" s="19">
        <f>VLOOKUP(YEAR(CurrentMtgRatesDataTable8711121314[[#This Row],[asofdate]]),OriginationVolume!$A:$N,9,FALSE)</f>
        <v>1.3030888030888031E-2</v>
      </c>
      <c r="AA16" s="19">
        <f>VLOOKUP(YEAR(CurrentMtgRatesDataTable8711121314[[#This Row],[asofdate]]),OriginationVolume!$A:$N,10,FALSE)</f>
        <v>3.9092664092664091E-2</v>
      </c>
      <c r="AB16" s="19">
        <f>VLOOKUP(YEAR(CurrentMtgRatesDataTable8711121314[[#This Row],[asofdate]]),OriginationVolume!$A:$N,11,FALSE)</f>
        <v>0.19884169884169883</v>
      </c>
      <c r="AC16" s="19">
        <f>VLOOKUP(YEAR(CurrentMtgRatesDataTable8711121314[[#This Row],[asofdate]]),OriginationVolume!$A:$N,12,FALSE)</f>
        <v>7.3359073359073365E-2</v>
      </c>
      <c r="AD16" s="19">
        <f>VLOOKUP(YEAR(CurrentMtgRatesDataTable8711121314[[#This Row],[asofdate]]),OriginationVolume!$A:$N,13,FALSE)</f>
        <v>0.20849420849420849</v>
      </c>
      <c r="AE1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6.6291479375849047E-2</v>
      </c>
      <c r="AF1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0.10733678025975589</v>
      </c>
      <c r="AG16" s="3" t="s">
        <v>35</v>
      </c>
      <c r="AH16" s="5">
        <v>98131000</v>
      </c>
      <c r="AI16" s="26"/>
      <c r="AK16" s="3" t="s">
        <v>35</v>
      </c>
      <c r="AL16" s="5">
        <v>34406000</v>
      </c>
      <c r="AM16" s="26"/>
      <c r="AO16" s="3" t="s">
        <v>35</v>
      </c>
      <c r="AP16" s="5">
        <v>2247482214.3499999</v>
      </c>
      <c r="AQ16" s="29"/>
      <c r="AS16" s="3" t="s">
        <v>35</v>
      </c>
      <c r="AT16" s="5">
        <v>2114945214.3499999</v>
      </c>
      <c r="AU16" s="29" t="str">
        <f>YEAR(CurrentMtgRatesDataTable871112131417[[#This Row],[asofdate]])&amp;"-"&amp;MONTH(CurrentMtgRatesDataTable871112131417[[#This Row],[asofdate]])</f>
        <v>2004-4</v>
      </c>
      <c r="AV16" s="29">
        <f>CurrentMtgRatesDataTable871112131417[[#This Row],[SeriesNumValue]]</f>
        <v>2114945214.3499999</v>
      </c>
      <c r="AW16" s="29">
        <f>VLOOKUP(CurrentMtgRatesDataTable871112131417[[#This Row],[asofdate]],AG:AH,2,0)</f>
        <v>98131000</v>
      </c>
      <c r="AX16" s="25">
        <f>IF(VLOOKUP(CurrentMtgRatesDataTable871112131417[[#This Row],[asofdate]],AK:AL,2,0)&lt;&gt;0,VLOOKUP(CurrentMtgRatesDataTable871112131417[[#This Row],[asofdate]],AK:AL,2,0),AX15)</f>
        <v>34406000</v>
      </c>
      <c r="AY16" s="25">
        <f>VLOOKUP(CurrentMtgRatesDataTable871112131417[[#This Row],[asofdate]],AO:AP,2,0)</f>
        <v>2247482214.3499999</v>
      </c>
    </row>
    <row r="17" spans="2:51" s="2" customFormat="1">
      <c r="B17" s="3" t="s">
        <v>36</v>
      </c>
      <c r="C17" s="21">
        <v>9.9504059217308802E-2</v>
      </c>
      <c r="D17" s="26">
        <f>((CurrentMtgRatesDataTable8711[[#This Row],[SeriesNumValue]]-$C$1)/$C$1+1)*100</f>
        <v>663.36039478205873</v>
      </c>
      <c r="E17" s="26"/>
      <c r="G17" s="3" t="s">
        <v>16</v>
      </c>
      <c r="H17" s="21">
        <v>4.34006018726504E-2</v>
      </c>
      <c r="I17" s="21" t="str">
        <f>YEAR(CurrentMtgRatesDataTable871112[[#This Row],[asofdate]])&amp;"-"&amp;MONTH(CurrentMtgRatesDataTable871112[[#This Row],[asofdate]])</f>
        <v>2014-8</v>
      </c>
      <c r="J17" s="40">
        <f>VLOOKUP(CurrentMtgRatesDataTable871112[[#This Row],[asofdate]],Q:AE,15,0)*100</f>
        <v>2.7090892060848879</v>
      </c>
      <c r="K17" s="40">
        <f>VLOOKUP(CurrentMtgRatesDataTable871112[[#This Row],[asofdate]],Q:AE,4,0)*100</f>
        <v>1.7708516972218</v>
      </c>
      <c r="L17" s="40">
        <f>VLOOKUP(CurrentMtgRatesDataTable871112[[#This Row],[asofdate]],Q:AE,5,0)*100</f>
        <v>5.9039886698822102</v>
      </c>
      <c r="M17" s="40">
        <f>VLOOKUP(CurrentMtgRatesDataTable871112[[#This Row],[asofdate]],Q:AE,6,0)*100</f>
        <v>4.3400601872650402</v>
      </c>
      <c r="N17" s="40">
        <f>VLOOKUP(CurrentMtgRatesDataTable871112[[#This Row],[asofdate]],Q:AF,16,0)*100</f>
        <v>2.0186819600006305</v>
      </c>
      <c r="Q17" s="3" t="s">
        <v>36</v>
      </c>
      <c r="R17" s="21">
        <v>2.1497562705386799E-2</v>
      </c>
      <c r="S17" s="29" t="str">
        <f>YEAR(CurrentMtgRatesDataTable8711121314[[#This Row],[asofdate]])&amp;"-"&amp;MONTH(CurrentMtgRatesDataTable8711121314[[#This Row],[asofdate]])</f>
        <v>2004-5</v>
      </c>
      <c r="T17" s="37">
        <f>CurrentMtgRatesDataTable8711121314[[#This Row],[SeriesNumValue]]</f>
        <v>2.1497562705386799E-2</v>
      </c>
      <c r="U17" s="37">
        <f>VLOOKUP(CurrentMtgRatesDataTable8711121314[[#This Row],[asofdate]],B:D,2,0)</f>
        <v>9.9504059217308802E-2</v>
      </c>
      <c r="V17" s="37">
        <f>IF(VLOOKUP(CurrentMtgRatesDataTable8711121314[[#This Row],[asofdate]],G:H,2,0)&lt;&gt;0,VLOOKUP(CurrentMtgRatesDataTable8711121314[[#This Row],[asofdate]],G:H,2,0),V16)</f>
        <v>8.2929537204315798E-2</v>
      </c>
      <c r="W17" s="37">
        <f>CurrentMtgRatesDataTable8711121314[[#This Row],[FHA]]+0.5*CurrentMtgRatesDataTable8711121314[[#This Row],[Conventional]]</f>
        <v>0.1102528405700022</v>
      </c>
      <c r="X17" s="37">
        <f>2*CurrentMtgRatesDataTable8711121314[[#This Row],[FHA]]</f>
        <v>0.1990081184346176</v>
      </c>
      <c r="Y17" s="19">
        <f>VLOOKUP(YEAR(CurrentMtgRatesDataTable8711121314[[#This Row],[asofdate]]),OriginationVolume!$A:$N,8,FALSE)</f>
        <v>0.46718146718146719</v>
      </c>
      <c r="Z17" s="19">
        <f>VLOOKUP(YEAR(CurrentMtgRatesDataTable8711121314[[#This Row],[asofdate]]),OriginationVolume!$A:$N,9,FALSE)</f>
        <v>1.3030888030888031E-2</v>
      </c>
      <c r="AA17" s="19">
        <f>VLOOKUP(YEAR(CurrentMtgRatesDataTable8711121314[[#This Row],[asofdate]]),OriginationVolume!$A:$N,10,FALSE)</f>
        <v>3.9092664092664091E-2</v>
      </c>
      <c r="AB17" s="19">
        <f>VLOOKUP(YEAR(CurrentMtgRatesDataTable8711121314[[#This Row],[asofdate]]),OriginationVolume!$A:$N,11,FALSE)</f>
        <v>0.19884169884169883</v>
      </c>
      <c r="AC17" s="19">
        <f>VLOOKUP(YEAR(CurrentMtgRatesDataTable8711121314[[#This Row],[asofdate]]),OriginationVolume!$A:$N,12,FALSE)</f>
        <v>7.3359073359073365E-2</v>
      </c>
      <c r="AD17" s="19">
        <f>VLOOKUP(YEAR(CurrentMtgRatesDataTable8711121314[[#This Row],[asofdate]]),OriginationVolume!$A:$N,13,FALSE)</f>
        <v>0.20849420849420849</v>
      </c>
      <c r="AE1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6.8868485407793181E-2</v>
      </c>
      <c r="AF1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0.1120350750652756</v>
      </c>
      <c r="AG17" s="3" t="s">
        <v>36</v>
      </c>
      <c r="AH17" s="5">
        <v>122977000</v>
      </c>
      <c r="AI17" s="26"/>
      <c r="AK17" s="3" t="s">
        <v>36</v>
      </c>
      <c r="AL17" s="5">
        <v>44050000</v>
      </c>
      <c r="AM17" s="26"/>
      <c r="AO17" s="3" t="s">
        <v>36</v>
      </c>
      <c r="AP17" s="5">
        <v>3122723942.98</v>
      </c>
      <c r="AQ17" s="29"/>
      <c r="AS17" s="3" t="s">
        <v>36</v>
      </c>
      <c r="AT17" s="5">
        <v>2955696942.98</v>
      </c>
      <c r="AU17" s="29" t="str">
        <f>YEAR(CurrentMtgRatesDataTable871112131417[[#This Row],[asofdate]])&amp;"-"&amp;MONTH(CurrentMtgRatesDataTable871112131417[[#This Row],[asofdate]])</f>
        <v>2004-5</v>
      </c>
      <c r="AV17" s="29">
        <f>CurrentMtgRatesDataTable871112131417[[#This Row],[SeriesNumValue]]</f>
        <v>2955696942.98</v>
      </c>
      <c r="AW17" s="29">
        <f>VLOOKUP(CurrentMtgRatesDataTable871112131417[[#This Row],[asofdate]],AG:AH,2,0)</f>
        <v>122977000</v>
      </c>
      <c r="AX17" s="25">
        <f>IF(VLOOKUP(CurrentMtgRatesDataTable871112131417[[#This Row],[asofdate]],AK:AL,2,0)&lt;&gt;0,VLOOKUP(CurrentMtgRatesDataTable871112131417[[#This Row],[asofdate]],AK:AL,2,0),AX16)</f>
        <v>44050000</v>
      </c>
      <c r="AY17" s="25">
        <f>VLOOKUP(CurrentMtgRatesDataTable871112131417[[#This Row],[asofdate]],AO:AP,2,0)</f>
        <v>3122723942.98</v>
      </c>
    </row>
    <row r="18" spans="2:51" s="2" customFormat="1">
      <c r="B18" s="3" t="s">
        <v>37</v>
      </c>
      <c r="C18" s="21">
        <v>8.4638727196081204E-2</v>
      </c>
      <c r="D18" s="26">
        <f>((CurrentMtgRatesDataTable8711[[#This Row],[SeriesNumValue]]-$C$1)/$C$1+1)*100</f>
        <v>564.25818130720802</v>
      </c>
      <c r="E18" s="26"/>
      <c r="G18" s="3" t="s">
        <v>8</v>
      </c>
      <c r="H18" s="21">
        <v>4.57339776962047E-2</v>
      </c>
      <c r="I18" s="21" t="str">
        <f>YEAR(CurrentMtgRatesDataTable871112[[#This Row],[asofdate]])&amp;"-"&amp;MONTH(CurrentMtgRatesDataTable871112[[#This Row],[asofdate]])</f>
        <v>2014-7</v>
      </c>
      <c r="J18" s="40">
        <f>VLOOKUP(CurrentMtgRatesDataTable871112[[#This Row],[asofdate]],Q:AE,15,0)*100</f>
        <v>2.8047083545685867</v>
      </c>
      <c r="K18" s="40">
        <f>VLOOKUP(CurrentMtgRatesDataTable871112[[#This Row],[asofdate]],Q:AE,4,0)*100</f>
        <v>1.8480300734917501</v>
      </c>
      <c r="L18" s="40">
        <f>VLOOKUP(CurrentMtgRatesDataTable871112[[#This Row],[asofdate]],Q:AE,5,0)*100</f>
        <v>6.0279482404130595</v>
      </c>
      <c r="M18" s="40">
        <f>VLOOKUP(CurrentMtgRatesDataTable871112[[#This Row],[asofdate]],Q:AE,6,0)*100</f>
        <v>4.5733977696204704</v>
      </c>
      <c r="N18" s="40">
        <f>VLOOKUP(CurrentMtgRatesDataTable871112[[#This Row],[asofdate]],Q:AF,16,0)*100</f>
        <v>2.1000761576234628</v>
      </c>
      <c r="Q18" s="3" t="s">
        <v>37</v>
      </c>
      <c r="R18" s="21">
        <v>1.74296567987994E-2</v>
      </c>
      <c r="S18" s="29" t="str">
        <f>YEAR(CurrentMtgRatesDataTable8711121314[[#This Row],[asofdate]])&amp;"-"&amp;MONTH(CurrentMtgRatesDataTable8711121314[[#This Row],[asofdate]])</f>
        <v>2004-6</v>
      </c>
      <c r="T18" s="37">
        <f>CurrentMtgRatesDataTable8711121314[[#This Row],[SeriesNumValue]]</f>
        <v>1.74296567987994E-2</v>
      </c>
      <c r="U18" s="37">
        <f>VLOOKUP(CurrentMtgRatesDataTable8711121314[[#This Row],[asofdate]],B:D,2,0)</f>
        <v>8.4638727196081204E-2</v>
      </c>
      <c r="V18" s="37">
        <f>IF(VLOOKUP(CurrentMtgRatesDataTable8711121314[[#This Row],[asofdate]],G:H,2,0)&lt;&gt;0,VLOOKUP(CurrentMtgRatesDataTable8711121314[[#This Row],[asofdate]],G:H,2,0),V17)</f>
        <v>7.4392139597998494E-2</v>
      </c>
      <c r="W18" s="37">
        <f>CurrentMtgRatesDataTable8711121314[[#This Row],[FHA]]+0.5*CurrentMtgRatesDataTable8711121314[[#This Row],[Conventional]]</f>
        <v>9.3353555595480905E-2</v>
      </c>
      <c r="X18" s="37">
        <f>2*CurrentMtgRatesDataTable8711121314[[#This Row],[FHA]]</f>
        <v>0.16927745439216241</v>
      </c>
      <c r="Y18" s="19">
        <f>VLOOKUP(YEAR(CurrentMtgRatesDataTable8711121314[[#This Row],[asofdate]]),OriginationVolume!$A:$N,8,FALSE)</f>
        <v>0.46718146718146719</v>
      </c>
      <c r="Z18" s="19">
        <f>VLOOKUP(YEAR(CurrentMtgRatesDataTable8711121314[[#This Row],[asofdate]]),OriginationVolume!$A:$N,9,FALSE)</f>
        <v>1.3030888030888031E-2</v>
      </c>
      <c r="AA18" s="19">
        <f>VLOOKUP(YEAR(CurrentMtgRatesDataTable8711121314[[#This Row],[asofdate]]),OriginationVolume!$A:$N,10,FALSE)</f>
        <v>3.9092664092664091E-2</v>
      </c>
      <c r="AB18" s="19">
        <f>VLOOKUP(YEAR(CurrentMtgRatesDataTable8711121314[[#This Row],[asofdate]]),OriginationVolume!$A:$N,11,FALSE)</f>
        <v>0.19884169884169883</v>
      </c>
      <c r="AC18" s="19">
        <f>VLOOKUP(YEAR(CurrentMtgRatesDataTable8711121314[[#This Row],[asofdate]]),OriginationVolume!$A:$N,12,FALSE)</f>
        <v>7.3359073359073365E-2</v>
      </c>
      <c r="AD18" s="19">
        <f>VLOOKUP(YEAR(CurrentMtgRatesDataTable8711121314[[#This Row],[asofdate]]),OriginationVolume!$A:$N,13,FALSE)</f>
        <v>0.20849420849420849</v>
      </c>
      <c r="AE1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5.8028403379487919E-2</v>
      </c>
      <c r="AF1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9.4878131876538763E-2</v>
      </c>
      <c r="AG18" s="3" t="s">
        <v>37</v>
      </c>
      <c r="AH18" s="5">
        <v>145698000</v>
      </c>
      <c r="AI18" s="26"/>
      <c r="AK18" s="3" t="s">
        <v>37</v>
      </c>
      <c r="AL18" s="5">
        <v>46729000</v>
      </c>
      <c r="AM18" s="26"/>
      <c r="AO18" s="3" t="s">
        <v>37</v>
      </c>
      <c r="AP18" s="5">
        <v>3327289540.4099998</v>
      </c>
      <c r="AQ18" s="29"/>
      <c r="AS18" s="3" t="s">
        <v>37</v>
      </c>
      <c r="AT18" s="5">
        <v>3134862540.4099998</v>
      </c>
      <c r="AU18" s="29" t="str">
        <f>YEAR(CurrentMtgRatesDataTable871112131417[[#This Row],[asofdate]])&amp;"-"&amp;MONTH(CurrentMtgRatesDataTable871112131417[[#This Row],[asofdate]])</f>
        <v>2004-6</v>
      </c>
      <c r="AV18" s="29">
        <f>CurrentMtgRatesDataTable871112131417[[#This Row],[SeriesNumValue]]</f>
        <v>3134862540.4099998</v>
      </c>
      <c r="AW18" s="29">
        <f>VLOOKUP(CurrentMtgRatesDataTable871112131417[[#This Row],[asofdate]],AG:AH,2,0)</f>
        <v>145698000</v>
      </c>
      <c r="AX18" s="25">
        <f>IF(VLOOKUP(CurrentMtgRatesDataTable871112131417[[#This Row],[asofdate]],AK:AL,2,0)&lt;&gt;0,VLOOKUP(CurrentMtgRatesDataTable871112131417[[#This Row],[asofdate]],AK:AL,2,0),AX17)</f>
        <v>46729000</v>
      </c>
      <c r="AY18" s="25">
        <f>VLOOKUP(CurrentMtgRatesDataTable871112131417[[#This Row],[asofdate]],AO:AP,2,0)</f>
        <v>3327289540.4099998</v>
      </c>
    </row>
    <row r="19" spans="2:51" s="2" customFormat="1">
      <c r="B19" s="3" t="s">
        <v>38</v>
      </c>
      <c r="C19" s="21">
        <v>7.7886223139598698E-2</v>
      </c>
      <c r="D19" s="26">
        <f>((CurrentMtgRatesDataTable8711[[#This Row],[SeriesNumValue]]-$C$1)/$C$1+1)*100</f>
        <v>519.24148759732475</v>
      </c>
      <c r="E19" s="26"/>
      <c r="G19" s="3" t="s">
        <v>142</v>
      </c>
      <c r="H19" s="21">
        <v>4.3374642953449401E-2</v>
      </c>
      <c r="I19" s="21" t="str">
        <f>YEAR(CurrentMtgRatesDataTable871112[[#This Row],[asofdate]])&amp;"-"&amp;MONTH(CurrentMtgRatesDataTable871112[[#This Row],[asofdate]])</f>
        <v>2014-6</v>
      </c>
      <c r="J19" s="40">
        <f>VLOOKUP(CurrentMtgRatesDataTable871112[[#This Row],[asofdate]],Q:AE,15,0)*100</f>
        <v>2.6573588986517453</v>
      </c>
      <c r="K19" s="40">
        <f>VLOOKUP(CurrentMtgRatesDataTable871112[[#This Row],[asofdate]],Q:AE,4,0)*100</f>
        <v>1.7496590906512202</v>
      </c>
      <c r="L19" s="40">
        <f>VLOOKUP(CurrentMtgRatesDataTable871112[[#This Row],[asofdate]],Q:AE,5,0)*100</f>
        <v>5.7150634619079499</v>
      </c>
      <c r="M19" s="40">
        <f>VLOOKUP(CurrentMtgRatesDataTable871112[[#This Row],[asofdate]],Q:AE,6,0)*100</f>
        <v>4.3374642953449403</v>
      </c>
      <c r="N19" s="40">
        <f>VLOOKUP(CurrentMtgRatesDataTable871112[[#This Row],[asofdate]],Q:AF,16,0)*100</f>
        <v>1.9886829877663972</v>
      </c>
      <c r="Q19" s="3" t="s">
        <v>38</v>
      </c>
      <c r="R19" s="21">
        <v>1.71623636029434E-2</v>
      </c>
      <c r="S19" s="29" t="str">
        <f>YEAR(CurrentMtgRatesDataTable8711121314[[#This Row],[asofdate]])&amp;"-"&amp;MONTH(CurrentMtgRatesDataTable8711121314[[#This Row],[asofdate]])</f>
        <v>2004-7</v>
      </c>
      <c r="T19" s="37">
        <f>CurrentMtgRatesDataTable8711121314[[#This Row],[SeriesNumValue]]</f>
        <v>1.71623636029434E-2</v>
      </c>
      <c r="U19" s="37">
        <f>VLOOKUP(CurrentMtgRatesDataTable8711121314[[#This Row],[asofdate]],B:D,2,0)</f>
        <v>7.7886223139598698E-2</v>
      </c>
      <c r="V19" s="37">
        <f>IF(VLOOKUP(CurrentMtgRatesDataTable8711121314[[#This Row],[asofdate]],G:H,2,0)&lt;&gt;0,VLOOKUP(CurrentMtgRatesDataTable8711121314[[#This Row],[asofdate]],G:H,2,0),V18)</f>
        <v>6.5266934728069798E-2</v>
      </c>
      <c r="W19" s="37">
        <f>CurrentMtgRatesDataTable8711121314[[#This Row],[FHA]]+0.5*CurrentMtgRatesDataTable8711121314[[#This Row],[Conventional]]</f>
        <v>8.64674049410704E-2</v>
      </c>
      <c r="X19" s="37">
        <f>2*CurrentMtgRatesDataTable8711121314[[#This Row],[FHA]]</f>
        <v>0.1557724462791974</v>
      </c>
      <c r="Y19" s="19">
        <f>VLOOKUP(YEAR(CurrentMtgRatesDataTable8711121314[[#This Row],[asofdate]]),OriginationVolume!$A:$N,8,FALSE)</f>
        <v>0.46718146718146719</v>
      </c>
      <c r="Z19" s="19">
        <f>VLOOKUP(YEAR(CurrentMtgRatesDataTable8711121314[[#This Row],[asofdate]]),OriginationVolume!$A:$N,9,FALSE)</f>
        <v>1.3030888030888031E-2</v>
      </c>
      <c r="AA19" s="19">
        <f>VLOOKUP(YEAR(CurrentMtgRatesDataTable8711121314[[#This Row],[asofdate]]),OriginationVolume!$A:$N,10,FALSE)</f>
        <v>3.9092664092664091E-2</v>
      </c>
      <c r="AB19" s="19">
        <f>VLOOKUP(YEAR(CurrentMtgRatesDataTable8711121314[[#This Row],[asofdate]]),OriginationVolume!$A:$N,11,FALSE)</f>
        <v>0.19884169884169883</v>
      </c>
      <c r="AC19" s="19">
        <f>VLOOKUP(YEAR(CurrentMtgRatesDataTable8711121314[[#This Row],[asofdate]]),OriginationVolume!$A:$N,12,FALSE)</f>
        <v>7.3359073359073365E-2</v>
      </c>
      <c r="AD19" s="19">
        <f>VLOOKUP(YEAR(CurrentMtgRatesDataTable8711121314[[#This Row],[asofdate]]),OriginationVolume!$A:$N,13,FALSE)</f>
        <v>0.20849420849420849</v>
      </c>
      <c r="AE1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5.4146619414905048E-2</v>
      </c>
      <c r="AF1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8.7859072437819943E-2</v>
      </c>
      <c r="AG19" s="3" t="s">
        <v>38</v>
      </c>
      <c r="AH19" s="5">
        <v>127438000</v>
      </c>
      <c r="AI19" s="26"/>
      <c r="AK19" s="3" t="s">
        <v>38</v>
      </c>
      <c r="AL19" s="5">
        <v>36444000</v>
      </c>
      <c r="AM19" s="26"/>
      <c r="AO19" s="3" t="s">
        <v>38</v>
      </c>
      <c r="AP19" s="5">
        <v>2747560879.1900001</v>
      </c>
      <c r="AQ19" s="29"/>
      <c r="AS19" s="3" t="s">
        <v>38</v>
      </c>
      <c r="AT19" s="5">
        <v>2583678879.1900001</v>
      </c>
      <c r="AU19" s="29" t="str">
        <f>YEAR(CurrentMtgRatesDataTable871112131417[[#This Row],[asofdate]])&amp;"-"&amp;MONTH(CurrentMtgRatesDataTable871112131417[[#This Row],[asofdate]])</f>
        <v>2004-7</v>
      </c>
      <c r="AV19" s="29">
        <f>CurrentMtgRatesDataTable871112131417[[#This Row],[SeriesNumValue]]</f>
        <v>2583678879.1900001</v>
      </c>
      <c r="AW19" s="29">
        <f>VLOOKUP(CurrentMtgRatesDataTable871112131417[[#This Row],[asofdate]],AG:AH,2,0)</f>
        <v>127438000</v>
      </c>
      <c r="AX19" s="25">
        <f>IF(VLOOKUP(CurrentMtgRatesDataTable871112131417[[#This Row],[asofdate]],AK:AL,2,0)&lt;&gt;0,VLOOKUP(CurrentMtgRatesDataTable871112131417[[#This Row],[asofdate]],AK:AL,2,0),AX18)</f>
        <v>36444000</v>
      </c>
      <c r="AY19" s="25">
        <f>VLOOKUP(CurrentMtgRatesDataTable871112131417[[#This Row],[asofdate]],AO:AP,2,0)</f>
        <v>2747560879.1900001</v>
      </c>
    </row>
    <row r="20" spans="2:51" s="2" customFormat="1">
      <c r="B20" s="3" t="s">
        <v>39</v>
      </c>
      <c r="C20" s="21">
        <v>9.0779477365927799E-2</v>
      </c>
      <c r="D20" s="26">
        <f>((CurrentMtgRatesDataTable8711[[#This Row],[SeriesNumValue]]-$C$1)/$C$1+1)*100</f>
        <v>605.19651577285197</v>
      </c>
      <c r="E20" s="26"/>
      <c r="G20" s="3" t="s">
        <v>19</v>
      </c>
      <c r="H20" s="21">
        <v>4.3190796110447502E-2</v>
      </c>
      <c r="I20" s="21" t="str">
        <f>YEAR(CurrentMtgRatesDataTable871112[[#This Row],[asofdate]])&amp;"-"&amp;MONTH(CurrentMtgRatesDataTable871112[[#This Row],[asofdate]])</f>
        <v>2014-5</v>
      </c>
      <c r="J20" s="40">
        <f>VLOOKUP(CurrentMtgRatesDataTable871112[[#This Row],[asofdate]],Q:AE,15,0)*100</f>
        <v>2.601723762863041</v>
      </c>
      <c r="K20" s="40">
        <f>VLOOKUP(CurrentMtgRatesDataTable871112[[#This Row],[asofdate]],Q:AE,4,0)*100</f>
        <v>1.7042595501706601</v>
      </c>
      <c r="L20" s="40">
        <f>VLOOKUP(CurrentMtgRatesDataTable871112[[#This Row],[asofdate]],Q:AE,5,0)*100</f>
        <v>5.6079401787069001</v>
      </c>
      <c r="M20" s="40">
        <f>VLOOKUP(CurrentMtgRatesDataTable871112[[#This Row],[asofdate]],Q:AE,6,0)*100</f>
        <v>4.3190796110447502</v>
      </c>
      <c r="N20" s="40">
        <f>VLOOKUP(CurrentMtgRatesDataTable871112[[#This Row],[asofdate]],Q:AF,16,0)*100</f>
        <v>1.9391143849174037</v>
      </c>
      <c r="Q20" s="3" t="s">
        <v>39</v>
      </c>
      <c r="R20" s="21">
        <v>2.0583368674609099E-2</v>
      </c>
      <c r="S20" s="29" t="str">
        <f>YEAR(CurrentMtgRatesDataTable8711121314[[#This Row],[asofdate]])&amp;"-"&amp;MONTH(CurrentMtgRatesDataTable8711121314[[#This Row],[asofdate]])</f>
        <v>2004-8</v>
      </c>
      <c r="T20" s="37">
        <f>CurrentMtgRatesDataTable8711121314[[#This Row],[SeriesNumValue]]</f>
        <v>2.0583368674609099E-2</v>
      </c>
      <c r="U20" s="37">
        <f>VLOOKUP(CurrentMtgRatesDataTable8711121314[[#This Row],[asofdate]],B:D,2,0)</f>
        <v>9.0779477365927799E-2</v>
      </c>
      <c r="V20" s="37">
        <f>IF(VLOOKUP(CurrentMtgRatesDataTable8711121314[[#This Row],[asofdate]],G:H,2,0)&lt;&gt;0,VLOOKUP(CurrentMtgRatesDataTable8711121314[[#This Row],[asofdate]],G:H,2,0),V19)</f>
        <v>6.6895577239321505E-2</v>
      </c>
      <c r="W20" s="37">
        <f>CurrentMtgRatesDataTable8711121314[[#This Row],[FHA]]+0.5*CurrentMtgRatesDataTable8711121314[[#This Row],[Conventional]]</f>
        <v>0.10107116170323235</v>
      </c>
      <c r="X20" s="37">
        <f>2*CurrentMtgRatesDataTable8711121314[[#This Row],[FHA]]</f>
        <v>0.1815589547318556</v>
      </c>
      <c r="Y20" s="19">
        <f>VLOOKUP(YEAR(CurrentMtgRatesDataTable8711121314[[#This Row],[asofdate]]),OriginationVolume!$A:$N,8,FALSE)</f>
        <v>0.46718146718146719</v>
      </c>
      <c r="Z20" s="19">
        <f>VLOOKUP(YEAR(CurrentMtgRatesDataTable8711121314[[#This Row],[asofdate]]),OriginationVolume!$A:$N,9,FALSE)</f>
        <v>1.3030888030888031E-2</v>
      </c>
      <c r="AA20" s="19">
        <f>VLOOKUP(YEAR(CurrentMtgRatesDataTable8711121314[[#This Row],[asofdate]]),OriginationVolume!$A:$N,10,FALSE)</f>
        <v>3.9092664092664091E-2</v>
      </c>
      <c r="AB20" s="19">
        <f>VLOOKUP(YEAR(CurrentMtgRatesDataTable8711121314[[#This Row],[asofdate]]),OriginationVolume!$A:$N,11,FALSE)</f>
        <v>0.19884169884169883</v>
      </c>
      <c r="AC20" s="19">
        <f>VLOOKUP(YEAR(CurrentMtgRatesDataTable8711121314[[#This Row],[asofdate]]),OriginationVolume!$A:$N,12,FALSE)</f>
        <v>7.3359073359073365E-2</v>
      </c>
      <c r="AD20" s="19">
        <f>VLOOKUP(YEAR(CurrentMtgRatesDataTable8711121314[[#This Row],[asofdate]]),OriginationVolume!$A:$N,13,FALSE)</f>
        <v>0.20849420849420849</v>
      </c>
      <c r="AE2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6.3397998091754504E-2</v>
      </c>
      <c r="AF2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0.10268738244677898</v>
      </c>
      <c r="AG20" s="3" t="s">
        <v>39</v>
      </c>
      <c r="AH20" s="5">
        <v>114120000</v>
      </c>
      <c r="AI20" s="26"/>
      <c r="AK20" s="3" t="s">
        <v>39</v>
      </c>
      <c r="AL20" s="5">
        <v>30085000</v>
      </c>
      <c r="AM20" s="26"/>
      <c r="AO20" s="3" t="s">
        <v>39</v>
      </c>
      <c r="AP20" s="5">
        <v>2488610613.04</v>
      </c>
      <c r="AQ20" s="29"/>
      <c r="AS20" s="3" t="s">
        <v>39</v>
      </c>
      <c r="AT20" s="5">
        <v>2344405613.04</v>
      </c>
      <c r="AU20" s="29" t="str">
        <f>YEAR(CurrentMtgRatesDataTable871112131417[[#This Row],[asofdate]])&amp;"-"&amp;MONTH(CurrentMtgRatesDataTable871112131417[[#This Row],[asofdate]])</f>
        <v>2004-8</v>
      </c>
      <c r="AV20" s="29">
        <f>CurrentMtgRatesDataTable871112131417[[#This Row],[SeriesNumValue]]</f>
        <v>2344405613.04</v>
      </c>
      <c r="AW20" s="29">
        <f>VLOOKUP(CurrentMtgRatesDataTable871112131417[[#This Row],[asofdate]],AG:AH,2,0)</f>
        <v>114120000</v>
      </c>
      <c r="AX20" s="25">
        <f>IF(VLOOKUP(CurrentMtgRatesDataTable871112131417[[#This Row],[asofdate]],AK:AL,2,0)&lt;&gt;0,VLOOKUP(CurrentMtgRatesDataTable871112131417[[#This Row],[asofdate]],AK:AL,2,0),AX19)</f>
        <v>30085000</v>
      </c>
      <c r="AY20" s="25">
        <f>VLOOKUP(CurrentMtgRatesDataTable871112131417[[#This Row],[asofdate]],AO:AP,2,0)</f>
        <v>2488610613.04</v>
      </c>
    </row>
    <row r="21" spans="2:51" s="2" customFormat="1">
      <c r="B21" s="3" t="s">
        <v>40</v>
      </c>
      <c r="C21" s="21">
        <v>9.7491194732257994E-2</v>
      </c>
      <c r="D21" s="26">
        <f>((CurrentMtgRatesDataTable8711[[#This Row],[SeriesNumValue]]-$C$1)/$C$1+1)*100</f>
        <v>649.94129821505328</v>
      </c>
      <c r="E21" s="26"/>
      <c r="G21" s="3" t="s">
        <v>7</v>
      </c>
      <c r="H21" s="21">
        <v>4.4487411594855697E-2</v>
      </c>
      <c r="I21" s="21" t="str">
        <f>YEAR(CurrentMtgRatesDataTable871112[[#This Row],[asofdate]])&amp;"-"&amp;MONTH(CurrentMtgRatesDataTable871112[[#This Row],[asofdate]])</f>
        <v>2014-4</v>
      </c>
      <c r="J21" s="40">
        <f>VLOOKUP(CurrentMtgRatesDataTable871112[[#This Row],[asofdate]],Q:AE,15,0)*100</f>
        <v>2.6412242757370725</v>
      </c>
      <c r="K21" s="40">
        <f>VLOOKUP(CurrentMtgRatesDataTable871112[[#This Row],[asofdate]],Q:AE,4,0)*100</f>
        <v>1.73785950978117</v>
      </c>
      <c r="L21" s="40">
        <f>VLOOKUP(CurrentMtgRatesDataTable871112[[#This Row],[asofdate]],Q:AE,5,0)*100</f>
        <v>5.6417398287879204</v>
      </c>
      <c r="M21" s="40">
        <f>VLOOKUP(CurrentMtgRatesDataTable871112[[#This Row],[asofdate]],Q:AE,6,0)*100</f>
        <v>4.4487411594855697</v>
      </c>
      <c r="N21" s="40">
        <f>VLOOKUP(CurrentMtgRatesDataTable871112[[#This Row],[asofdate]],Q:AF,16,0)*100</f>
        <v>1.9735538344180754</v>
      </c>
      <c r="Q21" s="3" t="s">
        <v>40</v>
      </c>
      <c r="R21" s="21">
        <v>2.3047577050655299E-2</v>
      </c>
      <c r="S21" s="29" t="str">
        <f>YEAR(CurrentMtgRatesDataTable8711121314[[#This Row],[asofdate]])&amp;"-"&amp;MONTH(CurrentMtgRatesDataTable8711121314[[#This Row],[asofdate]])</f>
        <v>2004-9</v>
      </c>
      <c r="T21" s="37">
        <f>CurrentMtgRatesDataTable8711121314[[#This Row],[SeriesNumValue]]</f>
        <v>2.3047577050655299E-2</v>
      </c>
      <c r="U21" s="37">
        <f>VLOOKUP(CurrentMtgRatesDataTable8711121314[[#This Row],[asofdate]],B:D,2,0)</f>
        <v>9.7491194732257994E-2</v>
      </c>
      <c r="V21" s="37">
        <f>IF(VLOOKUP(CurrentMtgRatesDataTable8711121314[[#This Row],[asofdate]],G:H,2,0)&lt;&gt;0,VLOOKUP(CurrentMtgRatesDataTable8711121314[[#This Row],[asofdate]],G:H,2,0),V20)</f>
        <v>8.3094273500979796E-2</v>
      </c>
      <c r="W21" s="37">
        <f>CurrentMtgRatesDataTable8711121314[[#This Row],[FHA]]+0.5*CurrentMtgRatesDataTable8711121314[[#This Row],[Conventional]]</f>
        <v>0.10901498325758564</v>
      </c>
      <c r="X21" s="37">
        <f>2*CurrentMtgRatesDataTable8711121314[[#This Row],[FHA]]</f>
        <v>0.19498238946451599</v>
      </c>
      <c r="Y21" s="19">
        <f>VLOOKUP(YEAR(CurrentMtgRatesDataTable8711121314[[#This Row],[asofdate]]),OriginationVolume!$A:$N,8,FALSE)</f>
        <v>0.46718146718146719</v>
      </c>
      <c r="Z21" s="19">
        <f>VLOOKUP(YEAR(CurrentMtgRatesDataTable8711121314[[#This Row],[asofdate]]),OriginationVolume!$A:$N,9,FALSE)</f>
        <v>1.3030888030888031E-2</v>
      </c>
      <c r="AA21" s="19">
        <f>VLOOKUP(YEAR(CurrentMtgRatesDataTable8711121314[[#This Row],[asofdate]]),OriginationVolume!$A:$N,10,FALSE)</f>
        <v>3.9092664092664091E-2</v>
      </c>
      <c r="AB21" s="19">
        <f>VLOOKUP(YEAR(CurrentMtgRatesDataTable8711121314[[#This Row],[asofdate]]),OriginationVolume!$A:$N,11,FALSE)</f>
        <v>0.19884169884169883</v>
      </c>
      <c r="AC21" s="19">
        <f>VLOOKUP(YEAR(CurrentMtgRatesDataTable8711121314[[#This Row],[asofdate]]),OriginationVolume!$A:$N,12,FALSE)</f>
        <v>7.3359073359073365E-2</v>
      </c>
      <c r="AD21" s="19">
        <f>VLOOKUP(YEAR(CurrentMtgRatesDataTable8711121314[[#This Row],[asofdate]]),OriginationVolume!$A:$N,13,FALSE)</f>
        <v>0.20849420849420849</v>
      </c>
      <c r="AE2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6.8894140053845365E-2</v>
      </c>
      <c r="AF2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0.11074123639427098</v>
      </c>
      <c r="AG21" s="3" t="s">
        <v>40</v>
      </c>
      <c r="AH21" s="5">
        <v>101391000</v>
      </c>
      <c r="AI21" s="26"/>
      <c r="AK21" s="3" t="s">
        <v>40</v>
      </c>
      <c r="AL21" s="5">
        <v>32534000</v>
      </c>
      <c r="AM21" s="26"/>
      <c r="AO21" s="3" t="s">
        <v>40</v>
      </c>
      <c r="AP21" s="5">
        <v>2501128882.71</v>
      </c>
      <c r="AQ21" s="29"/>
      <c r="AS21" s="3" t="s">
        <v>40</v>
      </c>
      <c r="AT21" s="5">
        <v>2367203882.71</v>
      </c>
      <c r="AU21" s="29" t="str">
        <f>YEAR(CurrentMtgRatesDataTable871112131417[[#This Row],[asofdate]])&amp;"-"&amp;MONTH(CurrentMtgRatesDataTable871112131417[[#This Row],[asofdate]])</f>
        <v>2004-9</v>
      </c>
      <c r="AV21" s="29">
        <f>CurrentMtgRatesDataTable871112131417[[#This Row],[SeriesNumValue]]</f>
        <v>2367203882.71</v>
      </c>
      <c r="AW21" s="29">
        <f>VLOOKUP(CurrentMtgRatesDataTable871112131417[[#This Row],[asofdate]],AG:AH,2,0)</f>
        <v>101391000</v>
      </c>
      <c r="AX21" s="25">
        <f>IF(VLOOKUP(CurrentMtgRatesDataTable871112131417[[#This Row],[asofdate]],AK:AL,2,0)&lt;&gt;0,VLOOKUP(CurrentMtgRatesDataTable871112131417[[#This Row],[asofdate]],AK:AL,2,0),AX20)</f>
        <v>32534000</v>
      </c>
      <c r="AY21" s="25">
        <f>VLOOKUP(CurrentMtgRatesDataTable871112131417[[#This Row],[asofdate]],AO:AP,2,0)</f>
        <v>2501128882.71</v>
      </c>
    </row>
    <row r="22" spans="2:51" s="2" customFormat="1">
      <c r="B22" s="3" t="s">
        <v>41</v>
      </c>
      <c r="C22" s="21">
        <v>9.4413817020581894E-2</v>
      </c>
      <c r="D22" s="26">
        <f>((CurrentMtgRatesDataTable8711[[#This Row],[SeriesNumValue]]-$C$1)/$C$1+1)*100</f>
        <v>629.42544680387925</v>
      </c>
      <c r="E22" s="26"/>
      <c r="G22" s="3" t="s">
        <v>141</v>
      </c>
      <c r="H22" s="21">
        <v>4.1916679311245E-2</v>
      </c>
      <c r="I22" s="21" t="str">
        <f>YEAR(CurrentMtgRatesDataTable871112[[#This Row],[asofdate]])&amp;"-"&amp;MONTH(CurrentMtgRatesDataTable871112[[#This Row],[asofdate]])</f>
        <v>2014-3</v>
      </c>
      <c r="J22" s="40">
        <f>VLOOKUP(CurrentMtgRatesDataTable871112[[#This Row],[asofdate]],Q:AE,15,0)*100</f>
        <v>2.5110772020268715</v>
      </c>
      <c r="K22" s="40">
        <f>VLOOKUP(CurrentMtgRatesDataTable871112[[#This Row],[asofdate]],Q:AE,4,0)*100</f>
        <v>1.64709134882766</v>
      </c>
      <c r="L22" s="40">
        <f>VLOOKUP(CurrentMtgRatesDataTable871112[[#This Row],[asofdate]],Q:AE,5,0)*100</f>
        <v>5.3963745614458904</v>
      </c>
      <c r="M22" s="40">
        <f>VLOOKUP(CurrentMtgRatesDataTable871112[[#This Row],[asofdate]],Q:AE,6,0)*100</f>
        <v>4.1916679311245</v>
      </c>
      <c r="N22" s="40">
        <f>VLOOKUP(CurrentMtgRatesDataTable871112[[#This Row],[asofdate]],Q:AF,16,0)*100</f>
        <v>1.8729100592983785</v>
      </c>
      <c r="Q22" s="3" t="s">
        <v>41</v>
      </c>
      <c r="R22" s="21">
        <v>2.23860040024676E-2</v>
      </c>
      <c r="S22" s="29" t="str">
        <f>YEAR(CurrentMtgRatesDataTable8711121314[[#This Row],[asofdate]])&amp;"-"&amp;MONTH(CurrentMtgRatesDataTable8711121314[[#This Row],[asofdate]])</f>
        <v>2004-10</v>
      </c>
      <c r="T22" s="37">
        <f>CurrentMtgRatesDataTable8711121314[[#This Row],[SeriesNumValue]]</f>
        <v>2.23860040024676E-2</v>
      </c>
      <c r="U22" s="37">
        <f>VLOOKUP(CurrentMtgRatesDataTable8711121314[[#This Row],[asofdate]],B:D,2,0)</f>
        <v>9.4413817020581894E-2</v>
      </c>
      <c r="V22" s="37">
        <f>IF(VLOOKUP(CurrentMtgRatesDataTable8711121314[[#This Row],[asofdate]],G:H,2,0)&lt;&gt;0,VLOOKUP(CurrentMtgRatesDataTable8711121314[[#This Row],[asofdate]],G:H,2,0),V21)</f>
        <v>8.1387626202597499E-2</v>
      </c>
      <c r="W22" s="37">
        <f>CurrentMtgRatesDataTable8711121314[[#This Row],[FHA]]+0.5*CurrentMtgRatesDataTable8711121314[[#This Row],[Conventional]]</f>
        <v>0.10560681902181569</v>
      </c>
      <c r="X22" s="37">
        <f>2*CurrentMtgRatesDataTable8711121314[[#This Row],[FHA]]</f>
        <v>0.18882763404116379</v>
      </c>
      <c r="Y22" s="19">
        <f>VLOOKUP(YEAR(CurrentMtgRatesDataTable8711121314[[#This Row],[asofdate]]),OriginationVolume!$A:$N,8,FALSE)</f>
        <v>0.46718146718146719</v>
      </c>
      <c r="Z22" s="19">
        <f>VLOOKUP(YEAR(CurrentMtgRatesDataTable8711121314[[#This Row],[asofdate]]),OriginationVolume!$A:$N,9,FALSE)</f>
        <v>1.3030888030888031E-2</v>
      </c>
      <c r="AA22" s="19">
        <f>VLOOKUP(YEAR(CurrentMtgRatesDataTable8711121314[[#This Row],[asofdate]]),OriginationVolume!$A:$N,10,FALSE)</f>
        <v>3.9092664092664091E-2</v>
      </c>
      <c r="AB22" s="19">
        <f>VLOOKUP(YEAR(CurrentMtgRatesDataTable8711121314[[#This Row],[asofdate]]),OriginationVolume!$A:$N,11,FALSE)</f>
        <v>0.19884169884169883</v>
      </c>
      <c r="AC22" s="19">
        <f>VLOOKUP(YEAR(CurrentMtgRatesDataTable8711121314[[#This Row],[asofdate]]),OriginationVolume!$A:$N,12,FALSE)</f>
        <v>7.3359073359073365E-2</v>
      </c>
      <c r="AD22" s="19">
        <f>VLOOKUP(YEAR(CurrentMtgRatesDataTable8711121314[[#This Row],[asofdate]]),OriginationVolume!$A:$N,13,FALSE)</f>
        <v>0.20849420849420849</v>
      </c>
      <c r="AE2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6.6777724424054677E-2</v>
      </c>
      <c r="AF2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0.10727791972501544</v>
      </c>
      <c r="AG22" s="3" t="s">
        <v>41</v>
      </c>
      <c r="AH22" s="5">
        <v>96928000</v>
      </c>
      <c r="AI22" s="26"/>
      <c r="AK22" s="3" t="s">
        <v>41</v>
      </c>
      <c r="AL22" s="5">
        <v>35548000</v>
      </c>
      <c r="AM22" s="26"/>
      <c r="AO22" s="3" t="s">
        <v>41</v>
      </c>
      <c r="AP22" s="5">
        <v>2895188458.04</v>
      </c>
      <c r="AQ22" s="29"/>
      <c r="AS22" s="3" t="s">
        <v>41</v>
      </c>
      <c r="AT22" s="5">
        <v>2762712458.04</v>
      </c>
      <c r="AU22" s="29" t="str">
        <f>YEAR(CurrentMtgRatesDataTable871112131417[[#This Row],[asofdate]])&amp;"-"&amp;MONTH(CurrentMtgRatesDataTable871112131417[[#This Row],[asofdate]])</f>
        <v>2004-10</v>
      </c>
      <c r="AV22" s="29">
        <f>CurrentMtgRatesDataTable871112131417[[#This Row],[SeriesNumValue]]</f>
        <v>2762712458.04</v>
      </c>
      <c r="AW22" s="29">
        <f>VLOOKUP(CurrentMtgRatesDataTable871112131417[[#This Row],[asofdate]],AG:AH,2,0)</f>
        <v>96928000</v>
      </c>
      <c r="AX22" s="25">
        <f>IF(VLOOKUP(CurrentMtgRatesDataTable871112131417[[#This Row],[asofdate]],AK:AL,2,0)&lt;&gt;0,VLOOKUP(CurrentMtgRatesDataTable871112131417[[#This Row],[asofdate]],AK:AL,2,0),AX21)</f>
        <v>35548000</v>
      </c>
      <c r="AY22" s="25">
        <f>VLOOKUP(CurrentMtgRatesDataTable871112131417[[#This Row],[asofdate]],AO:AP,2,0)</f>
        <v>2895188458.04</v>
      </c>
    </row>
    <row r="23" spans="2:51" s="2" customFormat="1">
      <c r="B23" s="3" t="s">
        <v>42</v>
      </c>
      <c r="C23" s="21">
        <v>9.8333062406187999E-2</v>
      </c>
      <c r="D23" s="26">
        <f>((CurrentMtgRatesDataTable8711[[#This Row],[SeriesNumValue]]-$C$1)/$C$1+1)*100</f>
        <v>655.55374937458669</v>
      </c>
      <c r="E23" s="26"/>
      <c r="G23" s="3" t="s">
        <v>140</v>
      </c>
      <c r="H23" s="21">
        <v>3.9774229888142401E-2</v>
      </c>
      <c r="I23" s="21" t="str">
        <f>YEAR(CurrentMtgRatesDataTable871112[[#This Row],[asofdate]])&amp;"-"&amp;MONTH(CurrentMtgRatesDataTable871112[[#This Row],[asofdate]])</f>
        <v>2014-2</v>
      </c>
      <c r="J23" s="40">
        <f>VLOOKUP(CurrentMtgRatesDataTable871112[[#This Row],[asofdate]],Q:AE,15,0)*100</f>
        <v>2.3564648411344087</v>
      </c>
      <c r="K23" s="40">
        <f>VLOOKUP(CurrentMtgRatesDataTable871112[[#This Row],[asofdate]],Q:AE,4,0)*100</f>
        <v>1.5423133326643799</v>
      </c>
      <c r="L23" s="40">
        <f>VLOOKUP(CurrentMtgRatesDataTable871112[[#This Row],[asofdate]],Q:AE,5,0)*100</f>
        <v>5.0638509422985098</v>
      </c>
      <c r="M23" s="40">
        <f>VLOOKUP(CurrentMtgRatesDataTable871112[[#This Row],[asofdate]],Q:AE,6,0)*100</f>
        <v>3.9774229888142401</v>
      </c>
      <c r="N23" s="40">
        <f>VLOOKUP(CurrentMtgRatesDataTable871112[[#This Row],[asofdate]],Q:AF,16,0)*100</f>
        <v>1.7542982351812348</v>
      </c>
      <c r="Q23" s="3" t="s">
        <v>42</v>
      </c>
      <c r="R23" s="21">
        <v>2.1779564208262402E-2</v>
      </c>
      <c r="S23" s="29" t="str">
        <f>YEAR(CurrentMtgRatesDataTable8711121314[[#This Row],[asofdate]])&amp;"-"&amp;MONTH(CurrentMtgRatesDataTable8711121314[[#This Row],[asofdate]])</f>
        <v>2004-11</v>
      </c>
      <c r="T23" s="37">
        <f>CurrentMtgRatesDataTable8711121314[[#This Row],[SeriesNumValue]]</f>
        <v>2.1779564208262402E-2</v>
      </c>
      <c r="U23" s="37">
        <f>VLOOKUP(CurrentMtgRatesDataTable8711121314[[#This Row],[asofdate]],B:D,2,0)</f>
        <v>9.8333062406187999E-2</v>
      </c>
      <c r="V23" s="37">
        <f>IF(VLOOKUP(CurrentMtgRatesDataTable8711121314[[#This Row],[asofdate]],G:H,2,0)&lt;&gt;0,VLOOKUP(CurrentMtgRatesDataTable8711121314[[#This Row],[asofdate]],G:H,2,0),V22)</f>
        <v>8.7159265808458106E-2</v>
      </c>
      <c r="W23" s="37">
        <f>CurrentMtgRatesDataTable8711121314[[#This Row],[FHA]]+0.5*CurrentMtgRatesDataTable8711121314[[#This Row],[Conventional]]</f>
        <v>0.1092228445103192</v>
      </c>
      <c r="X23" s="37">
        <f>2*CurrentMtgRatesDataTable8711121314[[#This Row],[FHA]]</f>
        <v>0.196666124812376</v>
      </c>
      <c r="Y23" s="19">
        <f>VLOOKUP(YEAR(CurrentMtgRatesDataTable8711121314[[#This Row],[asofdate]]),OriginationVolume!$A:$N,8,FALSE)</f>
        <v>0.46718146718146719</v>
      </c>
      <c r="Z23" s="19">
        <f>VLOOKUP(YEAR(CurrentMtgRatesDataTable8711121314[[#This Row],[asofdate]]),OriginationVolume!$A:$N,9,FALSE)</f>
        <v>1.3030888030888031E-2</v>
      </c>
      <c r="AA23" s="19">
        <f>VLOOKUP(YEAR(CurrentMtgRatesDataTable8711121314[[#This Row],[asofdate]]),OriginationVolume!$A:$N,10,FALSE)</f>
        <v>3.9092664092664091E-2</v>
      </c>
      <c r="AB23" s="19">
        <f>VLOOKUP(YEAR(CurrentMtgRatesDataTable8711121314[[#This Row],[asofdate]]),OriginationVolume!$A:$N,11,FALSE)</f>
        <v>0.19884169884169883</v>
      </c>
      <c r="AC23" s="19">
        <f>VLOOKUP(YEAR(CurrentMtgRatesDataTable8711121314[[#This Row],[asofdate]]),OriginationVolume!$A:$N,12,FALSE)</f>
        <v>7.3359073359073365E-2</v>
      </c>
      <c r="AD23" s="19">
        <f>VLOOKUP(YEAR(CurrentMtgRatesDataTable8711121314[[#This Row],[asofdate]]),OriginationVolume!$A:$N,13,FALSE)</f>
        <v>0.20849420849420849</v>
      </c>
      <c r="AE2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6.8501793013342985E-2</v>
      </c>
      <c r="AF2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0.1109787336730111</v>
      </c>
      <c r="AG23" s="3" t="s">
        <v>42</v>
      </c>
      <c r="AH23" s="5">
        <v>95506000</v>
      </c>
      <c r="AI23" s="26"/>
      <c r="AK23" s="3" t="s">
        <v>42</v>
      </c>
      <c r="AL23" s="5">
        <v>36358000</v>
      </c>
      <c r="AM23" s="26"/>
      <c r="AO23" s="3" t="s">
        <v>42</v>
      </c>
      <c r="AP23" s="5">
        <v>2838671852.71</v>
      </c>
      <c r="AQ23" s="29"/>
      <c r="AS23" s="3" t="s">
        <v>42</v>
      </c>
      <c r="AT23" s="5">
        <v>2706807852.71</v>
      </c>
      <c r="AU23" s="29" t="str">
        <f>YEAR(CurrentMtgRatesDataTable871112131417[[#This Row],[asofdate]])&amp;"-"&amp;MONTH(CurrentMtgRatesDataTable871112131417[[#This Row],[asofdate]])</f>
        <v>2004-11</v>
      </c>
      <c r="AV23" s="29">
        <f>CurrentMtgRatesDataTable871112131417[[#This Row],[SeriesNumValue]]</f>
        <v>2706807852.71</v>
      </c>
      <c r="AW23" s="29">
        <f>VLOOKUP(CurrentMtgRatesDataTable871112131417[[#This Row],[asofdate]],AG:AH,2,0)</f>
        <v>95506000</v>
      </c>
      <c r="AX23" s="25">
        <f>IF(VLOOKUP(CurrentMtgRatesDataTable871112131417[[#This Row],[asofdate]],AK:AL,2,0)&lt;&gt;0,VLOOKUP(CurrentMtgRatesDataTable871112131417[[#This Row],[asofdate]],AK:AL,2,0),AX22)</f>
        <v>36358000</v>
      </c>
      <c r="AY23" s="25">
        <f>VLOOKUP(CurrentMtgRatesDataTable871112131417[[#This Row],[asofdate]],AO:AP,2,0)</f>
        <v>2838671852.71</v>
      </c>
    </row>
    <row r="24" spans="2:51" s="2" customFormat="1">
      <c r="B24" s="3" t="s">
        <v>43</v>
      </c>
      <c r="C24" s="21">
        <v>9.2820204237606396E-2</v>
      </c>
      <c r="D24" s="26">
        <f>((CurrentMtgRatesDataTable8711[[#This Row],[SeriesNumValue]]-$C$1)/$C$1+1)*100</f>
        <v>618.80136158404264</v>
      </c>
      <c r="E24" s="26"/>
      <c r="G24" s="3" t="s">
        <v>139</v>
      </c>
      <c r="H24" s="21">
        <v>4.33860973163313E-2</v>
      </c>
      <c r="I24" s="21" t="str">
        <f>YEAR(CurrentMtgRatesDataTable871112[[#This Row],[asofdate]])&amp;"-"&amp;MONTH(CurrentMtgRatesDataTable871112[[#This Row],[asofdate]])</f>
        <v>2014-1</v>
      </c>
      <c r="J24" s="40">
        <f>VLOOKUP(CurrentMtgRatesDataTable871112[[#This Row],[asofdate]],Q:AE,15,0)*100</f>
        <v>2.4867928165681903</v>
      </c>
      <c r="K24" s="40">
        <f>VLOOKUP(CurrentMtgRatesDataTable871112[[#This Row],[asofdate]],Q:AE,4,0)*100</f>
        <v>1.6092987998410202</v>
      </c>
      <c r="L24" s="40">
        <f>VLOOKUP(CurrentMtgRatesDataTable871112[[#This Row],[asofdate]],Q:AE,5,0)*100</f>
        <v>5.3732575289805498</v>
      </c>
      <c r="M24" s="40">
        <f>VLOOKUP(CurrentMtgRatesDataTable871112[[#This Row],[asofdate]],Q:AE,6,0)*100</f>
        <v>4.33860973163313</v>
      </c>
      <c r="N24" s="40">
        <f>VLOOKUP(CurrentMtgRatesDataTable871112[[#This Row],[asofdate]],Q:AF,16,0)*100</f>
        <v>1.8349090778192936</v>
      </c>
      <c r="Q24" s="3" t="s">
        <v>43</v>
      </c>
      <c r="R24" s="21">
        <v>2.1090668706571499E-2</v>
      </c>
      <c r="S24" s="29" t="str">
        <f>YEAR(CurrentMtgRatesDataTable8711121314[[#This Row],[asofdate]])&amp;"-"&amp;MONTH(CurrentMtgRatesDataTable8711121314[[#This Row],[asofdate]])</f>
        <v>2004-12</v>
      </c>
      <c r="T24" s="37">
        <f>CurrentMtgRatesDataTable8711121314[[#This Row],[SeriesNumValue]]</f>
        <v>2.1090668706571499E-2</v>
      </c>
      <c r="U24" s="37">
        <f>VLOOKUP(CurrentMtgRatesDataTable8711121314[[#This Row],[asofdate]],B:D,2,0)</f>
        <v>9.2820204237606396E-2</v>
      </c>
      <c r="V24" s="37">
        <f>IF(VLOOKUP(CurrentMtgRatesDataTable8711121314[[#This Row],[asofdate]],G:H,2,0)&lt;&gt;0,VLOOKUP(CurrentMtgRatesDataTable8711121314[[#This Row],[asofdate]],G:H,2,0),V23)</f>
        <v>7.2886696269449006E-2</v>
      </c>
      <c r="W24" s="37">
        <f>CurrentMtgRatesDataTable8711121314[[#This Row],[FHA]]+0.5*CurrentMtgRatesDataTable8711121314[[#This Row],[Conventional]]</f>
        <v>0.10336553859089215</v>
      </c>
      <c r="X24" s="37">
        <f>2*CurrentMtgRatesDataTable8711121314[[#This Row],[FHA]]</f>
        <v>0.18564040847521279</v>
      </c>
      <c r="Y24" s="19">
        <f>VLOOKUP(YEAR(CurrentMtgRatesDataTable8711121314[[#This Row],[asofdate]]),OriginationVolume!$A:$N,8,FALSE)</f>
        <v>0.46718146718146719</v>
      </c>
      <c r="Z24" s="19">
        <f>VLOOKUP(YEAR(CurrentMtgRatesDataTable8711121314[[#This Row],[asofdate]]),OriginationVolume!$A:$N,9,FALSE)</f>
        <v>1.3030888030888031E-2</v>
      </c>
      <c r="AA24" s="19">
        <f>VLOOKUP(YEAR(CurrentMtgRatesDataTable8711121314[[#This Row],[asofdate]]),OriginationVolume!$A:$N,10,FALSE)</f>
        <v>3.9092664092664091E-2</v>
      </c>
      <c r="AB24" s="19">
        <f>VLOOKUP(YEAR(CurrentMtgRatesDataTable8711121314[[#This Row],[asofdate]]),OriginationVolume!$A:$N,11,FALSE)</f>
        <v>0.19884169884169883</v>
      </c>
      <c r="AC24" s="19">
        <f>VLOOKUP(YEAR(CurrentMtgRatesDataTable8711121314[[#This Row],[asofdate]]),OriginationVolume!$A:$N,12,FALSE)</f>
        <v>7.3359073359073365E-2</v>
      </c>
      <c r="AD24" s="19">
        <f>VLOOKUP(YEAR(CurrentMtgRatesDataTable8711121314[[#This Row],[asofdate]]),OriginationVolume!$A:$N,13,FALSE)</f>
        <v>0.20849420849420849</v>
      </c>
      <c r="AE2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6.4912991546668658E-2</v>
      </c>
      <c r="AF2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0.10501764441186244</v>
      </c>
      <c r="AG24" s="3" t="s">
        <v>43</v>
      </c>
      <c r="AH24" s="5">
        <v>111136000</v>
      </c>
      <c r="AI24" s="26"/>
      <c r="AK24" s="3" t="s">
        <v>43</v>
      </c>
      <c r="AL24" s="5">
        <v>44624000</v>
      </c>
      <c r="AM24" s="26"/>
      <c r="AO24" s="3" t="s">
        <v>43</v>
      </c>
      <c r="AP24" s="5">
        <v>3011468730.9099998</v>
      </c>
      <c r="AQ24" s="29"/>
      <c r="AS24" s="3" t="s">
        <v>43</v>
      </c>
      <c r="AT24" s="5">
        <v>2855708730.9099998</v>
      </c>
      <c r="AU24" s="29" t="str">
        <f>YEAR(CurrentMtgRatesDataTable871112131417[[#This Row],[asofdate]])&amp;"-"&amp;MONTH(CurrentMtgRatesDataTable871112131417[[#This Row],[asofdate]])</f>
        <v>2004-12</v>
      </c>
      <c r="AV24" s="29">
        <f>CurrentMtgRatesDataTable871112131417[[#This Row],[SeriesNumValue]]</f>
        <v>2855708730.9099998</v>
      </c>
      <c r="AW24" s="29">
        <f>VLOOKUP(CurrentMtgRatesDataTable871112131417[[#This Row],[asofdate]],AG:AH,2,0)</f>
        <v>111136000</v>
      </c>
      <c r="AX24" s="25">
        <f>IF(VLOOKUP(CurrentMtgRatesDataTable871112131417[[#This Row],[asofdate]],AK:AL,2,0)&lt;&gt;0,VLOOKUP(CurrentMtgRatesDataTable871112131417[[#This Row],[asofdate]],AK:AL,2,0),AX23)</f>
        <v>44624000</v>
      </c>
      <c r="AY24" s="25">
        <f>VLOOKUP(CurrentMtgRatesDataTable871112131417[[#This Row],[asofdate]],AO:AP,2,0)</f>
        <v>3011468730.9099998</v>
      </c>
    </row>
    <row r="25" spans="2:51" s="2" customFormat="1">
      <c r="B25" s="3" t="s">
        <v>44</v>
      </c>
      <c r="C25" s="21">
        <v>9.4900478598202095E-2</v>
      </c>
      <c r="D25" s="26">
        <f>((CurrentMtgRatesDataTable8711[[#This Row],[SeriesNumValue]]-$C$1)/$C$1+1)*100</f>
        <v>632.66985732134731</v>
      </c>
      <c r="E25" s="26"/>
      <c r="G25" s="3" t="s">
        <v>138</v>
      </c>
      <c r="H25" s="21">
        <v>4.6547078626505201E-2</v>
      </c>
      <c r="I25" s="21" t="str">
        <f>YEAR(CurrentMtgRatesDataTable871112[[#This Row],[asofdate]])&amp;"-"&amp;MONTH(CurrentMtgRatesDataTable871112[[#This Row],[asofdate]])</f>
        <v>2013-12</v>
      </c>
      <c r="J25" s="40">
        <f>VLOOKUP(CurrentMtgRatesDataTable871112[[#This Row],[asofdate]],Q:AE,15,0)*100</f>
        <v>2.5635177362591826</v>
      </c>
      <c r="K25" s="40">
        <f>VLOOKUP(CurrentMtgRatesDataTable871112[[#This Row],[asofdate]],Q:AE,4,0)*100</f>
        <v>1.7515607394978299</v>
      </c>
      <c r="L25" s="40">
        <f>VLOOKUP(CurrentMtgRatesDataTable871112[[#This Row],[asofdate]],Q:AE,5,0)*100</f>
        <v>5.8020706017923596</v>
      </c>
      <c r="M25" s="40">
        <f>VLOOKUP(CurrentMtgRatesDataTable871112[[#This Row],[asofdate]],Q:AE,6,0)*100</f>
        <v>4.6547078626505201</v>
      </c>
      <c r="N25" s="40">
        <f>VLOOKUP(CurrentMtgRatesDataTable871112[[#This Row],[asofdate]],Q:AF,16,0)*100</f>
        <v>2.1252793088252635</v>
      </c>
      <c r="Q25" s="3" t="s">
        <v>44</v>
      </c>
      <c r="R25" s="21">
        <v>2.09712423123837E-2</v>
      </c>
      <c r="S25" s="29" t="str">
        <f>YEAR(CurrentMtgRatesDataTable8711121314[[#This Row],[asofdate]])&amp;"-"&amp;MONTH(CurrentMtgRatesDataTable8711121314[[#This Row],[asofdate]])</f>
        <v>2005-1</v>
      </c>
      <c r="T25" s="37">
        <f>CurrentMtgRatesDataTable8711121314[[#This Row],[SeriesNumValue]]</f>
        <v>2.09712423123837E-2</v>
      </c>
      <c r="U25" s="37">
        <f>VLOOKUP(CurrentMtgRatesDataTable8711121314[[#This Row],[asofdate]],B:D,2,0)</f>
        <v>9.4900478598202095E-2</v>
      </c>
      <c r="V25" s="37">
        <f>IF(VLOOKUP(CurrentMtgRatesDataTable8711121314[[#This Row],[asofdate]],G:H,2,0)&lt;&gt;0,VLOOKUP(CurrentMtgRatesDataTable8711121314[[#This Row],[asofdate]],G:H,2,0),V24)</f>
        <v>7.5690097036033105E-2</v>
      </c>
      <c r="W25" s="37">
        <f>CurrentMtgRatesDataTable8711121314[[#This Row],[FHA]]+0.5*CurrentMtgRatesDataTable8711121314[[#This Row],[Conventional]]</f>
        <v>0.10538609975439395</v>
      </c>
      <c r="X25" s="37">
        <f>2*CurrentMtgRatesDataTable8711121314[[#This Row],[FHA]]</f>
        <v>0.18980095719640419</v>
      </c>
      <c r="Y25" s="19">
        <f>VLOOKUP(YEAR(CurrentMtgRatesDataTable8711121314[[#This Row],[asofdate]]),OriginationVolume!$A:$N,8,FALSE)</f>
        <v>0.39564428312159711</v>
      </c>
      <c r="Z25" s="19">
        <f>VLOOKUP(YEAR(CurrentMtgRatesDataTable8711121314[[#This Row],[asofdate]]),OriginationVolume!$A:$N,9,FALSE)</f>
        <v>8.1669691470054439E-3</v>
      </c>
      <c r="AA25" s="19">
        <f>VLOOKUP(YEAR(CurrentMtgRatesDataTable8711121314[[#This Row],[asofdate]]),OriginationVolume!$A:$N,10,FALSE)</f>
        <v>2.4500907441016333E-2</v>
      </c>
      <c r="AB25" s="19">
        <f>VLOOKUP(YEAR(CurrentMtgRatesDataTable8711121314[[#This Row],[asofdate]]),OriginationVolume!$A:$N,11,FALSE)</f>
        <v>0.20689655172413793</v>
      </c>
      <c r="AC25" s="19">
        <f>VLOOKUP(YEAR(CurrentMtgRatesDataTable8711121314[[#This Row],[asofdate]]),OriginationVolume!$A:$N,12,FALSE)</f>
        <v>0.13793103448275862</v>
      </c>
      <c r="AD25" s="19">
        <f>VLOOKUP(YEAR(CurrentMtgRatesDataTable8711121314[[#This Row],[asofdate]]),OriginationVolume!$A:$N,13,FALSE)</f>
        <v>0.22686025408348456</v>
      </c>
      <c r="AE2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7.317364351421729E-2</v>
      </c>
      <c r="AF2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0.10833392017300383</v>
      </c>
      <c r="AG25" s="3" t="s">
        <v>44</v>
      </c>
      <c r="AH25" s="5">
        <v>100461000</v>
      </c>
      <c r="AI25" s="26"/>
      <c r="AK25" s="3" t="s">
        <v>44</v>
      </c>
      <c r="AL25" s="5">
        <v>42826000</v>
      </c>
      <c r="AM25" s="26"/>
      <c r="AO25" s="3" t="s">
        <v>44</v>
      </c>
      <c r="AP25" s="5">
        <v>2800069561.1900001</v>
      </c>
      <c r="AQ25" s="29"/>
      <c r="AS25" s="3" t="s">
        <v>44</v>
      </c>
      <c r="AT25" s="5">
        <v>2656782561.1900001</v>
      </c>
      <c r="AU25" s="29" t="str">
        <f>YEAR(CurrentMtgRatesDataTable871112131417[[#This Row],[asofdate]])&amp;"-"&amp;MONTH(CurrentMtgRatesDataTable871112131417[[#This Row],[asofdate]])</f>
        <v>2005-1</v>
      </c>
      <c r="AV25" s="29">
        <f>CurrentMtgRatesDataTable871112131417[[#This Row],[SeriesNumValue]]</f>
        <v>2656782561.1900001</v>
      </c>
      <c r="AW25" s="29">
        <f>VLOOKUP(CurrentMtgRatesDataTable871112131417[[#This Row],[asofdate]],AG:AH,2,0)</f>
        <v>100461000</v>
      </c>
      <c r="AX25" s="25">
        <f>IF(VLOOKUP(CurrentMtgRatesDataTable871112131417[[#This Row],[asofdate]],AK:AL,2,0)&lt;&gt;0,VLOOKUP(CurrentMtgRatesDataTable871112131417[[#This Row],[asofdate]],AK:AL,2,0),AX24)</f>
        <v>42826000</v>
      </c>
      <c r="AY25" s="25">
        <f>VLOOKUP(CurrentMtgRatesDataTable871112131417[[#This Row],[asofdate]],AO:AP,2,0)</f>
        <v>2800069561.1900001</v>
      </c>
    </row>
    <row r="26" spans="2:51" s="2" customFormat="1">
      <c r="B26" s="3" t="s">
        <v>45</v>
      </c>
      <c r="C26" s="21">
        <v>9.1799771417411899E-2</v>
      </c>
      <c r="D26" s="26">
        <f>((CurrentMtgRatesDataTable8711[[#This Row],[SeriesNumValue]]-$C$1)/$C$1+1)*100</f>
        <v>611.99847611607936</v>
      </c>
      <c r="E26" s="26"/>
      <c r="G26" s="3" t="s">
        <v>15</v>
      </c>
      <c r="H26" s="21">
        <v>4.2534373017318799E-2</v>
      </c>
      <c r="I26" s="21" t="str">
        <f>YEAR(CurrentMtgRatesDataTable871112[[#This Row],[asofdate]])&amp;"-"&amp;MONTH(CurrentMtgRatesDataTable871112[[#This Row],[asofdate]])</f>
        <v>2013-11</v>
      </c>
      <c r="J26" s="40">
        <f>VLOOKUP(CurrentMtgRatesDataTable871112[[#This Row],[asofdate]],Q:AE,15,0)*100</f>
        <v>2.3359545595280853</v>
      </c>
      <c r="K26" s="40">
        <f>VLOOKUP(CurrentMtgRatesDataTable871112[[#This Row],[asofdate]],Q:AE,4,0)*100</f>
        <v>1.59609026163824</v>
      </c>
      <c r="L26" s="40">
        <f>VLOOKUP(CurrentMtgRatesDataTable871112[[#This Row],[asofdate]],Q:AE,5,0)*100</f>
        <v>5.2832653648147296</v>
      </c>
      <c r="M26" s="40">
        <f>VLOOKUP(CurrentMtgRatesDataTable871112[[#This Row],[asofdate]],Q:AE,6,0)*100</f>
        <v>4.2534373017318803</v>
      </c>
      <c r="N26" s="40">
        <f>VLOOKUP(CurrentMtgRatesDataTable871112[[#This Row],[asofdate]],Q:AF,16,0)*100</f>
        <v>1.9363483483551487</v>
      </c>
      <c r="Q26" s="3" t="s">
        <v>45</v>
      </c>
      <c r="R26" s="21">
        <v>2.0659358627216601E-2</v>
      </c>
      <c r="S26" s="29" t="str">
        <f>YEAR(CurrentMtgRatesDataTable8711121314[[#This Row],[asofdate]])&amp;"-"&amp;MONTH(CurrentMtgRatesDataTable8711121314[[#This Row],[asofdate]])</f>
        <v>2005-2</v>
      </c>
      <c r="T26" s="37">
        <f>CurrentMtgRatesDataTable8711121314[[#This Row],[SeriesNumValue]]</f>
        <v>2.0659358627216601E-2</v>
      </c>
      <c r="U26" s="37">
        <f>VLOOKUP(CurrentMtgRatesDataTable8711121314[[#This Row],[asofdate]],B:D,2,0)</f>
        <v>9.1799771417411899E-2</v>
      </c>
      <c r="V26" s="37">
        <f>IF(VLOOKUP(CurrentMtgRatesDataTable8711121314[[#This Row],[asofdate]],G:H,2,0)&lt;&gt;0,VLOOKUP(CurrentMtgRatesDataTable8711121314[[#This Row],[asofdate]],G:H,2,0),V25)</f>
        <v>7.5038770054298307E-2</v>
      </c>
      <c r="W26" s="37">
        <f>CurrentMtgRatesDataTable8711121314[[#This Row],[FHA]]+0.5*CurrentMtgRatesDataTable8711121314[[#This Row],[Conventional]]</f>
        <v>0.1021294507310202</v>
      </c>
      <c r="X26" s="37">
        <f>2*CurrentMtgRatesDataTable8711121314[[#This Row],[FHA]]</f>
        <v>0.1835995428348238</v>
      </c>
      <c r="Y26" s="19">
        <f>VLOOKUP(YEAR(CurrentMtgRatesDataTable8711121314[[#This Row],[asofdate]]),OriginationVolume!$A:$N,8,FALSE)</f>
        <v>0.39564428312159711</v>
      </c>
      <c r="Z26" s="19">
        <f>VLOOKUP(YEAR(CurrentMtgRatesDataTable8711121314[[#This Row],[asofdate]]),OriginationVolume!$A:$N,9,FALSE)</f>
        <v>8.1669691470054439E-3</v>
      </c>
      <c r="AA26" s="19">
        <f>VLOOKUP(YEAR(CurrentMtgRatesDataTable8711121314[[#This Row],[asofdate]]),OriginationVolume!$A:$N,10,FALSE)</f>
        <v>2.4500907441016333E-2</v>
      </c>
      <c r="AB26" s="19">
        <f>VLOOKUP(YEAR(CurrentMtgRatesDataTable8711121314[[#This Row],[asofdate]]),OriginationVolume!$A:$N,11,FALSE)</f>
        <v>0.20689655172413793</v>
      </c>
      <c r="AC26" s="19">
        <f>VLOOKUP(YEAR(CurrentMtgRatesDataTable8711121314[[#This Row],[asofdate]]),OriginationVolume!$A:$N,12,FALSE)</f>
        <v>0.13793103448275862</v>
      </c>
      <c r="AD26" s="19">
        <f>VLOOKUP(YEAR(CurrentMtgRatesDataTable8711121314[[#This Row],[asofdate]]),OriginationVolume!$A:$N,13,FALSE)</f>
        <v>0.22686025408348456</v>
      </c>
      <c r="AE2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7.1048383944692969E-2</v>
      </c>
      <c r="AF2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0.10497443807432763</v>
      </c>
      <c r="AG26" s="3" t="s">
        <v>45</v>
      </c>
      <c r="AH26" s="5">
        <v>93266000</v>
      </c>
      <c r="AI26" s="26"/>
      <c r="AK26" s="3" t="s">
        <v>45</v>
      </c>
      <c r="AL26" s="5">
        <v>44772000</v>
      </c>
      <c r="AM26" s="26"/>
      <c r="AO26" s="3" t="s">
        <v>45</v>
      </c>
      <c r="AP26" s="5">
        <v>2767593588.27</v>
      </c>
      <c r="AQ26" s="29"/>
      <c r="AS26" s="3" t="s">
        <v>45</v>
      </c>
      <c r="AT26" s="5">
        <v>2629555588.27</v>
      </c>
      <c r="AU26" s="29" t="str">
        <f>YEAR(CurrentMtgRatesDataTable871112131417[[#This Row],[asofdate]])&amp;"-"&amp;MONTH(CurrentMtgRatesDataTable871112131417[[#This Row],[asofdate]])</f>
        <v>2005-2</v>
      </c>
      <c r="AV26" s="29">
        <f>CurrentMtgRatesDataTable871112131417[[#This Row],[SeriesNumValue]]</f>
        <v>2629555588.27</v>
      </c>
      <c r="AW26" s="29">
        <f>VLOOKUP(CurrentMtgRatesDataTable871112131417[[#This Row],[asofdate]],AG:AH,2,0)</f>
        <v>93266000</v>
      </c>
      <c r="AX26" s="25">
        <f>IF(VLOOKUP(CurrentMtgRatesDataTable871112131417[[#This Row],[asofdate]],AK:AL,2,0)&lt;&gt;0,VLOOKUP(CurrentMtgRatesDataTable871112131417[[#This Row],[asofdate]],AK:AL,2,0),AX25)</f>
        <v>44772000</v>
      </c>
      <c r="AY26" s="25">
        <f>VLOOKUP(CurrentMtgRatesDataTable871112131417[[#This Row],[asofdate]],AO:AP,2,0)</f>
        <v>2767593588.27</v>
      </c>
    </row>
    <row r="27" spans="2:51" s="2" customFormat="1">
      <c r="B27" s="3" t="s">
        <v>46</v>
      </c>
      <c r="C27" s="21">
        <v>9.1464698836870098E-2</v>
      </c>
      <c r="D27" s="26">
        <f>((CurrentMtgRatesDataTable8711[[#This Row],[SeriesNumValue]]-$C$1)/$C$1+1)*100</f>
        <v>609.76465891246733</v>
      </c>
      <c r="E27" s="26"/>
      <c r="G27" s="3" t="s">
        <v>6</v>
      </c>
      <c r="H27" s="21">
        <v>3.97317518471954E-2</v>
      </c>
      <c r="I27" s="21" t="str">
        <f>YEAR(CurrentMtgRatesDataTable871112[[#This Row],[asofdate]])&amp;"-"&amp;MONTH(CurrentMtgRatesDataTable871112[[#This Row],[asofdate]])</f>
        <v>2013-10</v>
      </c>
      <c r="J27" s="40">
        <f>VLOOKUP(CurrentMtgRatesDataTable871112[[#This Row],[asofdate]],Q:AE,15,0)*100</f>
        <v>2.2142875364131891</v>
      </c>
      <c r="K27" s="40">
        <f>VLOOKUP(CurrentMtgRatesDataTable871112[[#This Row],[asofdate]],Q:AE,4,0)*100</f>
        <v>1.51215279764365</v>
      </c>
      <c r="L27" s="40">
        <f>VLOOKUP(CurrentMtgRatesDataTable871112[[#This Row],[asofdate]],Q:AE,5,0)*100</f>
        <v>5.0301606990154299</v>
      </c>
      <c r="M27" s="40">
        <f>VLOOKUP(CurrentMtgRatesDataTable871112[[#This Row],[asofdate]],Q:AE,6,0)*100</f>
        <v>3.97317518471954</v>
      </c>
      <c r="N27" s="40">
        <f>VLOOKUP(CurrentMtgRatesDataTable871112[[#This Row],[asofdate]],Q:AF,16,0)*100</f>
        <v>1.8363936755893717</v>
      </c>
      <c r="Q27" s="3" t="s">
        <v>46</v>
      </c>
      <c r="R27" s="21">
        <v>2.0417926363663502E-2</v>
      </c>
      <c r="S27" s="29" t="str">
        <f>YEAR(CurrentMtgRatesDataTable8711121314[[#This Row],[asofdate]])&amp;"-"&amp;MONTH(CurrentMtgRatesDataTable8711121314[[#This Row],[asofdate]])</f>
        <v>2005-3</v>
      </c>
      <c r="T27" s="37">
        <f>CurrentMtgRatesDataTable8711121314[[#This Row],[SeriesNumValue]]</f>
        <v>2.0417926363663502E-2</v>
      </c>
      <c r="U27" s="37">
        <f>VLOOKUP(CurrentMtgRatesDataTable8711121314[[#This Row],[asofdate]],B:D,2,0)</f>
        <v>9.1464698836870098E-2</v>
      </c>
      <c r="V27" s="37">
        <f>IF(VLOOKUP(CurrentMtgRatesDataTable8711121314[[#This Row],[asofdate]],G:H,2,0)&lt;&gt;0,VLOOKUP(CurrentMtgRatesDataTable8711121314[[#This Row],[asofdate]],G:H,2,0),V26)</f>
        <v>7.3859808783187805E-2</v>
      </c>
      <c r="W27" s="37">
        <f>CurrentMtgRatesDataTable8711121314[[#This Row],[FHA]]+0.5*CurrentMtgRatesDataTable8711121314[[#This Row],[Conventional]]</f>
        <v>0.10167366201870184</v>
      </c>
      <c r="X27" s="37">
        <f>2*CurrentMtgRatesDataTable8711121314[[#This Row],[FHA]]</f>
        <v>0.1829293976737402</v>
      </c>
      <c r="Y27" s="19">
        <f>VLOOKUP(YEAR(CurrentMtgRatesDataTable8711121314[[#This Row],[asofdate]]),OriginationVolume!$A:$N,8,FALSE)</f>
        <v>0.39564428312159711</v>
      </c>
      <c r="Z27" s="19">
        <f>VLOOKUP(YEAR(CurrentMtgRatesDataTable8711121314[[#This Row],[asofdate]]),OriginationVolume!$A:$N,9,FALSE)</f>
        <v>8.1669691470054439E-3</v>
      </c>
      <c r="AA27" s="19">
        <f>VLOOKUP(YEAR(CurrentMtgRatesDataTable8711121314[[#This Row],[asofdate]]),OriginationVolume!$A:$N,10,FALSE)</f>
        <v>2.4500907441016333E-2</v>
      </c>
      <c r="AB27" s="19">
        <f>VLOOKUP(YEAR(CurrentMtgRatesDataTable8711121314[[#This Row],[asofdate]]),OriginationVolume!$A:$N,11,FALSE)</f>
        <v>0.20689655172413793</v>
      </c>
      <c r="AC27" s="19">
        <f>VLOOKUP(YEAR(CurrentMtgRatesDataTable8711121314[[#This Row],[asofdate]]),OriginationVolume!$A:$N,12,FALSE)</f>
        <v>0.13793103448275862</v>
      </c>
      <c r="AD27" s="19">
        <f>VLOOKUP(YEAR(CurrentMtgRatesDataTable8711121314[[#This Row],[asofdate]]),OriginationVolume!$A:$N,13,FALSE)</f>
        <v>0.22686025408348456</v>
      </c>
      <c r="AE2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7.0670176314332561E-2</v>
      </c>
      <c r="AF2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0.10451116389871906</v>
      </c>
      <c r="AG27" s="3" t="s">
        <v>46</v>
      </c>
      <c r="AH27" s="5">
        <v>74931000</v>
      </c>
      <c r="AI27" s="26"/>
      <c r="AK27" s="3" t="s">
        <v>46</v>
      </c>
      <c r="AL27" s="5">
        <v>37690000</v>
      </c>
      <c r="AM27" s="26"/>
      <c r="AO27" s="3" t="s">
        <v>46</v>
      </c>
      <c r="AP27" s="5">
        <v>2252434329.1100001</v>
      </c>
      <c r="AQ27" s="29"/>
      <c r="AS27" s="3" t="s">
        <v>46</v>
      </c>
      <c r="AT27" s="5">
        <v>2139813329.1099999</v>
      </c>
      <c r="AU27" s="29" t="str">
        <f>YEAR(CurrentMtgRatesDataTable871112131417[[#This Row],[asofdate]])&amp;"-"&amp;MONTH(CurrentMtgRatesDataTable871112131417[[#This Row],[asofdate]])</f>
        <v>2005-3</v>
      </c>
      <c r="AV27" s="29">
        <f>CurrentMtgRatesDataTable871112131417[[#This Row],[SeriesNumValue]]</f>
        <v>2139813329.1099999</v>
      </c>
      <c r="AW27" s="29">
        <f>VLOOKUP(CurrentMtgRatesDataTable871112131417[[#This Row],[asofdate]],AG:AH,2,0)</f>
        <v>74931000</v>
      </c>
      <c r="AX27" s="25">
        <f>IF(VLOOKUP(CurrentMtgRatesDataTable871112131417[[#This Row],[asofdate]],AK:AL,2,0)&lt;&gt;0,VLOOKUP(CurrentMtgRatesDataTable871112131417[[#This Row],[asofdate]],AK:AL,2,0),AX26)</f>
        <v>37690000</v>
      </c>
      <c r="AY27" s="25">
        <f>VLOOKUP(CurrentMtgRatesDataTable871112131417[[#This Row],[asofdate]],AO:AP,2,0)</f>
        <v>2252434329.1100001</v>
      </c>
    </row>
    <row r="28" spans="2:51" s="2" customFormat="1">
      <c r="B28" s="3" t="s">
        <v>47</v>
      </c>
      <c r="C28" s="21">
        <v>9.2497341698870306E-2</v>
      </c>
      <c r="D28" s="26">
        <f>((CurrentMtgRatesDataTable8711[[#This Row],[SeriesNumValue]]-$C$1)/$C$1+1)*100</f>
        <v>616.6489446591354</v>
      </c>
      <c r="E28" s="26"/>
      <c r="G28" s="3" t="s">
        <v>137</v>
      </c>
      <c r="H28" s="21">
        <v>3.6128492494755901E-2</v>
      </c>
      <c r="I28" s="21" t="str">
        <f>YEAR(CurrentMtgRatesDataTable871112[[#This Row],[asofdate]])&amp;"-"&amp;MONTH(CurrentMtgRatesDataTable871112[[#This Row],[asofdate]])</f>
        <v>2013-9</v>
      </c>
      <c r="J28" s="40">
        <f>VLOOKUP(CurrentMtgRatesDataTable871112[[#This Row],[asofdate]],Q:AE,15,0)*100</f>
        <v>2.0249315625362811</v>
      </c>
      <c r="K28" s="40">
        <f>VLOOKUP(CurrentMtgRatesDataTable871112[[#This Row],[asofdate]],Q:AE,4,0)*100</f>
        <v>1.3852929718571798</v>
      </c>
      <c r="L28" s="40">
        <f>VLOOKUP(CurrentMtgRatesDataTable871112[[#This Row],[asofdate]],Q:AE,5,0)*100</f>
        <v>4.5943283811328701</v>
      </c>
      <c r="M28" s="40">
        <f>VLOOKUP(CurrentMtgRatesDataTable871112[[#This Row],[asofdate]],Q:AE,6,0)*100</f>
        <v>3.6128492494755902</v>
      </c>
      <c r="N28" s="40">
        <f>VLOOKUP(CurrentMtgRatesDataTable871112[[#This Row],[asofdate]],Q:AF,16,0)*100</f>
        <v>1.6812826328726775</v>
      </c>
      <c r="Q28" s="3" t="s">
        <v>47</v>
      </c>
      <c r="R28" s="21">
        <v>1.9984193341813401E-2</v>
      </c>
      <c r="S28" s="29" t="str">
        <f>YEAR(CurrentMtgRatesDataTable8711121314[[#This Row],[asofdate]])&amp;"-"&amp;MONTH(CurrentMtgRatesDataTable8711121314[[#This Row],[asofdate]])</f>
        <v>2005-4</v>
      </c>
      <c r="T28" s="37">
        <f>CurrentMtgRatesDataTable8711121314[[#This Row],[SeriesNumValue]]</f>
        <v>1.9984193341813401E-2</v>
      </c>
      <c r="U28" s="37">
        <f>VLOOKUP(CurrentMtgRatesDataTable8711121314[[#This Row],[asofdate]],B:D,2,0)</f>
        <v>9.2497341698870306E-2</v>
      </c>
      <c r="V28" s="37">
        <f>IF(VLOOKUP(CurrentMtgRatesDataTable8711121314[[#This Row],[asofdate]],G:H,2,0)&lt;&gt;0,VLOOKUP(CurrentMtgRatesDataTable8711121314[[#This Row],[asofdate]],G:H,2,0),V27)</f>
        <v>7.1507871154995101E-2</v>
      </c>
      <c r="W28" s="37">
        <f>CurrentMtgRatesDataTable8711121314[[#This Row],[FHA]]+0.5*CurrentMtgRatesDataTable8711121314[[#This Row],[Conventional]]</f>
        <v>0.102489438369777</v>
      </c>
      <c r="X28" s="37">
        <f>2*CurrentMtgRatesDataTable8711121314[[#This Row],[FHA]]</f>
        <v>0.18499468339774061</v>
      </c>
      <c r="Y28" s="19">
        <f>VLOOKUP(YEAR(CurrentMtgRatesDataTable8711121314[[#This Row],[asofdate]]),OriginationVolume!$A:$N,8,FALSE)</f>
        <v>0.39564428312159711</v>
      </c>
      <c r="Z28" s="19">
        <f>VLOOKUP(YEAR(CurrentMtgRatesDataTable8711121314[[#This Row],[asofdate]]),OriginationVolume!$A:$N,9,FALSE)</f>
        <v>8.1669691470054439E-3</v>
      </c>
      <c r="AA28" s="19">
        <f>VLOOKUP(YEAR(CurrentMtgRatesDataTable8711121314[[#This Row],[asofdate]]),OriginationVolume!$A:$N,10,FALSE)</f>
        <v>2.4500907441016333E-2</v>
      </c>
      <c r="AB28" s="19">
        <f>VLOOKUP(YEAR(CurrentMtgRatesDataTable8711121314[[#This Row],[asofdate]]),OriginationVolume!$A:$N,11,FALSE)</f>
        <v>0.20689655172413793</v>
      </c>
      <c r="AC28" s="19">
        <f>VLOOKUP(YEAR(CurrentMtgRatesDataTable8711121314[[#This Row],[asofdate]]),OriginationVolume!$A:$N,12,FALSE)</f>
        <v>0.13793103448275862</v>
      </c>
      <c r="AD28" s="19">
        <f>VLOOKUP(YEAR(CurrentMtgRatesDataTable8711121314[[#This Row],[asofdate]]),OriginationVolume!$A:$N,13,FALSE)</f>
        <v>0.22686025408348456</v>
      </c>
      <c r="AE2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7.0995979062495287E-2</v>
      </c>
      <c r="AF2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0.10537057391043606</v>
      </c>
      <c r="AG28" s="3" t="s">
        <v>47</v>
      </c>
      <c r="AH28" s="5">
        <v>96553000</v>
      </c>
      <c r="AI28" s="26"/>
      <c r="AK28" s="3" t="s">
        <v>47</v>
      </c>
      <c r="AL28" s="5">
        <v>50433000</v>
      </c>
      <c r="AM28" s="26"/>
      <c r="AO28" s="3" t="s">
        <v>47</v>
      </c>
      <c r="AP28" s="5">
        <v>2596024130.0700002</v>
      </c>
      <c r="AQ28" s="29"/>
      <c r="AS28" s="3" t="s">
        <v>47</v>
      </c>
      <c r="AT28" s="5">
        <v>2449038130.0700002</v>
      </c>
      <c r="AU28" s="29" t="str">
        <f>YEAR(CurrentMtgRatesDataTable871112131417[[#This Row],[asofdate]])&amp;"-"&amp;MONTH(CurrentMtgRatesDataTable871112131417[[#This Row],[asofdate]])</f>
        <v>2005-4</v>
      </c>
      <c r="AV28" s="29">
        <f>CurrentMtgRatesDataTable871112131417[[#This Row],[SeriesNumValue]]</f>
        <v>2449038130.0700002</v>
      </c>
      <c r="AW28" s="29">
        <f>VLOOKUP(CurrentMtgRatesDataTable871112131417[[#This Row],[asofdate]],AG:AH,2,0)</f>
        <v>96553000</v>
      </c>
      <c r="AX28" s="25">
        <f>IF(VLOOKUP(CurrentMtgRatesDataTable871112131417[[#This Row],[asofdate]],AK:AL,2,0)&lt;&gt;0,VLOOKUP(CurrentMtgRatesDataTable871112131417[[#This Row],[asofdate]],AK:AL,2,0),AX27)</f>
        <v>50433000</v>
      </c>
      <c r="AY28" s="25">
        <f>VLOOKUP(CurrentMtgRatesDataTable871112131417[[#This Row],[asofdate]],AO:AP,2,0)</f>
        <v>2596024130.0700002</v>
      </c>
    </row>
    <row r="29" spans="2:51" s="2" customFormat="1">
      <c r="B29" s="3" t="s">
        <v>48</v>
      </c>
      <c r="C29" s="21">
        <v>8.1934200099123194E-2</v>
      </c>
      <c r="D29" s="26">
        <f>((CurrentMtgRatesDataTable8711[[#This Row],[SeriesNumValue]]-$C$1)/$C$1+1)*100</f>
        <v>546.22800066082129</v>
      </c>
      <c r="E29" s="26"/>
      <c r="G29" s="3" t="s">
        <v>18</v>
      </c>
      <c r="H29" s="21">
        <v>3.4542716001929402E-2</v>
      </c>
      <c r="I29" s="21" t="str">
        <f>YEAR(CurrentMtgRatesDataTable871112[[#This Row],[asofdate]])&amp;"-"&amp;MONTH(CurrentMtgRatesDataTable871112[[#This Row],[asofdate]])</f>
        <v>2013-8</v>
      </c>
      <c r="J29" s="40">
        <f>VLOOKUP(CurrentMtgRatesDataTable871112[[#This Row],[asofdate]],Q:AE,15,0)*100</f>
        <v>1.8933133166038938</v>
      </c>
      <c r="K29" s="40">
        <f>VLOOKUP(CurrentMtgRatesDataTable871112[[#This Row],[asofdate]],Q:AE,4,0)*100</f>
        <v>1.28803683488304</v>
      </c>
      <c r="L29" s="40">
        <f>VLOOKUP(CurrentMtgRatesDataTable871112[[#This Row],[asofdate]],Q:AE,5,0)*100</f>
        <v>4.30752106874339</v>
      </c>
      <c r="M29" s="40">
        <f>VLOOKUP(CurrentMtgRatesDataTable871112[[#This Row],[asofdate]],Q:AE,6,0)*100</f>
        <v>3.4542716001929401</v>
      </c>
      <c r="N29" s="40">
        <f>VLOOKUP(CurrentMtgRatesDataTable871112[[#This Row],[asofdate]],Q:AF,16,0)*100</f>
        <v>1.5659577256714579</v>
      </c>
      <c r="Q29" s="3" t="s">
        <v>48</v>
      </c>
      <c r="R29" s="21">
        <v>1.8157566395530299E-2</v>
      </c>
      <c r="S29" s="29" t="str">
        <f>YEAR(CurrentMtgRatesDataTable8711121314[[#This Row],[asofdate]])&amp;"-"&amp;MONTH(CurrentMtgRatesDataTable8711121314[[#This Row],[asofdate]])</f>
        <v>2005-5</v>
      </c>
      <c r="T29" s="37">
        <f>CurrentMtgRatesDataTable8711121314[[#This Row],[SeriesNumValue]]</f>
        <v>1.8157566395530299E-2</v>
      </c>
      <c r="U29" s="37">
        <f>VLOOKUP(CurrentMtgRatesDataTable8711121314[[#This Row],[asofdate]],B:D,2,0)</f>
        <v>8.1934200099123194E-2</v>
      </c>
      <c r="V29" s="37">
        <f>IF(VLOOKUP(CurrentMtgRatesDataTable8711121314[[#This Row],[asofdate]],G:H,2,0)&lt;&gt;0,VLOOKUP(CurrentMtgRatesDataTable8711121314[[#This Row],[asofdate]],G:H,2,0),V28)</f>
        <v>6.8831034977123506E-2</v>
      </c>
      <c r="W29" s="37">
        <f>CurrentMtgRatesDataTable8711121314[[#This Row],[FHA]]+0.5*CurrentMtgRatesDataTable8711121314[[#This Row],[Conventional]]</f>
        <v>9.1012983296888339E-2</v>
      </c>
      <c r="X29" s="37">
        <f>2*CurrentMtgRatesDataTable8711121314[[#This Row],[FHA]]</f>
        <v>0.16386840019824639</v>
      </c>
      <c r="Y29" s="19">
        <f>VLOOKUP(YEAR(CurrentMtgRatesDataTable8711121314[[#This Row],[asofdate]]),OriginationVolume!$A:$N,8,FALSE)</f>
        <v>0.39564428312159711</v>
      </c>
      <c r="Z29" s="19">
        <f>VLOOKUP(YEAR(CurrentMtgRatesDataTable8711121314[[#This Row],[asofdate]]),OriginationVolume!$A:$N,9,FALSE)</f>
        <v>8.1669691470054439E-3</v>
      </c>
      <c r="AA29" s="19">
        <f>VLOOKUP(YEAR(CurrentMtgRatesDataTable8711121314[[#This Row],[asofdate]]),OriginationVolume!$A:$N,10,FALSE)</f>
        <v>2.4500907441016333E-2</v>
      </c>
      <c r="AB29" s="19">
        <f>VLOOKUP(YEAR(CurrentMtgRatesDataTable8711121314[[#This Row],[asofdate]]),OriginationVolume!$A:$N,11,FALSE)</f>
        <v>0.20689655172413793</v>
      </c>
      <c r="AC29" s="19">
        <f>VLOOKUP(YEAR(CurrentMtgRatesDataTable8711121314[[#This Row],[asofdate]]),OriginationVolume!$A:$N,12,FALSE)</f>
        <v>0.13793103448275862</v>
      </c>
      <c r="AD29" s="19">
        <f>VLOOKUP(YEAR(CurrentMtgRatesDataTable8711121314[[#This Row],[asofdate]]),OriginationVolume!$A:$N,13,FALSE)</f>
        <v>0.22686025408348456</v>
      </c>
      <c r="AE2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6.3239020249356792E-2</v>
      </c>
      <c r="AF2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9.3557140712491327E-2</v>
      </c>
      <c r="AG29" s="3" t="s">
        <v>48</v>
      </c>
      <c r="AH29" s="5">
        <v>125618000</v>
      </c>
      <c r="AI29" s="26"/>
      <c r="AK29" s="3" t="s">
        <v>48</v>
      </c>
      <c r="AL29" s="5">
        <v>61299000</v>
      </c>
      <c r="AM29" s="26"/>
      <c r="AO29" s="3" t="s">
        <v>48</v>
      </c>
      <c r="AP29" s="5">
        <v>3379652014.46</v>
      </c>
      <c r="AQ29" s="29"/>
      <c r="AS29" s="3" t="s">
        <v>48</v>
      </c>
      <c r="AT29" s="5">
        <v>3192735014.46</v>
      </c>
      <c r="AU29" s="29" t="str">
        <f>YEAR(CurrentMtgRatesDataTable871112131417[[#This Row],[asofdate]])&amp;"-"&amp;MONTH(CurrentMtgRatesDataTable871112131417[[#This Row],[asofdate]])</f>
        <v>2005-5</v>
      </c>
      <c r="AV29" s="29">
        <f>CurrentMtgRatesDataTable871112131417[[#This Row],[SeriesNumValue]]</f>
        <v>3192735014.46</v>
      </c>
      <c r="AW29" s="29">
        <f>VLOOKUP(CurrentMtgRatesDataTable871112131417[[#This Row],[asofdate]],AG:AH,2,0)</f>
        <v>125618000</v>
      </c>
      <c r="AX29" s="25">
        <f>IF(VLOOKUP(CurrentMtgRatesDataTable871112131417[[#This Row],[asofdate]],AK:AL,2,0)&lt;&gt;0,VLOOKUP(CurrentMtgRatesDataTable871112131417[[#This Row],[asofdate]],AK:AL,2,0),AX28)</f>
        <v>61299000</v>
      </c>
      <c r="AY29" s="25">
        <f>VLOOKUP(CurrentMtgRatesDataTable871112131417[[#This Row],[asofdate]],AO:AP,2,0)</f>
        <v>3379652014.46</v>
      </c>
    </row>
    <row r="30" spans="2:51" s="2" customFormat="1">
      <c r="B30" s="3" t="s">
        <v>49</v>
      </c>
      <c r="C30" s="21">
        <v>9.0211093283241298E-2</v>
      </c>
      <c r="D30" s="26">
        <f>((CurrentMtgRatesDataTable8711[[#This Row],[SeriesNumValue]]-$C$1)/$C$1+1)*100</f>
        <v>601.40728855494206</v>
      </c>
      <c r="E30" s="26"/>
      <c r="G30" s="3" t="s">
        <v>5</v>
      </c>
      <c r="H30" s="21">
        <v>4.0382987212321503E-2</v>
      </c>
      <c r="I30" s="21" t="str">
        <f>YEAR(CurrentMtgRatesDataTable871112[[#This Row],[asofdate]])&amp;"-"&amp;MONTH(CurrentMtgRatesDataTable871112[[#This Row],[asofdate]])</f>
        <v>2013-7</v>
      </c>
      <c r="J30" s="40">
        <f>VLOOKUP(CurrentMtgRatesDataTable871112[[#This Row],[asofdate]],Q:AE,15,0)*100</f>
        <v>2.1504738444053366</v>
      </c>
      <c r="K30" s="40">
        <f>VLOOKUP(CurrentMtgRatesDataTable871112[[#This Row],[asofdate]],Q:AE,4,0)*100</f>
        <v>1.4664753361722001</v>
      </c>
      <c r="L30" s="40">
        <f>VLOOKUP(CurrentMtgRatesDataTable871112[[#This Row],[asofdate]],Q:AE,5,0)*100</f>
        <v>4.84004768570259</v>
      </c>
      <c r="M30" s="40">
        <f>VLOOKUP(CurrentMtgRatesDataTable871112[[#This Row],[asofdate]],Q:AE,6,0)*100</f>
        <v>4.0382987212321506</v>
      </c>
      <c r="N30" s="40">
        <f>VLOOKUP(CurrentMtgRatesDataTable871112[[#This Row],[asofdate]],Q:AF,16,0)*100</f>
        <v>1.7780264409568993</v>
      </c>
      <c r="Q30" s="3" t="s">
        <v>49</v>
      </c>
      <c r="R30" s="21">
        <v>2.0661572747784799E-2</v>
      </c>
      <c r="S30" s="29" t="str">
        <f>YEAR(CurrentMtgRatesDataTable8711121314[[#This Row],[asofdate]])&amp;"-"&amp;MONTH(CurrentMtgRatesDataTable8711121314[[#This Row],[asofdate]])</f>
        <v>2005-6</v>
      </c>
      <c r="T30" s="37">
        <f>CurrentMtgRatesDataTable8711121314[[#This Row],[SeriesNumValue]]</f>
        <v>2.0661572747784799E-2</v>
      </c>
      <c r="U30" s="37">
        <f>VLOOKUP(CurrentMtgRatesDataTable8711121314[[#This Row],[asofdate]],B:D,2,0)</f>
        <v>9.0211093283241298E-2</v>
      </c>
      <c r="V30" s="37">
        <f>IF(VLOOKUP(CurrentMtgRatesDataTable8711121314[[#This Row],[asofdate]],G:H,2,0)&lt;&gt;0,VLOOKUP(CurrentMtgRatesDataTable8711121314[[#This Row],[asofdate]],G:H,2,0),V29)</f>
        <v>7.2760553043788298E-2</v>
      </c>
      <c r="W30" s="37">
        <f>CurrentMtgRatesDataTable8711121314[[#This Row],[FHA]]+0.5*CurrentMtgRatesDataTable8711121314[[#This Row],[Conventional]]</f>
        <v>0.1005418796571337</v>
      </c>
      <c r="X30" s="37">
        <f>2*CurrentMtgRatesDataTable8711121314[[#This Row],[FHA]]</f>
        <v>0.1804221865664826</v>
      </c>
      <c r="Y30" s="19">
        <f>VLOOKUP(YEAR(CurrentMtgRatesDataTable8711121314[[#This Row],[asofdate]]),OriginationVolume!$A:$N,8,FALSE)</f>
        <v>0.39564428312159711</v>
      </c>
      <c r="Z30" s="19">
        <f>VLOOKUP(YEAR(CurrentMtgRatesDataTable8711121314[[#This Row],[asofdate]]),OriginationVolume!$A:$N,9,FALSE)</f>
        <v>8.1669691470054439E-3</v>
      </c>
      <c r="AA30" s="19">
        <f>VLOOKUP(YEAR(CurrentMtgRatesDataTable8711121314[[#This Row],[asofdate]]),OriginationVolume!$A:$N,10,FALSE)</f>
        <v>2.4500907441016333E-2</v>
      </c>
      <c r="AB30" s="19">
        <f>VLOOKUP(YEAR(CurrentMtgRatesDataTable8711121314[[#This Row],[asofdate]]),OriginationVolume!$A:$N,11,FALSE)</f>
        <v>0.20689655172413793</v>
      </c>
      <c r="AC30" s="19">
        <f>VLOOKUP(YEAR(CurrentMtgRatesDataTable8711121314[[#This Row],[asofdate]]),OriginationVolume!$A:$N,12,FALSE)</f>
        <v>0.13793103448275862</v>
      </c>
      <c r="AD30" s="19">
        <f>VLOOKUP(YEAR(CurrentMtgRatesDataTable8711121314[[#This Row],[asofdate]]),OriginationVolume!$A:$N,13,FALSE)</f>
        <v>0.22686025408348456</v>
      </c>
      <c r="AE3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7.0052396687908969E-2</v>
      </c>
      <c r="AF3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0.10333135069206334</v>
      </c>
      <c r="AG30" s="3" t="s">
        <v>49</v>
      </c>
      <c r="AH30" s="5">
        <v>116694000</v>
      </c>
      <c r="AI30" s="26"/>
      <c r="AK30" s="3" t="s">
        <v>49</v>
      </c>
      <c r="AL30" s="5">
        <v>47993000</v>
      </c>
      <c r="AM30" s="26"/>
      <c r="AO30" s="3" t="s">
        <v>49</v>
      </c>
      <c r="AP30" s="5">
        <v>3272606324.4499998</v>
      </c>
      <c r="AQ30" s="29"/>
      <c r="AS30" s="3" t="s">
        <v>49</v>
      </c>
      <c r="AT30" s="5">
        <v>3107919324.4499998</v>
      </c>
      <c r="AU30" s="29" t="str">
        <f>YEAR(CurrentMtgRatesDataTable871112131417[[#This Row],[asofdate]])&amp;"-"&amp;MONTH(CurrentMtgRatesDataTable871112131417[[#This Row],[asofdate]])</f>
        <v>2005-6</v>
      </c>
      <c r="AV30" s="29">
        <f>CurrentMtgRatesDataTable871112131417[[#This Row],[SeriesNumValue]]</f>
        <v>3107919324.4499998</v>
      </c>
      <c r="AW30" s="29">
        <f>VLOOKUP(CurrentMtgRatesDataTable871112131417[[#This Row],[asofdate]],AG:AH,2,0)</f>
        <v>116694000</v>
      </c>
      <c r="AX30" s="25">
        <f>IF(VLOOKUP(CurrentMtgRatesDataTable871112131417[[#This Row],[asofdate]],AK:AL,2,0)&lt;&gt;0,VLOOKUP(CurrentMtgRatesDataTable871112131417[[#This Row],[asofdate]],AK:AL,2,0),AX29)</f>
        <v>47993000</v>
      </c>
      <c r="AY30" s="25">
        <f>VLOOKUP(CurrentMtgRatesDataTable871112131417[[#This Row],[asofdate]],AO:AP,2,0)</f>
        <v>3272606324.4499998</v>
      </c>
    </row>
    <row r="31" spans="2:51" s="2" customFormat="1">
      <c r="B31" s="3" t="s">
        <v>50</v>
      </c>
      <c r="C31" s="21">
        <v>9.2319504582030504E-2</v>
      </c>
      <c r="D31" s="26">
        <f>((CurrentMtgRatesDataTable8711[[#This Row],[SeriesNumValue]]-$C$1)/$C$1+1)*100</f>
        <v>615.46336388020336</v>
      </c>
      <c r="E31" s="26"/>
      <c r="G31" s="3" t="s">
        <v>136</v>
      </c>
      <c r="H31" s="21">
        <v>4.3999613211472499E-2</v>
      </c>
      <c r="I31" s="21" t="str">
        <f>YEAR(CurrentMtgRatesDataTable871112[[#This Row],[asofdate]])&amp;"-"&amp;MONTH(CurrentMtgRatesDataTable871112[[#This Row],[asofdate]])</f>
        <v>2013-6</v>
      </c>
      <c r="J31" s="40">
        <f>VLOOKUP(CurrentMtgRatesDataTable871112[[#This Row],[asofdate]],Q:AE,15,0)*100</f>
        <v>2.2767145021913056</v>
      </c>
      <c r="K31" s="40">
        <f>VLOOKUP(CurrentMtgRatesDataTable871112[[#This Row],[asofdate]],Q:AE,4,0)*100</f>
        <v>1.5513831385549501</v>
      </c>
      <c r="L31" s="40">
        <f>VLOOKUP(CurrentMtgRatesDataTable871112[[#This Row],[asofdate]],Q:AE,5,0)*100</f>
        <v>5.0915054900666901</v>
      </c>
      <c r="M31" s="40">
        <f>VLOOKUP(CurrentMtgRatesDataTable871112[[#This Row],[asofdate]],Q:AE,6,0)*100</f>
        <v>4.3999613211472504</v>
      </c>
      <c r="N31" s="40">
        <f>VLOOKUP(CurrentMtgRatesDataTable871112[[#This Row],[asofdate]],Q:AF,16,0)*100</f>
        <v>1.8787897118562011</v>
      </c>
      <c r="Q31" s="3" t="s">
        <v>50</v>
      </c>
      <c r="R31" s="21">
        <v>2.1131997562814898E-2</v>
      </c>
      <c r="S31" s="29" t="str">
        <f>YEAR(CurrentMtgRatesDataTable8711121314[[#This Row],[asofdate]])&amp;"-"&amp;MONTH(CurrentMtgRatesDataTable8711121314[[#This Row],[asofdate]])</f>
        <v>2005-7</v>
      </c>
      <c r="T31" s="37">
        <f>CurrentMtgRatesDataTable8711121314[[#This Row],[SeriesNumValue]]</f>
        <v>2.1131997562814898E-2</v>
      </c>
      <c r="U31" s="37">
        <f>VLOOKUP(CurrentMtgRatesDataTable8711121314[[#This Row],[asofdate]],B:D,2,0)</f>
        <v>9.2319504582030504E-2</v>
      </c>
      <c r="V31" s="37">
        <f>IF(VLOOKUP(CurrentMtgRatesDataTable8711121314[[#This Row],[asofdate]],G:H,2,0)&lt;&gt;0,VLOOKUP(CurrentMtgRatesDataTable8711121314[[#This Row],[asofdate]],G:H,2,0),V30)</f>
        <v>8.0514821186880595E-2</v>
      </c>
      <c r="W31" s="37">
        <f>CurrentMtgRatesDataTable8711121314[[#This Row],[FHA]]+0.5*CurrentMtgRatesDataTable8711121314[[#This Row],[Conventional]]</f>
        <v>0.10288550336343795</v>
      </c>
      <c r="X31" s="37">
        <f>2*CurrentMtgRatesDataTable8711121314[[#This Row],[FHA]]</f>
        <v>0.18463900916406101</v>
      </c>
      <c r="Y31" s="19">
        <f>VLOOKUP(YEAR(CurrentMtgRatesDataTable8711121314[[#This Row],[asofdate]]),OriginationVolume!$A:$N,8,FALSE)</f>
        <v>0.39564428312159711</v>
      </c>
      <c r="Z31" s="19">
        <f>VLOOKUP(YEAR(CurrentMtgRatesDataTable8711121314[[#This Row],[asofdate]]),OriginationVolume!$A:$N,9,FALSE)</f>
        <v>8.1669691470054439E-3</v>
      </c>
      <c r="AA31" s="19">
        <f>VLOOKUP(YEAR(CurrentMtgRatesDataTable8711121314[[#This Row],[asofdate]]),OriginationVolume!$A:$N,10,FALSE)</f>
        <v>2.4500907441016333E-2</v>
      </c>
      <c r="AB31" s="19">
        <f>VLOOKUP(YEAR(CurrentMtgRatesDataTable8711121314[[#This Row],[asofdate]]),OriginationVolume!$A:$N,11,FALSE)</f>
        <v>0.20689655172413793</v>
      </c>
      <c r="AC31" s="19">
        <f>VLOOKUP(YEAR(CurrentMtgRatesDataTable8711121314[[#This Row],[asofdate]]),OriginationVolume!$A:$N,12,FALSE)</f>
        <v>0.13793103448275862</v>
      </c>
      <c r="AD31" s="19">
        <f>VLOOKUP(YEAR(CurrentMtgRatesDataTable8711121314[[#This Row],[asofdate]]),OriginationVolume!$A:$N,13,FALSE)</f>
        <v>0.22686025408348456</v>
      </c>
      <c r="AE3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7.1730721595611308E-2</v>
      </c>
      <c r="AF3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0.10574038769298352</v>
      </c>
      <c r="AG31" s="3" t="s">
        <v>50</v>
      </c>
      <c r="AH31" s="5">
        <v>125308000</v>
      </c>
      <c r="AI31" s="26"/>
      <c r="AK31" s="3" t="s">
        <v>50</v>
      </c>
      <c r="AL31" s="5">
        <v>54721000</v>
      </c>
      <c r="AM31" s="26"/>
      <c r="AO31" s="3" t="s">
        <v>50</v>
      </c>
      <c r="AP31" s="5">
        <v>4017517837.4099998</v>
      </c>
      <c r="AQ31" s="29"/>
      <c r="AS31" s="3" t="s">
        <v>50</v>
      </c>
      <c r="AT31" s="5">
        <v>3837488837.4099998</v>
      </c>
      <c r="AU31" s="29" t="str">
        <f>YEAR(CurrentMtgRatesDataTable871112131417[[#This Row],[asofdate]])&amp;"-"&amp;MONTH(CurrentMtgRatesDataTable871112131417[[#This Row],[asofdate]])</f>
        <v>2005-7</v>
      </c>
      <c r="AV31" s="29">
        <f>CurrentMtgRatesDataTable871112131417[[#This Row],[SeriesNumValue]]</f>
        <v>3837488837.4099998</v>
      </c>
      <c r="AW31" s="29">
        <f>VLOOKUP(CurrentMtgRatesDataTable871112131417[[#This Row],[asofdate]],AG:AH,2,0)</f>
        <v>125308000</v>
      </c>
      <c r="AX31" s="25">
        <f>IF(VLOOKUP(CurrentMtgRatesDataTable871112131417[[#This Row],[asofdate]],AK:AL,2,0)&lt;&gt;0,VLOOKUP(CurrentMtgRatesDataTable871112131417[[#This Row],[asofdate]],AK:AL,2,0),AX30)</f>
        <v>54721000</v>
      </c>
      <c r="AY31" s="25">
        <f>VLOOKUP(CurrentMtgRatesDataTable871112131417[[#This Row],[asofdate]],AO:AP,2,0)</f>
        <v>4017517837.4099998</v>
      </c>
    </row>
    <row r="32" spans="2:51" s="2" customFormat="1">
      <c r="B32" s="3" t="s">
        <v>51</v>
      </c>
      <c r="C32" s="21">
        <v>9.6079655045307605E-2</v>
      </c>
      <c r="D32" s="26">
        <f>((CurrentMtgRatesDataTable8711[[#This Row],[SeriesNumValue]]-$C$1)/$C$1+1)*100</f>
        <v>640.53103363538412</v>
      </c>
      <c r="E32" s="26"/>
      <c r="G32" s="3" t="s">
        <v>2</v>
      </c>
      <c r="H32" s="21">
        <v>4.2284506095958602E-2</v>
      </c>
      <c r="I32" s="21" t="str">
        <f>YEAR(CurrentMtgRatesDataTable871112[[#This Row],[asofdate]])&amp;"-"&amp;MONTH(CurrentMtgRatesDataTable871112[[#This Row],[asofdate]])</f>
        <v>2013-5</v>
      </c>
      <c r="J32" s="40">
        <f>VLOOKUP(CurrentMtgRatesDataTable871112[[#This Row],[asofdate]],Q:AE,15,0)*100</f>
        <v>2.1524497979701662</v>
      </c>
      <c r="K32" s="40">
        <f>VLOOKUP(CurrentMtgRatesDataTable871112[[#This Row],[asofdate]],Q:AE,4,0)*100</f>
        <v>1.4536398607508798</v>
      </c>
      <c r="L32" s="40">
        <f>VLOOKUP(CurrentMtgRatesDataTable871112[[#This Row],[asofdate]],Q:AE,5,0)*100</f>
        <v>4.8564626706116503</v>
      </c>
      <c r="M32" s="40">
        <f>VLOOKUP(CurrentMtgRatesDataTable871112[[#This Row],[asofdate]],Q:AE,6,0)*100</f>
        <v>4.2284506095958605</v>
      </c>
      <c r="N32" s="40">
        <f>VLOOKUP(CurrentMtgRatesDataTable871112[[#This Row],[asofdate]],Q:AF,16,0)*100</f>
        <v>1.7669231031136272</v>
      </c>
      <c r="Q32" s="3" t="s">
        <v>51</v>
      </c>
      <c r="R32" s="21">
        <v>1.9632918587673898E-2</v>
      </c>
      <c r="S32" s="29" t="str">
        <f>YEAR(CurrentMtgRatesDataTable8711121314[[#This Row],[asofdate]])&amp;"-"&amp;MONTH(CurrentMtgRatesDataTable8711121314[[#This Row],[asofdate]])</f>
        <v>2005-8</v>
      </c>
      <c r="T32" s="37">
        <f>CurrentMtgRatesDataTable8711121314[[#This Row],[SeriesNumValue]]</f>
        <v>1.9632918587673898E-2</v>
      </c>
      <c r="U32" s="37">
        <f>VLOOKUP(CurrentMtgRatesDataTable8711121314[[#This Row],[asofdate]],B:D,2,0)</f>
        <v>9.6079655045307605E-2</v>
      </c>
      <c r="V32" s="37">
        <f>IF(VLOOKUP(CurrentMtgRatesDataTable8711121314[[#This Row],[asofdate]],G:H,2,0)&lt;&gt;0,VLOOKUP(CurrentMtgRatesDataTable8711121314[[#This Row],[asofdate]],G:H,2,0),V31)</f>
        <v>8.0042668586271001E-2</v>
      </c>
      <c r="W32" s="37">
        <f>CurrentMtgRatesDataTable8711121314[[#This Row],[FHA]]+0.5*CurrentMtgRatesDataTable8711121314[[#This Row],[Conventional]]</f>
        <v>0.10589611433914456</v>
      </c>
      <c r="X32" s="37">
        <f>2*CurrentMtgRatesDataTable8711121314[[#This Row],[FHA]]</f>
        <v>0.19215931009061521</v>
      </c>
      <c r="Y32" s="19">
        <f>VLOOKUP(YEAR(CurrentMtgRatesDataTable8711121314[[#This Row],[asofdate]]),OriginationVolume!$A:$N,8,FALSE)</f>
        <v>0.39564428312159711</v>
      </c>
      <c r="Z32" s="19">
        <f>VLOOKUP(YEAR(CurrentMtgRatesDataTable8711121314[[#This Row],[asofdate]]),OriginationVolume!$A:$N,9,FALSE)</f>
        <v>8.1669691470054439E-3</v>
      </c>
      <c r="AA32" s="19">
        <f>VLOOKUP(YEAR(CurrentMtgRatesDataTable8711121314[[#This Row],[asofdate]]),OriginationVolume!$A:$N,10,FALSE)</f>
        <v>2.4500907441016333E-2</v>
      </c>
      <c r="AB32" s="19">
        <f>VLOOKUP(YEAR(CurrentMtgRatesDataTable8711121314[[#This Row],[asofdate]]),OriginationVolume!$A:$N,11,FALSE)</f>
        <v>0.20689655172413793</v>
      </c>
      <c r="AC32" s="19">
        <f>VLOOKUP(YEAR(CurrentMtgRatesDataTable8711121314[[#This Row],[asofdate]]),OriginationVolume!$A:$N,12,FALSE)</f>
        <v>0.13793103448275862</v>
      </c>
      <c r="AD32" s="19">
        <f>VLOOKUP(YEAR(CurrentMtgRatesDataTable8711121314[[#This Row],[asofdate]]),OriginationVolume!$A:$N,13,FALSE)</f>
        <v>0.22686025408348456</v>
      </c>
      <c r="AE3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7.3037050406460066E-2</v>
      </c>
      <c r="AF3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0.10890847990506893</v>
      </c>
      <c r="AG32" s="3" t="s">
        <v>51</v>
      </c>
      <c r="AH32" s="5">
        <v>138053000</v>
      </c>
      <c r="AI32" s="26"/>
      <c r="AK32" s="3" t="s">
        <v>51</v>
      </c>
      <c r="AL32" s="5">
        <v>74842000</v>
      </c>
      <c r="AM32" s="26"/>
      <c r="AO32" s="3" t="s">
        <v>51</v>
      </c>
      <c r="AP32" s="5">
        <v>5295177663.5200005</v>
      </c>
      <c r="AQ32" s="29"/>
      <c r="AS32" s="3" t="s">
        <v>51</v>
      </c>
      <c r="AT32" s="5">
        <v>5082282663.5200005</v>
      </c>
      <c r="AU32" s="29" t="str">
        <f>YEAR(CurrentMtgRatesDataTable871112131417[[#This Row],[asofdate]])&amp;"-"&amp;MONTH(CurrentMtgRatesDataTable871112131417[[#This Row],[asofdate]])</f>
        <v>2005-8</v>
      </c>
      <c r="AV32" s="29">
        <f>CurrentMtgRatesDataTable871112131417[[#This Row],[SeriesNumValue]]</f>
        <v>5082282663.5200005</v>
      </c>
      <c r="AW32" s="29">
        <f>VLOOKUP(CurrentMtgRatesDataTable871112131417[[#This Row],[asofdate]],AG:AH,2,0)</f>
        <v>138053000</v>
      </c>
      <c r="AX32" s="25">
        <f>IF(VLOOKUP(CurrentMtgRatesDataTable871112131417[[#This Row],[asofdate]],AK:AL,2,0)&lt;&gt;0,VLOOKUP(CurrentMtgRatesDataTable871112131417[[#This Row],[asofdate]],AK:AL,2,0),AX31)</f>
        <v>74842000</v>
      </c>
      <c r="AY32" s="25">
        <f>VLOOKUP(CurrentMtgRatesDataTable871112131417[[#This Row],[asofdate]],AO:AP,2,0)</f>
        <v>5295177663.5200005</v>
      </c>
    </row>
    <row r="33" spans="2:51" s="2" customFormat="1">
      <c r="B33" s="3" t="s">
        <v>52</v>
      </c>
      <c r="C33" s="21">
        <v>8.5380791907585393E-2</v>
      </c>
      <c r="D33" s="26">
        <f>((CurrentMtgRatesDataTable8711[[#This Row],[SeriesNumValue]]-$C$1)/$C$1+1)*100</f>
        <v>569.20527938390273</v>
      </c>
      <c r="E33" s="26"/>
      <c r="G33" s="3" t="s">
        <v>10</v>
      </c>
      <c r="H33" s="21">
        <v>4.2668851038634797E-2</v>
      </c>
      <c r="I33" s="21" t="str">
        <f>YEAR(CurrentMtgRatesDataTable871112[[#This Row],[asofdate]])&amp;"-"&amp;MONTH(CurrentMtgRatesDataTable871112[[#This Row],[asofdate]])</f>
        <v>2013-4</v>
      </c>
      <c r="J33" s="40">
        <f>VLOOKUP(CurrentMtgRatesDataTable871112[[#This Row],[asofdate]],Q:AE,15,0)*100</f>
        <v>2.0932794953264606</v>
      </c>
      <c r="K33" s="40">
        <f>VLOOKUP(CurrentMtgRatesDataTable871112[[#This Row],[asofdate]],Q:AE,4,0)*100</f>
        <v>1.40763601235394</v>
      </c>
      <c r="L33" s="40">
        <f>VLOOKUP(CurrentMtgRatesDataTable871112[[#This Row],[asofdate]],Q:AE,5,0)*100</f>
        <v>4.7048443962686006</v>
      </c>
      <c r="M33" s="40">
        <f>VLOOKUP(CurrentMtgRatesDataTable871112[[#This Row],[asofdate]],Q:AE,6,0)*100</f>
        <v>4.2668851038634799</v>
      </c>
      <c r="N33" s="40">
        <f>VLOOKUP(CurrentMtgRatesDataTable871112[[#This Row],[asofdate]],Q:AF,16,0)*100</f>
        <v>1.7111621522919256</v>
      </c>
      <c r="Q33" s="3" t="s">
        <v>52</v>
      </c>
      <c r="R33" s="21">
        <v>1.8331825804747001E-2</v>
      </c>
      <c r="S33" s="29" t="str">
        <f>YEAR(CurrentMtgRatesDataTable8711121314[[#This Row],[asofdate]])&amp;"-"&amp;MONTH(CurrentMtgRatesDataTable8711121314[[#This Row],[asofdate]])</f>
        <v>2005-9</v>
      </c>
      <c r="T33" s="37">
        <f>CurrentMtgRatesDataTable8711121314[[#This Row],[SeriesNumValue]]</f>
        <v>1.8331825804747001E-2</v>
      </c>
      <c r="U33" s="37">
        <f>VLOOKUP(CurrentMtgRatesDataTable8711121314[[#This Row],[asofdate]],B:D,2,0)</f>
        <v>8.5380791907585393E-2</v>
      </c>
      <c r="V33" s="37">
        <f>IF(VLOOKUP(CurrentMtgRatesDataTable8711121314[[#This Row],[asofdate]],G:H,2,0)&lt;&gt;0,VLOOKUP(CurrentMtgRatesDataTable8711121314[[#This Row],[asofdate]],G:H,2,0),V32)</f>
        <v>7.3908989895033E-2</v>
      </c>
      <c r="W33" s="37">
        <f>CurrentMtgRatesDataTable8711121314[[#This Row],[FHA]]+0.5*CurrentMtgRatesDataTable8711121314[[#This Row],[Conventional]]</f>
        <v>9.4546704809958887E-2</v>
      </c>
      <c r="X33" s="37">
        <f>2*CurrentMtgRatesDataTable8711121314[[#This Row],[FHA]]</f>
        <v>0.17076158381517079</v>
      </c>
      <c r="Y33" s="19">
        <f>VLOOKUP(YEAR(CurrentMtgRatesDataTable8711121314[[#This Row],[asofdate]]),OriginationVolume!$A:$N,8,FALSE)</f>
        <v>0.39564428312159711</v>
      </c>
      <c r="Z33" s="19">
        <f>VLOOKUP(YEAR(CurrentMtgRatesDataTable8711121314[[#This Row],[asofdate]]),OriginationVolume!$A:$N,9,FALSE)</f>
        <v>8.1669691470054439E-3</v>
      </c>
      <c r="AA33" s="19">
        <f>VLOOKUP(YEAR(CurrentMtgRatesDataTable8711121314[[#This Row],[asofdate]]),OriginationVolume!$A:$N,10,FALSE)</f>
        <v>2.4500907441016333E-2</v>
      </c>
      <c r="AB33" s="19">
        <f>VLOOKUP(YEAR(CurrentMtgRatesDataTable8711121314[[#This Row],[asofdate]]),OriginationVolume!$A:$N,11,FALSE)</f>
        <v>0.20689655172413793</v>
      </c>
      <c r="AC33" s="19">
        <f>VLOOKUP(YEAR(CurrentMtgRatesDataTable8711121314[[#This Row],[asofdate]]),OriginationVolume!$A:$N,12,FALSE)</f>
        <v>0.13793103448275862</v>
      </c>
      <c r="AD33" s="19">
        <f>VLOOKUP(YEAR(CurrentMtgRatesDataTable8711121314[[#This Row],[asofdate]]),OriginationVolume!$A:$N,13,FALSE)</f>
        <v>0.22686025408348456</v>
      </c>
      <c r="AE3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6.5521134037947876E-2</v>
      </c>
      <c r="AF3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9.7208176775220256E-2</v>
      </c>
      <c r="AG33" s="3" t="s">
        <v>52</v>
      </c>
      <c r="AH33" s="5">
        <v>134189000</v>
      </c>
      <c r="AI33" s="26"/>
      <c r="AK33" s="3" t="s">
        <v>52</v>
      </c>
      <c r="AL33" s="5">
        <v>80936000</v>
      </c>
      <c r="AM33" s="26"/>
      <c r="AO33" s="3" t="s">
        <v>52</v>
      </c>
      <c r="AP33" s="5">
        <v>4998945666.0500002</v>
      </c>
      <c r="AQ33" s="29"/>
      <c r="AS33" s="3" t="s">
        <v>52</v>
      </c>
      <c r="AT33" s="5">
        <v>4783820666.0500002</v>
      </c>
      <c r="AU33" s="29" t="str">
        <f>YEAR(CurrentMtgRatesDataTable871112131417[[#This Row],[asofdate]])&amp;"-"&amp;MONTH(CurrentMtgRatesDataTable871112131417[[#This Row],[asofdate]])</f>
        <v>2005-9</v>
      </c>
      <c r="AV33" s="29">
        <f>CurrentMtgRatesDataTable871112131417[[#This Row],[SeriesNumValue]]</f>
        <v>4783820666.0500002</v>
      </c>
      <c r="AW33" s="29">
        <f>VLOOKUP(CurrentMtgRatesDataTable871112131417[[#This Row],[asofdate]],AG:AH,2,0)</f>
        <v>134189000</v>
      </c>
      <c r="AX33" s="25">
        <f>IF(VLOOKUP(CurrentMtgRatesDataTable871112131417[[#This Row],[asofdate]],AK:AL,2,0)&lt;&gt;0,VLOOKUP(CurrentMtgRatesDataTable871112131417[[#This Row],[asofdate]],AK:AL,2,0),AX32)</f>
        <v>80936000</v>
      </c>
      <c r="AY33" s="25">
        <f>VLOOKUP(CurrentMtgRatesDataTable871112131417[[#This Row],[asofdate]],AO:AP,2,0)</f>
        <v>4998945666.0500002</v>
      </c>
    </row>
    <row r="34" spans="2:51" s="2" customFormat="1">
      <c r="B34" s="3" t="s">
        <v>53</v>
      </c>
      <c r="C34" s="21">
        <v>9.0218440732812502E-2</v>
      </c>
      <c r="D34" s="26">
        <f>((CurrentMtgRatesDataTable8711[[#This Row],[SeriesNumValue]]-$C$1)/$C$1+1)*100</f>
        <v>601.45627155208331</v>
      </c>
      <c r="E34" s="26"/>
      <c r="G34" s="3" t="s">
        <v>14</v>
      </c>
      <c r="H34" s="21">
        <v>4.3393988731490002E-2</v>
      </c>
      <c r="I34" s="21" t="str">
        <f>YEAR(CurrentMtgRatesDataTable871112[[#This Row],[asofdate]])&amp;"-"&amp;MONTH(CurrentMtgRatesDataTable871112[[#This Row],[asofdate]])</f>
        <v>2013-3</v>
      </c>
      <c r="J34" s="40">
        <f>VLOOKUP(CurrentMtgRatesDataTable871112[[#This Row],[asofdate]],Q:AE,15,0)*100</f>
        <v>2.1251871275303742</v>
      </c>
      <c r="K34" s="40">
        <f>VLOOKUP(CurrentMtgRatesDataTable871112[[#This Row],[asofdate]],Q:AE,4,0)*100</f>
        <v>1.4205148918397199</v>
      </c>
      <c r="L34" s="40">
        <f>VLOOKUP(CurrentMtgRatesDataTable871112[[#This Row],[asofdate]],Q:AE,5,0)*100</f>
        <v>4.8162877188679198</v>
      </c>
      <c r="M34" s="40">
        <f>VLOOKUP(CurrentMtgRatesDataTable871112[[#This Row],[asofdate]],Q:AE,6,0)*100</f>
        <v>4.3393988731490003</v>
      </c>
      <c r="N34" s="40">
        <f>VLOOKUP(CurrentMtgRatesDataTable871112[[#This Row],[asofdate]],Q:AF,16,0)*100</f>
        <v>1.7320068435806073</v>
      </c>
      <c r="Q34" s="3" t="s">
        <v>53</v>
      </c>
      <c r="R34" s="21">
        <v>1.8906432407664899E-2</v>
      </c>
      <c r="S34" s="29" t="str">
        <f>YEAR(CurrentMtgRatesDataTable8711121314[[#This Row],[asofdate]])&amp;"-"&amp;MONTH(CurrentMtgRatesDataTable8711121314[[#This Row],[asofdate]])</f>
        <v>2005-10</v>
      </c>
      <c r="T34" s="37">
        <f>CurrentMtgRatesDataTable8711121314[[#This Row],[SeriesNumValue]]</f>
        <v>1.8906432407664899E-2</v>
      </c>
      <c r="U34" s="37">
        <f>VLOOKUP(CurrentMtgRatesDataTable8711121314[[#This Row],[asofdate]],B:D,2,0)</f>
        <v>9.0218440732812502E-2</v>
      </c>
      <c r="V34" s="37">
        <f>IF(VLOOKUP(CurrentMtgRatesDataTable8711121314[[#This Row],[asofdate]],G:H,2,0)&lt;&gt;0,VLOOKUP(CurrentMtgRatesDataTable8711121314[[#This Row],[asofdate]],G:H,2,0),V33)</f>
        <v>7.7491922918333095E-2</v>
      </c>
      <c r="W34" s="37">
        <f>CurrentMtgRatesDataTable8711121314[[#This Row],[FHA]]+0.5*CurrentMtgRatesDataTable8711121314[[#This Row],[Conventional]]</f>
        <v>9.9671656936644953E-2</v>
      </c>
      <c r="X34" s="37">
        <f>2*CurrentMtgRatesDataTable8711121314[[#This Row],[FHA]]</f>
        <v>0.180436881465625</v>
      </c>
      <c r="Y34" s="19">
        <f>VLOOKUP(YEAR(CurrentMtgRatesDataTable8711121314[[#This Row],[asofdate]]),OriginationVolume!$A:$N,8,FALSE)</f>
        <v>0.39564428312159711</v>
      </c>
      <c r="Z34" s="19">
        <f>VLOOKUP(YEAR(CurrentMtgRatesDataTable8711121314[[#This Row],[asofdate]]),OriginationVolume!$A:$N,9,FALSE)</f>
        <v>8.1669691470054439E-3</v>
      </c>
      <c r="AA34" s="19">
        <f>VLOOKUP(YEAR(CurrentMtgRatesDataTable8711121314[[#This Row],[asofdate]]),OriginationVolume!$A:$N,10,FALSE)</f>
        <v>2.4500907441016333E-2</v>
      </c>
      <c r="AB34" s="19">
        <f>VLOOKUP(YEAR(CurrentMtgRatesDataTable8711121314[[#This Row],[asofdate]]),OriginationVolume!$A:$N,11,FALSE)</f>
        <v>0.20689655172413793</v>
      </c>
      <c r="AC34" s="19">
        <f>VLOOKUP(YEAR(CurrentMtgRatesDataTable8711121314[[#This Row],[asofdate]]),OriginationVolume!$A:$N,12,FALSE)</f>
        <v>0.13793103448275862</v>
      </c>
      <c r="AD34" s="19">
        <f>VLOOKUP(YEAR(CurrentMtgRatesDataTable8711121314[[#This Row],[asofdate]]),OriginationVolume!$A:$N,13,FALSE)</f>
        <v>0.22686025408348456</v>
      </c>
      <c r="AE3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6.8916976901557819E-2</v>
      </c>
      <c r="AF3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0.10249202985670457</v>
      </c>
      <c r="AG34" s="3" t="s">
        <v>53</v>
      </c>
      <c r="AH34" s="5">
        <v>140699000</v>
      </c>
      <c r="AI34" s="26"/>
      <c r="AK34" s="3" t="s">
        <v>53</v>
      </c>
      <c r="AL34" s="5">
        <v>74887000</v>
      </c>
      <c r="AM34" s="26"/>
      <c r="AO34" s="3" t="s">
        <v>53</v>
      </c>
      <c r="AP34" s="5">
        <v>5323357137.1700001</v>
      </c>
      <c r="AQ34" s="29"/>
      <c r="AS34" s="3" t="s">
        <v>53</v>
      </c>
      <c r="AT34" s="5">
        <v>5107771137.1700001</v>
      </c>
      <c r="AU34" s="29" t="str">
        <f>YEAR(CurrentMtgRatesDataTable871112131417[[#This Row],[asofdate]])&amp;"-"&amp;MONTH(CurrentMtgRatesDataTable871112131417[[#This Row],[asofdate]])</f>
        <v>2005-10</v>
      </c>
      <c r="AV34" s="29">
        <f>CurrentMtgRatesDataTable871112131417[[#This Row],[SeriesNumValue]]</f>
        <v>5107771137.1700001</v>
      </c>
      <c r="AW34" s="29">
        <f>VLOOKUP(CurrentMtgRatesDataTable871112131417[[#This Row],[asofdate]],AG:AH,2,0)</f>
        <v>140699000</v>
      </c>
      <c r="AX34" s="25">
        <f>IF(VLOOKUP(CurrentMtgRatesDataTable871112131417[[#This Row],[asofdate]],AK:AL,2,0)&lt;&gt;0,VLOOKUP(CurrentMtgRatesDataTable871112131417[[#This Row],[asofdate]],AK:AL,2,0),AX33)</f>
        <v>74887000</v>
      </c>
      <c r="AY34" s="25">
        <f>VLOOKUP(CurrentMtgRatesDataTable871112131417[[#This Row],[asofdate]],AO:AP,2,0)</f>
        <v>5323357137.1700001</v>
      </c>
    </row>
    <row r="35" spans="2:51" s="2" customFormat="1">
      <c r="B35" s="3" t="s">
        <v>54</v>
      </c>
      <c r="C35" s="21">
        <v>9.2285525328509796E-2</v>
      </c>
      <c r="D35" s="26">
        <f>((CurrentMtgRatesDataTable8711[[#This Row],[SeriesNumValue]]-$C$1)/$C$1+1)*100</f>
        <v>615.23683552339867</v>
      </c>
      <c r="E35" s="26"/>
      <c r="G35" s="3" t="s">
        <v>13</v>
      </c>
      <c r="H35" s="21">
        <v>4.4121631138438998E-2</v>
      </c>
      <c r="I35" s="21" t="str">
        <f>YEAR(CurrentMtgRatesDataTable871112[[#This Row],[asofdate]])&amp;"-"&amp;MONTH(CurrentMtgRatesDataTable871112[[#This Row],[asofdate]])</f>
        <v>2013-2</v>
      </c>
      <c r="J35" s="40">
        <f>VLOOKUP(CurrentMtgRatesDataTable871112[[#This Row],[asofdate]],Q:AE,15,0)*100</f>
        <v>2.1312142146346078</v>
      </c>
      <c r="K35" s="40">
        <f>VLOOKUP(CurrentMtgRatesDataTable871112[[#This Row],[asofdate]],Q:AE,4,0)*100</f>
        <v>1.41868514283332</v>
      </c>
      <c r="L35" s="40">
        <f>VLOOKUP(CurrentMtgRatesDataTable871112[[#This Row],[asofdate]],Q:AE,5,0)*100</f>
        <v>4.8399985677160302</v>
      </c>
      <c r="M35" s="40">
        <f>VLOOKUP(CurrentMtgRatesDataTable871112[[#This Row],[asofdate]],Q:AE,6,0)*100</f>
        <v>4.4121631138439001</v>
      </c>
      <c r="N35" s="40">
        <f>VLOOKUP(CurrentMtgRatesDataTable871112[[#This Row],[asofdate]],Q:AF,16,0)*100</f>
        <v>1.7320452528974104</v>
      </c>
      <c r="Q35" s="3" t="s">
        <v>54</v>
      </c>
      <c r="R35" s="21">
        <v>1.8669000371853501E-2</v>
      </c>
      <c r="S35" s="29" t="str">
        <f>YEAR(CurrentMtgRatesDataTable8711121314[[#This Row],[asofdate]])&amp;"-"&amp;MONTH(CurrentMtgRatesDataTable8711121314[[#This Row],[asofdate]])</f>
        <v>2005-11</v>
      </c>
      <c r="T35" s="37">
        <f>CurrentMtgRatesDataTable8711121314[[#This Row],[SeriesNumValue]]</f>
        <v>1.8669000371853501E-2</v>
      </c>
      <c r="U35" s="37">
        <f>VLOOKUP(CurrentMtgRatesDataTable8711121314[[#This Row],[asofdate]],B:D,2,0)</f>
        <v>9.2285525328509796E-2</v>
      </c>
      <c r="V35" s="37">
        <f>IF(VLOOKUP(CurrentMtgRatesDataTable8711121314[[#This Row],[asofdate]],G:H,2,0)&lt;&gt;0,VLOOKUP(CurrentMtgRatesDataTable8711121314[[#This Row],[asofdate]],G:H,2,0),V34)</f>
        <v>7.1121707446048593E-2</v>
      </c>
      <c r="W35" s="37">
        <f>CurrentMtgRatesDataTable8711121314[[#This Row],[FHA]]+0.5*CurrentMtgRatesDataTable8711121314[[#This Row],[Conventional]]</f>
        <v>0.10162002551443655</v>
      </c>
      <c r="X35" s="37">
        <f>2*CurrentMtgRatesDataTable8711121314[[#This Row],[FHA]]</f>
        <v>0.18457105065701959</v>
      </c>
      <c r="Y35" s="19">
        <f>VLOOKUP(YEAR(CurrentMtgRatesDataTable8711121314[[#This Row],[asofdate]]),OriginationVolume!$A:$N,8,FALSE)</f>
        <v>0.39564428312159711</v>
      </c>
      <c r="Z35" s="19">
        <f>VLOOKUP(YEAR(CurrentMtgRatesDataTable8711121314[[#This Row],[asofdate]]),OriginationVolume!$A:$N,9,FALSE)</f>
        <v>8.1669691470054439E-3</v>
      </c>
      <c r="AA35" s="19">
        <f>VLOOKUP(YEAR(CurrentMtgRatesDataTable8711121314[[#This Row],[asofdate]]),OriginationVolume!$A:$N,10,FALSE)</f>
        <v>2.4500907441016333E-2</v>
      </c>
      <c r="AB35" s="19">
        <f>VLOOKUP(YEAR(CurrentMtgRatesDataTable8711121314[[#This Row],[asofdate]]),OriginationVolume!$A:$N,11,FALSE)</f>
        <v>0.20689655172413793</v>
      </c>
      <c r="AC35" s="19">
        <f>VLOOKUP(YEAR(CurrentMtgRatesDataTable8711121314[[#This Row],[asofdate]]),OriginationVolume!$A:$N,12,FALSE)</f>
        <v>0.13793103448275862</v>
      </c>
      <c r="AD35" s="19">
        <f>VLOOKUP(YEAR(CurrentMtgRatesDataTable8711121314[[#This Row],[asofdate]]),OriginationVolume!$A:$N,13,FALSE)</f>
        <v>0.22686025408348456</v>
      </c>
      <c r="AE3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6.9979153666283281E-2</v>
      </c>
      <c r="AF3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0.1045167279797331</v>
      </c>
      <c r="AG35" s="3" t="s">
        <v>54</v>
      </c>
      <c r="AH35" s="5">
        <v>111864000</v>
      </c>
      <c r="AI35" s="26"/>
      <c r="AK35" s="3" t="s">
        <v>54</v>
      </c>
      <c r="AL35" s="5">
        <v>44157000</v>
      </c>
      <c r="AM35" s="26"/>
      <c r="AO35" s="3" t="s">
        <v>54</v>
      </c>
      <c r="AP35" s="5">
        <v>5425801851.6700001</v>
      </c>
      <c r="AQ35" s="29"/>
      <c r="AS35" s="3" t="s">
        <v>54</v>
      </c>
      <c r="AT35" s="5">
        <v>5269780851.6700001</v>
      </c>
      <c r="AU35" s="29" t="str">
        <f>YEAR(CurrentMtgRatesDataTable871112131417[[#This Row],[asofdate]])&amp;"-"&amp;MONTH(CurrentMtgRatesDataTable871112131417[[#This Row],[asofdate]])</f>
        <v>2005-11</v>
      </c>
      <c r="AV35" s="29">
        <f>CurrentMtgRatesDataTable871112131417[[#This Row],[SeriesNumValue]]</f>
        <v>5269780851.6700001</v>
      </c>
      <c r="AW35" s="29">
        <f>VLOOKUP(CurrentMtgRatesDataTable871112131417[[#This Row],[asofdate]],AG:AH,2,0)</f>
        <v>111864000</v>
      </c>
      <c r="AX35" s="25">
        <f>IF(VLOOKUP(CurrentMtgRatesDataTable871112131417[[#This Row],[asofdate]],AK:AL,2,0)&lt;&gt;0,VLOOKUP(CurrentMtgRatesDataTable871112131417[[#This Row],[asofdate]],AK:AL,2,0),AX34)</f>
        <v>44157000</v>
      </c>
      <c r="AY35" s="25">
        <f>VLOOKUP(CurrentMtgRatesDataTable871112131417[[#This Row],[asofdate]],AO:AP,2,0)</f>
        <v>5425801851.6700001</v>
      </c>
    </row>
    <row r="36" spans="2:51" s="2" customFormat="1">
      <c r="B36" s="3" t="s">
        <v>55</v>
      </c>
      <c r="C36" s="21">
        <v>8.2108794617635802E-2</v>
      </c>
      <c r="D36" s="26">
        <f>((CurrentMtgRatesDataTable8711[[#This Row],[SeriesNumValue]]-$C$1)/$C$1+1)*100</f>
        <v>547.391964117572</v>
      </c>
      <c r="E36" s="26"/>
      <c r="G36" s="3" t="s">
        <v>135</v>
      </c>
      <c r="H36" s="21">
        <v>4.39098469008933E-2</v>
      </c>
      <c r="I36" s="21" t="str">
        <f>YEAR(CurrentMtgRatesDataTable871112[[#This Row],[asofdate]])&amp;"-"&amp;MONTH(CurrentMtgRatesDataTable871112[[#This Row],[asofdate]])</f>
        <v>2013-1</v>
      </c>
      <c r="J36" s="40">
        <f>VLOOKUP(CurrentMtgRatesDataTable871112[[#This Row],[asofdate]],Q:AE,15,0)*100</f>
        <v>2.1491384240436009</v>
      </c>
      <c r="K36" s="40">
        <f>VLOOKUP(CurrentMtgRatesDataTable871112[[#This Row],[asofdate]],Q:AE,4,0)*100</f>
        <v>1.42714638732931</v>
      </c>
      <c r="L36" s="40">
        <f>VLOOKUP(CurrentMtgRatesDataTable871112[[#This Row],[asofdate]],Q:AE,5,0)*100</f>
        <v>4.9156981992146003</v>
      </c>
      <c r="M36" s="40">
        <f>VLOOKUP(CurrentMtgRatesDataTable871112[[#This Row],[asofdate]],Q:AE,6,0)*100</f>
        <v>4.3909846900893301</v>
      </c>
      <c r="N36" s="40">
        <f>VLOOKUP(CurrentMtgRatesDataTable871112[[#This Row],[asofdate]],Q:AF,16,0)*100</f>
        <v>1.7459282843020647</v>
      </c>
      <c r="Q36" s="3" t="s">
        <v>55</v>
      </c>
      <c r="R36" s="21">
        <v>1.6050678316362098E-2</v>
      </c>
      <c r="S36" s="29" t="str">
        <f>YEAR(CurrentMtgRatesDataTable8711121314[[#This Row],[asofdate]])&amp;"-"&amp;MONTH(CurrentMtgRatesDataTable8711121314[[#This Row],[asofdate]])</f>
        <v>2005-12</v>
      </c>
      <c r="T36" s="37">
        <f>CurrentMtgRatesDataTable8711121314[[#This Row],[SeriesNumValue]]</f>
        <v>1.6050678316362098E-2</v>
      </c>
      <c r="U36" s="37">
        <f>VLOOKUP(CurrentMtgRatesDataTable8711121314[[#This Row],[asofdate]],B:D,2,0)</f>
        <v>8.2108794617635802E-2</v>
      </c>
      <c r="V36" s="37">
        <f>IF(VLOOKUP(CurrentMtgRatesDataTable8711121314[[#This Row],[asofdate]],G:H,2,0)&lt;&gt;0,VLOOKUP(CurrentMtgRatesDataTable8711121314[[#This Row],[asofdate]],G:H,2,0),V35)</f>
        <v>7.8070969779932997E-2</v>
      </c>
      <c r="W36" s="37">
        <f>CurrentMtgRatesDataTable8711121314[[#This Row],[FHA]]+0.5*CurrentMtgRatesDataTable8711121314[[#This Row],[Conventional]]</f>
        <v>9.0134133775816846E-2</v>
      </c>
      <c r="X36" s="37">
        <f>2*CurrentMtgRatesDataTable8711121314[[#This Row],[FHA]]</f>
        <v>0.1642175892352716</v>
      </c>
      <c r="Y36" s="19">
        <f>VLOOKUP(YEAR(CurrentMtgRatesDataTable8711121314[[#This Row],[asofdate]]),OriginationVolume!$A:$N,8,FALSE)</f>
        <v>0.39564428312159711</v>
      </c>
      <c r="Z36" s="19">
        <f>VLOOKUP(YEAR(CurrentMtgRatesDataTable8711121314[[#This Row],[asofdate]]),OriginationVolume!$A:$N,9,FALSE)</f>
        <v>8.1669691470054439E-3</v>
      </c>
      <c r="AA36" s="19">
        <f>VLOOKUP(YEAR(CurrentMtgRatesDataTable8711121314[[#This Row],[asofdate]]),OriginationVolume!$A:$N,10,FALSE)</f>
        <v>2.4500907441016333E-2</v>
      </c>
      <c r="AB36" s="19">
        <f>VLOOKUP(YEAR(CurrentMtgRatesDataTable8711121314[[#This Row],[asofdate]]),OriginationVolume!$A:$N,11,FALSE)</f>
        <v>0.20689655172413793</v>
      </c>
      <c r="AC36" s="19">
        <f>VLOOKUP(YEAR(CurrentMtgRatesDataTable8711121314[[#This Row],[asofdate]]),OriginationVolume!$A:$N,12,FALSE)</f>
        <v>0.13793103448275862</v>
      </c>
      <c r="AD36" s="19">
        <f>VLOOKUP(YEAR(CurrentMtgRatesDataTable8711121314[[#This Row],[asofdate]]),OriginationVolume!$A:$N,13,FALSE)</f>
        <v>0.22686025408348456</v>
      </c>
      <c r="AE3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6.2007270623867565E-2</v>
      </c>
      <c r="AF3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9.2721175077575588E-2</v>
      </c>
      <c r="AG36" s="3" t="s">
        <v>55</v>
      </c>
      <c r="AH36" s="5">
        <v>101994000</v>
      </c>
      <c r="AI36" s="26"/>
      <c r="AK36" s="3" t="s">
        <v>55</v>
      </c>
      <c r="AL36" s="5">
        <v>44252000</v>
      </c>
      <c r="AM36" s="26"/>
      <c r="AO36" s="3" t="s">
        <v>55</v>
      </c>
      <c r="AP36" s="5">
        <v>8789285117.5699997</v>
      </c>
      <c r="AQ36" s="29"/>
      <c r="AS36" s="3" t="s">
        <v>55</v>
      </c>
      <c r="AT36" s="5">
        <v>8643039117.5699997</v>
      </c>
      <c r="AU36" s="29" t="str">
        <f>YEAR(CurrentMtgRatesDataTable871112131417[[#This Row],[asofdate]])&amp;"-"&amp;MONTH(CurrentMtgRatesDataTable871112131417[[#This Row],[asofdate]])</f>
        <v>2005-12</v>
      </c>
      <c r="AV36" s="29">
        <f>CurrentMtgRatesDataTable871112131417[[#This Row],[SeriesNumValue]]</f>
        <v>8643039117.5699997</v>
      </c>
      <c r="AW36" s="29">
        <f>VLOOKUP(CurrentMtgRatesDataTable871112131417[[#This Row],[asofdate]],AG:AH,2,0)</f>
        <v>101994000</v>
      </c>
      <c r="AX36" s="25">
        <f>IF(VLOOKUP(CurrentMtgRatesDataTable871112131417[[#This Row],[asofdate]],AK:AL,2,0)&lt;&gt;0,VLOOKUP(CurrentMtgRatesDataTable871112131417[[#This Row],[asofdate]],AK:AL,2,0),AX35)</f>
        <v>44252000</v>
      </c>
      <c r="AY36" s="25">
        <f>VLOOKUP(CurrentMtgRatesDataTable871112131417[[#This Row],[asofdate]],AO:AP,2,0)</f>
        <v>8789285117.5699997</v>
      </c>
    </row>
    <row r="37" spans="2:51" s="2" customFormat="1">
      <c r="B37" s="3" t="s">
        <v>56</v>
      </c>
      <c r="C37" s="21">
        <v>8.7028492327789503E-2</v>
      </c>
      <c r="D37" s="26">
        <f>((CurrentMtgRatesDataTable8711[[#This Row],[SeriesNumValue]]-$C$1)/$C$1+1)*100</f>
        <v>580.18994885193001</v>
      </c>
      <c r="E37" s="26"/>
      <c r="G37" s="3" t="s">
        <v>134</v>
      </c>
      <c r="H37" s="21">
        <v>4.4889553215802097E-2</v>
      </c>
      <c r="I37" s="21" t="str">
        <f>YEAR(CurrentMtgRatesDataTable871112[[#This Row],[asofdate]])&amp;"-"&amp;MONTH(CurrentMtgRatesDataTable871112[[#This Row],[asofdate]])</f>
        <v>2012-12</v>
      </c>
      <c r="J37" s="40">
        <f>VLOOKUP(CurrentMtgRatesDataTable871112[[#This Row],[asofdate]],Q:AE,15,0)*100</f>
        <v>2.1453555809185492</v>
      </c>
      <c r="K37" s="40">
        <f>VLOOKUP(CurrentMtgRatesDataTable871112[[#This Row],[asofdate]],Q:AE,4,0)*100</f>
        <v>1.44275123819479</v>
      </c>
      <c r="L37" s="40">
        <f>VLOOKUP(CurrentMtgRatesDataTable871112[[#This Row],[asofdate]],Q:AE,5,0)*100</f>
        <v>5.0174760446073599</v>
      </c>
      <c r="M37" s="40">
        <f>VLOOKUP(CurrentMtgRatesDataTable871112[[#This Row],[asofdate]],Q:AE,6,0)*100</f>
        <v>4.4889553215802094</v>
      </c>
      <c r="N37" s="40">
        <f>VLOOKUP(CurrentMtgRatesDataTable871112[[#This Row],[asofdate]],Q:AF,16,0)*100</f>
        <v>1.9104718490366008</v>
      </c>
      <c r="Q37" s="3" t="s">
        <v>56</v>
      </c>
      <c r="R37" s="21">
        <v>1.4831934780505301E-2</v>
      </c>
      <c r="S37" s="29" t="str">
        <f>YEAR(CurrentMtgRatesDataTable8711121314[[#This Row],[asofdate]])&amp;"-"&amp;MONTH(CurrentMtgRatesDataTable8711121314[[#This Row],[asofdate]])</f>
        <v>2006-1</v>
      </c>
      <c r="T37" s="37">
        <f>CurrentMtgRatesDataTable8711121314[[#This Row],[SeriesNumValue]]</f>
        <v>1.4831934780505301E-2</v>
      </c>
      <c r="U37" s="37">
        <f>VLOOKUP(CurrentMtgRatesDataTable8711121314[[#This Row],[asofdate]],B:D,2,0)</f>
        <v>8.7028492327789503E-2</v>
      </c>
      <c r="V37" s="37">
        <f>IF(VLOOKUP(CurrentMtgRatesDataTable8711121314[[#This Row],[asofdate]],G:H,2,0)&lt;&gt;0,VLOOKUP(CurrentMtgRatesDataTable8711121314[[#This Row],[asofdate]],G:H,2,0),V36)</f>
        <v>6.7199163700533596E-2</v>
      </c>
      <c r="W37" s="37">
        <f>CurrentMtgRatesDataTable8711121314[[#This Row],[FHA]]+0.5*CurrentMtgRatesDataTable8711121314[[#This Row],[Conventional]]</f>
        <v>9.4444459718042148E-2</v>
      </c>
      <c r="X37" s="37">
        <f>2*CurrentMtgRatesDataTable8711121314[[#This Row],[FHA]]</f>
        <v>0.17405698465557901</v>
      </c>
      <c r="Y37" s="19">
        <f>VLOOKUP(YEAR(CurrentMtgRatesDataTable8711121314[[#This Row],[asofdate]]),OriginationVolume!$A:$N,8,FALSE)</f>
        <v>0.38823529411764707</v>
      </c>
      <c r="Z37" s="19">
        <f>VLOOKUP(YEAR(CurrentMtgRatesDataTable8711121314[[#This Row],[asofdate]]),OriginationVolume!$A:$N,9,FALSE)</f>
        <v>7.8431372549019607E-3</v>
      </c>
      <c r="AA37" s="19">
        <f>VLOOKUP(YEAR(CurrentMtgRatesDataTable8711121314[[#This Row],[asofdate]]),OriginationVolume!$A:$N,10,FALSE)</f>
        <v>2.3529411764705882E-2</v>
      </c>
      <c r="AB37" s="19">
        <f>VLOOKUP(YEAR(CurrentMtgRatesDataTable8711121314[[#This Row],[asofdate]]),OriginationVolume!$A:$N,11,FALSE)</f>
        <v>0.18823529411764706</v>
      </c>
      <c r="AC37" s="19">
        <f>VLOOKUP(YEAR(CurrentMtgRatesDataTable8711121314[[#This Row],[asofdate]]),OriginationVolume!$A:$N,12,FALSE)</f>
        <v>0.15686274509803921</v>
      </c>
      <c r="AD37" s="19">
        <f>VLOOKUP(YEAR(CurrentMtgRatesDataTable8711121314[[#This Row],[asofdate]]),OriginationVolume!$A:$N,13,FALSE)</f>
        <v>0.23529411764705882</v>
      </c>
      <c r="AE3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6.6894357498660822E-2</v>
      </c>
      <c r="AF3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0.10089952930757218</v>
      </c>
      <c r="AG37" s="3" t="s">
        <v>56</v>
      </c>
      <c r="AH37" s="5">
        <v>85378000</v>
      </c>
      <c r="AI37" s="26"/>
      <c r="AK37" s="3" t="s">
        <v>56</v>
      </c>
      <c r="AL37" s="5">
        <v>33722000</v>
      </c>
      <c r="AM37" s="26"/>
      <c r="AO37" s="3" t="s">
        <v>56</v>
      </c>
      <c r="AP37" s="5">
        <v>12136303772.01</v>
      </c>
      <c r="AQ37" s="29"/>
      <c r="AS37" s="3" t="s">
        <v>56</v>
      </c>
      <c r="AT37" s="5">
        <v>12017203772.01</v>
      </c>
      <c r="AU37" s="29" t="str">
        <f>YEAR(CurrentMtgRatesDataTable871112131417[[#This Row],[asofdate]])&amp;"-"&amp;MONTH(CurrentMtgRatesDataTable871112131417[[#This Row],[asofdate]])</f>
        <v>2006-1</v>
      </c>
      <c r="AV37" s="29">
        <f>CurrentMtgRatesDataTable871112131417[[#This Row],[SeriesNumValue]]</f>
        <v>12017203772.01</v>
      </c>
      <c r="AW37" s="29">
        <f>VLOOKUP(CurrentMtgRatesDataTable871112131417[[#This Row],[asofdate]],AG:AH,2,0)</f>
        <v>85378000</v>
      </c>
      <c r="AX37" s="25">
        <f>IF(VLOOKUP(CurrentMtgRatesDataTable871112131417[[#This Row],[asofdate]],AK:AL,2,0)&lt;&gt;0,VLOOKUP(CurrentMtgRatesDataTable871112131417[[#This Row],[asofdate]],AK:AL,2,0),AX36)</f>
        <v>33722000</v>
      </c>
      <c r="AY37" s="25">
        <f>VLOOKUP(CurrentMtgRatesDataTable871112131417[[#This Row],[asofdate]],AO:AP,2,0)</f>
        <v>12136303772.01</v>
      </c>
    </row>
    <row r="38" spans="2:51" s="2" customFormat="1">
      <c r="B38" s="3" t="s">
        <v>57</v>
      </c>
      <c r="C38" s="21">
        <v>8.9312436018572597E-2</v>
      </c>
      <c r="D38" s="26">
        <f>((CurrentMtgRatesDataTable8711[[#This Row],[SeriesNumValue]]-$C$1)/$C$1+1)*100</f>
        <v>595.41624012381737</v>
      </c>
      <c r="E38" s="26"/>
      <c r="G38" s="3" t="s">
        <v>17</v>
      </c>
      <c r="H38" s="21">
        <v>4.4982903840556802E-2</v>
      </c>
      <c r="I38" s="21" t="str">
        <f>YEAR(CurrentMtgRatesDataTable871112[[#This Row],[asofdate]])&amp;"-"&amp;MONTH(CurrentMtgRatesDataTable871112[[#This Row],[asofdate]])</f>
        <v>2012-11</v>
      </c>
      <c r="J38" s="40">
        <f>VLOOKUP(CurrentMtgRatesDataTable871112[[#This Row],[asofdate]],Q:AE,15,0)*100</f>
        <v>2.1417778786265647</v>
      </c>
      <c r="K38" s="40">
        <f>VLOOKUP(CurrentMtgRatesDataTable871112[[#This Row],[asofdate]],Q:AE,4,0)*100</f>
        <v>1.4386858191937901</v>
      </c>
      <c r="L38" s="40">
        <f>VLOOKUP(CurrentMtgRatesDataTable871112[[#This Row],[asofdate]],Q:AE,5,0)*100</f>
        <v>5.0126620688003296</v>
      </c>
      <c r="M38" s="40">
        <f>VLOOKUP(CurrentMtgRatesDataTable871112[[#This Row],[asofdate]],Q:AE,6,0)*100</f>
        <v>4.4982903840556805</v>
      </c>
      <c r="N38" s="40">
        <f>VLOOKUP(CurrentMtgRatesDataTable871112[[#This Row],[asofdate]],Q:AF,16,0)*100</f>
        <v>1.9061036308812607</v>
      </c>
      <c r="Q38" s="3" t="s">
        <v>57</v>
      </c>
      <c r="R38" s="21">
        <v>1.6058691183526201E-2</v>
      </c>
      <c r="S38" s="29" t="str">
        <f>YEAR(CurrentMtgRatesDataTable8711121314[[#This Row],[asofdate]])&amp;"-"&amp;MONTH(CurrentMtgRatesDataTable8711121314[[#This Row],[asofdate]])</f>
        <v>2006-2</v>
      </c>
      <c r="T38" s="37">
        <f>CurrentMtgRatesDataTable8711121314[[#This Row],[SeriesNumValue]]</f>
        <v>1.6058691183526201E-2</v>
      </c>
      <c r="U38" s="37">
        <f>VLOOKUP(CurrentMtgRatesDataTable8711121314[[#This Row],[asofdate]],B:D,2,0)</f>
        <v>8.9312436018572597E-2</v>
      </c>
      <c r="V38" s="37">
        <f>IF(VLOOKUP(CurrentMtgRatesDataTable8711121314[[#This Row],[asofdate]],G:H,2,0)&lt;&gt;0,VLOOKUP(CurrentMtgRatesDataTable8711121314[[#This Row],[asofdate]],G:H,2,0),V37)</f>
        <v>7.3484219548732604E-2</v>
      </c>
      <c r="W38" s="37">
        <f>CurrentMtgRatesDataTable8711121314[[#This Row],[FHA]]+0.5*CurrentMtgRatesDataTable8711121314[[#This Row],[Conventional]]</f>
        <v>9.7341781610335701E-2</v>
      </c>
      <c r="X38" s="37">
        <f>2*CurrentMtgRatesDataTable8711121314[[#This Row],[FHA]]</f>
        <v>0.17862487203714519</v>
      </c>
      <c r="Y38" s="19">
        <f>VLOOKUP(YEAR(CurrentMtgRatesDataTable8711121314[[#This Row],[asofdate]]),OriginationVolume!$A:$N,8,FALSE)</f>
        <v>0.38823529411764707</v>
      </c>
      <c r="Z38" s="19">
        <f>VLOOKUP(YEAR(CurrentMtgRatesDataTable8711121314[[#This Row],[asofdate]]),OriginationVolume!$A:$N,9,FALSE)</f>
        <v>7.8431372549019607E-3</v>
      </c>
      <c r="AA38" s="19">
        <f>VLOOKUP(YEAR(CurrentMtgRatesDataTable8711121314[[#This Row],[asofdate]]),OriginationVolume!$A:$N,10,FALSE)</f>
        <v>2.3529411764705882E-2</v>
      </c>
      <c r="AB38" s="19">
        <f>VLOOKUP(YEAR(CurrentMtgRatesDataTable8711121314[[#This Row],[asofdate]]),OriginationVolume!$A:$N,11,FALSE)</f>
        <v>0.18823529411764706</v>
      </c>
      <c r="AC38" s="19">
        <f>VLOOKUP(YEAR(CurrentMtgRatesDataTable8711121314[[#This Row],[asofdate]]),OriginationVolume!$A:$N,12,FALSE)</f>
        <v>0.15686274509803921</v>
      </c>
      <c r="AD38" s="19">
        <f>VLOOKUP(YEAR(CurrentMtgRatesDataTable8711121314[[#This Row],[asofdate]]),OriginationVolume!$A:$N,13,FALSE)</f>
        <v>0.23529411764705882</v>
      </c>
      <c r="AE3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6.9233859787566243E-2</v>
      </c>
      <c r="AF3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0.1039323024557527</v>
      </c>
      <c r="AG38" s="3" t="s">
        <v>57</v>
      </c>
      <c r="AH38" s="5">
        <v>71184000</v>
      </c>
      <c r="AI38" s="26"/>
      <c r="AK38" s="3" t="s">
        <v>57</v>
      </c>
      <c r="AL38" s="5">
        <v>28823000</v>
      </c>
      <c r="AM38" s="26"/>
      <c r="AO38" s="3" t="s">
        <v>57</v>
      </c>
      <c r="AP38" s="5">
        <v>11923563518.219999</v>
      </c>
      <c r="AQ38" s="29"/>
      <c r="AS38" s="3" t="s">
        <v>57</v>
      </c>
      <c r="AT38" s="5">
        <v>11823556518.219999</v>
      </c>
      <c r="AU38" s="29" t="str">
        <f>YEAR(CurrentMtgRatesDataTable871112131417[[#This Row],[asofdate]])&amp;"-"&amp;MONTH(CurrentMtgRatesDataTable871112131417[[#This Row],[asofdate]])</f>
        <v>2006-2</v>
      </c>
      <c r="AV38" s="29">
        <f>CurrentMtgRatesDataTable871112131417[[#This Row],[SeriesNumValue]]</f>
        <v>11823556518.219999</v>
      </c>
      <c r="AW38" s="29">
        <f>VLOOKUP(CurrentMtgRatesDataTable871112131417[[#This Row],[asofdate]],AG:AH,2,0)</f>
        <v>71184000</v>
      </c>
      <c r="AX38" s="25">
        <f>IF(VLOOKUP(CurrentMtgRatesDataTable871112131417[[#This Row],[asofdate]],AK:AL,2,0)&lt;&gt;0,VLOOKUP(CurrentMtgRatesDataTable871112131417[[#This Row],[asofdate]],AK:AL,2,0),AX37)</f>
        <v>28823000</v>
      </c>
      <c r="AY38" s="25">
        <f>VLOOKUP(CurrentMtgRatesDataTable871112131417[[#This Row],[asofdate]],AO:AP,2,0)</f>
        <v>11923563518.219999</v>
      </c>
    </row>
    <row r="39" spans="2:51" s="2" customFormat="1">
      <c r="B39" s="3" t="s">
        <v>58</v>
      </c>
      <c r="C39" s="21">
        <v>9.2004736353106201E-2</v>
      </c>
      <c r="D39" s="26">
        <f>((CurrentMtgRatesDataTable8711[[#This Row],[SeriesNumValue]]-$C$1)/$C$1+1)*100</f>
        <v>613.36490902070807</v>
      </c>
      <c r="E39" s="26"/>
      <c r="G39" s="3" t="s">
        <v>9</v>
      </c>
      <c r="H39" s="21">
        <v>4.3904772572709201E-2</v>
      </c>
      <c r="I39" s="21" t="str">
        <f>YEAR(CurrentMtgRatesDataTable871112[[#This Row],[asofdate]])&amp;"-"&amp;MONTH(CurrentMtgRatesDataTable871112[[#This Row],[asofdate]])</f>
        <v>2012-10</v>
      </c>
      <c r="J39" s="40">
        <f>VLOOKUP(CurrentMtgRatesDataTable871112[[#This Row],[asofdate]],Q:AE,15,0)*100</f>
        <v>2.056937067607842</v>
      </c>
      <c r="K39" s="40">
        <f>VLOOKUP(CurrentMtgRatesDataTable871112[[#This Row],[asofdate]],Q:AE,4,0)*100</f>
        <v>1.36711529187892</v>
      </c>
      <c r="L39" s="40">
        <f>VLOOKUP(CurrentMtgRatesDataTable871112[[#This Row],[asofdate]],Q:AE,5,0)*100</f>
        <v>4.8689499032941201</v>
      </c>
      <c r="M39" s="40">
        <f>VLOOKUP(CurrentMtgRatesDataTable871112[[#This Row],[asofdate]],Q:AE,6,0)*100</f>
        <v>4.3904772572709199</v>
      </c>
      <c r="N39" s="40">
        <f>VLOOKUP(CurrentMtgRatesDataTable871112[[#This Row],[asofdate]],Q:AF,16,0)*100</f>
        <v>1.822782997316726</v>
      </c>
      <c r="Q39" s="3" t="s">
        <v>58</v>
      </c>
      <c r="R39" s="21">
        <v>1.6697077694664299E-2</v>
      </c>
      <c r="S39" s="29" t="str">
        <f>YEAR(CurrentMtgRatesDataTable8711121314[[#This Row],[asofdate]])&amp;"-"&amp;MONTH(CurrentMtgRatesDataTable8711121314[[#This Row],[asofdate]])</f>
        <v>2006-3</v>
      </c>
      <c r="T39" s="37">
        <f>CurrentMtgRatesDataTable8711121314[[#This Row],[SeriesNumValue]]</f>
        <v>1.6697077694664299E-2</v>
      </c>
      <c r="U39" s="37">
        <f>VLOOKUP(CurrentMtgRatesDataTable8711121314[[#This Row],[asofdate]],B:D,2,0)</f>
        <v>9.2004736353106201E-2</v>
      </c>
      <c r="V39" s="37">
        <f>IF(VLOOKUP(CurrentMtgRatesDataTable8711121314[[#This Row],[asofdate]],G:H,2,0)&lt;&gt;0,VLOOKUP(CurrentMtgRatesDataTable8711121314[[#This Row],[asofdate]],G:H,2,0),V38)</f>
        <v>7.29966124505744E-2</v>
      </c>
      <c r="W39" s="37">
        <f>CurrentMtgRatesDataTable8711121314[[#This Row],[FHA]]+0.5*CurrentMtgRatesDataTable8711121314[[#This Row],[Conventional]]</f>
        <v>0.10035327520043835</v>
      </c>
      <c r="X39" s="37">
        <f>2*CurrentMtgRatesDataTable8711121314[[#This Row],[FHA]]</f>
        <v>0.1840094727062124</v>
      </c>
      <c r="Y39" s="19">
        <f>VLOOKUP(YEAR(CurrentMtgRatesDataTable8711121314[[#This Row],[asofdate]]),OriginationVolume!$A:$N,8,FALSE)</f>
        <v>0.38823529411764707</v>
      </c>
      <c r="Z39" s="19">
        <f>VLOOKUP(YEAR(CurrentMtgRatesDataTable8711121314[[#This Row],[asofdate]]),OriginationVolume!$A:$N,9,FALSE)</f>
        <v>7.8431372549019607E-3</v>
      </c>
      <c r="AA39" s="19">
        <f>VLOOKUP(YEAR(CurrentMtgRatesDataTable8711121314[[#This Row],[asofdate]]),OriginationVolume!$A:$N,10,FALSE)</f>
        <v>2.3529411764705882E-2</v>
      </c>
      <c r="AB39" s="19">
        <f>VLOOKUP(YEAR(CurrentMtgRatesDataTable8711121314[[#This Row],[asofdate]]),OriginationVolume!$A:$N,11,FALSE)</f>
        <v>0.18823529411764706</v>
      </c>
      <c r="AC39" s="19">
        <f>VLOOKUP(YEAR(CurrentMtgRatesDataTable8711121314[[#This Row],[asofdate]]),OriginationVolume!$A:$N,12,FALSE)</f>
        <v>0.15686274509803921</v>
      </c>
      <c r="AD39" s="19">
        <f>VLOOKUP(YEAR(CurrentMtgRatesDataTable8711121314[[#This Row],[asofdate]]),OriginationVolume!$A:$N,13,FALSE)</f>
        <v>0.23529411764705882</v>
      </c>
      <c r="AE3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7.1400750723630252E-2</v>
      </c>
      <c r="AF3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0.10713621013333896</v>
      </c>
      <c r="AG39" s="3" t="s">
        <v>58</v>
      </c>
      <c r="AH39" s="5">
        <v>52079000</v>
      </c>
      <c r="AI39" s="26"/>
      <c r="AK39" s="3" t="s">
        <v>58</v>
      </c>
      <c r="AL39" s="5">
        <v>19936000</v>
      </c>
      <c r="AM39" s="26"/>
      <c r="AO39" s="3" t="s">
        <v>58</v>
      </c>
      <c r="AP39" s="5">
        <v>9229412352.2800007</v>
      </c>
      <c r="AQ39" s="29"/>
      <c r="AS39" s="3" t="s">
        <v>58</v>
      </c>
      <c r="AT39" s="5">
        <v>9157397352.2800007</v>
      </c>
      <c r="AU39" s="29" t="str">
        <f>YEAR(CurrentMtgRatesDataTable871112131417[[#This Row],[asofdate]])&amp;"-"&amp;MONTH(CurrentMtgRatesDataTable871112131417[[#This Row],[asofdate]])</f>
        <v>2006-3</v>
      </c>
      <c r="AV39" s="29">
        <f>CurrentMtgRatesDataTable871112131417[[#This Row],[SeriesNumValue]]</f>
        <v>9157397352.2800007</v>
      </c>
      <c r="AW39" s="29">
        <f>VLOOKUP(CurrentMtgRatesDataTable871112131417[[#This Row],[asofdate]],AG:AH,2,0)</f>
        <v>52079000</v>
      </c>
      <c r="AX39" s="25">
        <f>IF(VLOOKUP(CurrentMtgRatesDataTable871112131417[[#This Row],[asofdate]],AK:AL,2,0)&lt;&gt;0,VLOOKUP(CurrentMtgRatesDataTable871112131417[[#This Row],[asofdate]],AK:AL,2,0),AX38)</f>
        <v>19936000</v>
      </c>
      <c r="AY39" s="25">
        <f>VLOOKUP(CurrentMtgRatesDataTable871112131417[[#This Row],[asofdate]],AO:AP,2,0)</f>
        <v>9229412352.2800007</v>
      </c>
    </row>
    <row r="40" spans="2:51" s="2" customFormat="1">
      <c r="B40" s="3" t="s">
        <v>59</v>
      </c>
      <c r="C40" s="21">
        <v>9.0269691219839895E-2</v>
      </c>
      <c r="D40" s="26">
        <f>((CurrentMtgRatesDataTable8711[[#This Row],[SeriesNumValue]]-$C$1)/$C$1+1)*100</f>
        <v>601.79794146559937</v>
      </c>
      <c r="E40" s="26"/>
      <c r="G40" s="3" t="s">
        <v>133</v>
      </c>
      <c r="H40" s="21">
        <v>4.5942757786631101E-2</v>
      </c>
      <c r="I40" s="21" t="str">
        <f>YEAR(CurrentMtgRatesDataTable871112[[#This Row],[asofdate]])&amp;"-"&amp;MONTH(CurrentMtgRatesDataTable871112[[#This Row],[asofdate]])</f>
        <v>2012-9</v>
      </c>
      <c r="J40" s="40">
        <f>VLOOKUP(CurrentMtgRatesDataTable871112[[#This Row],[asofdate]],Q:AE,15,0)*100</f>
        <v>2.1579784372326647</v>
      </c>
      <c r="K40" s="40">
        <f>VLOOKUP(CurrentMtgRatesDataTable871112[[#This Row],[asofdate]],Q:AE,4,0)*100</f>
        <v>1.4333792880612499</v>
      </c>
      <c r="L40" s="40">
        <f>VLOOKUP(CurrentMtgRatesDataTable871112[[#This Row],[asofdate]],Q:AE,5,0)*100</f>
        <v>5.1164146729042796</v>
      </c>
      <c r="M40" s="40">
        <f>VLOOKUP(CurrentMtgRatesDataTable871112[[#This Row],[asofdate]],Q:AE,6,0)*100</f>
        <v>4.5942757786631105</v>
      </c>
      <c r="N40" s="40">
        <f>VLOOKUP(CurrentMtgRatesDataTable871112[[#This Row],[asofdate]],Q:AF,16,0)*100</f>
        <v>1.9123816097531399</v>
      </c>
      <c r="Q40" s="3" t="s">
        <v>59</v>
      </c>
      <c r="R40" s="21">
        <v>1.6176030883114801E-2</v>
      </c>
      <c r="S40" s="29" t="str">
        <f>YEAR(CurrentMtgRatesDataTable8711121314[[#This Row],[asofdate]])&amp;"-"&amp;MONTH(CurrentMtgRatesDataTable8711121314[[#This Row],[asofdate]])</f>
        <v>2006-4</v>
      </c>
      <c r="T40" s="37">
        <f>CurrentMtgRatesDataTable8711121314[[#This Row],[SeriesNumValue]]</f>
        <v>1.6176030883114801E-2</v>
      </c>
      <c r="U40" s="37">
        <f>VLOOKUP(CurrentMtgRatesDataTable8711121314[[#This Row],[asofdate]],B:D,2,0)</f>
        <v>9.0269691219839895E-2</v>
      </c>
      <c r="V40" s="37">
        <f>IF(VLOOKUP(CurrentMtgRatesDataTable8711121314[[#This Row],[asofdate]],G:H,2,0)&lt;&gt;0,VLOOKUP(CurrentMtgRatesDataTable8711121314[[#This Row],[asofdate]],G:H,2,0),V39)</f>
        <v>7.5604220137534706E-2</v>
      </c>
      <c r="W40" s="37">
        <f>CurrentMtgRatesDataTable8711121314[[#This Row],[FHA]]+0.5*CurrentMtgRatesDataTable8711121314[[#This Row],[Conventional]]</f>
        <v>9.8357706661397301E-2</v>
      </c>
      <c r="X40" s="37">
        <f>2*CurrentMtgRatesDataTable8711121314[[#This Row],[FHA]]</f>
        <v>0.18053938243967979</v>
      </c>
      <c r="Y40" s="19">
        <f>VLOOKUP(YEAR(CurrentMtgRatesDataTable8711121314[[#This Row],[asofdate]]),OriginationVolume!$A:$N,8,FALSE)</f>
        <v>0.38823529411764707</v>
      </c>
      <c r="Z40" s="19">
        <f>VLOOKUP(YEAR(CurrentMtgRatesDataTable8711121314[[#This Row],[asofdate]]),OriginationVolume!$A:$N,9,FALSE)</f>
        <v>7.8431372549019607E-3</v>
      </c>
      <c r="AA40" s="19">
        <f>VLOOKUP(YEAR(CurrentMtgRatesDataTable8711121314[[#This Row],[asofdate]]),OriginationVolume!$A:$N,10,FALSE)</f>
        <v>2.3529411764705882E-2</v>
      </c>
      <c r="AB40" s="19">
        <f>VLOOKUP(YEAR(CurrentMtgRatesDataTable8711121314[[#This Row],[asofdate]]),OriginationVolume!$A:$N,11,FALSE)</f>
        <v>0.18823529411764706</v>
      </c>
      <c r="AC40" s="19">
        <f>VLOOKUP(YEAR(CurrentMtgRatesDataTable8711121314[[#This Row],[asofdate]]),OriginationVolume!$A:$N,12,FALSE)</f>
        <v>0.15686274509803921</v>
      </c>
      <c r="AD40" s="19">
        <f>VLOOKUP(YEAR(CurrentMtgRatesDataTable8711121314[[#This Row],[asofdate]]),OriginationVolume!$A:$N,13,FALSE)</f>
        <v>0.23529411764705882</v>
      </c>
      <c r="AE4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6.9950487608818293E-2</v>
      </c>
      <c r="AF4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0.10502108577855535</v>
      </c>
      <c r="AG40" s="3" t="s">
        <v>59</v>
      </c>
      <c r="AH40" s="5">
        <v>76009000</v>
      </c>
      <c r="AI40" s="26"/>
      <c r="AK40" s="3" t="s">
        <v>59</v>
      </c>
      <c r="AL40" s="5">
        <v>24968000</v>
      </c>
      <c r="AM40" s="26"/>
      <c r="AO40" s="3" t="s">
        <v>59</v>
      </c>
      <c r="AP40" s="5">
        <v>10533508526.41</v>
      </c>
      <c r="AQ40" s="29"/>
      <c r="AS40" s="3" t="s">
        <v>59</v>
      </c>
      <c r="AT40" s="5">
        <v>10432531526.41</v>
      </c>
      <c r="AU40" s="29" t="str">
        <f>YEAR(CurrentMtgRatesDataTable871112131417[[#This Row],[asofdate]])&amp;"-"&amp;MONTH(CurrentMtgRatesDataTable871112131417[[#This Row],[asofdate]])</f>
        <v>2006-4</v>
      </c>
      <c r="AV40" s="29">
        <f>CurrentMtgRatesDataTable871112131417[[#This Row],[SeriesNumValue]]</f>
        <v>10432531526.41</v>
      </c>
      <c r="AW40" s="29">
        <f>VLOOKUP(CurrentMtgRatesDataTable871112131417[[#This Row],[asofdate]],AG:AH,2,0)</f>
        <v>76009000</v>
      </c>
      <c r="AX40" s="25">
        <f>IF(VLOOKUP(CurrentMtgRatesDataTable871112131417[[#This Row],[asofdate]],AK:AL,2,0)&lt;&gt;0,VLOOKUP(CurrentMtgRatesDataTable871112131417[[#This Row],[asofdate]],AK:AL,2,0),AX39)</f>
        <v>24968000</v>
      </c>
      <c r="AY40" s="25">
        <f>VLOOKUP(CurrentMtgRatesDataTable871112131417[[#This Row],[asofdate]],AO:AP,2,0)</f>
        <v>10533508526.41</v>
      </c>
    </row>
    <row r="41" spans="2:51" s="2" customFormat="1">
      <c r="B41" s="3" t="s">
        <v>60</v>
      </c>
      <c r="C41" s="21">
        <v>9.0992959299858497E-2</v>
      </c>
      <c r="D41" s="26">
        <f>((CurrentMtgRatesDataTable8711[[#This Row],[SeriesNumValue]]-$C$1)/$C$1+1)*100</f>
        <v>606.61972866572341</v>
      </c>
      <c r="E41" s="26"/>
      <c r="G41" s="3" t="s">
        <v>1</v>
      </c>
      <c r="H41" s="21">
        <v>4.48731934408561E-2</v>
      </c>
      <c r="I41" s="21" t="str">
        <f>YEAR(CurrentMtgRatesDataTable871112[[#This Row],[asofdate]])&amp;"-"&amp;MONTH(CurrentMtgRatesDataTable871112[[#This Row],[asofdate]])</f>
        <v>2012-8</v>
      </c>
      <c r="J41" s="40">
        <f>VLOOKUP(CurrentMtgRatesDataTable871112[[#This Row],[asofdate]],Q:AE,15,0)*100</f>
        <v>2.122371892282354</v>
      </c>
      <c r="K41" s="40">
        <f>VLOOKUP(CurrentMtgRatesDataTable871112[[#This Row],[asofdate]],Q:AE,4,0)*100</f>
        <v>1.4000643367963099</v>
      </c>
      <c r="L41" s="40">
        <f>VLOOKUP(CurrentMtgRatesDataTable871112[[#This Row],[asofdate]],Q:AE,5,0)*100</f>
        <v>5.0920901691329901</v>
      </c>
      <c r="M41" s="40">
        <f>VLOOKUP(CurrentMtgRatesDataTable871112[[#This Row],[asofdate]],Q:AE,6,0)*100</f>
        <v>4.4873193440856101</v>
      </c>
      <c r="N41" s="40">
        <f>VLOOKUP(CurrentMtgRatesDataTable871112[[#This Row],[asofdate]],Q:AF,16,0)*100</f>
        <v>1.8782319417150215</v>
      </c>
      <c r="Q41" s="3" t="s">
        <v>60</v>
      </c>
      <c r="R41" s="21">
        <v>1.5849977078417201E-2</v>
      </c>
      <c r="S41" s="29" t="str">
        <f>YEAR(CurrentMtgRatesDataTable8711121314[[#This Row],[asofdate]])&amp;"-"&amp;MONTH(CurrentMtgRatesDataTable8711121314[[#This Row],[asofdate]])</f>
        <v>2006-5</v>
      </c>
      <c r="T41" s="37">
        <f>CurrentMtgRatesDataTable8711121314[[#This Row],[SeriesNumValue]]</f>
        <v>1.5849977078417201E-2</v>
      </c>
      <c r="U41" s="37">
        <f>VLOOKUP(CurrentMtgRatesDataTable8711121314[[#This Row],[asofdate]],B:D,2,0)</f>
        <v>9.0992959299858497E-2</v>
      </c>
      <c r="V41" s="37">
        <f>IF(VLOOKUP(CurrentMtgRatesDataTable8711121314[[#This Row],[asofdate]],G:H,2,0)&lt;&gt;0,VLOOKUP(CurrentMtgRatesDataTable8711121314[[#This Row],[asofdate]],G:H,2,0),V40)</f>
        <v>8.5117661602461606E-2</v>
      </c>
      <c r="W41" s="37">
        <f>CurrentMtgRatesDataTable8711121314[[#This Row],[FHA]]+0.5*CurrentMtgRatesDataTable8711121314[[#This Row],[Conventional]]</f>
        <v>9.89179478390671E-2</v>
      </c>
      <c r="X41" s="37">
        <f>2*CurrentMtgRatesDataTable8711121314[[#This Row],[FHA]]</f>
        <v>0.18198591859971699</v>
      </c>
      <c r="Y41" s="19">
        <f>VLOOKUP(YEAR(CurrentMtgRatesDataTable8711121314[[#This Row],[asofdate]]),OriginationVolume!$A:$N,8,FALSE)</f>
        <v>0.38823529411764707</v>
      </c>
      <c r="Z41" s="19">
        <f>VLOOKUP(YEAR(CurrentMtgRatesDataTable8711121314[[#This Row],[asofdate]]),OriginationVolume!$A:$N,9,FALSE)</f>
        <v>7.8431372549019607E-3</v>
      </c>
      <c r="AA41" s="19">
        <f>VLOOKUP(YEAR(CurrentMtgRatesDataTable8711121314[[#This Row],[asofdate]]),OriginationVolume!$A:$N,10,FALSE)</f>
        <v>2.3529411764705882E-2</v>
      </c>
      <c r="AB41" s="19">
        <f>VLOOKUP(YEAR(CurrentMtgRatesDataTable8711121314[[#This Row],[asofdate]]),OriginationVolume!$A:$N,11,FALSE)</f>
        <v>0.18823529411764706</v>
      </c>
      <c r="AC41" s="19">
        <f>VLOOKUP(YEAR(CurrentMtgRatesDataTable8711121314[[#This Row],[asofdate]]),OriginationVolume!$A:$N,12,FALSE)</f>
        <v>0.15686274509803921</v>
      </c>
      <c r="AD41" s="19">
        <f>VLOOKUP(YEAR(CurrentMtgRatesDataTable8711121314[[#This Row],[asofdate]]),OriginationVolume!$A:$N,13,FALSE)</f>
        <v>0.23529411764705882</v>
      </c>
      <c r="AE4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7.0282402898341589E-2</v>
      </c>
      <c r="AF4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0.10565318871155224</v>
      </c>
      <c r="AG41" s="3" t="s">
        <v>60</v>
      </c>
      <c r="AH41" s="5">
        <v>102061000</v>
      </c>
      <c r="AI41" s="26"/>
      <c r="AK41" s="3" t="s">
        <v>60</v>
      </c>
      <c r="AL41" s="5">
        <v>33982000</v>
      </c>
      <c r="AM41" s="26"/>
      <c r="AO41" s="3" t="s">
        <v>60</v>
      </c>
      <c r="AP41" s="5">
        <v>13232342261.450001</v>
      </c>
      <c r="AQ41" s="29"/>
      <c r="AS41" s="3" t="s">
        <v>60</v>
      </c>
      <c r="AT41" s="5">
        <v>13096299261.450001</v>
      </c>
      <c r="AU41" s="29" t="str">
        <f>YEAR(CurrentMtgRatesDataTable871112131417[[#This Row],[asofdate]])&amp;"-"&amp;MONTH(CurrentMtgRatesDataTable871112131417[[#This Row],[asofdate]])</f>
        <v>2006-5</v>
      </c>
      <c r="AV41" s="29">
        <f>CurrentMtgRatesDataTable871112131417[[#This Row],[SeriesNumValue]]</f>
        <v>13096299261.450001</v>
      </c>
      <c r="AW41" s="29">
        <f>VLOOKUP(CurrentMtgRatesDataTable871112131417[[#This Row],[asofdate]],AG:AH,2,0)</f>
        <v>102061000</v>
      </c>
      <c r="AX41" s="25">
        <f>IF(VLOOKUP(CurrentMtgRatesDataTable871112131417[[#This Row],[asofdate]],AK:AL,2,0)&lt;&gt;0,VLOOKUP(CurrentMtgRatesDataTable871112131417[[#This Row],[asofdate]],AK:AL,2,0),AX40)</f>
        <v>33982000</v>
      </c>
      <c r="AY41" s="25">
        <f>VLOOKUP(CurrentMtgRatesDataTable871112131417[[#This Row],[asofdate]],AO:AP,2,0)</f>
        <v>13232342261.450001</v>
      </c>
    </row>
    <row r="42" spans="2:51" s="2" customFormat="1">
      <c r="B42" s="3" t="s">
        <v>61</v>
      </c>
      <c r="C42" s="21">
        <v>8.7665901172641697E-2</v>
      </c>
      <c r="D42" s="26">
        <f>((CurrentMtgRatesDataTable8711[[#This Row],[SeriesNumValue]]-$C$1)/$C$1+1)*100</f>
        <v>584.43934115094464</v>
      </c>
      <c r="E42" s="26"/>
      <c r="G42" s="3" t="s">
        <v>132</v>
      </c>
      <c r="H42" s="21">
        <v>4.52225899073396E-2</v>
      </c>
      <c r="I42" s="21" t="str">
        <f>YEAR(CurrentMtgRatesDataTable871112[[#This Row],[asofdate]])&amp;"-"&amp;MONTH(CurrentMtgRatesDataTable871112[[#This Row],[asofdate]])</f>
        <v>2012-7</v>
      </c>
      <c r="J42" s="40">
        <f>VLOOKUP(CurrentMtgRatesDataTable871112[[#This Row],[asofdate]],Q:AE,15,0)*100</f>
        <v>2.102149496330429</v>
      </c>
      <c r="K42" s="40">
        <f>VLOOKUP(CurrentMtgRatesDataTable871112[[#This Row],[asofdate]],Q:AE,4,0)*100</f>
        <v>1.3876027445160901</v>
      </c>
      <c r="L42" s="40">
        <f>VLOOKUP(CurrentMtgRatesDataTable871112[[#This Row],[asofdate]],Q:AE,5,0)*100</f>
        <v>5.0152629501791797</v>
      </c>
      <c r="M42" s="40">
        <f>VLOOKUP(CurrentMtgRatesDataTable871112[[#This Row],[asofdate]],Q:AE,6,0)*100</f>
        <v>4.5222589907339596</v>
      </c>
      <c r="N42" s="40">
        <f>VLOOKUP(CurrentMtgRatesDataTable871112[[#This Row],[asofdate]],Q:AF,16,0)*100</f>
        <v>1.8580844485639556</v>
      </c>
      <c r="Q42" s="3" t="s">
        <v>61</v>
      </c>
      <c r="R42" s="21">
        <v>1.55432241290006E-2</v>
      </c>
      <c r="S42" s="29" t="str">
        <f>YEAR(CurrentMtgRatesDataTable8711121314[[#This Row],[asofdate]])&amp;"-"&amp;MONTH(CurrentMtgRatesDataTable8711121314[[#This Row],[asofdate]])</f>
        <v>2006-6</v>
      </c>
      <c r="T42" s="37">
        <f>CurrentMtgRatesDataTable8711121314[[#This Row],[SeriesNumValue]]</f>
        <v>1.55432241290006E-2</v>
      </c>
      <c r="U42" s="37">
        <f>VLOOKUP(CurrentMtgRatesDataTable8711121314[[#This Row],[asofdate]],B:D,2,0)</f>
        <v>8.7665901172641697E-2</v>
      </c>
      <c r="V42" s="37">
        <f>IF(VLOOKUP(CurrentMtgRatesDataTable8711121314[[#This Row],[asofdate]],G:H,2,0)&lt;&gt;0,VLOOKUP(CurrentMtgRatesDataTable8711121314[[#This Row],[asofdate]],G:H,2,0),V41)</f>
        <v>7.3721687246315296E-2</v>
      </c>
      <c r="W42" s="37">
        <f>CurrentMtgRatesDataTable8711121314[[#This Row],[FHA]]+0.5*CurrentMtgRatesDataTable8711121314[[#This Row],[Conventional]]</f>
        <v>9.5437513237142002E-2</v>
      </c>
      <c r="X42" s="37">
        <f>2*CurrentMtgRatesDataTable8711121314[[#This Row],[FHA]]</f>
        <v>0.17533180234528339</v>
      </c>
      <c r="Y42" s="19">
        <f>VLOOKUP(YEAR(CurrentMtgRatesDataTable8711121314[[#This Row],[asofdate]]),OriginationVolume!$A:$N,8,FALSE)</f>
        <v>0.38823529411764707</v>
      </c>
      <c r="Z42" s="19">
        <f>VLOOKUP(YEAR(CurrentMtgRatesDataTable8711121314[[#This Row],[asofdate]]),OriginationVolume!$A:$N,9,FALSE)</f>
        <v>7.8431372549019607E-3</v>
      </c>
      <c r="AA42" s="19">
        <f>VLOOKUP(YEAR(CurrentMtgRatesDataTable8711121314[[#This Row],[asofdate]]),OriginationVolume!$A:$N,10,FALSE)</f>
        <v>2.3529411764705882E-2</v>
      </c>
      <c r="AB42" s="19">
        <f>VLOOKUP(YEAR(CurrentMtgRatesDataTable8711121314[[#This Row],[asofdate]]),OriginationVolume!$A:$N,11,FALSE)</f>
        <v>0.18823529411764706</v>
      </c>
      <c r="AC42" s="19">
        <f>VLOOKUP(YEAR(CurrentMtgRatesDataTable8711121314[[#This Row],[asofdate]]),OriginationVolume!$A:$N,12,FALSE)</f>
        <v>0.15686274509803921</v>
      </c>
      <c r="AD42" s="19">
        <f>VLOOKUP(YEAR(CurrentMtgRatesDataTable8711121314[[#This Row],[asofdate]]),OriginationVolume!$A:$N,13,FALSE)</f>
        <v>0.23529411764705882</v>
      </c>
      <c r="AE4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6.7826279994879418E-2</v>
      </c>
      <c r="AF4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0.10191542857023456</v>
      </c>
      <c r="AG42" s="3" t="s">
        <v>61</v>
      </c>
      <c r="AH42" s="5">
        <v>92927000</v>
      </c>
      <c r="AI42" s="26"/>
      <c r="AK42" s="3" t="s">
        <v>61</v>
      </c>
      <c r="AL42" s="5">
        <v>23430000</v>
      </c>
      <c r="AM42" s="26"/>
      <c r="AO42" s="3" t="s">
        <v>61</v>
      </c>
      <c r="AP42" s="5">
        <v>13208560782.91</v>
      </c>
      <c r="AQ42" s="29"/>
      <c r="AS42" s="3" t="s">
        <v>61</v>
      </c>
      <c r="AT42" s="5">
        <v>13092203782.91</v>
      </c>
      <c r="AU42" s="29" t="str">
        <f>YEAR(CurrentMtgRatesDataTable871112131417[[#This Row],[asofdate]])&amp;"-"&amp;MONTH(CurrentMtgRatesDataTable871112131417[[#This Row],[asofdate]])</f>
        <v>2006-6</v>
      </c>
      <c r="AV42" s="29">
        <f>CurrentMtgRatesDataTable871112131417[[#This Row],[SeriesNumValue]]</f>
        <v>13092203782.91</v>
      </c>
      <c r="AW42" s="29">
        <f>VLOOKUP(CurrentMtgRatesDataTable871112131417[[#This Row],[asofdate]],AG:AH,2,0)</f>
        <v>92927000</v>
      </c>
      <c r="AX42" s="25">
        <f>IF(VLOOKUP(CurrentMtgRatesDataTable871112131417[[#This Row],[asofdate]],AK:AL,2,0)&lt;&gt;0,VLOOKUP(CurrentMtgRatesDataTable871112131417[[#This Row],[asofdate]],AK:AL,2,0),AX41)</f>
        <v>23430000</v>
      </c>
      <c r="AY42" s="25">
        <f>VLOOKUP(CurrentMtgRatesDataTable871112131417[[#This Row],[asofdate]],AO:AP,2,0)</f>
        <v>13208560782.91</v>
      </c>
    </row>
    <row r="43" spans="2:51" s="2" customFormat="1">
      <c r="B43" s="3" t="s">
        <v>62</v>
      </c>
      <c r="C43" s="21">
        <v>9.4627360659875495E-2</v>
      </c>
      <c r="D43" s="26">
        <f>((CurrentMtgRatesDataTable8711[[#This Row],[SeriesNumValue]]-$C$1)/$C$1+1)*100</f>
        <v>630.84907106583671</v>
      </c>
      <c r="E43" s="26"/>
      <c r="G43" s="3" t="s">
        <v>12</v>
      </c>
      <c r="H43" s="21">
        <v>4.4928326738978099E-2</v>
      </c>
      <c r="I43" s="21" t="str">
        <f>YEAR(CurrentMtgRatesDataTable871112[[#This Row],[asofdate]])&amp;"-"&amp;MONTH(CurrentMtgRatesDataTable871112[[#This Row],[asofdate]])</f>
        <v>2012-6</v>
      </c>
      <c r="J43" s="40">
        <f>VLOOKUP(CurrentMtgRatesDataTable871112[[#This Row],[asofdate]],Q:AE,15,0)*100</f>
        <v>2.0455626947118404</v>
      </c>
      <c r="K43" s="40">
        <f>VLOOKUP(CurrentMtgRatesDataTable871112[[#This Row],[asofdate]],Q:AE,4,0)*100</f>
        <v>1.3459590518078701</v>
      </c>
      <c r="L43" s="40">
        <f>VLOOKUP(CurrentMtgRatesDataTable871112[[#This Row],[asofdate]],Q:AE,5,0)*100</f>
        <v>4.8745554127326498</v>
      </c>
      <c r="M43" s="40">
        <f>VLOOKUP(CurrentMtgRatesDataTable871112[[#This Row],[asofdate]],Q:AE,6,0)*100</f>
        <v>4.4928326738978095</v>
      </c>
      <c r="N43" s="40">
        <f>VLOOKUP(CurrentMtgRatesDataTable871112[[#This Row],[asofdate]],Q:AF,16,0)*100</f>
        <v>1.8033886846480933</v>
      </c>
      <c r="Q43" s="3" t="s">
        <v>62</v>
      </c>
      <c r="R43" s="21">
        <v>1.5780549034031699E-2</v>
      </c>
      <c r="S43" s="29" t="str">
        <f>YEAR(CurrentMtgRatesDataTable8711121314[[#This Row],[asofdate]])&amp;"-"&amp;MONTH(CurrentMtgRatesDataTable8711121314[[#This Row],[asofdate]])</f>
        <v>2006-7</v>
      </c>
      <c r="T43" s="37">
        <f>CurrentMtgRatesDataTable8711121314[[#This Row],[SeriesNumValue]]</f>
        <v>1.5780549034031699E-2</v>
      </c>
      <c r="U43" s="37">
        <f>VLOOKUP(CurrentMtgRatesDataTable8711121314[[#This Row],[asofdate]],B:D,2,0)</f>
        <v>9.4627360659875495E-2</v>
      </c>
      <c r="V43" s="37">
        <f>IF(VLOOKUP(CurrentMtgRatesDataTable8711121314[[#This Row],[asofdate]],G:H,2,0)&lt;&gt;0,VLOOKUP(CurrentMtgRatesDataTable8711121314[[#This Row],[asofdate]],G:H,2,0),V42)</f>
        <v>7.1097707040510896E-2</v>
      </c>
      <c r="W43" s="37">
        <f>CurrentMtgRatesDataTable8711121314[[#This Row],[FHA]]+0.5*CurrentMtgRatesDataTable8711121314[[#This Row],[Conventional]]</f>
        <v>0.10251763517689134</v>
      </c>
      <c r="X43" s="37">
        <f>2*CurrentMtgRatesDataTable8711121314[[#This Row],[FHA]]</f>
        <v>0.18925472131975099</v>
      </c>
      <c r="Y43" s="19">
        <f>VLOOKUP(YEAR(CurrentMtgRatesDataTable8711121314[[#This Row],[asofdate]]),OriginationVolume!$A:$N,8,FALSE)</f>
        <v>0.38823529411764707</v>
      </c>
      <c r="Z43" s="19">
        <f>VLOOKUP(YEAR(CurrentMtgRatesDataTable8711121314[[#This Row],[asofdate]]),OriginationVolume!$A:$N,9,FALSE)</f>
        <v>7.8431372549019607E-3</v>
      </c>
      <c r="AA43" s="19">
        <f>VLOOKUP(YEAR(CurrentMtgRatesDataTable8711121314[[#This Row],[asofdate]]),OriginationVolume!$A:$N,10,FALSE)</f>
        <v>2.3529411764705882E-2</v>
      </c>
      <c r="AB43" s="19">
        <f>VLOOKUP(YEAR(CurrentMtgRatesDataTable8711121314[[#This Row],[asofdate]]),OriginationVolume!$A:$N,11,FALSE)</f>
        <v>0.18823529411764706</v>
      </c>
      <c r="AC43" s="19">
        <f>VLOOKUP(YEAR(CurrentMtgRatesDataTable8711121314[[#This Row],[asofdate]]),OriginationVolume!$A:$N,12,FALSE)</f>
        <v>0.15686274509803921</v>
      </c>
      <c r="AD43" s="19">
        <f>VLOOKUP(YEAR(CurrentMtgRatesDataTable8711121314[[#This Row],[asofdate]]),OriginationVolume!$A:$N,13,FALSE)</f>
        <v>0.23529411764705882</v>
      </c>
      <c r="AE4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7.249289793060254E-2</v>
      </c>
      <c r="AF4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0.10955037189117728</v>
      </c>
      <c r="AG43" s="3" t="s">
        <v>62</v>
      </c>
      <c r="AH43" s="5">
        <v>87646000</v>
      </c>
      <c r="AI43" s="26"/>
      <c r="AK43" s="3" t="s">
        <v>62</v>
      </c>
      <c r="AL43" s="5">
        <v>22194000</v>
      </c>
      <c r="AM43" s="26"/>
      <c r="AO43" s="3" t="s">
        <v>62</v>
      </c>
      <c r="AP43" s="5">
        <v>15345415496.129999</v>
      </c>
      <c r="AQ43" s="29"/>
      <c r="AS43" s="3" t="s">
        <v>62</v>
      </c>
      <c r="AT43" s="5">
        <v>15235575496.129999</v>
      </c>
      <c r="AU43" s="29" t="str">
        <f>YEAR(CurrentMtgRatesDataTable871112131417[[#This Row],[asofdate]])&amp;"-"&amp;MONTH(CurrentMtgRatesDataTable871112131417[[#This Row],[asofdate]])</f>
        <v>2006-7</v>
      </c>
      <c r="AV43" s="29">
        <f>CurrentMtgRatesDataTable871112131417[[#This Row],[SeriesNumValue]]</f>
        <v>15235575496.129999</v>
      </c>
      <c r="AW43" s="29">
        <f>VLOOKUP(CurrentMtgRatesDataTable871112131417[[#This Row],[asofdate]],AG:AH,2,0)</f>
        <v>87646000</v>
      </c>
      <c r="AX43" s="25">
        <f>IF(VLOOKUP(CurrentMtgRatesDataTable871112131417[[#This Row],[asofdate]],AK:AL,2,0)&lt;&gt;0,VLOOKUP(CurrentMtgRatesDataTable871112131417[[#This Row],[asofdate]],AK:AL,2,0),AX42)</f>
        <v>22194000</v>
      </c>
      <c r="AY43" s="25">
        <f>VLOOKUP(CurrentMtgRatesDataTable871112131417[[#This Row],[asofdate]],AO:AP,2,0)</f>
        <v>15345415496.129999</v>
      </c>
    </row>
    <row r="44" spans="2:51" s="2" customFormat="1">
      <c r="B44" s="3" t="s">
        <v>63</v>
      </c>
      <c r="C44" s="21">
        <v>9.7328657053947207E-2</v>
      </c>
      <c r="D44" s="26">
        <f>((CurrentMtgRatesDataTable8711[[#This Row],[SeriesNumValue]]-$C$1)/$C$1+1)*100</f>
        <v>648.85771369298141</v>
      </c>
      <c r="E44" s="26"/>
      <c r="G44" s="3" t="s">
        <v>4</v>
      </c>
      <c r="H44" s="21">
        <v>4.3987919201613497E-2</v>
      </c>
      <c r="I44" s="21" t="str">
        <f>YEAR(CurrentMtgRatesDataTable871112[[#This Row],[asofdate]])&amp;"-"&amp;MONTH(CurrentMtgRatesDataTable871112[[#This Row],[asofdate]])</f>
        <v>2012-5</v>
      </c>
      <c r="J44" s="40">
        <f>VLOOKUP(CurrentMtgRatesDataTable871112[[#This Row],[asofdate]],Q:AE,15,0)*100</f>
        <v>1.9660481235423803</v>
      </c>
      <c r="K44" s="40">
        <f>VLOOKUP(CurrentMtgRatesDataTable871112[[#This Row],[asofdate]],Q:AE,4,0)*100</f>
        <v>1.28225727158472</v>
      </c>
      <c r="L44" s="40">
        <f>VLOOKUP(CurrentMtgRatesDataTable871112[[#This Row],[asofdate]],Q:AE,5,0)*100</f>
        <v>4.7200576073014293</v>
      </c>
      <c r="M44" s="40">
        <f>VLOOKUP(CurrentMtgRatesDataTable871112[[#This Row],[asofdate]],Q:AE,6,0)*100</f>
        <v>4.3987919201613499</v>
      </c>
      <c r="N44" s="40">
        <f>VLOOKUP(CurrentMtgRatesDataTable871112[[#This Row],[asofdate]],Q:AF,16,0)*100</f>
        <v>1.7263342160635302</v>
      </c>
      <c r="Q44" s="3" t="s">
        <v>63</v>
      </c>
      <c r="R44" s="21">
        <v>1.5606632079750099E-2</v>
      </c>
      <c r="S44" s="29" t="str">
        <f>YEAR(CurrentMtgRatesDataTable8711121314[[#This Row],[asofdate]])&amp;"-"&amp;MONTH(CurrentMtgRatesDataTable8711121314[[#This Row],[asofdate]])</f>
        <v>2006-8</v>
      </c>
      <c r="T44" s="37">
        <f>CurrentMtgRatesDataTable8711121314[[#This Row],[SeriesNumValue]]</f>
        <v>1.5606632079750099E-2</v>
      </c>
      <c r="U44" s="37">
        <f>VLOOKUP(CurrentMtgRatesDataTable8711121314[[#This Row],[asofdate]],B:D,2,0)</f>
        <v>9.7328657053947207E-2</v>
      </c>
      <c r="V44" s="37">
        <f>IF(VLOOKUP(CurrentMtgRatesDataTable8711121314[[#This Row],[asofdate]],G:H,2,0)&lt;&gt;0,VLOOKUP(CurrentMtgRatesDataTable8711121314[[#This Row],[asofdate]],G:H,2,0),V43)</f>
        <v>8.2438738787264404E-2</v>
      </c>
      <c r="W44" s="37">
        <f>CurrentMtgRatesDataTable8711121314[[#This Row],[FHA]]+0.5*CurrentMtgRatesDataTable8711121314[[#This Row],[Conventional]]</f>
        <v>0.10513197309382226</v>
      </c>
      <c r="X44" s="37">
        <f>2*CurrentMtgRatesDataTable8711121314[[#This Row],[FHA]]</f>
        <v>0.19465731410789441</v>
      </c>
      <c r="Y44" s="19">
        <f>VLOOKUP(YEAR(CurrentMtgRatesDataTable8711121314[[#This Row],[asofdate]]),OriginationVolume!$A:$N,8,FALSE)</f>
        <v>0.38823529411764707</v>
      </c>
      <c r="Z44" s="19">
        <f>VLOOKUP(YEAR(CurrentMtgRatesDataTable8711121314[[#This Row],[asofdate]]),OriginationVolume!$A:$N,9,FALSE)</f>
        <v>7.8431372549019607E-3</v>
      </c>
      <c r="AA44" s="19">
        <f>VLOOKUP(YEAR(CurrentMtgRatesDataTable8711121314[[#This Row],[asofdate]]),OriginationVolume!$A:$N,10,FALSE)</f>
        <v>2.3529411764705882E-2</v>
      </c>
      <c r="AB44" s="19">
        <f>VLOOKUP(YEAR(CurrentMtgRatesDataTable8711121314[[#This Row],[asofdate]]),OriginationVolume!$A:$N,11,FALSE)</f>
        <v>0.18823529411764706</v>
      </c>
      <c r="AC44" s="19">
        <f>VLOOKUP(YEAR(CurrentMtgRatesDataTable8711121314[[#This Row],[asofdate]]),OriginationVolume!$A:$N,12,FALSE)</f>
        <v>0.15686274509803921</v>
      </c>
      <c r="AD44" s="19">
        <f>VLOOKUP(YEAR(CurrentMtgRatesDataTable8711121314[[#This Row],[asofdate]]),OriginationVolume!$A:$N,13,FALSE)</f>
        <v>0.23529411764705882</v>
      </c>
      <c r="AE4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7.4226439630776589E-2</v>
      </c>
      <c r="AF4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0.11239078452739568</v>
      </c>
      <c r="AG44" s="3" t="s">
        <v>63</v>
      </c>
      <c r="AH44" s="5">
        <v>75547000</v>
      </c>
      <c r="AI44" s="26"/>
      <c r="AK44" s="3" t="s">
        <v>63</v>
      </c>
      <c r="AL44" s="5">
        <v>19556000</v>
      </c>
      <c r="AM44" s="26"/>
      <c r="AO44" s="3" t="s">
        <v>63</v>
      </c>
      <c r="AP44" s="5">
        <v>17321146878.52</v>
      </c>
      <c r="AQ44" s="29"/>
      <c r="AS44" s="3" t="s">
        <v>63</v>
      </c>
      <c r="AT44" s="5">
        <v>17226043878.52</v>
      </c>
      <c r="AU44" s="29" t="str">
        <f>YEAR(CurrentMtgRatesDataTable871112131417[[#This Row],[asofdate]])&amp;"-"&amp;MONTH(CurrentMtgRatesDataTable871112131417[[#This Row],[asofdate]])</f>
        <v>2006-8</v>
      </c>
      <c r="AV44" s="29">
        <f>CurrentMtgRatesDataTable871112131417[[#This Row],[SeriesNumValue]]</f>
        <v>17226043878.52</v>
      </c>
      <c r="AW44" s="29">
        <f>VLOOKUP(CurrentMtgRatesDataTable871112131417[[#This Row],[asofdate]],AG:AH,2,0)</f>
        <v>75547000</v>
      </c>
      <c r="AX44" s="25">
        <f>IF(VLOOKUP(CurrentMtgRatesDataTable871112131417[[#This Row],[asofdate]],AK:AL,2,0)&lt;&gt;0,VLOOKUP(CurrentMtgRatesDataTable871112131417[[#This Row],[asofdate]],AK:AL,2,0),AX43)</f>
        <v>19556000</v>
      </c>
      <c r="AY44" s="25">
        <f>VLOOKUP(CurrentMtgRatesDataTable871112131417[[#This Row],[asofdate]],AO:AP,2,0)</f>
        <v>17321146878.52</v>
      </c>
    </row>
    <row r="45" spans="2:51" s="2" customFormat="1">
      <c r="B45" s="3" t="s">
        <v>64</v>
      </c>
      <c r="C45" s="21">
        <v>0.106959828331922</v>
      </c>
      <c r="D45" s="26">
        <f>((CurrentMtgRatesDataTable8711[[#This Row],[SeriesNumValue]]-$C$1)/$C$1+1)*100</f>
        <v>713.06552221281333</v>
      </c>
      <c r="E45" s="26"/>
      <c r="G45" s="3" t="s">
        <v>131</v>
      </c>
      <c r="H45" s="21">
        <v>4.5729186390120899E-2</v>
      </c>
      <c r="I45" s="21" t="str">
        <f>YEAR(CurrentMtgRatesDataTable871112[[#This Row],[asofdate]])&amp;"-"&amp;MONTH(CurrentMtgRatesDataTable871112[[#This Row],[asofdate]])</f>
        <v>2012-4</v>
      </c>
      <c r="J45" s="40">
        <f>VLOOKUP(CurrentMtgRatesDataTable871112[[#This Row],[asofdate]],Q:AE,15,0)*100</f>
        <v>2.0260687512975473</v>
      </c>
      <c r="K45" s="40">
        <f>VLOOKUP(CurrentMtgRatesDataTable871112[[#This Row],[asofdate]],Q:AE,4,0)*100</f>
        <v>1.32473747727608</v>
      </c>
      <c r="L45" s="40">
        <f>VLOOKUP(CurrentMtgRatesDataTable871112[[#This Row],[asofdate]],Q:AE,5,0)*100</f>
        <v>4.8345406248694403</v>
      </c>
      <c r="M45" s="40">
        <f>VLOOKUP(CurrentMtgRatesDataTable871112[[#This Row],[asofdate]],Q:AE,6,0)*100</f>
        <v>4.5729186390120899</v>
      </c>
      <c r="N45" s="40">
        <f>VLOOKUP(CurrentMtgRatesDataTable871112[[#This Row],[asofdate]],Q:AF,16,0)*100</f>
        <v>1.7789658681157889</v>
      </c>
      <c r="Q45" s="3" t="s">
        <v>64</v>
      </c>
      <c r="R45" s="21">
        <v>1.6294352826003E-2</v>
      </c>
      <c r="S45" s="29" t="str">
        <f>YEAR(CurrentMtgRatesDataTable8711121314[[#This Row],[asofdate]])&amp;"-"&amp;MONTH(CurrentMtgRatesDataTable8711121314[[#This Row],[asofdate]])</f>
        <v>2006-9</v>
      </c>
      <c r="T45" s="37">
        <f>CurrentMtgRatesDataTable8711121314[[#This Row],[SeriesNumValue]]</f>
        <v>1.6294352826003E-2</v>
      </c>
      <c r="U45" s="37">
        <f>VLOOKUP(CurrentMtgRatesDataTable8711121314[[#This Row],[asofdate]],B:D,2,0)</f>
        <v>0.106959828331922</v>
      </c>
      <c r="V45" s="37">
        <f>IF(VLOOKUP(CurrentMtgRatesDataTable8711121314[[#This Row],[asofdate]],G:H,2,0)&lt;&gt;0,VLOOKUP(CurrentMtgRatesDataTable8711121314[[#This Row],[asofdate]],G:H,2,0),V44)</f>
        <v>8.2438738787264404E-2</v>
      </c>
      <c r="W45" s="37">
        <f>CurrentMtgRatesDataTable8711121314[[#This Row],[FHA]]+0.5*CurrentMtgRatesDataTable8711121314[[#This Row],[Conventional]]</f>
        <v>0.1151070047449235</v>
      </c>
      <c r="X45" s="37">
        <f>2*CurrentMtgRatesDataTable8711121314[[#This Row],[FHA]]</f>
        <v>0.21391965666384399</v>
      </c>
      <c r="Y45" s="19">
        <f>VLOOKUP(YEAR(CurrentMtgRatesDataTable8711121314[[#This Row],[asofdate]]),OriginationVolume!$A:$N,8,FALSE)</f>
        <v>0.38823529411764707</v>
      </c>
      <c r="Z45" s="19">
        <f>VLOOKUP(YEAR(CurrentMtgRatesDataTable8711121314[[#This Row],[asofdate]]),OriginationVolume!$A:$N,9,FALSE)</f>
        <v>7.8431372549019607E-3</v>
      </c>
      <c r="AA45" s="19">
        <f>VLOOKUP(YEAR(CurrentMtgRatesDataTable8711121314[[#This Row],[asofdate]]),OriginationVolume!$A:$N,10,FALSE)</f>
        <v>2.3529411764705882E-2</v>
      </c>
      <c r="AB45" s="19">
        <f>VLOOKUP(YEAR(CurrentMtgRatesDataTable8711121314[[#This Row],[asofdate]]),OriginationVolume!$A:$N,11,FALSE)</f>
        <v>0.18823529411764706</v>
      </c>
      <c r="AC45" s="19">
        <f>VLOOKUP(YEAR(CurrentMtgRatesDataTable8711121314[[#This Row],[asofdate]]),OriginationVolume!$A:$N,12,FALSE)</f>
        <v>0.15686274509803921</v>
      </c>
      <c r="AD45" s="19">
        <f>VLOOKUP(YEAR(CurrentMtgRatesDataTable8711121314[[#This Row],[asofdate]]),OriginationVolume!$A:$N,13,FALSE)</f>
        <v>0.23529411764705882</v>
      </c>
      <c r="AE4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8.0946532951435612E-2</v>
      </c>
      <c r="AF4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0.12311884138699815</v>
      </c>
      <c r="AG45" s="3" t="s">
        <v>64</v>
      </c>
      <c r="AH45" s="5">
        <v>49542000</v>
      </c>
      <c r="AI45" s="26"/>
      <c r="AK45" s="3" t="s">
        <v>64</v>
      </c>
      <c r="AL45" s="5">
        <v>14696000</v>
      </c>
      <c r="AM45" s="26"/>
      <c r="AO45" s="3" t="s">
        <v>64</v>
      </c>
      <c r="AP45" s="5">
        <v>15093745589.51</v>
      </c>
      <c r="AQ45" s="29"/>
      <c r="AS45" s="3" t="s">
        <v>64</v>
      </c>
      <c r="AT45" s="5">
        <v>15029507589.51</v>
      </c>
      <c r="AU45" s="29" t="str">
        <f>YEAR(CurrentMtgRatesDataTable871112131417[[#This Row],[asofdate]])&amp;"-"&amp;MONTH(CurrentMtgRatesDataTable871112131417[[#This Row],[asofdate]])</f>
        <v>2006-9</v>
      </c>
      <c r="AV45" s="29">
        <f>CurrentMtgRatesDataTable871112131417[[#This Row],[SeriesNumValue]]</f>
        <v>15029507589.51</v>
      </c>
      <c r="AW45" s="29">
        <f>VLOOKUP(CurrentMtgRatesDataTable871112131417[[#This Row],[asofdate]],AG:AH,2,0)</f>
        <v>49542000</v>
      </c>
      <c r="AX45" s="25">
        <f>IF(VLOOKUP(CurrentMtgRatesDataTable871112131417[[#This Row],[asofdate]],AK:AL,2,0)&lt;&gt;0,VLOOKUP(CurrentMtgRatesDataTable871112131417[[#This Row],[asofdate]],AK:AL,2,0),AX44)</f>
        <v>14696000</v>
      </c>
      <c r="AY45" s="25">
        <f>VLOOKUP(CurrentMtgRatesDataTable871112131417[[#This Row],[asofdate]],AO:AP,2,0)</f>
        <v>15093745589.51</v>
      </c>
    </row>
    <row r="46" spans="2:51" s="2" customFormat="1">
      <c r="B46" s="3" t="s">
        <v>65</v>
      </c>
      <c r="C46" s="21">
        <v>0.111287570299785</v>
      </c>
      <c r="D46" s="26">
        <f>((CurrentMtgRatesDataTable8711[[#This Row],[SeriesNumValue]]-$C$1)/$C$1+1)*100</f>
        <v>741.9171353319</v>
      </c>
      <c r="E46" s="26"/>
      <c r="G46" s="3" t="s">
        <v>130</v>
      </c>
      <c r="H46" s="21">
        <v>4.6752001158217198E-2</v>
      </c>
      <c r="I46" s="21" t="str">
        <f>YEAR(CurrentMtgRatesDataTable871112[[#This Row],[asofdate]])&amp;"-"&amp;MONTH(CurrentMtgRatesDataTable871112[[#This Row],[asofdate]])</f>
        <v>2012-3</v>
      </c>
      <c r="J46" s="40">
        <f>VLOOKUP(CurrentMtgRatesDataTable871112[[#This Row],[asofdate]],Q:AE,15,0)*100</f>
        <v>2.0579256368834358</v>
      </c>
      <c r="K46" s="40">
        <f>VLOOKUP(CurrentMtgRatesDataTable871112[[#This Row],[asofdate]],Q:AE,4,0)*100</f>
        <v>1.3368199117739499</v>
      </c>
      <c r="L46" s="40">
        <f>VLOOKUP(CurrentMtgRatesDataTable871112[[#This Row],[asofdate]],Q:AE,5,0)*100</f>
        <v>4.9470745177948796</v>
      </c>
      <c r="M46" s="40">
        <f>VLOOKUP(CurrentMtgRatesDataTable871112[[#This Row],[asofdate]],Q:AE,6,0)*100</f>
        <v>4.6752001158217196</v>
      </c>
      <c r="N46" s="40">
        <f>VLOOKUP(CurrentMtgRatesDataTable871112[[#This Row],[asofdate]],Q:AF,16,0)*100</f>
        <v>1.8026422632719881</v>
      </c>
      <c r="Q46" s="3" t="s">
        <v>65</v>
      </c>
      <c r="R46" s="21">
        <v>1.8174335500528001E-2</v>
      </c>
      <c r="S46" s="29" t="str">
        <f>YEAR(CurrentMtgRatesDataTable8711121314[[#This Row],[asofdate]])&amp;"-"&amp;MONTH(CurrentMtgRatesDataTable8711121314[[#This Row],[asofdate]])</f>
        <v>2006-10</v>
      </c>
      <c r="T46" s="37">
        <f>CurrentMtgRatesDataTable8711121314[[#This Row],[SeriesNumValue]]</f>
        <v>1.8174335500528001E-2</v>
      </c>
      <c r="U46" s="37">
        <f>VLOOKUP(CurrentMtgRatesDataTable8711121314[[#This Row],[asofdate]],B:D,2,0)</f>
        <v>0.111287570299785</v>
      </c>
      <c r="V46" s="37">
        <f>IF(VLOOKUP(CurrentMtgRatesDataTable8711121314[[#This Row],[asofdate]],G:H,2,0)&lt;&gt;0,VLOOKUP(CurrentMtgRatesDataTable8711121314[[#This Row],[asofdate]],G:H,2,0),V45)</f>
        <v>9.04030528968605E-2</v>
      </c>
      <c r="W46" s="37">
        <f>CurrentMtgRatesDataTable8711121314[[#This Row],[FHA]]+0.5*CurrentMtgRatesDataTable8711121314[[#This Row],[Conventional]]</f>
        <v>0.120374738050049</v>
      </c>
      <c r="X46" s="37">
        <f>2*CurrentMtgRatesDataTable8711121314[[#This Row],[FHA]]</f>
        <v>0.22257514059957001</v>
      </c>
      <c r="Y46" s="19">
        <f>VLOOKUP(YEAR(CurrentMtgRatesDataTable8711121314[[#This Row],[asofdate]]),OriginationVolume!$A:$N,8,FALSE)</f>
        <v>0.38823529411764707</v>
      </c>
      <c r="Z46" s="19">
        <f>VLOOKUP(YEAR(CurrentMtgRatesDataTable8711121314[[#This Row],[asofdate]]),OriginationVolume!$A:$N,9,FALSE)</f>
        <v>7.8431372549019607E-3</v>
      </c>
      <c r="AA46" s="19">
        <f>VLOOKUP(YEAR(CurrentMtgRatesDataTable8711121314[[#This Row],[asofdate]]),OriginationVolume!$A:$N,10,FALSE)</f>
        <v>2.3529411764705882E-2</v>
      </c>
      <c r="AB46" s="19">
        <f>VLOOKUP(YEAR(CurrentMtgRatesDataTable8711121314[[#This Row],[asofdate]]),OriginationVolume!$A:$N,11,FALSE)</f>
        <v>0.18823529411764706</v>
      </c>
      <c r="AC46" s="19">
        <f>VLOOKUP(YEAR(CurrentMtgRatesDataTable8711121314[[#This Row],[asofdate]]),OriginationVolume!$A:$N,12,FALSE)</f>
        <v>0.15686274509803921</v>
      </c>
      <c r="AD46" s="19">
        <f>VLOOKUP(YEAR(CurrentMtgRatesDataTable8711121314[[#This Row],[asofdate]]),OriginationVolume!$A:$N,13,FALSE)</f>
        <v>0.23529411764705882</v>
      </c>
      <c r="AE4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8.5057477663318462E-2</v>
      </c>
      <c r="AF4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0.12866125717568586</v>
      </c>
      <c r="AG46" s="3" t="s">
        <v>65</v>
      </c>
      <c r="AH46" s="5">
        <v>56379000</v>
      </c>
      <c r="AI46" s="26"/>
      <c r="AK46" s="3" t="s">
        <v>65</v>
      </c>
      <c r="AL46" s="5">
        <v>17352000</v>
      </c>
      <c r="AM46" s="26"/>
      <c r="AO46" s="3" t="s">
        <v>65</v>
      </c>
      <c r="AP46" s="5">
        <v>15254610832.889999</v>
      </c>
      <c r="AQ46" s="29"/>
      <c r="AS46" s="3" t="s">
        <v>65</v>
      </c>
      <c r="AT46" s="5">
        <v>15180879832.889999</v>
      </c>
      <c r="AU46" s="29" t="str">
        <f>YEAR(CurrentMtgRatesDataTable871112131417[[#This Row],[asofdate]])&amp;"-"&amp;MONTH(CurrentMtgRatesDataTable871112131417[[#This Row],[asofdate]])</f>
        <v>2006-10</v>
      </c>
      <c r="AV46" s="29">
        <f>CurrentMtgRatesDataTable871112131417[[#This Row],[SeriesNumValue]]</f>
        <v>15180879832.889999</v>
      </c>
      <c r="AW46" s="29">
        <f>VLOOKUP(CurrentMtgRatesDataTable871112131417[[#This Row],[asofdate]],AG:AH,2,0)</f>
        <v>56379000</v>
      </c>
      <c r="AX46" s="25">
        <f>IF(VLOOKUP(CurrentMtgRatesDataTable871112131417[[#This Row],[asofdate]],AK:AL,2,0)&lt;&gt;0,VLOOKUP(CurrentMtgRatesDataTable871112131417[[#This Row],[asofdate]],AK:AL,2,0),AX45)</f>
        <v>17352000</v>
      </c>
      <c r="AY46" s="25">
        <f>VLOOKUP(CurrentMtgRatesDataTable871112131417[[#This Row],[asofdate]],AO:AP,2,0)</f>
        <v>15254610832.889999</v>
      </c>
    </row>
    <row r="47" spans="2:51" s="2" customFormat="1">
      <c r="B47" s="3" t="s">
        <v>66</v>
      </c>
      <c r="C47" s="21">
        <v>0.10281303848291801</v>
      </c>
      <c r="D47" s="26">
        <f>((CurrentMtgRatesDataTable8711[[#This Row],[SeriesNumValue]]-$C$1)/$C$1+1)*100</f>
        <v>685.42025655278667</v>
      </c>
      <c r="E47" s="26"/>
      <c r="G47" s="3" t="s">
        <v>129</v>
      </c>
      <c r="H47" s="21">
        <v>4.71167468684561E-2</v>
      </c>
      <c r="I47" s="21" t="str">
        <f>YEAR(CurrentMtgRatesDataTable871112[[#This Row],[asofdate]])&amp;"-"&amp;MONTH(CurrentMtgRatesDataTable871112[[#This Row],[asofdate]])</f>
        <v>2012-2</v>
      </c>
      <c r="J47" s="40">
        <f>VLOOKUP(CurrentMtgRatesDataTable871112[[#This Row],[asofdate]],Q:AE,15,0)*100</f>
        <v>2.0618585991936138</v>
      </c>
      <c r="K47" s="40">
        <f>VLOOKUP(CurrentMtgRatesDataTable871112[[#This Row],[asofdate]],Q:AE,4,0)*100</f>
        <v>1.33751901088938</v>
      </c>
      <c r="L47" s="40">
        <f>VLOOKUP(CurrentMtgRatesDataTable871112[[#This Row],[asofdate]],Q:AE,5,0)*100</f>
        <v>4.9578391995180198</v>
      </c>
      <c r="M47" s="40">
        <f>VLOOKUP(CurrentMtgRatesDataTable871112[[#This Row],[asofdate]],Q:AE,6,0)*100</f>
        <v>4.7116746868456101</v>
      </c>
      <c r="N47" s="40">
        <f>VLOOKUP(CurrentMtgRatesDataTable871112[[#This Row],[asofdate]],Q:AF,16,0)*100</f>
        <v>1.8044752679054279</v>
      </c>
      <c r="Q47" s="3" t="s">
        <v>66</v>
      </c>
      <c r="R47" s="21">
        <v>1.7975522842157501E-2</v>
      </c>
      <c r="S47" s="29" t="str">
        <f>YEAR(CurrentMtgRatesDataTable8711121314[[#This Row],[asofdate]])&amp;"-"&amp;MONTH(CurrentMtgRatesDataTable8711121314[[#This Row],[asofdate]])</f>
        <v>2006-11</v>
      </c>
      <c r="T47" s="37">
        <f>CurrentMtgRatesDataTable8711121314[[#This Row],[SeriesNumValue]]</f>
        <v>1.7975522842157501E-2</v>
      </c>
      <c r="U47" s="37">
        <f>VLOOKUP(CurrentMtgRatesDataTable8711121314[[#This Row],[asofdate]],B:D,2,0)</f>
        <v>0.10281303848291801</v>
      </c>
      <c r="V47" s="37">
        <f>IF(VLOOKUP(CurrentMtgRatesDataTable8711121314[[#This Row],[asofdate]],G:H,2,0)&lt;&gt;0,VLOOKUP(CurrentMtgRatesDataTable8711121314[[#This Row],[asofdate]],G:H,2,0),V46)</f>
        <v>0.101077691508849</v>
      </c>
      <c r="W47" s="37">
        <f>CurrentMtgRatesDataTable8711121314[[#This Row],[FHA]]+0.5*CurrentMtgRatesDataTable8711121314[[#This Row],[Conventional]]</f>
        <v>0.11180079990399676</v>
      </c>
      <c r="X47" s="37">
        <f>2*CurrentMtgRatesDataTable8711121314[[#This Row],[FHA]]</f>
        <v>0.20562607696583601</v>
      </c>
      <c r="Y47" s="19">
        <f>VLOOKUP(YEAR(CurrentMtgRatesDataTable8711121314[[#This Row],[asofdate]]),OriginationVolume!$A:$N,8,FALSE)</f>
        <v>0.38823529411764707</v>
      </c>
      <c r="Z47" s="19">
        <f>VLOOKUP(YEAR(CurrentMtgRatesDataTable8711121314[[#This Row],[asofdate]]),OriginationVolume!$A:$N,9,FALSE)</f>
        <v>7.8431372549019607E-3</v>
      </c>
      <c r="AA47" s="19">
        <f>VLOOKUP(YEAR(CurrentMtgRatesDataTable8711121314[[#This Row],[asofdate]]),OriginationVolume!$A:$N,10,FALSE)</f>
        <v>2.3529411764705882E-2</v>
      </c>
      <c r="AB47" s="19">
        <f>VLOOKUP(YEAR(CurrentMtgRatesDataTable8711121314[[#This Row],[asofdate]]),OriginationVolume!$A:$N,11,FALSE)</f>
        <v>0.18823529411764706</v>
      </c>
      <c r="AC47" s="19">
        <f>VLOOKUP(YEAR(CurrentMtgRatesDataTable8711121314[[#This Row],[asofdate]]),OriginationVolume!$A:$N,12,FALSE)</f>
        <v>0.15686274509803921</v>
      </c>
      <c r="AD47" s="19">
        <f>VLOOKUP(YEAR(CurrentMtgRatesDataTable8711121314[[#This Row],[asofdate]]),OriginationVolume!$A:$N,13,FALSE)</f>
        <v>0.23529411764705882</v>
      </c>
      <c r="AE4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7.9494243473813286E-2</v>
      </c>
      <c r="AF4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0.11940825480090264</v>
      </c>
      <c r="AG47" s="3" t="s">
        <v>66</v>
      </c>
      <c r="AH47" s="5">
        <v>54380000</v>
      </c>
      <c r="AI47" s="26"/>
      <c r="AK47" s="3" t="s">
        <v>66</v>
      </c>
      <c r="AL47" s="5">
        <v>16417000</v>
      </c>
      <c r="AM47" s="26"/>
      <c r="AO47" s="3" t="s">
        <v>66</v>
      </c>
      <c r="AP47" s="5">
        <v>13752962281.889999</v>
      </c>
      <c r="AQ47" s="29"/>
      <c r="AS47" s="3" t="s">
        <v>66</v>
      </c>
      <c r="AT47" s="5">
        <v>13682165281.889999</v>
      </c>
      <c r="AU47" s="29" t="str">
        <f>YEAR(CurrentMtgRatesDataTable871112131417[[#This Row],[asofdate]])&amp;"-"&amp;MONTH(CurrentMtgRatesDataTable871112131417[[#This Row],[asofdate]])</f>
        <v>2006-11</v>
      </c>
      <c r="AV47" s="29">
        <f>CurrentMtgRatesDataTable871112131417[[#This Row],[SeriesNumValue]]</f>
        <v>13682165281.889999</v>
      </c>
      <c r="AW47" s="29">
        <f>VLOOKUP(CurrentMtgRatesDataTable871112131417[[#This Row],[asofdate]],AG:AH,2,0)</f>
        <v>54380000</v>
      </c>
      <c r="AX47" s="25">
        <f>IF(VLOOKUP(CurrentMtgRatesDataTable871112131417[[#This Row],[asofdate]],AK:AL,2,0)&lt;&gt;0,VLOOKUP(CurrentMtgRatesDataTable871112131417[[#This Row],[asofdate]],AK:AL,2,0),AX46)</f>
        <v>16417000</v>
      </c>
      <c r="AY47" s="25">
        <f>VLOOKUP(CurrentMtgRatesDataTable871112131417[[#This Row],[asofdate]],AO:AP,2,0)</f>
        <v>13752962281.889999</v>
      </c>
    </row>
    <row r="48" spans="2:51" s="2" customFormat="1">
      <c r="B48" s="3" t="s">
        <v>67</v>
      </c>
      <c r="C48" s="21">
        <v>0.109423829061224</v>
      </c>
      <c r="D48" s="26">
        <f>((CurrentMtgRatesDataTable8711[[#This Row],[SeriesNumValue]]-$C$1)/$C$1+1)*100</f>
        <v>729.49219374149334</v>
      </c>
      <c r="E48" s="26"/>
      <c r="G48" s="3" t="s">
        <v>128</v>
      </c>
      <c r="H48" s="21">
        <v>4.6387119469580601E-2</v>
      </c>
      <c r="I48" s="21" t="str">
        <f>YEAR(CurrentMtgRatesDataTable871112[[#This Row],[asofdate]])&amp;"-"&amp;MONTH(CurrentMtgRatesDataTable871112[[#This Row],[asofdate]])</f>
        <v>2012-1</v>
      </c>
      <c r="J48" s="40">
        <f>VLOOKUP(CurrentMtgRatesDataTable871112[[#This Row],[asofdate]],Q:AE,15,0)*100</f>
        <v>2.0656402742261131</v>
      </c>
      <c r="K48" s="40">
        <f>VLOOKUP(CurrentMtgRatesDataTable871112[[#This Row],[asofdate]],Q:AE,4,0)*100</f>
        <v>1.3541139321708799</v>
      </c>
      <c r="L48" s="40">
        <f>VLOOKUP(CurrentMtgRatesDataTable871112[[#This Row],[asofdate]],Q:AE,5,0)*100</f>
        <v>4.91780670707106</v>
      </c>
      <c r="M48" s="40">
        <f>VLOOKUP(CurrentMtgRatesDataTable871112[[#This Row],[asofdate]],Q:AE,6,0)*100</f>
        <v>4.6387119469580602</v>
      </c>
      <c r="N48" s="40">
        <f>VLOOKUP(CurrentMtgRatesDataTable871112[[#This Row],[asofdate]],Q:AF,16,0)*100</f>
        <v>1.8158084604233466</v>
      </c>
      <c r="Q48" s="3" t="s">
        <v>67</v>
      </c>
      <c r="R48" s="21">
        <v>1.75274733531138E-2</v>
      </c>
      <c r="S48" s="29" t="str">
        <f>YEAR(CurrentMtgRatesDataTable8711121314[[#This Row],[asofdate]])&amp;"-"&amp;MONTH(CurrentMtgRatesDataTable8711121314[[#This Row],[asofdate]])</f>
        <v>2006-12</v>
      </c>
      <c r="T48" s="37">
        <f>CurrentMtgRatesDataTable8711121314[[#This Row],[SeriesNumValue]]</f>
        <v>1.75274733531138E-2</v>
      </c>
      <c r="U48" s="37">
        <f>VLOOKUP(CurrentMtgRatesDataTable8711121314[[#This Row],[asofdate]],B:D,2,0)</f>
        <v>0.109423829061224</v>
      </c>
      <c r="V48" s="37">
        <f>IF(VLOOKUP(CurrentMtgRatesDataTable8711121314[[#This Row],[asofdate]],G:H,2,0)&lt;&gt;0,VLOOKUP(CurrentMtgRatesDataTable8711121314[[#This Row],[asofdate]],G:H,2,0),V47)</f>
        <v>8.2485989149712502E-2</v>
      </c>
      <c r="W48" s="37">
        <f>CurrentMtgRatesDataTable8711121314[[#This Row],[FHA]]+0.5*CurrentMtgRatesDataTable8711121314[[#This Row],[Conventional]]</f>
        <v>0.1181875657377809</v>
      </c>
      <c r="X48" s="37">
        <f>2*CurrentMtgRatesDataTable8711121314[[#This Row],[FHA]]</f>
        <v>0.218847658122448</v>
      </c>
      <c r="Y48" s="19">
        <f>VLOOKUP(YEAR(CurrentMtgRatesDataTable8711121314[[#This Row],[asofdate]]),OriginationVolume!$A:$N,8,FALSE)</f>
        <v>0.38823529411764707</v>
      </c>
      <c r="Z48" s="19">
        <f>VLOOKUP(YEAR(CurrentMtgRatesDataTable8711121314[[#This Row],[asofdate]]),OriginationVolume!$A:$N,9,FALSE)</f>
        <v>7.8431372549019607E-3</v>
      </c>
      <c r="AA48" s="19">
        <f>VLOOKUP(YEAR(CurrentMtgRatesDataTable8711121314[[#This Row],[asofdate]]),OriginationVolume!$A:$N,10,FALSE)</f>
        <v>2.3529411764705882E-2</v>
      </c>
      <c r="AB48" s="19">
        <f>VLOOKUP(YEAR(CurrentMtgRatesDataTable8711121314[[#This Row],[asofdate]]),OriginationVolume!$A:$N,11,FALSE)</f>
        <v>0.18823529411764706</v>
      </c>
      <c r="AC48" s="19">
        <f>VLOOKUP(YEAR(CurrentMtgRatesDataTable8711121314[[#This Row],[asofdate]]),OriginationVolume!$A:$N,12,FALSE)</f>
        <v>0.15686274509803921</v>
      </c>
      <c r="AD48" s="19">
        <f>VLOOKUP(YEAR(CurrentMtgRatesDataTable8711121314[[#This Row],[asofdate]]),OriginationVolume!$A:$N,13,FALSE)</f>
        <v>0.23529411764705882</v>
      </c>
      <c r="AE4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8.3358492754637692E-2</v>
      </c>
      <c r="AF4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0.12634919485005119</v>
      </c>
      <c r="AG48" s="3" t="s">
        <v>67</v>
      </c>
      <c r="AH48" s="5">
        <v>54234000</v>
      </c>
      <c r="AI48" s="26"/>
      <c r="AK48" s="3" t="s">
        <v>67</v>
      </c>
      <c r="AL48" s="5">
        <v>21699000</v>
      </c>
      <c r="AM48" s="26"/>
      <c r="AO48" s="3" t="s">
        <v>67</v>
      </c>
      <c r="AP48" s="5">
        <v>14217507735.809999</v>
      </c>
      <c r="AQ48" s="29"/>
      <c r="AS48" s="3" t="s">
        <v>67</v>
      </c>
      <c r="AT48" s="5">
        <v>14141574735.809999</v>
      </c>
      <c r="AU48" s="29" t="str">
        <f>YEAR(CurrentMtgRatesDataTable871112131417[[#This Row],[asofdate]])&amp;"-"&amp;MONTH(CurrentMtgRatesDataTable871112131417[[#This Row],[asofdate]])</f>
        <v>2006-12</v>
      </c>
      <c r="AV48" s="29">
        <f>CurrentMtgRatesDataTable871112131417[[#This Row],[SeriesNumValue]]</f>
        <v>14141574735.809999</v>
      </c>
      <c r="AW48" s="29">
        <f>VLOOKUP(CurrentMtgRatesDataTable871112131417[[#This Row],[asofdate]],AG:AH,2,0)</f>
        <v>54234000</v>
      </c>
      <c r="AX48" s="25">
        <f>IF(VLOOKUP(CurrentMtgRatesDataTable871112131417[[#This Row],[asofdate]],AK:AL,2,0)&lt;&gt;0,VLOOKUP(CurrentMtgRatesDataTable871112131417[[#This Row],[asofdate]],AK:AL,2,0),AX47)</f>
        <v>21699000</v>
      </c>
      <c r="AY48" s="25">
        <f>VLOOKUP(CurrentMtgRatesDataTable871112131417[[#This Row],[asofdate]],AO:AP,2,0)</f>
        <v>14217507735.809999</v>
      </c>
    </row>
    <row r="49" spans="2:51" s="2" customFormat="1">
      <c r="B49" s="3" t="s">
        <v>68</v>
      </c>
      <c r="C49" s="21">
        <v>0.1093242256585</v>
      </c>
      <c r="D49" s="26">
        <f>((CurrentMtgRatesDataTable8711[[#This Row],[SeriesNumValue]]-$C$1)/$C$1+1)*100</f>
        <v>728.82817105666675</v>
      </c>
      <c r="E49" s="26"/>
      <c r="G49" s="3" t="s">
        <v>127</v>
      </c>
      <c r="H49" s="21">
        <v>4.6816733514231698E-2</v>
      </c>
      <c r="I49" s="21" t="str">
        <f>YEAR(CurrentMtgRatesDataTable871112[[#This Row],[asofdate]])&amp;"-"&amp;MONTH(CurrentMtgRatesDataTable871112[[#This Row],[asofdate]])</f>
        <v>2011-12</v>
      </c>
      <c r="J49" s="40">
        <f>VLOOKUP(CurrentMtgRatesDataTable871112[[#This Row],[asofdate]],Q:AE,15,0)*100</f>
        <v>2.109620461807086</v>
      </c>
      <c r="K49" s="40">
        <f>VLOOKUP(CurrentMtgRatesDataTable871112[[#This Row],[asofdate]],Q:AE,4,0)*100</f>
        <v>1.3330284117289501</v>
      </c>
      <c r="L49" s="40">
        <f>VLOOKUP(CurrentMtgRatesDataTable871112[[#This Row],[asofdate]],Q:AE,5,0)*100</f>
        <v>4.8851389138582801</v>
      </c>
      <c r="M49" s="40">
        <f>VLOOKUP(CurrentMtgRatesDataTable871112[[#This Row],[asofdate]],Q:AE,6,0)*100</f>
        <v>4.6816733514231696</v>
      </c>
      <c r="N49" s="40">
        <f>VLOOKUP(CurrentMtgRatesDataTable871112[[#This Row],[asofdate]],Q:AF,16,0)*100</f>
        <v>1.826697260536736</v>
      </c>
      <c r="Q49" s="3" t="s">
        <v>68</v>
      </c>
      <c r="R49" s="21">
        <v>1.8049062577908701E-2</v>
      </c>
      <c r="S49" s="29" t="str">
        <f>YEAR(CurrentMtgRatesDataTable8711121314[[#This Row],[asofdate]])&amp;"-"&amp;MONTH(CurrentMtgRatesDataTable8711121314[[#This Row],[asofdate]])</f>
        <v>2007-1</v>
      </c>
      <c r="T49" s="37">
        <f>CurrentMtgRatesDataTable8711121314[[#This Row],[SeriesNumValue]]</f>
        <v>1.8049062577908701E-2</v>
      </c>
      <c r="U49" s="37">
        <f>VLOOKUP(CurrentMtgRatesDataTable8711121314[[#This Row],[asofdate]],B:D,2,0)</f>
        <v>0.1093242256585</v>
      </c>
      <c r="V49" s="37">
        <f>IF(VLOOKUP(CurrentMtgRatesDataTable8711121314[[#This Row],[asofdate]],G:H,2,0)&lt;&gt;0,VLOOKUP(CurrentMtgRatesDataTable8711121314[[#This Row],[asofdate]],G:H,2,0),V48)</f>
        <v>8.7345811231672704E-2</v>
      </c>
      <c r="W49" s="37">
        <f>CurrentMtgRatesDataTable8711121314[[#This Row],[FHA]]+0.5*CurrentMtgRatesDataTable8711121314[[#This Row],[Conventional]]</f>
        <v>0.11834875694745435</v>
      </c>
      <c r="X49" s="37">
        <f>2*CurrentMtgRatesDataTable8711121314[[#This Row],[FHA]]</f>
        <v>0.218648451317</v>
      </c>
      <c r="Y49" s="19">
        <f>VLOOKUP(YEAR(CurrentMtgRatesDataTable8711121314[[#This Row],[asofdate]]),OriginationVolume!$A:$N,8,FALSE)</f>
        <v>0.55309947140797688</v>
      </c>
      <c r="Z49" s="19">
        <f>VLOOKUP(YEAR(CurrentMtgRatesDataTable8711121314[[#This Row],[asofdate]]),OriginationVolume!$A:$N,9,FALSE)</f>
        <v>1.3935607880826525E-2</v>
      </c>
      <c r="AA49" s="19">
        <f>VLOOKUP(YEAR(CurrentMtgRatesDataTable8711121314[[#This Row],[asofdate]]),OriginationVolume!$A:$N,10,FALSE)</f>
        <v>4.1806823642479576E-2</v>
      </c>
      <c r="AB49" s="19">
        <f>VLOOKUP(YEAR(CurrentMtgRatesDataTable8711121314[[#This Row],[asofdate]]),OriginationVolume!$A:$N,11,FALSE)</f>
        <v>0.16722729456991831</v>
      </c>
      <c r="AC49" s="19">
        <f>VLOOKUP(YEAR(CurrentMtgRatesDataTable8711121314[[#This Row],[asofdate]]),OriginationVolume!$A:$N,12,FALSE)</f>
        <v>0.13214800576645844</v>
      </c>
      <c r="AD49" s="19">
        <f>VLOOKUP(YEAR(CurrentMtgRatesDataTable8711121314[[#This Row],[asofdate]]),OriginationVolume!$A:$N,13,FALSE)</f>
        <v>9.1782796732340216E-2</v>
      </c>
      <c r="AE4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5.4496657051605044E-2</v>
      </c>
      <c r="AF4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9.9003484200502673E-2</v>
      </c>
      <c r="AG49" s="3" t="s">
        <v>68</v>
      </c>
      <c r="AH49" s="5">
        <v>51795000</v>
      </c>
      <c r="AI49" s="26"/>
      <c r="AK49" s="3" t="s">
        <v>68</v>
      </c>
      <c r="AL49" s="5">
        <v>17786000</v>
      </c>
      <c r="AM49" s="26"/>
      <c r="AO49" s="3" t="s">
        <v>68</v>
      </c>
      <c r="AP49" s="5">
        <v>13498222133.4</v>
      </c>
      <c r="AQ49" s="29"/>
      <c r="AS49" s="3" t="s">
        <v>68</v>
      </c>
      <c r="AT49" s="5">
        <v>13428641133.4</v>
      </c>
      <c r="AU49" s="29" t="str">
        <f>YEAR(CurrentMtgRatesDataTable871112131417[[#This Row],[asofdate]])&amp;"-"&amp;MONTH(CurrentMtgRatesDataTable871112131417[[#This Row],[asofdate]])</f>
        <v>2007-1</v>
      </c>
      <c r="AV49" s="29">
        <f>CurrentMtgRatesDataTable871112131417[[#This Row],[SeriesNumValue]]</f>
        <v>13428641133.4</v>
      </c>
      <c r="AW49" s="29">
        <f>VLOOKUP(CurrentMtgRatesDataTable871112131417[[#This Row],[asofdate]],AG:AH,2,0)</f>
        <v>51795000</v>
      </c>
      <c r="AX49" s="25">
        <f>IF(VLOOKUP(CurrentMtgRatesDataTable871112131417[[#This Row],[asofdate]],AK:AL,2,0)&lt;&gt;0,VLOOKUP(CurrentMtgRatesDataTable871112131417[[#This Row],[asofdate]],AK:AL,2,0),AX48)</f>
        <v>17786000</v>
      </c>
      <c r="AY49" s="25">
        <f>VLOOKUP(CurrentMtgRatesDataTable871112131417[[#This Row],[asofdate]],AO:AP,2,0)</f>
        <v>13498222133.4</v>
      </c>
    </row>
    <row r="50" spans="2:51" s="2" customFormat="1">
      <c r="B50" s="3" t="s">
        <v>69</v>
      </c>
      <c r="C50" s="21">
        <v>0.106621948942194</v>
      </c>
      <c r="D50" s="26">
        <f>((CurrentMtgRatesDataTable8711[[#This Row],[SeriesNumValue]]-$C$1)/$C$1+1)*100</f>
        <v>710.81299294795997</v>
      </c>
      <c r="E50" s="26"/>
      <c r="G50" s="3" t="s">
        <v>126</v>
      </c>
      <c r="H50" s="21">
        <v>5.1315061043071201E-2</v>
      </c>
      <c r="I50" s="21" t="str">
        <f>YEAR(CurrentMtgRatesDataTable871112[[#This Row],[asofdate]])&amp;"-"&amp;MONTH(CurrentMtgRatesDataTable871112[[#This Row],[asofdate]])</f>
        <v>2011-11</v>
      </c>
      <c r="J50" s="40">
        <f>VLOOKUP(CurrentMtgRatesDataTable871112[[#This Row],[asofdate]],Q:AE,15,0)*100</f>
        <v>2.2513568962623545</v>
      </c>
      <c r="K50" s="40">
        <f>VLOOKUP(CurrentMtgRatesDataTable871112[[#This Row],[asofdate]],Q:AE,4,0)*100</f>
        <v>1.4153733152068699</v>
      </c>
      <c r="L50" s="40">
        <f>VLOOKUP(CurrentMtgRatesDataTable871112[[#This Row],[asofdate]],Q:AE,5,0)*100</f>
        <v>5.20626571998638</v>
      </c>
      <c r="M50" s="40">
        <f>VLOOKUP(CurrentMtgRatesDataTable871112[[#This Row],[asofdate]],Q:AE,6,0)*100</f>
        <v>5.1315061043071202</v>
      </c>
      <c r="N50" s="40">
        <f>VLOOKUP(CurrentMtgRatesDataTable871112[[#This Row],[asofdate]],Q:AF,16,0)*100</f>
        <v>1.9418027799538102</v>
      </c>
      <c r="Q50" s="3" t="s">
        <v>69</v>
      </c>
      <c r="R50" s="21">
        <v>1.8218072306683201E-2</v>
      </c>
      <c r="S50" s="29" t="str">
        <f>YEAR(CurrentMtgRatesDataTable8711121314[[#This Row],[asofdate]])&amp;"-"&amp;MONTH(CurrentMtgRatesDataTable8711121314[[#This Row],[asofdate]])</f>
        <v>2007-2</v>
      </c>
      <c r="T50" s="37">
        <f>CurrentMtgRatesDataTable8711121314[[#This Row],[SeriesNumValue]]</f>
        <v>1.8218072306683201E-2</v>
      </c>
      <c r="U50" s="37">
        <f>VLOOKUP(CurrentMtgRatesDataTable8711121314[[#This Row],[asofdate]],B:D,2,0)</f>
        <v>0.106621948942194</v>
      </c>
      <c r="V50" s="37">
        <f>IF(VLOOKUP(CurrentMtgRatesDataTable8711121314[[#This Row],[asofdate]],G:H,2,0)&lt;&gt;0,VLOOKUP(CurrentMtgRatesDataTable8711121314[[#This Row],[asofdate]],G:H,2,0),V49)</f>
        <v>8.8833892051242799E-2</v>
      </c>
      <c r="W50" s="37">
        <f>CurrentMtgRatesDataTable8711121314[[#This Row],[FHA]]+0.5*CurrentMtgRatesDataTable8711121314[[#This Row],[Conventional]]</f>
        <v>0.1157309850955356</v>
      </c>
      <c r="X50" s="37">
        <f>2*CurrentMtgRatesDataTable8711121314[[#This Row],[FHA]]</f>
        <v>0.213243897884388</v>
      </c>
      <c r="Y50" s="19">
        <f>VLOOKUP(YEAR(CurrentMtgRatesDataTable8711121314[[#This Row],[asofdate]]),OriginationVolume!$A:$N,8,FALSE)</f>
        <v>0.55309947140797688</v>
      </c>
      <c r="Z50" s="19">
        <f>VLOOKUP(YEAR(CurrentMtgRatesDataTable8711121314[[#This Row],[asofdate]]),OriginationVolume!$A:$N,9,FALSE)</f>
        <v>1.3935607880826525E-2</v>
      </c>
      <c r="AA50" s="19">
        <f>VLOOKUP(YEAR(CurrentMtgRatesDataTable8711121314[[#This Row],[asofdate]]),OriginationVolume!$A:$N,10,FALSE)</f>
        <v>4.1806823642479576E-2</v>
      </c>
      <c r="AB50" s="19">
        <f>VLOOKUP(YEAR(CurrentMtgRatesDataTable8711121314[[#This Row],[asofdate]]),OriginationVolume!$A:$N,11,FALSE)</f>
        <v>0.16722729456991831</v>
      </c>
      <c r="AC50" s="19">
        <f>VLOOKUP(YEAR(CurrentMtgRatesDataTable8711121314[[#This Row],[asofdate]]),OriginationVolume!$A:$N,12,FALSE)</f>
        <v>0.13214800576645844</v>
      </c>
      <c r="AD50" s="19">
        <f>VLOOKUP(YEAR(CurrentMtgRatesDataTable8711121314[[#This Row],[asofdate]]),OriginationVolume!$A:$N,13,FALSE)</f>
        <v>9.1782796732340216E-2</v>
      </c>
      <c r="AE5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5.3684184628719572E-2</v>
      </c>
      <c r="AF5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9.692321199006898E-2</v>
      </c>
      <c r="AG50" s="3" t="s">
        <v>69</v>
      </c>
      <c r="AH50" s="5">
        <v>48199000</v>
      </c>
      <c r="AI50" s="26"/>
      <c r="AK50" s="3" t="s">
        <v>69</v>
      </c>
      <c r="AL50" s="5">
        <v>15848000</v>
      </c>
      <c r="AM50" s="26"/>
      <c r="AO50" s="3" t="s">
        <v>69</v>
      </c>
      <c r="AP50" s="5">
        <v>13124578315.92</v>
      </c>
      <c r="AQ50" s="29"/>
      <c r="AS50" s="3" t="s">
        <v>69</v>
      </c>
      <c r="AT50" s="5">
        <v>13060531315.92</v>
      </c>
      <c r="AU50" s="29" t="str">
        <f>YEAR(CurrentMtgRatesDataTable871112131417[[#This Row],[asofdate]])&amp;"-"&amp;MONTH(CurrentMtgRatesDataTable871112131417[[#This Row],[asofdate]])</f>
        <v>2007-2</v>
      </c>
      <c r="AV50" s="29">
        <f>CurrentMtgRatesDataTable871112131417[[#This Row],[SeriesNumValue]]</f>
        <v>13060531315.92</v>
      </c>
      <c r="AW50" s="29">
        <f>VLOOKUP(CurrentMtgRatesDataTable871112131417[[#This Row],[asofdate]],AG:AH,2,0)</f>
        <v>48199000</v>
      </c>
      <c r="AX50" s="25">
        <f>IF(VLOOKUP(CurrentMtgRatesDataTable871112131417[[#This Row],[asofdate]],AK:AL,2,0)&lt;&gt;0,VLOOKUP(CurrentMtgRatesDataTable871112131417[[#This Row],[asofdate]],AK:AL,2,0),AX49)</f>
        <v>15848000</v>
      </c>
      <c r="AY50" s="25">
        <f>VLOOKUP(CurrentMtgRatesDataTable871112131417[[#This Row],[asofdate]],AO:AP,2,0)</f>
        <v>13124578315.92</v>
      </c>
    </row>
    <row r="51" spans="2:51" s="2" customFormat="1">
      <c r="B51" s="3" t="s">
        <v>70</v>
      </c>
      <c r="C51" s="21">
        <v>0.101950777887985</v>
      </c>
      <c r="D51" s="26">
        <f>((CurrentMtgRatesDataTable8711[[#This Row],[SeriesNumValue]]-$C$1)/$C$1+1)*100</f>
        <v>679.67185258656673</v>
      </c>
      <c r="E51" s="26"/>
      <c r="G51" s="3" t="s">
        <v>125</v>
      </c>
      <c r="H51" s="21">
        <v>5.1907866082719203E-2</v>
      </c>
      <c r="I51" s="21" t="str">
        <f>YEAR(CurrentMtgRatesDataTable871112[[#This Row],[asofdate]])&amp;"-"&amp;MONTH(CurrentMtgRatesDataTable871112[[#This Row],[asofdate]])</f>
        <v>2011-10</v>
      </c>
      <c r="J51" s="40">
        <f>VLOOKUP(CurrentMtgRatesDataTable871112[[#This Row],[asofdate]],Q:AE,15,0)*100</f>
        <v>2.2979785000519519</v>
      </c>
      <c r="K51" s="40">
        <f>VLOOKUP(CurrentMtgRatesDataTable871112[[#This Row],[asofdate]],Q:AE,4,0)*100</f>
        <v>1.45289945276896</v>
      </c>
      <c r="L51" s="40">
        <f>VLOOKUP(CurrentMtgRatesDataTable871112[[#This Row],[asofdate]],Q:AE,5,0)*100</f>
        <v>5.2896937761256497</v>
      </c>
      <c r="M51" s="40">
        <f>VLOOKUP(CurrentMtgRatesDataTable871112[[#This Row],[asofdate]],Q:AE,6,0)*100</f>
        <v>5.1907866082719201</v>
      </c>
      <c r="N51" s="40">
        <f>VLOOKUP(CurrentMtgRatesDataTable871112[[#This Row],[asofdate]],Q:AF,16,0)*100</f>
        <v>1.9868960968876077</v>
      </c>
      <c r="Q51" s="3" t="s">
        <v>70</v>
      </c>
      <c r="R51" s="21">
        <v>1.8106452720528399E-2</v>
      </c>
      <c r="S51" s="29" t="str">
        <f>YEAR(CurrentMtgRatesDataTable8711121314[[#This Row],[asofdate]])&amp;"-"&amp;MONTH(CurrentMtgRatesDataTable8711121314[[#This Row],[asofdate]])</f>
        <v>2007-3</v>
      </c>
      <c r="T51" s="37">
        <f>CurrentMtgRatesDataTable8711121314[[#This Row],[SeriesNumValue]]</f>
        <v>1.8106452720528399E-2</v>
      </c>
      <c r="U51" s="37">
        <f>VLOOKUP(CurrentMtgRatesDataTable8711121314[[#This Row],[asofdate]],B:D,2,0)</f>
        <v>0.101950777887985</v>
      </c>
      <c r="V51" s="37">
        <f>IF(VLOOKUP(CurrentMtgRatesDataTable8711121314[[#This Row],[asofdate]],G:H,2,0)&lt;&gt;0,VLOOKUP(CurrentMtgRatesDataTable8711121314[[#This Row],[asofdate]],G:H,2,0),V50)</f>
        <v>8.8833892051242799E-2</v>
      </c>
      <c r="W51" s="37">
        <f>CurrentMtgRatesDataTable8711121314[[#This Row],[FHA]]+0.5*CurrentMtgRatesDataTable8711121314[[#This Row],[Conventional]]</f>
        <v>0.1110040042482492</v>
      </c>
      <c r="X51" s="37">
        <f>2*CurrentMtgRatesDataTable8711121314[[#This Row],[FHA]]</f>
        <v>0.20390155577596999</v>
      </c>
      <c r="Y51" s="19">
        <f>VLOOKUP(YEAR(CurrentMtgRatesDataTable8711121314[[#This Row],[asofdate]]),OriginationVolume!$A:$N,8,FALSE)</f>
        <v>0.55309947140797688</v>
      </c>
      <c r="Z51" s="19">
        <f>VLOOKUP(YEAR(CurrentMtgRatesDataTable8711121314[[#This Row],[asofdate]]),OriginationVolume!$A:$N,9,FALSE)</f>
        <v>1.3935607880826525E-2</v>
      </c>
      <c r="AA51" s="19">
        <f>VLOOKUP(YEAR(CurrentMtgRatesDataTable8711121314[[#This Row],[asofdate]]),OriginationVolume!$A:$N,10,FALSE)</f>
        <v>4.1806823642479576E-2</v>
      </c>
      <c r="AB51" s="19">
        <f>VLOOKUP(YEAR(CurrentMtgRatesDataTable8711121314[[#This Row],[asofdate]]),OriginationVolume!$A:$N,11,FALSE)</f>
        <v>0.16722729456991831</v>
      </c>
      <c r="AC51" s="19">
        <f>VLOOKUP(YEAR(CurrentMtgRatesDataTable8711121314[[#This Row],[asofdate]]),OriginationVolume!$A:$N,12,FALSE)</f>
        <v>0.13214800576645844</v>
      </c>
      <c r="AD51" s="19">
        <f>VLOOKUP(YEAR(CurrentMtgRatesDataTable8711121314[[#This Row],[asofdate]]),OriginationVolume!$A:$N,13,FALSE)</f>
        <v>9.1782796732340216E-2</v>
      </c>
      <c r="AE5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5.1926367849731661E-2</v>
      </c>
      <c r="AF5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9.3086417528529086E-2</v>
      </c>
      <c r="AG51" s="3" t="s">
        <v>70</v>
      </c>
      <c r="AH51" s="5">
        <v>38261000</v>
      </c>
      <c r="AI51" s="26"/>
      <c r="AK51" s="3" t="s">
        <v>70</v>
      </c>
      <c r="AL51" s="5">
        <v>13950000</v>
      </c>
      <c r="AM51" s="26"/>
      <c r="AO51" s="3" t="s">
        <v>70</v>
      </c>
      <c r="AP51" s="5">
        <v>10625968730.68</v>
      </c>
      <c r="AQ51" s="29"/>
      <c r="AS51" s="3" t="s">
        <v>70</v>
      </c>
      <c r="AT51" s="5">
        <v>10573757730.68</v>
      </c>
      <c r="AU51" s="29" t="str">
        <f>YEAR(CurrentMtgRatesDataTable871112131417[[#This Row],[asofdate]])&amp;"-"&amp;MONTH(CurrentMtgRatesDataTable871112131417[[#This Row],[asofdate]])</f>
        <v>2007-3</v>
      </c>
      <c r="AV51" s="29">
        <f>CurrentMtgRatesDataTable871112131417[[#This Row],[SeriesNumValue]]</f>
        <v>10573757730.68</v>
      </c>
      <c r="AW51" s="29">
        <f>VLOOKUP(CurrentMtgRatesDataTable871112131417[[#This Row],[asofdate]],AG:AH,2,0)</f>
        <v>38261000</v>
      </c>
      <c r="AX51" s="25">
        <f>IF(VLOOKUP(CurrentMtgRatesDataTable871112131417[[#This Row],[asofdate]],AK:AL,2,0)&lt;&gt;0,VLOOKUP(CurrentMtgRatesDataTable871112131417[[#This Row],[asofdate]],AK:AL,2,0),AX50)</f>
        <v>13950000</v>
      </c>
      <c r="AY51" s="25">
        <f>VLOOKUP(CurrentMtgRatesDataTable871112131417[[#This Row],[asofdate]],AO:AP,2,0)</f>
        <v>10625968730.68</v>
      </c>
    </row>
    <row r="52" spans="2:51" s="2" customFormat="1">
      <c r="B52" s="3" t="s">
        <v>71</v>
      </c>
      <c r="C52" s="21">
        <v>0.11322743894513</v>
      </c>
      <c r="D52" s="26">
        <f>((CurrentMtgRatesDataTable8711[[#This Row],[SeriesNumValue]]-$C$1)/$C$1+1)*100</f>
        <v>754.84959296753345</v>
      </c>
      <c r="E52" s="26"/>
      <c r="G52" s="3" t="s">
        <v>124</v>
      </c>
      <c r="H52" s="21">
        <v>4.7379612469321097E-2</v>
      </c>
      <c r="I52" s="21" t="str">
        <f>YEAR(CurrentMtgRatesDataTable871112[[#This Row],[asofdate]])&amp;"-"&amp;MONTH(CurrentMtgRatesDataTable871112[[#This Row],[asofdate]])</f>
        <v>2011-9</v>
      </c>
      <c r="J52" s="40">
        <f>VLOOKUP(CurrentMtgRatesDataTable871112[[#This Row],[asofdate]],Q:AE,15,0)*100</f>
        <v>2.1057113897831017</v>
      </c>
      <c r="K52" s="40">
        <f>VLOOKUP(CurrentMtgRatesDataTable871112[[#This Row],[asofdate]],Q:AE,4,0)*100</f>
        <v>1.3295891282051799</v>
      </c>
      <c r="L52" s="40">
        <f>VLOOKUP(CurrentMtgRatesDataTable871112[[#This Row],[asofdate]],Q:AE,5,0)*100</f>
        <v>4.8609534038481099</v>
      </c>
      <c r="M52" s="40">
        <f>VLOOKUP(CurrentMtgRatesDataTable871112[[#This Row],[asofdate]],Q:AE,6,0)*100</f>
        <v>4.7379612469321097</v>
      </c>
      <c r="N52" s="40">
        <f>VLOOKUP(CurrentMtgRatesDataTable871112[[#This Row],[asofdate]],Q:AF,16,0)*100</f>
        <v>1.8206289924307197</v>
      </c>
      <c r="Q52" s="3" t="s">
        <v>71</v>
      </c>
      <c r="R52" s="21">
        <v>1.9218681550226799E-2</v>
      </c>
      <c r="S52" s="29" t="str">
        <f>YEAR(CurrentMtgRatesDataTable8711121314[[#This Row],[asofdate]])&amp;"-"&amp;MONTH(CurrentMtgRatesDataTable8711121314[[#This Row],[asofdate]])</f>
        <v>2007-4</v>
      </c>
      <c r="T52" s="37">
        <f>CurrentMtgRatesDataTable8711121314[[#This Row],[SeriesNumValue]]</f>
        <v>1.9218681550226799E-2</v>
      </c>
      <c r="U52" s="37">
        <f>VLOOKUP(CurrentMtgRatesDataTable8711121314[[#This Row],[asofdate]],B:D,2,0)</f>
        <v>0.11322743894513</v>
      </c>
      <c r="V52" s="37">
        <f>IF(VLOOKUP(CurrentMtgRatesDataTable8711121314[[#This Row],[asofdate]],G:H,2,0)&lt;&gt;0,VLOOKUP(CurrentMtgRatesDataTable8711121314[[#This Row],[asofdate]],G:H,2,0),V51)</f>
        <v>8.5720663516440795E-2</v>
      </c>
      <c r="W52" s="37">
        <f>CurrentMtgRatesDataTable8711121314[[#This Row],[FHA]]+0.5*CurrentMtgRatesDataTable8711121314[[#This Row],[Conventional]]</f>
        <v>0.1228367797202434</v>
      </c>
      <c r="X52" s="37">
        <f>2*CurrentMtgRatesDataTable8711121314[[#This Row],[FHA]]</f>
        <v>0.22645487789026</v>
      </c>
      <c r="Y52" s="19">
        <f>VLOOKUP(YEAR(CurrentMtgRatesDataTable8711121314[[#This Row],[asofdate]]),OriginationVolume!$A:$N,8,FALSE)</f>
        <v>0.55309947140797688</v>
      </c>
      <c r="Z52" s="19">
        <f>VLOOKUP(YEAR(CurrentMtgRatesDataTable8711121314[[#This Row],[asofdate]]),OriginationVolume!$A:$N,9,FALSE)</f>
        <v>1.3935607880826525E-2</v>
      </c>
      <c r="AA52" s="19">
        <f>VLOOKUP(YEAR(CurrentMtgRatesDataTable8711121314[[#This Row],[asofdate]]),OriginationVolume!$A:$N,10,FALSE)</f>
        <v>4.1806823642479576E-2</v>
      </c>
      <c r="AB52" s="19">
        <f>VLOOKUP(YEAR(CurrentMtgRatesDataTable8711121314[[#This Row],[asofdate]]),OriginationVolume!$A:$N,11,FALSE)</f>
        <v>0.16722729456991831</v>
      </c>
      <c r="AC52" s="19">
        <f>VLOOKUP(YEAR(CurrentMtgRatesDataTable8711121314[[#This Row],[asofdate]]),OriginationVolume!$A:$N,12,FALSE)</f>
        <v>0.13214800576645844</v>
      </c>
      <c r="AD52" s="19">
        <f>VLOOKUP(YEAR(CurrentMtgRatesDataTable8711121314[[#This Row],[asofdate]]),OriginationVolume!$A:$N,13,FALSE)</f>
        <v>9.1782796732340216E-2</v>
      </c>
      <c r="AE5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5.6789277354204547E-2</v>
      </c>
      <c r="AF5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0.10285147085944167</v>
      </c>
      <c r="AG52" s="3" t="s">
        <v>71</v>
      </c>
      <c r="AH52" s="5">
        <v>47432000</v>
      </c>
      <c r="AI52" s="26"/>
      <c r="AK52" s="3" t="s">
        <v>71</v>
      </c>
      <c r="AL52" s="5">
        <v>18663000</v>
      </c>
      <c r="AM52" s="26"/>
      <c r="AO52" s="3" t="s">
        <v>71</v>
      </c>
      <c r="AP52" s="5">
        <v>12274867240.42</v>
      </c>
      <c r="AQ52" s="29"/>
      <c r="AS52" s="3" t="s">
        <v>71</v>
      </c>
      <c r="AT52" s="5">
        <v>12208772240.42</v>
      </c>
      <c r="AU52" s="29" t="str">
        <f>YEAR(CurrentMtgRatesDataTable871112131417[[#This Row],[asofdate]])&amp;"-"&amp;MONTH(CurrentMtgRatesDataTable871112131417[[#This Row],[asofdate]])</f>
        <v>2007-4</v>
      </c>
      <c r="AV52" s="29">
        <f>CurrentMtgRatesDataTable871112131417[[#This Row],[SeriesNumValue]]</f>
        <v>12208772240.42</v>
      </c>
      <c r="AW52" s="29">
        <f>VLOOKUP(CurrentMtgRatesDataTable871112131417[[#This Row],[asofdate]],AG:AH,2,0)</f>
        <v>47432000</v>
      </c>
      <c r="AX52" s="25">
        <f>IF(VLOOKUP(CurrentMtgRatesDataTable871112131417[[#This Row],[asofdate]],AK:AL,2,0)&lt;&gt;0,VLOOKUP(CurrentMtgRatesDataTable871112131417[[#This Row],[asofdate]],AK:AL,2,0),AX51)</f>
        <v>18663000</v>
      </c>
      <c r="AY52" s="25">
        <f>VLOOKUP(CurrentMtgRatesDataTable871112131417[[#This Row],[asofdate]],AO:AP,2,0)</f>
        <v>12274867240.42</v>
      </c>
    </row>
    <row r="53" spans="2:51" s="2" customFormat="1">
      <c r="B53" s="3" t="s">
        <v>72</v>
      </c>
      <c r="C53" s="21">
        <v>0.109331088924152</v>
      </c>
      <c r="D53" s="26">
        <f>((CurrentMtgRatesDataTable8711[[#This Row],[SeriesNumValue]]-$C$1)/$C$1+1)*100</f>
        <v>728.87392616101329</v>
      </c>
      <c r="E53" s="26"/>
      <c r="G53" s="3" t="s">
        <v>123</v>
      </c>
      <c r="H53" s="21">
        <v>5.0209840006234303E-2</v>
      </c>
      <c r="I53" s="21" t="str">
        <f>YEAR(CurrentMtgRatesDataTable871112[[#This Row],[asofdate]])&amp;"-"&amp;MONTH(CurrentMtgRatesDataTable871112[[#This Row],[asofdate]])</f>
        <v>2011-8</v>
      </c>
      <c r="J53" s="40">
        <f>VLOOKUP(CurrentMtgRatesDataTable871112[[#This Row],[asofdate]],Q:AE,15,0)*100</f>
        <v>2.1560165833527485</v>
      </c>
      <c r="K53" s="40">
        <f>VLOOKUP(CurrentMtgRatesDataTable871112[[#This Row],[asofdate]],Q:AE,4,0)*100</f>
        <v>1.35046347973401</v>
      </c>
      <c r="L53" s="40">
        <f>VLOOKUP(CurrentMtgRatesDataTable871112[[#This Row],[asofdate]],Q:AE,5,0)*100</f>
        <v>4.97679699794692</v>
      </c>
      <c r="M53" s="40">
        <f>VLOOKUP(CurrentMtgRatesDataTable871112[[#This Row],[asofdate]],Q:AE,6,0)*100</f>
        <v>5.0209840006234305</v>
      </c>
      <c r="N53" s="40">
        <f>VLOOKUP(CurrentMtgRatesDataTable871112[[#This Row],[asofdate]],Q:AF,16,0)*100</f>
        <v>1.8538381375944255</v>
      </c>
      <c r="Q53" s="3" t="s">
        <v>72</v>
      </c>
      <c r="R53" s="21">
        <v>2.0422342200062199E-2</v>
      </c>
      <c r="S53" s="29" t="str">
        <f>YEAR(CurrentMtgRatesDataTable8711121314[[#This Row],[asofdate]])&amp;"-"&amp;MONTH(CurrentMtgRatesDataTable8711121314[[#This Row],[asofdate]])</f>
        <v>2007-5</v>
      </c>
      <c r="T53" s="37">
        <f>CurrentMtgRatesDataTable8711121314[[#This Row],[SeriesNumValue]]</f>
        <v>2.0422342200062199E-2</v>
      </c>
      <c r="U53" s="37">
        <f>VLOOKUP(CurrentMtgRatesDataTable8711121314[[#This Row],[asofdate]],B:D,2,0)</f>
        <v>0.109331088924152</v>
      </c>
      <c r="V53" s="37">
        <f>IF(VLOOKUP(CurrentMtgRatesDataTable8711121314[[#This Row],[asofdate]],G:H,2,0)&lt;&gt;0,VLOOKUP(CurrentMtgRatesDataTable8711121314[[#This Row],[asofdate]],G:H,2,0),V52)</f>
        <v>9.4059593281205903E-2</v>
      </c>
      <c r="W53" s="37">
        <f>CurrentMtgRatesDataTable8711121314[[#This Row],[FHA]]+0.5*CurrentMtgRatesDataTable8711121314[[#This Row],[Conventional]]</f>
        <v>0.1195422600241831</v>
      </c>
      <c r="X53" s="37">
        <f>2*CurrentMtgRatesDataTable8711121314[[#This Row],[FHA]]</f>
        <v>0.218662177848304</v>
      </c>
      <c r="Y53" s="19">
        <f>VLOOKUP(YEAR(CurrentMtgRatesDataTable8711121314[[#This Row],[asofdate]]),OriginationVolume!$A:$N,8,FALSE)</f>
        <v>0.55309947140797688</v>
      </c>
      <c r="Z53" s="19">
        <f>VLOOKUP(YEAR(CurrentMtgRatesDataTable8711121314[[#This Row],[asofdate]]),OriginationVolume!$A:$N,9,FALSE)</f>
        <v>1.3935607880826525E-2</v>
      </c>
      <c r="AA53" s="19">
        <f>VLOOKUP(YEAR(CurrentMtgRatesDataTable8711121314[[#This Row],[asofdate]]),OriginationVolume!$A:$N,10,FALSE)</f>
        <v>4.1806823642479576E-2</v>
      </c>
      <c r="AB53" s="19">
        <f>VLOOKUP(YEAR(CurrentMtgRatesDataTable8711121314[[#This Row],[asofdate]]),OriginationVolume!$A:$N,11,FALSE)</f>
        <v>0.16722729456991831</v>
      </c>
      <c r="AC53" s="19">
        <f>VLOOKUP(YEAR(CurrentMtgRatesDataTable8711121314[[#This Row],[asofdate]]),OriginationVolume!$A:$N,12,FALSE)</f>
        <v>0.13214800576645844</v>
      </c>
      <c r="AD53" s="19">
        <f>VLOOKUP(YEAR(CurrentMtgRatesDataTable8711121314[[#This Row],[asofdate]]),OriginationVolume!$A:$N,13,FALSE)</f>
        <v>9.1782796732340216E-2</v>
      </c>
      <c r="AE5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5.6459020362866819E-2</v>
      </c>
      <c r="AF5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0.10042453631609098</v>
      </c>
      <c r="AG53" s="3" t="s">
        <v>72</v>
      </c>
      <c r="AH53" s="5">
        <v>66177000</v>
      </c>
      <c r="AI53" s="26"/>
      <c r="AK53" s="3" t="s">
        <v>72</v>
      </c>
      <c r="AL53" s="5">
        <v>19376000</v>
      </c>
      <c r="AM53" s="26"/>
      <c r="AO53" s="3" t="s">
        <v>72</v>
      </c>
      <c r="AP53" s="5">
        <v>16261292046.35</v>
      </c>
      <c r="AQ53" s="29"/>
      <c r="AS53" s="3" t="s">
        <v>72</v>
      </c>
      <c r="AT53" s="5">
        <v>16175739046.35</v>
      </c>
      <c r="AU53" s="29" t="str">
        <f>YEAR(CurrentMtgRatesDataTable871112131417[[#This Row],[asofdate]])&amp;"-"&amp;MONTH(CurrentMtgRatesDataTable871112131417[[#This Row],[asofdate]])</f>
        <v>2007-5</v>
      </c>
      <c r="AV53" s="29">
        <f>CurrentMtgRatesDataTable871112131417[[#This Row],[SeriesNumValue]]</f>
        <v>16175739046.35</v>
      </c>
      <c r="AW53" s="29">
        <f>VLOOKUP(CurrentMtgRatesDataTable871112131417[[#This Row],[asofdate]],AG:AH,2,0)</f>
        <v>66177000</v>
      </c>
      <c r="AX53" s="25">
        <f>IF(VLOOKUP(CurrentMtgRatesDataTable871112131417[[#This Row],[asofdate]],AK:AL,2,0)&lt;&gt;0,VLOOKUP(CurrentMtgRatesDataTable871112131417[[#This Row],[asofdate]],AK:AL,2,0),AX52)</f>
        <v>19376000</v>
      </c>
      <c r="AY53" s="25">
        <f>VLOOKUP(CurrentMtgRatesDataTable871112131417[[#This Row],[asofdate]],AO:AP,2,0)</f>
        <v>16261292046.35</v>
      </c>
    </row>
    <row r="54" spans="2:51" s="2" customFormat="1">
      <c r="B54" s="3" t="s">
        <v>73</v>
      </c>
      <c r="C54" s="21">
        <v>0.113390111014102</v>
      </c>
      <c r="D54" s="26">
        <f>((CurrentMtgRatesDataTable8711[[#This Row],[SeriesNumValue]]-$C$1)/$C$1+1)*100</f>
        <v>755.93407342734668</v>
      </c>
      <c r="E54" s="26"/>
      <c r="G54" s="3" t="s">
        <v>122</v>
      </c>
      <c r="H54" s="21">
        <v>5.2659002166967103E-2</v>
      </c>
      <c r="I54" s="21" t="str">
        <f>YEAR(CurrentMtgRatesDataTable871112[[#This Row],[asofdate]])&amp;"-"&amp;MONTH(CurrentMtgRatesDataTable871112[[#This Row],[asofdate]])</f>
        <v>2011-7</v>
      </c>
      <c r="J54" s="40">
        <f>VLOOKUP(CurrentMtgRatesDataTable871112[[#This Row],[asofdate]],Q:AE,15,0)*100</f>
        <v>2.1780550470312208</v>
      </c>
      <c r="K54" s="40">
        <f>VLOOKUP(CurrentMtgRatesDataTable871112[[#This Row],[asofdate]],Q:AE,4,0)*100</f>
        <v>1.3548661533222499</v>
      </c>
      <c r="L54" s="40">
        <f>VLOOKUP(CurrentMtgRatesDataTable871112[[#This Row],[asofdate]],Q:AE,5,0)*100</f>
        <v>5.0131895350331597</v>
      </c>
      <c r="M54" s="40">
        <f>VLOOKUP(CurrentMtgRatesDataTable871112[[#This Row],[asofdate]],Q:AE,6,0)*100</f>
        <v>5.2659002166967106</v>
      </c>
      <c r="N54" s="40">
        <f>VLOOKUP(CurrentMtgRatesDataTable871112[[#This Row],[asofdate]],Q:AF,16,0)*100</f>
        <v>1.86224190908919</v>
      </c>
      <c r="Q54" s="3" t="s">
        <v>73</v>
      </c>
      <c r="R54" s="21">
        <v>2.1071832143085101E-2</v>
      </c>
      <c r="S54" s="29" t="str">
        <f>YEAR(CurrentMtgRatesDataTable8711121314[[#This Row],[asofdate]])&amp;"-"&amp;MONTH(CurrentMtgRatesDataTable8711121314[[#This Row],[asofdate]])</f>
        <v>2007-6</v>
      </c>
      <c r="T54" s="37">
        <f>CurrentMtgRatesDataTable8711121314[[#This Row],[SeriesNumValue]]</f>
        <v>2.1071832143085101E-2</v>
      </c>
      <c r="U54" s="37">
        <f>VLOOKUP(CurrentMtgRatesDataTable8711121314[[#This Row],[asofdate]],B:D,2,0)</f>
        <v>0.113390111014102</v>
      </c>
      <c r="V54" s="37">
        <f>IF(VLOOKUP(CurrentMtgRatesDataTable8711121314[[#This Row],[asofdate]],G:H,2,0)&lt;&gt;0,VLOOKUP(CurrentMtgRatesDataTable8711121314[[#This Row],[asofdate]],G:H,2,0),V53)</f>
        <v>7.6040970936058994E-2</v>
      </c>
      <c r="W54" s="37">
        <f>CurrentMtgRatesDataTable8711121314[[#This Row],[FHA]]+0.5*CurrentMtgRatesDataTable8711121314[[#This Row],[Conventional]]</f>
        <v>0.12392602708564456</v>
      </c>
      <c r="X54" s="37">
        <f>2*CurrentMtgRatesDataTable8711121314[[#This Row],[FHA]]</f>
        <v>0.226780222028204</v>
      </c>
      <c r="Y54" s="19">
        <f>VLOOKUP(YEAR(CurrentMtgRatesDataTable8711121314[[#This Row],[asofdate]]),OriginationVolume!$A:$N,8,FALSE)</f>
        <v>0.55309947140797688</v>
      </c>
      <c r="Z54" s="19">
        <f>VLOOKUP(YEAR(CurrentMtgRatesDataTable8711121314[[#This Row],[asofdate]]),OriginationVolume!$A:$N,9,FALSE)</f>
        <v>1.3935607880826525E-2</v>
      </c>
      <c r="AA54" s="19">
        <f>VLOOKUP(YEAR(CurrentMtgRatesDataTable8711121314[[#This Row],[asofdate]]),OriginationVolume!$A:$N,10,FALSE)</f>
        <v>4.1806823642479576E-2</v>
      </c>
      <c r="AB54" s="19">
        <f>VLOOKUP(YEAR(CurrentMtgRatesDataTable8711121314[[#This Row],[asofdate]]),OriginationVolume!$A:$N,11,FALSE)</f>
        <v>0.16722729456991831</v>
      </c>
      <c r="AC54" s="19">
        <f>VLOOKUP(YEAR(CurrentMtgRatesDataTable8711121314[[#This Row],[asofdate]]),OriginationVolume!$A:$N,12,FALSE)</f>
        <v>0.13214800576645844</v>
      </c>
      <c r="AD54" s="19">
        <f>VLOOKUP(YEAR(CurrentMtgRatesDataTable8711121314[[#This Row],[asofdate]]),OriginationVolume!$A:$N,13,FALSE)</f>
        <v>9.1782796732340216E-2</v>
      </c>
      <c r="AE5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5.8169862591925206E-2</v>
      </c>
      <c r="AF5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0.1040880558252246</v>
      </c>
      <c r="AG54" s="3" t="s">
        <v>73</v>
      </c>
      <c r="AH54" s="5">
        <v>82424000</v>
      </c>
      <c r="AI54" s="26"/>
      <c r="AK54" s="3" t="s">
        <v>73</v>
      </c>
      <c r="AL54" s="5">
        <v>19400000</v>
      </c>
      <c r="AM54" s="26"/>
      <c r="AO54" s="3" t="s">
        <v>73</v>
      </c>
      <c r="AP54" s="5">
        <v>17193197055.080002</v>
      </c>
      <c r="AQ54" s="29"/>
      <c r="AS54" s="3" t="s">
        <v>73</v>
      </c>
      <c r="AT54" s="5">
        <v>17091373055.08</v>
      </c>
      <c r="AU54" s="29" t="str">
        <f>YEAR(CurrentMtgRatesDataTable871112131417[[#This Row],[asofdate]])&amp;"-"&amp;MONTH(CurrentMtgRatesDataTable871112131417[[#This Row],[asofdate]])</f>
        <v>2007-6</v>
      </c>
      <c r="AV54" s="29">
        <f>CurrentMtgRatesDataTable871112131417[[#This Row],[SeriesNumValue]]</f>
        <v>17091373055.08</v>
      </c>
      <c r="AW54" s="29">
        <f>VLOOKUP(CurrentMtgRatesDataTable871112131417[[#This Row],[asofdate]],AG:AH,2,0)</f>
        <v>82424000</v>
      </c>
      <c r="AX54" s="25">
        <f>IF(VLOOKUP(CurrentMtgRatesDataTable871112131417[[#This Row],[asofdate]],AK:AL,2,0)&lt;&gt;0,VLOOKUP(CurrentMtgRatesDataTable871112131417[[#This Row],[asofdate]],AK:AL,2,0),AX53)</f>
        <v>19400000</v>
      </c>
      <c r="AY54" s="25">
        <f>VLOOKUP(CurrentMtgRatesDataTable871112131417[[#This Row],[asofdate]],AO:AP,2,0)</f>
        <v>17193197055.080002</v>
      </c>
    </row>
    <row r="55" spans="2:51" s="2" customFormat="1">
      <c r="B55" s="3" t="s">
        <v>74</v>
      </c>
      <c r="C55" s="21">
        <v>0.11526275108716</v>
      </c>
      <c r="D55" s="26">
        <f>((CurrentMtgRatesDataTable8711[[#This Row],[SeriesNumValue]]-$C$1)/$C$1+1)*100</f>
        <v>768.41834058106667</v>
      </c>
      <c r="E55" s="26"/>
      <c r="G55" s="3" t="s">
        <v>121</v>
      </c>
      <c r="H55" s="21">
        <v>5.1146663651552397E-2</v>
      </c>
      <c r="I55" s="21" t="str">
        <f>YEAR(CurrentMtgRatesDataTable871112[[#This Row],[asofdate]])&amp;"-"&amp;MONTH(CurrentMtgRatesDataTable871112[[#This Row],[asofdate]])</f>
        <v>2011-6</v>
      </c>
      <c r="J55" s="40">
        <f>VLOOKUP(CurrentMtgRatesDataTable871112[[#This Row],[asofdate]],Q:AE,15,0)*100</f>
        <v>2.0194972183012312</v>
      </c>
      <c r="K55" s="40">
        <f>VLOOKUP(CurrentMtgRatesDataTable871112[[#This Row],[asofdate]],Q:AE,4,0)*100</f>
        <v>1.2266524577687299</v>
      </c>
      <c r="L55" s="40">
        <f>VLOOKUP(CurrentMtgRatesDataTable871112[[#This Row],[asofdate]],Q:AE,5,0)*100</f>
        <v>4.7169554670103802</v>
      </c>
      <c r="M55" s="40">
        <f>VLOOKUP(CurrentMtgRatesDataTable871112[[#This Row],[asofdate]],Q:AE,6,0)*100</f>
        <v>5.11466636515524</v>
      </c>
      <c r="N55" s="40">
        <f>VLOOKUP(CurrentMtgRatesDataTable871112[[#This Row],[asofdate]],Q:AF,16,0)*100</f>
        <v>1.7068643898898592</v>
      </c>
      <c r="Q55" s="3" t="s">
        <v>74</v>
      </c>
      <c r="R55" s="21">
        <v>2.2137845183631499E-2</v>
      </c>
      <c r="S55" s="29" t="str">
        <f>YEAR(CurrentMtgRatesDataTable8711121314[[#This Row],[asofdate]])&amp;"-"&amp;MONTH(CurrentMtgRatesDataTable8711121314[[#This Row],[asofdate]])</f>
        <v>2007-7</v>
      </c>
      <c r="T55" s="37">
        <f>CurrentMtgRatesDataTable8711121314[[#This Row],[SeriesNumValue]]</f>
        <v>2.2137845183631499E-2</v>
      </c>
      <c r="U55" s="37">
        <f>VLOOKUP(CurrentMtgRatesDataTable8711121314[[#This Row],[asofdate]],B:D,2,0)</f>
        <v>0.11526275108716</v>
      </c>
      <c r="V55" s="37">
        <f>IF(VLOOKUP(CurrentMtgRatesDataTable8711121314[[#This Row],[asofdate]],G:H,2,0)&lt;&gt;0,VLOOKUP(CurrentMtgRatesDataTable8711121314[[#This Row],[asofdate]],G:H,2,0),V54)</f>
        <v>9.0262087142296804E-2</v>
      </c>
      <c r="W55" s="37">
        <f>CurrentMtgRatesDataTable8711121314[[#This Row],[FHA]]+0.5*CurrentMtgRatesDataTable8711121314[[#This Row],[Conventional]]</f>
        <v>0.12633167367897574</v>
      </c>
      <c r="X55" s="37">
        <f>2*CurrentMtgRatesDataTable8711121314[[#This Row],[FHA]]</f>
        <v>0.23052550217432</v>
      </c>
      <c r="Y55" s="19">
        <f>VLOOKUP(YEAR(CurrentMtgRatesDataTable8711121314[[#This Row],[asofdate]]),OriginationVolume!$A:$N,8,FALSE)</f>
        <v>0.55309947140797688</v>
      </c>
      <c r="Z55" s="19">
        <f>VLOOKUP(YEAR(CurrentMtgRatesDataTable8711121314[[#This Row],[asofdate]]),OriginationVolume!$A:$N,9,FALSE)</f>
        <v>1.3935607880826525E-2</v>
      </c>
      <c r="AA55" s="19">
        <f>VLOOKUP(YEAR(CurrentMtgRatesDataTable8711121314[[#This Row],[asofdate]]),OriginationVolume!$A:$N,10,FALSE)</f>
        <v>4.1806823642479576E-2</v>
      </c>
      <c r="AB55" s="19">
        <f>VLOOKUP(YEAR(CurrentMtgRatesDataTable8711121314[[#This Row],[asofdate]]),OriginationVolume!$A:$N,11,FALSE)</f>
        <v>0.16722729456991831</v>
      </c>
      <c r="AC55" s="19">
        <f>VLOOKUP(YEAR(CurrentMtgRatesDataTable8711121314[[#This Row],[asofdate]]),OriginationVolume!$A:$N,12,FALSE)</f>
        <v>0.13214800576645844</v>
      </c>
      <c r="AD55" s="19">
        <f>VLOOKUP(YEAR(CurrentMtgRatesDataTable8711121314[[#This Row],[asofdate]]),OriginationVolume!$A:$N,13,FALSE)</f>
        <v>9.1782796732340216E-2</v>
      </c>
      <c r="AE5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5.987586303651446E-2</v>
      </c>
      <c r="AF5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0.10623532100849781</v>
      </c>
      <c r="AG55" s="3" t="s">
        <v>74</v>
      </c>
      <c r="AH55" s="5">
        <v>88427000</v>
      </c>
      <c r="AI55" s="26"/>
      <c r="AK55" s="3" t="s">
        <v>74</v>
      </c>
      <c r="AL55" s="5">
        <v>25947000</v>
      </c>
      <c r="AM55" s="26"/>
      <c r="AO55" s="3" t="s">
        <v>74</v>
      </c>
      <c r="AP55" s="5">
        <v>18742639435.759998</v>
      </c>
      <c r="AQ55" s="29"/>
      <c r="AS55" s="3" t="s">
        <v>74</v>
      </c>
      <c r="AT55" s="5">
        <v>18628265435.759998</v>
      </c>
      <c r="AU55" s="29" t="str">
        <f>YEAR(CurrentMtgRatesDataTable871112131417[[#This Row],[asofdate]])&amp;"-"&amp;MONTH(CurrentMtgRatesDataTable871112131417[[#This Row],[asofdate]])</f>
        <v>2007-7</v>
      </c>
      <c r="AV55" s="29">
        <f>CurrentMtgRatesDataTable871112131417[[#This Row],[SeriesNumValue]]</f>
        <v>18628265435.759998</v>
      </c>
      <c r="AW55" s="29">
        <f>VLOOKUP(CurrentMtgRatesDataTable871112131417[[#This Row],[asofdate]],AG:AH,2,0)</f>
        <v>88427000</v>
      </c>
      <c r="AX55" s="25">
        <f>IF(VLOOKUP(CurrentMtgRatesDataTable871112131417[[#This Row],[asofdate]],AK:AL,2,0)&lt;&gt;0,VLOOKUP(CurrentMtgRatesDataTable871112131417[[#This Row],[asofdate]],AK:AL,2,0),AX54)</f>
        <v>25947000</v>
      </c>
      <c r="AY55" s="25">
        <f>VLOOKUP(CurrentMtgRatesDataTable871112131417[[#This Row],[asofdate]],AO:AP,2,0)</f>
        <v>18742639435.759998</v>
      </c>
    </row>
    <row r="56" spans="2:51" s="2" customFormat="1">
      <c r="B56" s="3" t="s">
        <v>75</v>
      </c>
      <c r="C56" s="21">
        <v>9.5228743774607896E-2</v>
      </c>
      <c r="D56" s="26">
        <f>((CurrentMtgRatesDataTable8711[[#This Row],[SeriesNumValue]]-$C$1)/$C$1+1)*100</f>
        <v>634.85829183071928</v>
      </c>
      <c r="E56" s="26"/>
      <c r="G56" s="3" t="s">
        <v>120</v>
      </c>
      <c r="H56" s="21">
        <v>5.1291471977601498E-2</v>
      </c>
      <c r="I56" s="21" t="str">
        <f>YEAR(CurrentMtgRatesDataTable871112[[#This Row],[asofdate]])&amp;"-"&amp;MONTH(CurrentMtgRatesDataTable871112[[#This Row],[asofdate]])</f>
        <v>2011-5</v>
      </c>
      <c r="J56" s="40">
        <f>VLOOKUP(CurrentMtgRatesDataTable871112[[#This Row],[asofdate]],Q:AE,15,0)*100</f>
        <v>2.0256356399235376</v>
      </c>
      <c r="K56" s="40">
        <f>VLOOKUP(CurrentMtgRatesDataTable871112[[#This Row],[asofdate]],Q:AE,4,0)*100</f>
        <v>1.23644975040067</v>
      </c>
      <c r="L56" s="40">
        <f>VLOOKUP(CurrentMtgRatesDataTable871112[[#This Row],[asofdate]],Q:AE,5,0)*100</f>
        <v>4.70308645442217</v>
      </c>
      <c r="M56" s="40">
        <f>VLOOKUP(CurrentMtgRatesDataTable871112[[#This Row],[asofdate]],Q:AE,6,0)*100</f>
        <v>5.1291471977601502</v>
      </c>
      <c r="N56" s="40">
        <f>VLOOKUP(CurrentMtgRatesDataTable871112[[#This Row],[asofdate]],Q:AF,16,0)*100</f>
        <v>1.7144654671181185</v>
      </c>
      <c r="Q56" s="3" t="s">
        <v>75</v>
      </c>
      <c r="R56" s="21">
        <v>2.07952481029351E-2</v>
      </c>
      <c r="S56" s="29" t="str">
        <f>YEAR(CurrentMtgRatesDataTable8711121314[[#This Row],[asofdate]])&amp;"-"&amp;MONTH(CurrentMtgRatesDataTable8711121314[[#This Row],[asofdate]])</f>
        <v>2007-8</v>
      </c>
      <c r="T56" s="37">
        <f>CurrentMtgRatesDataTable8711121314[[#This Row],[SeriesNumValue]]</f>
        <v>2.07952481029351E-2</v>
      </c>
      <c r="U56" s="37">
        <f>VLOOKUP(CurrentMtgRatesDataTable8711121314[[#This Row],[asofdate]],B:D,2,0)</f>
        <v>9.5228743774607896E-2</v>
      </c>
      <c r="V56" s="37">
        <f>IF(VLOOKUP(CurrentMtgRatesDataTable8711121314[[#This Row],[asofdate]],G:H,2,0)&lt;&gt;0,VLOOKUP(CurrentMtgRatesDataTable8711121314[[#This Row],[asofdate]],G:H,2,0),V55)</f>
        <v>7.3171463970122794E-2</v>
      </c>
      <c r="W56" s="37">
        <f>CurrentMtgRatesDataTable8711121314[[#This Row],[FHA]]+0.5*CurrentMtgRatesDataTable8711121314[[#This Row],[Conventional]]</f>
        <v>0.10562636782607544</v>
      </c>
      <c r="X56" s="37">
        <f>2*CurrentMtgRatesDataTable8711121314[[#This Row],[FHA]]</f>
        <v>0.19045748754921579</v>
      </c>
      <c r="Y56" s="19">
        <f>VLOOKUP(YEAR(CurrentMtgRatesDataTable8711121314[[#This Row],[asofdate]]),OriginationVolume!$A:$N,8,FALSE)</f>
        <v>0.55309947140797688</v>
      </c>
      <c r="Z56" s="19">
        <f>VLOOKUP(YEAR(CurrentMtgRatesDataTable8711121314[[#This Row],[asofdate]]),OriginationVolume!$A:$N,9,FALSE)</f>
        <v>1.3935607880826525E-2</v>
      </c>
      <c r="AA56" s="19">
        <f>VLOOKUP(YEAR(CurrentMtgRatesDataTable8711121314[[#This Row],[asofdate]]),OriginationVolume!$A:$N,10,FALSE)</f>
        <v>4.1806823642479576E-2</v>
      </c>
      <c r="AB56" s="19">
        <f>VLOOKUP(YEAR(CurrentMtgRatesDataTable8711121314[[#This Row],[asofdate]]),OriginationVolume!$A:$N,11,FALSE)</f>
        <v>0.16722729456991831</v>
      </c>
      <c r="AC56" s="19">
        <f>VLOOKUP(YEAR(CurrentMtgRatesDataTable8711121314[[#This Row],[asofdate]]),OriginationVolume!$A:$N,12,FALSE)</f>
        <v>0.13214800576645844</v>
      </c>
      <c r="AD56" s="19">
        <f>VLOOKUP(YEAR(CurrentMtgRatesDataTable8711121314[[#This Row],[asofdate]]),OriginationVolume!$A:$N,13,FALSE)</f>
        <v>9.1782796732340216E-2</v>
      </c>
      <c r="AE5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5.1419308670780942E-2</v>
      </c>
      <c r="AF5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8.9264591663258466E-2</v>
      </c>
      <c r="AG56" s="3" t="s">
        <v>75</v>
      </c>
      <c r="AH56" s="5">
        <v>90161000</v>
      </c>
      <c r="AI56" s="26"/>
      <c r="AK56" s="3" t="s">
        <v>75</v>
      </c>
      <c r="AL56" s="5">
        <v>25000000</v>
      </c>
      <c r="AM56" s="26"/>
      <c r="AO56" s="3" t="s">
        <v>75</v>
      </c>
      <c r="AP56" s="5">
        <v>18782818648.16</v>
      </c>
      <c r="AQ56" s="29"/>
      <c r="AS56" s="3" t="s">
        <v>75</v>
      </c>
      <c r="AT56" s="5">
        <v>18667657648.16</v>
      </c>
      <c r="AU56" s="29" t="str">
        <f>YEAR(CurrentMtgRatesDataTable871112131417[[#This Row],[asofdate]])&amp;"-"&amp;MONTH(CurrentMtgRatesDataTable871112131417[[#This Row],[asofdate]])</f>
        <v>2007-8</v>
      </c>
      <c r="AV56" s="29">
        <f>CurrentMtgRatesDataTable871112131417[[#This Row],[SeriesNumValue]]</f>
        <v>18667657648.16</v>
      </c>
      <c r="AW56" s="29">
        <f>VLOOKUP(CurrentMtgRatesDataTable871112131417[[#This Row],[asofdate]],AG:AH,2,0)</f>
        <v>90161000</v>
      </c>
      <c r="AX56" s="25">
        <f>IF(VLOOKUP(CurrentMtgRatesDataTable871112131417[[#This Row],[asofdate]],AK:AL,2,0)&lt;&gt;0,VLOOKUP(CurrentMtgRatesDataTable871112131417[[#This Row],[asofdate]],AK:AL,2,0),AX55)</f>
        <v>25000000</v>
      </c>
      <c r="AY56" s="25">
        <f>VLOOKUP(CurrentMtgRatesDataTable871112131417[[#This Row],[asofdate]],AO:AP,2,0)</f>
        <v>18782818648.16</v>
      </c>
    </row>
    <row r="57" spans="2:51" s="2" customFormat="1">
      <c r="B57" s="3" t="s">
        <v>76</v>
      </c>
      <c r="C57" s="21">
        <v>0.109100905383647</v>
      </c>
      <c r="D57" s="26">
        <f>((CurrentMtgRatesDataTable8711[[#This Row],[SeriesNumValue]]-$C$1)/$C$1+1)*100</f>
        <v>727.33936922431337</v>
      </c>
      <c r="E57" s="26"/>
      <c r="G57" s="3" t="s">
        <v>119</v>
      </c>
      <c r="H57" s="21">
        <v>4.6889622090334801E-2</v>
      </c>
      <c r="I57" s="21" t="str">
        <f>YEAR(CurrentMtgRatesDataTable871112[[#This Row],[asofdate]])&amp;"-"&amp;MONTH(CurrentMtgRatesDataTable871112[[#This Row],[asofdate]])</f>
        <v>2011-4</v>
      </c>
      <c r="J57" s="40">
        <f>VLOOKUP(CurrentMtgRatesDataTable871112[[#This Row],[asofdate]],Q:AE,15,0)*100</f>
        <v>1.8558417016542272</v>
      </c>
      <c r="K57" s="40">
        <f>VLOOKUP(CurrentMtgRatesDataTable871112[[#This Row],[asofdate]],Q:AE,4,0)*100</f>
        <v>1.1262793007874499</v>
      </c>
      <c r="L57" s="40">
        <f>VLOOKUP(CurrentMtgRatesDataTable871112[[#This Row],[asofdate]],Q:AE,5,0)*100</f>
        <v>4.3426562211492996</v>
      </c>
      <c r="M57" s="40">
        <f>VLOOKUP(CurrentMtgRatesDataTable871112[[#This Row],[asofdate]],Q:AE,6,0)*100</f>
        <v>4.6889622090334804</v>
      </c>
      <c r="N57" s="40">
        <f>VLOOKUP(CurrentMtgRatesDataTable871112[[#This Row],[asofdate]],Q:AF,16,0)*100</f>
        <v>1.5685631548120385</v>
      </c>
      <c r="Q57" s="3" t="s">
        <v>76</v>
      </c>
      <c r="R57" s="21">
        <v>2.23409674352518E-2</v>
      </c>
      <c r="S57" s="29" t="str">
        <f>YEAR(CurrentMtgRatesDataTable8711121314[[#This Row],[asofdate]])&amp;"-"&amp;MONTH(CurrentMtgRatesDataTable8711121314[[#This Row],[asofdate]])</f>
        <v>2007-9</v>
      </c>
      <c r="T57" s="37">
        <f>CurrentMtgRatesDataTable8711121314[[#This Row],[SeriesNumValue]]</f>
        <v>2.23409674352518E-2</v>
      </c>
      <c r="U57" s="37">
        <f>VLOOKUP(CurrentMtgRatesDataTable8711121314[[#This Row],[asofdate]],B:D,2,0)</f>
        <v>0.109100905383647</v>
      </c>
      <c r="V57" s="37">
        <f>IF(VLOOKUP(CurrentMtgRatesDataTable8711121314[[#This Row],[asofdate]],G:H,2,0)&lt;&gt;0,VLOOKUP(CurrentMtgRatesDataTable8711121314[[#This Row],[asofdate]],G:H,2,0),V56)</f>
        <v>7.3171463970122794E-2</v>
      </c>
      <c r="W57" s="37">
        <f>CurrentMtgRatesDataTable8711121314[[#This Row],[FHA]]+0.5*CurrentMtgRatesDataTable8711121314[[#This Row],[Conventional]]</f>
        <v>0.1202713891012729</v>
      </c>
      <c r="X57" s="37">
        <f>2*CurrentMtgRatesDataTable8711121314[[#This Row],[FHA]]</f>
        <v>0.218201810767294</v>
      </c>
      <c r="Y57" s="19">
        <f>VLOOKUP(YEAR(CurrentMtgRatesDataTable8711121314[[#This Row],[asofdate]]),OriginationVolume!$A:$N,8,FALSE)</f>
        <v>0.55309947140797688</v>
      </c>
      <c r="Z57" s="19">
        <f>VLOOKUP(YEAR(CurrentMtgRatesDataTable8711121314[[#This Row],[asofdate]]),OriginationVolume!$A:$N,9,FALSE)</f>
        <v>1.3935607880826525E-2</v>
      </c>
      <c r="AA57" s="19">
        <f>VLOOKUP(YEAR(CurrentMtgRatesDataTable8711121314[[#This Row],[asofdate]]),OriginationVolume!$A:$N,10,FALSE)</f>
        <v>4.1806823642479576E-2</v>
      </c>
      <c r="AB57" s="19">
        <f>VLOOKUP(YEAR(CurrentMtgRatesDataTable8711121314[[#This Row],[asofdate]]),OriginationVolume!$A:$N,11,FALSE)</f>
        <v>0.16722729456991831</v>
      </c>
      <c r="AC57" s="19">
        <f>VLOOKUP(YEAR(CurrentMtgRatesDataTable8711121314[[#This Row],[asofdate]]),OriginationVolume!$A:$N,12,FALSE)</f>
        <v>0.13214800576645844</v>
      </c>
      <c r="AD57" s="19">
        <f>VLOOKUP(YEAR(CurrentMtgRatesDataTable8711121314[[#This Row],[asofdate]]),OriginationVolume!$A:$N,13,FALSE)</f>
        <v>9.1782796732340216E-2</v>
      </c>
      <c r="AE5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5.7594444626793126E-2</v>
      </c>
      <c r="AF5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0.1013830890993499</v>
      </c>
      <c r="AG57" s="3" t="s">
        <v>76</v>
      </c>
      <c r="AH57" s="5">
        <v>76387000</v>
      </c>
      <c r="AI57" s="26"/>
      <c r="AK57" s="3" t="s">
        <v>76</v>
      </c>
      <c r="AL57" s="5">
        <v>13152000</v>
      </c>
      <c r="AM57" s="26"/>
      <c r="AO57" s="3" t="s">
        <v>76</v>
      </c>
      <c r="AP57" s="5">
        <v>17687708238.220001</v>
      </c>
      <c r="AQ57" s="29"/>
      <c r="AS57" s="3" t="s">
        <v>76</v>
      </c>
      <c r="AT57" s="5">
        <v>17598169238.220001</v>
      </c>
      <c r="AU57" s="29" t="str">
        <f>YEAR(CurrentMtgRatesDataTable871112131417[[#This Row],[asofdate]])&amp;"-"&amp;MONTH(CurrentMtgRatesDataTable871112131417[[#This Row],[asofdate]])</f>
        <v>2007-9</v>
      </c>
      <c r="AV57" s="29">
        <f>CurrentMtgRatesDataTable871112131417[[#This Row],[SeriesNumValue]]</f>
        <v>17598169238.220001</v>
      </c>
      <c r="AW57" s="29">
        <f>VLOOKUP(CurrentMtgRatesDataTable871112131417[[#This Row],[asofdate]],AG:AH,2,0)</f>
        <v>76387000</v>
      </c>
      <c r="AX57" s="25">
        <f>IF(VLOOKUP(CurrentMtgRatesDataTable871112131417[[#This Row],[asofdate]],AK:AL,2,0)&lt;&gt;0,VLOOKUP(CurrentMtgRatesDataTable871112131417[[#This Row],[asofdate]],AK:AL,2,0),AX56)</f>
        <v>13152000</v>
      </c>
      <c r="AY57" s="25">
        <f>VLOOKUP(CurrentMtgRatesDataTable871112131417[[#This Row],[asofdate]],AO:AP,2,0)</f>
        <v>17687708238.220001</v>
      </c>
    </row>
    <row r="58" spans="2:51" s="2" customFormat="1">
      <c r="B58" s="3" t="s">
        <v>77</v>
      </c>
      <c r="C58" s="21">
        <v>0.124191721531846</v>
      </c>
      <c r="D58" s="26">
        <f>((CurrentMtgRatesDataTable8711[[#This Row],[SeriesNumValue]]-$C$1)/$C$1+1)*100</f>
        <v>827.94481021230661</v>
      </c>
      <c r="E58" s="26"/>
      <c r="G58" s="3" t="s">
        <v>118</v>
      </c>
      <c r="H58" s="21">
        <v>4.7347657775073798E-2</v>
      </c>
      <c r="I58" s="21" t="str">
        <f>YEAR(CurrentMtgRatesDataTable871112[[#This Row],[asofdate]])&amp;"-"&amp;MONTH(CurrentMtgRatesDataTable871112[[#This Row],[asofdate]])</f>
        <v>2011-3</v>
      </c>
      <c r="J58" s="40">
        <f>VLOOKUP(CurrentMtgRatesDataTable871112[[#This Row],[asofdate]],Q:AE,15,0)*100</f>
        <v>1.8715806510015272</v>
      </c>
      <c r="K58" s="40">
        <f>VLOOKUP(CurrentMtgRatesDataTable871112[[#This Row],[asofdate]],Q:AE,4,0)*100</f>
        <v>1.13508512550948</v>
      </c>
      <c r="L58" s="40">
        <f>VLOOKUP(CurrentMtgRatesDataTable871112[[#This Row],[asofdate]],Q:AE,5,0)*100</f>
        <v>4.3811617029674501</v>
      </c>
      <c r="M58" s="40">
        <f>VLOOKUP(CurrentMtgRatesDataTable871112[[#This Row],[asofdate]],Q:AE,6,0)*100</f>
        <v>4.7347657775073797</v>
      </c>
      <c r="N58" s="40">
        <f>VLOOKUP(CurrentMtgRatesDataTable871112[[#This Row],[asofdate]],Q:AF,16,0)*100</f>
        <v>1.5813597057471378</v>
      </c>
      <c r="Q58" s="3" t="s">
        <v>77</v>
      </c>
      <c r="R58" s="21">
        <v>2.4060060280724001E-2</v>
      </c>
      <c r="S58" s="29" t="str">
        <f>YEAR(CurrentMtgRatesDataTable8711121314[[#This Row],[asofdate]])&amp;"-"&amp;MONTH(CurrentMtgRatesDataTable8711121314[[#This Row],[asofdate]])</f>
        <v>2007-10</v>
      </c>
      <c r="T58" s="37">
        <f>CurrentMtgRatesDataTable8711121314[[#This Row],[SeriesNumValue]]</f>
        <v>2.4060060280724001E-2</v>
      </c>
      <c r="U58" s="37">
        <f>VLOOKUP(CurrentMtgRatesDataTable8711121314[[#This Row],[asofdate]],B:D,2,0)</f>
        <v>0.124191721531846</v>
      </c>
      <c r="V58" s="37">
        <f>IF(VLOOKUP(CurrentMtgRatesDataTable8711121314[[#This Row],[asofdate]],G:H,2,0)&lt;&gt;0,VLOOKUP(CurrentMtgRatesDataTable8711121314[[#This Row],[asofdate]],G:H,2,0),V57)</f>
        <v>9.9820189534489706E-2</v>
      </c>
      <c r="W58" s="37">
        <f>CurrentMtgRatesDataTable8711121314[[#This Row],[FHA]]+0.5*CurrentMtgRatesDataTable8711121314[[#This Row],[Conventional]]</f>
        <v>0.13622175167220801</v>
      </c>
      <c r="X58" s="37">
        <f>2*CurrentMtgRatesDataTable8711121314[[#This Row],[FHA]]</f>
        <v>0.24838344306369201</v>
      </c>
      <c r="Y58" s="19">
        <f>VLOOKUP(YEAR(CurrentMtgRatesDataTable8711121314[[#This Row],[asofdate]]),OriginationVolume!$A:$N,8,FALSE)</f>
        <v>0.55309947140797688</v>
      </c>
      <c r="Z58" s="19">
        <f>VLOOKUP(YEAR(CurrentMtgRatesDataTable8711121314[[#This Row],[asofdate]]),OriginationVolume!$A:$N,9,FALSE)</f>
        <v>1.3935607880826525E-2</v>
      </c>
      <c r="AA58" s="19">
        <f>VLOOKUP(YEAR(CurrentMtgRatesDataTable8711121314[[#This Row],[asofdate]]),OriginationVolume!$A:$N,10,FALSE)</f>
        <v>4.1806823642479576E-2</v>
      </c>
      <c r="AB58" s="19">
        <f>VLOOKUP(YEAR(CurrentMtgRatesDataTable8711121314[[#This Row],[asofdate]]),OriginationVolume!$A:$N,11,FALSE)</f>
        <v>0.16722729456991831</v>
      </c>
      <c r="AC58" s="19">
        <f>VLOOKUP(YEAR(CurrentMtgRatesDataTable8711121314[[#This Row],[asofdate]]),OriginationVolume!$A:$N,12,FALSE)</f>
        <v>0.13214800576645844</v>
      </c>
      <c r="AD58" s="19">
        <f>VLOOKUP(YEAR(CurrentMtgRatesDataTable8711121314[[#This Row],[asofdate]]),OriginationVolume!$A:$N,13,FALSE)</f>
        <v>9.1782796732340216E-2</v>
      </c>
      <c r="AE5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6.4712981723017038E-2</v>
      </c>
      <c r="AF5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0.11458859989276945</v>
      </c>
      <c r="AG58" s="3" t="s">
        <v>77</v>
      </c>
      <c r="AH58" s="5">
        <v>75397000</v>
      </c>
      <c r="AI58" s="26"/>
      <c r="AK58" s="3" t="s">
        <v>77</v>
      </c>
      <c r="AL58" s="5">
        <v>17104000</v>
      </c>
      <c r="AM58" s="26"/>
      <c r="AO58" s="3" t="s">
        <v>77</v>
      </c>
      <c r="AP58" s="5">
        <v>17392305752.5</v>
      </c>
      <c r="AQ58" s="29"/>
      <c r="AS58" s="3" t="s">
        <v>77</v>
      </c>
      <c r="AT58" s="5">
        <v>17299804752.5</v>
      </c>
      <c r="AU58" s="29" t="str">
        <f>YEAR(CurrentMtgRatesDataTable871112131417[[#This Row],[asofdate]])&amp;"-"&amp;MONTH(CurrentMtgRatesDataTable871112131417[[#This Row],[asofdate]])</f>
        <v>2007-10</v>
      </c>
      <c r="AV58" s="29">
        <f>CurrentMtgRatesDataTable871112131417[[#This Row],[SeriesNumValue]]</f>
        <v>17299804752.5</v>
      </c>
      <c r="AW58" s="29">
        <f>VLOOKUP(CurrentMtgRatesDataTable871112131417[[#This Row],[asofdate]],AG:AH,2,0)</f>
        <v>75397000</v>
      </c>
      <c r="AX58" s="25">
        <f>IF(VLOOKUP(CurrentMtgRatesDataTable871112131417[[#This Row],[asofdate]],AK:AL,2,0)&lt;&gt;0,VLOOKUP(CurrentMtgRatesDataTable871112131417[[#This Row],[asofdate]],AK:AL,2,0),AX57)</f>
        <v>17104000</v>
      </c>
      <c r="AY58" s="25">
        <f>VLOOKUP(CurrentMtgRatesDataTable871112131417[[#This Row],[asofdate]],AO:AP,2,0)</f>
        <v>17392305752.5</v>
      </c>
    </row>
    <row r="59" spans="2:51" s="2" customFormat="1">
      <c r="B59" s="3" t="s">
        <v>78</v>
      </c>
      <c r="C59" s="21">
        <v>0.118620974906118</v>
      </c>
      <c r="D59" s="26">
        <f>((CurrentMtgRatesDataTable8711[[#This Row],[SeriesNumValue]]-$C$1)/$C$1+1)*100</f>
        <v>790.80649937412011</v>
      </c>
      <c r="E59" s="26"/>
      <c r="G59" s="3" t="s">
        <v>117</v>
      </c>
      <c r="H59" s="21">
        <v>4.2674310047092101E-2</v>
      </c>
      <c r="I59" s="21" t="str">
        <f>YEAR(CurrentMtgRatesDataTable871112[[#This Row],[asofdate]])&amp;"-"&amp;MONTH(CurrentMtgRatesDataTable871112[[#This Row],[asofdate]])</f>
        <v>2011-2</v>
      </c>
      <c r="J59" s="40">
        <f>VLOOKUP(CurrentMtgRatesDataTable871112[[#This Row],[asofdate]],Q:AE,15,0)*100</f>
        <v>1.6887265032410022</v>
      </c>
      <c r="K59" s="40">
        <f>VLOOKUP(CurrentMtgRatesDataTable871112[[#This Row],[asofdate]],Q:AE,4,0)*100</f>
        <v>1.0128302043392701</v>
      </c>
      <c r="L59" s="40">
        <f>VLOOKUP(CurrentMtgRatesDataTable871112[[#This Row],[asofdate]],Q:AE,5,0)*100</f>
        <v>4.0079471562488793</v>
      </c>
      <c r="M59" s="40">
        <f>VLOOKUP(CurrentMtgRatesDataTable871112[[#This Row],[asofdate]],Q:AE,6,0)*100</f>
        <v>4.2674310047092101</v>
      </c>
      <c r="N59" s="40">
        <f>VLOOKUP(CurrentMtgRatesDataTable871112[[#This Row],[asofdate]],Q:AF,16,0)*100</f>
        <v>1.4225839553485433</v>
      </c>
      <c r="Q59" s="3" t="s">
        <v>78</v>
      </c>
      <c r="R59" s="21">
        <v>2.5456936115817001E-2</v>
      </c>
      <c r="S59" s="29" t="str">
        <f>YEAR(CurrentMtgRatesDataTable8711121314[[#This Row],[asofdate]])&amp;"-"&amp;MONTH(CurrentMtgRatesDataTable8711121314[[#This Row],[asofdate]])</f>
        <v>2007-11</v>
      </c>
      <c r="T59" s="37">
        <f>CurrentMtgRatesDataTable8711121314[[#This Row],[SeriesNumValue]]</f>
        <v>2.5456936115817001E-2</v>
      </c>
      <c r="U59" s="37">
        <f>VLOOKUP(CurrentMtgRatesDataTable8711121314[[#This Row],[asofdate]],B:D,2,0)</f>
        <v>0.118620974906118</v>
      </c>
      <c r="V59" s="37">
        <f>IF(VLOOKUP(CurrentMtgRatesDataTable8711121314[[#This Row],[asofdate]],G:H,2,0)&lt;&gt;0,VLOOKUP(CurrentMtgRatesDataTable8711121314[[#This Row],[asofdate]],G:H,2,0),V58)</f>
        <v>9.9820189534489706E-2</v>
      </c>
      <c r="W59" s="37">
        <f>CurrentMtgRatesDataTable8711121314[[#This Row],[FHA]]+0.5*CurrentMtgRatesDataTable8711121314[[#This Row],[Conventional]]</f>
        <v>0.13134944296402651</v>
      </c>
      <c r="X59" s="37">
        <f>2*CurrentMtgRatesDataTable8711121314[[#This Row],[FHA]]</f>
        <v>0.23724194981223601</v>
      </c>
      <c r="Y59" s="19">
        <f>VLOOKUP(YEAR(CurrentMtgRatesDataTable8711121314[[#This Row],[asofdate]]),OriginationVolume!$A:$N,8,FALSE)</f>
        <v>0.55309947140797688</v>
      </c>
      <c r="Z59" s="19">
        <f>VLOOKUP(YEAR(CurrentMtgRatesDataTable8711121314[[#This Row],[asofdate]]),OriginationVolume!$A:$N,9,FALSE)</f>
        <v>1.3935607880826525E-2</v>
      </c>
      <c r="AA59" s="19">
        <f>VLOOKUP(YEAR(CurrentMtgRatesDataTable8711121314[[#This Row],[asofdate]]),OriginationVolume!$A:$N,10,FALSE)</f>
        <v>4.1806823642479576E-2</v>
      </c>
      <c r="AB59" s="19">
        <f>VLOOKUP(YEAR(CurrentMtgRatesDataTable8711121314[[#This Row],[asofdate]]),OriginationVolume!$A:$N,11,FALSE)</f>
        <v>0.16722729456991831</v>
      </c>
      <c r="AC59" s="19">
        <f>VLOOKUP(YEAR(CurrentMtgRatesDataTable8711121314[[#This Row],[asofdate]]),OriginationVolume!$A:$N,12,FALSE)</f>
        <v>0.13214800576645844</v>
      </c>
      <c r="AD59" s="19">
        <f>VLOOKUP(YEAR(CurrentMtgRatesDataTable8711121314[[#This Row],[asofdate]]),OriginationVolume!$A:$N,13,FALSE)</f>
        <v>9.1782796732340216E-2</v>
      </c>
      <c r="AE5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6.3819830264385646E-2</v>
      </c>
      <c r="AF5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0.11092545822794678</v>
      </c>
      <c r="AG59" s="3" t="s">
        <v>78</v>
      </c>
      <c r="AH59" s="5">
        <v>75374000</v>
      </c>
      <c r="AI59" s="26"/>
      <c r="AK59" s="3" t="s">
        <v>78</v>
      </c>
      <c r="AL59" s="5">
        <v>14015000</v>
      </c>
      <c r="AM59" s="26"/>
      <c r="AO59" s="3" t="s">
        <v>78</v>
      </c>
      <c r="AP59" s="5">
        <v>15581397562.370001</v>
      </c>
      <c r="AQ59" s="29"/>
      <c r="AS59" s="3" t="s">
        <v>78</v>
      </c>
      <c r="AT59" s="5">
        <v>15492008562.370001</v>
      </c>
      <c r="AU59" s="29" t="str">
        <f>YEAR(CurrentMtgRatesDataTable871112131417[[#This Row],[asofdate]])&amp;"-"&amp;MONTH(CurrentMtgRatesDataTable871112131417[[#This Row],[asofdate]])</f>
        <v>2007-11</v>
      </c>
      <c r="AV59" s="29">
        <f>CurrentMtgRatesDataTable871112131417[[#This Row],[SeriesNumValue]]</f>
        <v>15492008562.370001</v>
      </c>
      <c r="AW59" s="29">
        <f>VLOOKUP(CurrentMtgRatesDataTable871112131417[[#This Row],[asofdate]],AG:AH,2,0)</f>
        <v>75374000</v>
      </c>
      <c r="AX59" s="25">
        <f>IF(VLOOKUP(CurrentMtgRatesDataTable871112131417[[#This Row],[asofdate]],AK:AL,2,0)&lt;&gt;0,VLOOKUP(CurrentMtgRatesDataTable871112131417[[#This Row],[asofdate]],AK:AL,2,0),AX58)</f>
        <v>14015000</v>
      </c>
      <c r="AY59" s="25">
        <f>VLOOKUP(CurrentMtgRatesDataTable871112131417[[#This Row],[asofdate]],AO:AP,2,0)</f>
        <v>15581397562.370001</v>
      </c>
    </row>
    <row r="60" spans="2:51" s="2" customFormat="1">
      <c r="B60" s="3" t="s">
        <v>79</v>
      </c>
      <c r="C60" s="21">
        <v>0.11454124774918099</v>
      </c>
      <c r="D60" s="26">
        <f>((CurrentMtgRatesDataTable8711[[#This Row],[SeriesNumValue]]-$C$1)/$C$1+1)*100</f>
        <v>763.60831832787323</v>
      </c>
      <c r="E60" s="26"/>
      <c r="G60" s="3" t="s">
        <v>116</v>
      </c>
      <c r="H60" s="21">
        <v>4.8276735846155397E-2</v>
      </c>
      <c r="I60" s="21" t="str">
        <f>YEAR(CurrentMtgRatesDataTable871112[[#This Row],[asofdate]])&amp;"-"&amp;MONTH(CurrentMtgRatesDataTable871112[[#This Row],[asofdate]])</f>
        <v>2011-1</v>
      </c>
      <c r="J60" s="40">
        <f>VLOOKUP(CurrentMtgRatesDataTable871112[[#This Row],[asofdate]],Q:AE,15,0)*100</f>
        <v>1.8756270309838052</v>
      </c>
      <c r="K60" s="40">
        <f>VLOOKUP(CurrentMtgRatesDataTable871112[[#This Row],[asofdate]],Q:AE,4,0)*100</f>
        <v>1.09787728382045</v>
      </c>
      <c r="L60" s="40">
        <f>VLOOKUP(CurrentMtgRatesDataTable871112[[#This Row],[asofdate]],Q:AE,5,0)*100</f>
        <v>4.5520286505032708</v>
      </c>
      <c r="M60" s="40">
        <f>VLOOKUP(CurrentMtgRatesDataTable871112[[#This Row],[asofdate]],Q:AE,6,0)*100</f>
        <v>4.8276735846155399</v>
      </c>
      <c r="N60" s="40">
        <f>VLOOKUP(CurrentMtgRatesDataTable871112[[#This Row],[asofdate]],Q:AF,16,0)*100</f>
        <v>1.5663239869536785</v>
      </c>
      <c r="Q60" s="3" t="s">
        <v>79</v>
      </c>
      <c r="R60" s="21">
        <v>2.48059395679785E-2</v>
      </c>
      <c r="S60" s="29" t="str">
        <f>YEAR(CurrentMtgRatesDataTable8711121314[[#This Row],[asofdate]])&amp;"-"&amp;MONTH(CurrentMtgRatesDataTable8711121314[[#This Row],[asofdate]])</f>
        <v>2007-12</v>
      </c>
      <c r="T60" s="37">
        <f>CurrentMtgRatesDataTable8711121314[[#This Row],[SeriesNumValue]]</f>
        <v>2.48059395679785E-2</v>
      </c>
      <c r="U60" s="37">
        <f>VLOOKUP(CurrentMtgRatesDataTable8711121314[[#This Row],[asofdate]],B:D,2,0)</f>
        <v>0.11454124774918099</v>
      </c>
      <c r="V60" s="37">
        <f>IF(VLOOKUP(CurrentMtgRatesDataTable8711121314[[#This Row],[asofdate]],G:H,2,0)&lt;&gt;0,VLOOKUP(CurrentMtgRatesDataTable8711121314[[#This Row],[asofdate]],G:H,2,0),V59)</f>
        <v>0.103616622616662</v>
      </c>
      <c r="W60" s="37">
        <f>CurrentMtgRatesDataTable8711121314[[#This Row],[FHA]]+0.5*CurrentMtgRatesDataTable8711121314[[#This Row],[Conventional]]</f>
        <v>0.12694421753317026</v>
      </c>
      <c r="X60" s="37">
        <f>2*CurrentMtgRatesDataTable8711121314[[#This Row],[FHA]]</f>
        <v>0.22908249549836199</v>
      </c>
      <c r="Y60" s="19">
        <f>VLOOKUP(YEAR(CurrentMtgRatesDataTable8711121314[[#This Row],[asofdate]]),OriginationVolume!$A:$N,8,FALSE)</f>
        <v>0.55309947140797688</v>
      </c>
      <c r="Z60" s="19">
        <f>VLOOKUP(YEAR(CurrentMtgRatesDataTable8711121314[[#This Row],[asofdate]]),OriginationVolume!$A:$N,9,FALSE)</f>
        <v>1.3935607880826525E-2</v>
      </c>
      <c r="AA60" s="19">
        <f>VLOOKUP(YEAR(CurrentMtgRatesDataTable8711121314[[#This Row],[asofdate]]),OriginationVolume!$A:$N,10,FALSE)</f>
        <v>4.1806823642479576E-2</v>
      </c>
      <c r="AB60" s="19">
        <f>VLOOKUP(YEAR(CurrentMtgRatesDataTable8711121314[[#This Row],[asofdate]]),OriginationVolume!$A:$N,11,FALSE)</f>
        <v>0.16722729456991831</v>
      </c>
      <c r="AC60" s="19">
        <f>VLOOKUP(YEAR(CurrentMtgRatesDataTable8711121314[[#This Row],[asofdate]]),OriginationVolume!$A:$N,12,FALSE)</f>
        <v>0.13214800576645844</v>
      </c>
      <c r="AD60" s="19">
        <f>VLOOKUP(YEAR(CurrentMtgRatesDataTable8711121314[[#This Row],[asofdate]]),OriginationVolume!$A:$N,13,FALSE)</f>
        <v>9.1782796732340216E-2</v>
      </c>
      <c r="AE6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6.190220590306135E-2</v>
      </c>
      <c r="AF6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0.10724432853988387</v>
      </c>
      <c r="AG60" s="3" t="s">
        <v>79</v>
      </c>
      <c r="AH60" s="5">
        <v>87115000</v>
      </c>
      <c r="AI60" s="26"/>
      <c r="AK60" s="3" t="s">
        <v>79</v>
      </c>
      <c r="AL60" s="5">
        <v>16424000</v>
      </c>
      <c r="AM60" s="26"/>
      <c r="AO60" s="3" t="s">
        <v>79</v>
      </c>
      <c r="AP60" s="5">
        <v>15447076849.469999</v>
      </c>
      <c r="AQ60" s="29"/>
      <c r="AS60" s="3" t="s">
        <v>79</v>
      </c>
      <c r="AT60" s="5">
        <v>15343537849.469999</v>
      </c>
      <c r="AU60" s="29" t="str">
        <f>YEAR(CurrentMtgRatesDataTable871112131417[[#This Row],[asofdate]])&amp;"-"&amp;MONTH(CurrentMtgRatesDataTable871112131417[[#This Row],[asofdate]])</f>
        <v>2007-12</v>
      </c>
      <c r="AV60" s="29">
        <f>CurrentMtgRatesDataTable871112131417[[#This Row],[SeriesNumValue]]</f>
        <v>15343537849.469999</v>
      </c>
      <c r="AW60" s="29">
        <f>VLOOKUP(CurrentMtgRatesDataTable871112131417[[#This Row],[asofdate]],AG:AH,2,0)</f>
        <v>87115000</v>
      </c>
      <c r="AX60" s="25">
        <f>IF(VLOOKUP(CurrentMtgRatesDataTable871112131417[[#This Row],[asofdate]],AK:AL,2,0)&lt;&gt;0,VLOOKUP(CurrentMtgRatesDataTable871112131417[[#This Row],[asofdate]],AK:AL,2,0),AX59)</f>
        <v>16424000</v>
      </c>
      <c r="AY60" s="25">
        <f>VLOOKUP(CurrentMtgRatesDataTable871112131417[[#This Row],[asofdate]],AO:AP,2,0)</f>
        <v>15447076849.469999</v>
      </c>
    </row>
    <row r="61" spans="2:51" s="2" customFormat="1">
      <c r="B61" s="3" t="s">
        <v>80</v>
      </c>
      <c r="C61" s="21">
        <v>0.118200880367063</v>
      </c>
      <c r="D61" s="26">
        <f>((CurrentMtgRatesDataTable8711[[#This Row],[SeriesNumValue]]-$C$1)/$C$1+1)*100</f>
        <v>788.00586911375342</v>
      </c>
      <c r="E61" s="26"/>
      <c r="G61" s="3" t="s">
        <v>115</v>
      </c>
      <c r="H61" s="21">
        <v>5.3530082124945297E-2</v>
      </c>
      <c r="I61" s="21" t="str">
        <f>YEAR(CurrentMtgRatesDataTable871112[[#This Row],[asofdate]])&amp;"-"&amp;MONTH(CurrentMtgRatesDataTable871112[[#This Row],[asofdate]])</f>
        <v>2010-12</v>
      </c>
      <c r="J61" s="40">
        <f>VLOOKUP(CurrentMtgRatesDataTable871112[[#This Row],[asofdate]],Q:AE,15,0)*100</f>
        <v>2.1082505562575964</v>
      </c>
      <c r="K61" s="40">
        <f>VLOOKUP(CurrentMtgRatesDataTable871112[[#This Row],[asofdate]],Q:AE,4,0)*100</f>
        <v>1.1678810474024601</v>
      </c>
      <c r="L61" s="40">
        <f>VLOOKUP(CurrentMtgRatesDataTable871112[[#This Row],[asofdate]],Q:AE,5,0)*100</f>
        <v>4.8498782379219803</v>
      </c>
      <c r="M61" s="40">
        <f>VLOOKUP(CurrentMtgRatesDataTable871112[[#This Row],[asofdate]],Q:AE,6,0)*100</f>
        <v>5.3530082124945295</v>
      </c>
      <c r="N61" s="40">
        <f>VLOOKUP(CurrentMtgRatesDataTable871112[[#This Row],[asofdate]],Q:AF,16,0)*100</f>
        <v>1.6249458024975401</v>
      </c>
      <c r="Q61" s="3" t="s">
        <v>80</v>
      </c>
      <c r="R61" s="21">
        <v>2.5406454290126099E-2</v>
      </c>
      <c r="S61" s="29" t="str">
        <f>YEAR(CurrentMtgRatesDataTable8711121314[[#This Row],[asofdate]])&amp;"-"&amp;MONTH(CurrentMtgRatesDataTable8711121314[[#This Row],[asofdate]])</f>
        <v>2008-1</v>
      </c>
      <c r="T61" s="37">
        <f>CurrentMtgRatesDataTable8711121314[[#This Row],[SeriesNumValue]]</f>
        <v>2.5406454290126099E-2</v>
      </c>
      <c r="U61" s="37">
        <f>VLOOKUP(CurrentMtgRatesDataTable8711121314[[#This Row],[asofdate]],B:D,2,0)</f>
        <v>0.118200880367063</v>
      </c>
      <c r="V61" s="37">
        <f>IF(VLOOKUP(CurrentMtgRatesDataTable8711121314[[#This Row],[asofdate]],G:H,2,0)&lt;&gt;0,VLOOKUP(CurrentMtgRatesDataTable8711121314[[#This Row],[asofdate]],G:H,2,0),V60)</f>
        <v>8.5858970649299801E-2</v>
      </c>
      <c r="W61" s="37">
        <f>CurrentMtgRatesDataTable8711121314[[#This Row],[FHA]]+0.5*CurrentMtgRatesDataTable8711121314[[#This Row],[Conventional]]</f>
        <v>0.13090410751212606</v>
      </c>
      <c r="X61" s="37">
        <f>2*CurrentMtgRatesDataTable8711121314[[#This Row],[FHA]]</f>
        <v>0.236401760734126</v>
      </c>
      <c r="Y61" s="19">
        <f>VLOOKUP(YEAR(CurrentMtgRatesDataTable8711121314[[#This Row],[asofdate]]),OriginationVolume!$A:$N,8,FALSE)</f>
        <v>0.67052023121387283</v>
      </c>
      <c r="Z61" s="19">
        <f>VLOOKUP(YEAR(CurrentMtgRatesDataTable8711121314[[#This Row],[asofdate]]),OriginationVolume!$A:$N,9,FALSE)</f>
        <v>5.2926300578034685E-2</v>
      </c>
      <c r="AA61" s="19">
        <f>VLOOKUP(YEAR(CurrentMtgRatesDataTable8711121314[[#This Row],[asofdate]]),OriginationVolume!$A:$N,10,FALSE)</f>
        <v>0.15877890173410406</v>
      </c>
      <c r="AB61" s="19">
        <f>VLOOKUP(YEAR(CurrentMtgRatesDataTable8711121314[[#This Row],[asofdate]]),OriginationVolume!$A:$N,11,FALSE)</f>
        <v>7.0809248554913301E-2</v>
      </c>
      <c r="AC61" s="19">
        <f>VLOOKUP(YEAR(CurrentMtgRatesDataTable8711121314[[#This Row],[asofdate]]),OriginationVolume!$A:$N,12,FALSE)</f>
        <v>3.0346820809248554E-2</v>
      </c>
      <c r="AD61" s="19">
        <f>VLOOKUP(YEAR(CurrentMtgRatesDataTable8711121314[[#This Row],[asofdate]]),OriginationVolume!$A:$N,13,FALSE)</f>
        <v>1.6618497109826588E-2</v>
      </c>
      <c r="AE6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5.0047722669643684E-2</v>
      </c>
      <c r="AF6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8.2362242532678209E-2</v>
      </c>
      <c r="AG61" s="3" t="s">
        <v>80</v>
      </c>
      <c r="AH61" s="5">
        <v>84080000</v>
      </c>
      <c r="AI61" s="26"/>
      <c r="AK61" s="3" t="s">
        <v>80</v>
      </c>
      <c r="AL61" s="5">
        <v>17544000</v>
      </c>
      <c r="AM61" s="26"/>
      <c r="AO61" s="3" t="s">
        <v>80</v>
      </c>
      <c r="AP61" s="5">
        <v>14305152731.549999</v>
      </c>
      <c r="AQ61" s="29"/>
      <c r="AS61" s="3" t="s">
        <v>80</v>
      </c>
      <c r="AT61" s="5">
        <v>14203528731.549999</v>
      </c>
      <c r="AU61" s="29" t="str">
        <f>YEAR(CurrentMtgRatesDataTable871112131417[[#This Row],[asofdate]])&amp;"-"&amp;MONTH(CurrentMtgRatesDataTable871112131417[[#This Row],[asofdate]])</f>
        <v>2008-1</v>
      </c>
      <c r="AV61" s="29">
        <f>CurrentMtgRatesDataTable871112131417[[#This Row],[SeriesNumValue]]</f>
        <v>14203528731.549999</v>
      </c>
      <c r="AW61" s="29">
        <f>VLOOKUP(CurrentMtgRatesDataTable871112131417[[#This Row],[asofdate]],AG:AH,2,0)</f>
        <v>84080000</v>
      </c>
      <c r="AX61" s="25">
        <f>IF(VLOOKUP(CurrentMtgRatesDataTable871112131417[[#This Row],[asofdate]],AK:AL,2,0)&lt;&gt;0,VLOOKUP(CurrentMtgRatesDataTable871112131417[[#This Row],[asofdate]],AK:AL,2,0),AX60)</f>
        <v>17544000</v>
      </c>
      <c r="AY61" s="25">
        <f>VLOOKUP(CurrentMtgRatesDataTable871112131417[[#This Row],[asofdate]],AO:AP,2,0)</f>
        <v>14305152731.549999</v>
      </c>
    </row>
    <row r="62" spans="2:51" s="2" customFormat="1">
      <c r="B62" s="3" t="s">
        <v>81</v>
      </c>
      <c r="C62" s="21">
        <v>0.116786543209285</v>
      </c>
      <c r="D62" s="26">
        <f>((CurrentMtgRatesDataTable8711[[#This Row],[SeriesNumValue]]-$C$1)/$C$1+1)*100</f>
        <v>778.57695472856665</v>
      </c>
      <c r="E62" s="26"/>
      <c r="G62" s="3" t="s">
        <v>114</v>
      </c>
      <c r="H62" s="21">
        <v>5.1146297447306997E-2</v>
      </c>
      <c r="I62" s="21" t="str">
        <f>YEAR(CurrentMtgRatesDataTable871112[[#This Row],[asofdate]])&amp;"-"&amp;MONTH(CurrentMtgRatesDataTable871112[[#This Row],[asofdate]])</f>
        <v>2010-11</v>
      </c>
      <c r="J62" s="40">
        <f>VLOOKUP(CurrentMtgRatesDataTable871112[[#This Row],[asofdate]],Q:AE,15,0)*100</f>
        <v>2.0679136462529715</v>
      </c>
      <c r="K62" s="40">
        <f>VLOOKUP(CurrentMtgRatesDataTable871112[[#This Row],[asofdate]],Q:AE,4,0)*100</f>
        <v>1.1418535732767199</v>
      </c>
      <c r="L62" s="40">
        <f>VLOOKUP(CurrentMtgRatesDataTable871112[[#This Row],[asofdate]],Q:AE,5,0)*100</f>
        <v>4.8155285513132098</v>
      </c>
      <c r="M62" s="40">
        <f>VLOOKUP(CurrentMtgRatesDataTable871112[[#This Row],[asofdate]],Q:AE,6,0)*100</f>
        <v>5.1146297447307001</v>
      </c>
      <c r="N62" s="40">
        <f>VLOOKUP(CurrentMtgRatesDataTable871112[[#This Row],[asofdate]],Q:AF,16,0)*100</f>
        <v>1.5966323337775965</v>
      </c>
      <c r="Q62" s="3" t="s">
        <v>81</v>
      </c>
      <c r="R62" s="21">
        <v>2.3507893875337998E-2</v>
      </c>
      <c r="S62" s="29" t="str">
        <f>YEAR(CurrentMtgRatesDataTable8711121314[[#This Row],[asofdate]])&amp;"-"&amp;MONTH(CurrentMtgRatesDataTable8711121314[[#This Row],[asofdate]])</f>
        <v>2008-2</v>
      </c>
      <c r="T62" s="37">
        <f>CurrentMtgRatesDataTable8711121314[[#This Row],[SeriesNumValue]]</f>
        <v>2.3507893875337998E-2</v>
      </c>
      <c r="U62" s="37">
        <f>VLOOKUP(CurrentMtgRatesDataTable8711121314[[#This Row],[asofdate]],B:D,2,0)</f>
        <v>0.116786543209285</v>
      </c>
      <c r="V62" s="37">
        <f>IF(VLOOKUP(CurrentMtgRatesDataTable8711121314[[#This Row],[asofdate]],G:H,2,0)&lt;&gt;0,VLOOKUP(CurrentMtgRatesDataTable8711121314[[#This Row],[asofdate]],G:H,2,0),V61)</f>
        <v>9.1688117328369095E-2</v>
      </c>
      <c r="W62" s="37">
        <f>CurrentMtgRatesDataTable8711121314[[#This Row],[FHA]]+0.5*CurrentMtgRatesDataTable8711121314[[#This Row],[Conventional]]</f>
        <v>0.12854049014695401</v>
      </c>
      <c r="X62" s="37">
        <f>2*CurrentMtgRatesDataTable8711121314[[#This Row],[FHA]]</f>
        <v>0.23357308641857</v>
      </c>
      <c r="Y62" s="19">
        <f>VLOOKUP(YEAR(CurrentMtgRatesDataTable8711121314[[#This Row],[asofdate]]),OriginationVolume!$A:$N,8,FALSE)</f>
        <v>0.67052023121387283</v>
      </c>
      <c r="Z62" s="19">
        <f>VLOOKUP(YEAR(CurrentMtgRatesDataTable8711121314[[#This Row],[asofdate]]),OriginationVolume!$A:$N,9,FALSE)</f>
        <v>5.2926300578034685E-2</v>
      </c>
      <c r="AA62" s="19">
        <f>VLOOKUP(YEAR(CurrentMtgRatesDataTable8711121314[[#This Row],[asofdate]]),OriginationVolume!$A:$N,10,FALSE)</f>
        <v>0.15877890173410406</v>
      </c>
      <c r="AB62" s="19">
        <f>VLOOKUP(YEAR(CurrentMtgRatesDataTable8711121314[[#This Row],[asofdate]]),OriginationVolume!$A:$N,11,FALSE)</f>
        <v>7.0809248554913301E-2</v>
      </c>
      <c r="AC62" s="19">
        <f>VLOOKUP(YEAR(CurrentMtgRatesDataTable8711121314[[#This Row],[asofdate]]),OriginationVolume!$A:$N,12,FALSE)</f>
        <v>3.0346820809248554E-2</v>
      </c>
      <c r="AD62" s="19">
        <f>VLOOKUP(YEAR(CurrentMtgRatesDataTable8711121314[[#This Row],[asofdate]]),OriginationVolume!$A:$N,13,FALSE)</f>
        <v>1.6618497109826588E-2</v>
      </c>
      <c r="AE6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4.8605475545115157E-2</v>
      </c>
      <c r="AF6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8.0212608426885282E-2</v>
      </c>
      <c r="AG62" s="3" t="s">
        <v>81</v>
      </c>
      <c r="AH62" s="5">
        <v>89489000</v>
      </c>
      <c r="AI62" s="26"/>
      <c r="AK62" s="3" t="s">
        <v>81</v>
      </c>
      <c r="AL62" s="5">
        <v>19242000</v>
      </c>
      <c r="AM62" s="26"/>
      <c r="AO62" s="3" t="s">
        <v>81</v>
      </c>
      <c r="AP62" s="5">
        <v>14543110815.07</v>
      </c>
      <c r="AQ62" s="29"/>
      <c r="AS62" s="3" t="s">
        <v>81</v>
      </c>
      <c r="AT62" s="5">
        <v>14434379815.07</v>
      </c>
      <c r="AU62" s="29" t="str">
        <f>YEAR(CurrentMtgRatesDataTable871112131417[[#This Row],[asofdate]])&amp;"-"&amp;MONTH(CurrentMtgRatesDataTable871112131417[[#This Row],[asofdate]])</f>
        <v>2008-2</v>
      </c>
      <c r="AV62" s="29">
        <f>CurrentMtgRatesDataTable871112131417[[#This Row],[SeriesNumValue]]</f>
        <v>14434379815.07</v>
      </c>
      <c r="AW62" s="29">
        <f>VLOOKUP(CurrentMtgRatesDataTable871112131417[[#This Row],[asofdate]],AG:AH,2,0)</f>
        <v>89489000</v>
      </c>
      <c r="AX62" s="25">
        <f>IF(VLOOKUP(CurrentMtgRatesDataTable871112131417[[#This Row],[asofdate]],AK:AL,2,0)&lt;&gt;0,VLOOKUP(CurrentMtgRatesDataTable871112131417[[#This Row],[asofdate]],AK:AL,2,0),AX61)</f>
        <v>19242000</v>
      </c>
      <c r="AY62" s="25">
        <f>VLOOKUP(CurrentMtgRatesDataTable871112131417[[#This Row],[asofdate]],AO:AP,2,0)</f>
        <v>14543110815.07</v>
      </c>
    </row>
    <row r="63" spans="2:51" s="2" customFormat="1">
      <c r="B63" s="3" t="s">
        <v>82</v>
      </c>
      <c r="C63" s="21">
        <v>0.128134201111163</v>
      </c>
      <c r="D63" s="26">
        <f>((CurrentMtgRatesDataTable8711[[#This Row],[SeriesNumValue]]-$C$1)/$C$1+1)*100</f>
        <v>854.22800740775335</v>
      </c>
      <c r="E63" s="26"/>
      <c r="G63" s="3" t="s">
        <v>113</v>
      </c>
      <c r="H63" s="21">
        <v>5.3804484253040998E-2</v>
      </c>
      <c r="I63" s="21" t="str">
        <f>YEAR(CurrentMtgRatesDataTable871112[[#This Row],[asofdate]])&amp;"-"&amp;MONTH(CurrentMtgRatesDataTable871112[[#This Row],[asofdate]])</f>
        <v>2010-10</v>
      </c>
      <c r="J63" s="40">
        <f>VLOOKUP(CurrentMtgRatesDataTable871112[[#This Row],[asofdate]],Q:AE,15,0)*100</f>
        <v>2.1159219887416505</v>
      </c>
      <c r="K63" s="40">
        <f>VLOOKUP(CurrentMtgRatesDataTable871112[[#This Row],[asofdate]],Q:AE,4,0)*100</f>
        <v>1.1506420668395201</v>
      </c>
      <c r="L63" s="40">
        <f>VLOOKUP(CurrentMtgRatesDataTable871112[[#This Row],[asofdate]],Q:AE,5,0)*100</f>
        <v>4.9523196065882704</v>
      </c>
      <c r="M63" s="40">
        <f>VLOOKUP(CurrentMtgRatesDataTable871112[[#This Row],[asofdate]],Q:AE,6,0)*100</f>
        <v>5.3804484253040998</v>
      </c>
      <c r="N63" s="40">
        <f>VLOOKUP(CurrentMtgRatesDataTable871112[[#This Row],[asofdate]],Q:AF,16,0)*100</f>
        <v>1.619606199679003</v>
      </c>
      <c r="Q63" s="3" t="s">
        <v>82</v>
      </c>
      <c r="R63" s="21">
        <v>2.41539416329958E-2</v>
      </c>
      <c r="S63" s="29" t="str">
        <f>YEAR(CurrentMtgRatesDataTable8711121314[[#This Row],[asofdate]])&amp;"-"&amp;MONTH(CurrentMtgRatesDataTable8711121314[[#This Row],[asofdate]])</f>
        <v>2008-3</v>
      </c>
      <c r="T63" s="37">
        <f>CurrentMtgRatesDataTable8711121314[[#This Row],[SeriesNumValue]]</f>
        <v>2.41539416329958E-2</v>
      </c>
      <c r="U63" s="37">
        <f>VLOOKUP(CurrentMtgRatesDataTable8711121314[[#This Row],[asofdate]],B:D,2,0)</f>
        <v>0.128134201111163</v>
      </c>
      <c r="V63" s="37">
        <f>IF(VLOOKUP(CurrentMtgRatesDataTable8711121314[[#This Row],[asofdate]],G:H,2,0)&lt;&gt;0,VLOOKUP(CurrentMtgRatesDataTable8711121314[[#This Row],[asofdate]],G:H,2,0),V62)</f>
        <v>0.11098315619719901</v>
      </c>
      <c r="W63" s="37">
        <f>CurrentMtgRatesDataTable8711121314[[#This Row],[FHA]]+0.5*CurrentMtgRatesDataTable8711121314[[#This Row],[Conventional]]</f>
        <v>0.14021117192766089</v>
      </c>
      <c r="X63" s="37">
        <f>2*CurrentMtgRatesDataTable8711121314[[#This Row],[FHA]]</f>
        <v>0.256268402222326</v>
      </c>
      <c r="Y63" s="19">
        <f>VLOOKUP(YEAR(CurrentMtgRatesDataTable8711121314[[#This Row],[asofdate]]),OriginationVolume!$A:$N,8,FALSE)</f>
        <v>0.67052023121387283</v>
      </c>
      <c r="Z63" s="19">
        <f>VLOOKUP(YEAR(CurrentMtgRatesDataTable8711121314[[#This Row],[asofdate]]),OriginationVolume!$A:$N,9,FALSE)</f>
        <v>5.2926300578034685E-2</v>
      </c>
      <c r="AA63" s="19">
        <f>VLOOKUP(YEAR(CurrentMtgRatesDataTable8711121314[[#This Row],[asofdate]]),OriginationVolume!$A:$N,10,FALSE)</f>
        <v>0.15877890173410406</v>
      </c>
      <c r="AB63" s="19">
        <f>VLOOKUP(YEAR(CurrentMtgRatesDataTable8711121314[[#This Row],[asofdate]]),OriginationVolume!$A:$N,11,FALSE)</f>
        <v>7.0809248554913301E-2</v>
      </c>
      <c r="AC63" s="19">
        <f>VLOOKUP(YEAR(CurrentMtgRatesDataTable8711121314[[#This Row],[asofdate]]),OriginationVolume!$A:$N,12,FALSE)</f>
        <v>3.0346820809248554E-2</v>
      </c>
      <c r="AD63" s="19">
        <f>VLOOKUP(YEAR(CurrentMtgRatesDataTable8711121314[[#This Row],[asofdate]]),OriginationVolume!$A:$N,13,FALSE)</f>
        <v>1.6618497109826588E-2</v>
      </c>
      <c r="AE6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5.2638723607768667E-2</v>
      </c>
      <c r="AF6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8.6810605841158545E-2</v>
      </c>
      <c r="AG63" s="3" t="s">
        <v>82</v>
      </c>
      <c r="AH63" s="5">
        <v>94167000</v>
      </c>
      <c r="AI63" s="26"/>
      <c r="AK63" s="3" t="s">
        <v>82</v>
      </c>
      <c r="AL63" s="5">
        <v>16496000</v>
      </c>
      <c r="AM63" s="26"/>
      <c r="AO63" s="3" t="s">
        <v>82</v>
      </c>
      <c r="AP63" s="5">
        <v>11775489098.950001</v>
      </c>
      <c r="AQ63" s="29"/>
      <c r="AS63" s="3" t="s">
        <v>82</v>
      </c>
      <c r="AT63" s="5">
        <v>11664826098.950001</v>
      </c>
      <c r="AU63" s="29" t="str">
        <f>YEAR(CurrentMtgRatesDataTable871112131417[[#This Row],[asofdate]])&amp;"-"&amp;MONTH(CurrentMtgRatesDataTable871112131417[[#This Row],[asofdate]])</f>
        <v>2008-3</v>
      </c>
      <c r="AV63" s="29">
        <f>CurrentMtgRatesDataTable871112131417[[#This Row],[SeriesNumValue]]</f>
        <v>11664826098.950001</v>
      </c>
      <c r="AW63" s="29">
        <f>VLOOKUP(CurrentMtgRatesDataTable871112131417[[#This Row],[asofdate]],AG:AH,2,0)</f>
        <v>94167000</v>
      </c>
      <c r="AX63" s="25">
        <f>IF(VLOOKUP(CurrentMtgRatesDataTable871112131417[[#This Row],[asofdate]],AK:AL,2,0)&lt;&gt;0,VLOOKUP(CurrentMtgRatesDataTable871112131417[[#This Row],[asofdate]],AK:AL,2,0),AX62)</f>
        <v>16496000</v>
      </c>
      <c r="AY63" s="25">
        <f>VLOOKUP(CurrentMtgRatesDataTable871112131417[[#This Row],[asofdate]],AO:AP,2,0)</f>
        <v>11775489098.950001</v>
      </c>
    </row>
    <row r="64" spans="2:51" s="2" customFormat="1">
      <c r="B64" s="3" t="s">
        <v>83</v>
      </c>
      <c r="C64" s="21">
        <v>0.112280776236066</v>
      </c>
      <c r="D64" s="26">
        <f>((CurrentMtgRatesDataTable8711[[#This Row],[SeriesNumValue]]-$C$1)/$C$1+1)*100</f>
        <v>748.53850824044002</v>
      </c>
      <c r="E64" s="26"/>
      <c r="G64" s="3" t="s">
        <v>112</v>
      </c>
      <c r="H64" s="21">
        <v>5.5588128111664102E-2</v>
      </c>
      <c r="I64" s="21" t="str">
        <f>YEAR(CurrentMtgRatesDataTable871112[[#This Row],[asofdate]])&amp;"-"&amp;MONTH(CurrentMtgRatesDataTable871112[[#This Row],[asofdate]])</f>
        <v>2010-9</v>
      </c>
      <c r="J64" s="40">
        <f>VLOOKUP(CurrentMtgRatesDataTable871112[[#This Row],[asofdate]],Q:AE,15,0)*100</f>
        <v>2.1788046448065388</v>
      </c>
      <c r="K64" s="40">
        <f>VLOOKUP(CurrentMtgRatesDataTable871112[[#This Row],[asofdate]],Q:AE,4,0)*100</f>
        <v>1.1634804441562401</v>
      </c>
      <c r="L64" s="40">
        <f>VLOOKUP(CurrentMtgRatesDataTable871112[[#This Row],[asofdate]],Q:AE,5,0)*100</f>
        <v>5.1803985203987404</v>
      </c>
      <c r="M64" s="40">
        <f>VLOOKUP(CurrentMtgRatesDataTable871112[[#This Row],[asofdate]],Q:AE,6,0)*100</f>
        <v>5.5588128111664101</v>
      </c>
      <c r="N64" s="40">
        <f>VLOOKUP(CurrentMtgRatesDataTable871112[[#This Row],[asofdate]],Q:AF,16,0)*100</f>
        <v>1.6561938332620203</v>
      </c>
      <c r="Q64" s="3" t="s">
        <v>83</v>
      </c>
      <c r="R64" s="21">
        <v>1.9719070890697001E-2</v>
      </c>
      <c r="S64" s="29" t="str">
        <f>YEAR(CurrentMtgRatesDataTable8711121314[[#This Row],[asofdate]])&amp;"-"&amp;MONTH(CurrentMtgRatesDataTable8711121314[[#This Row],[asofdate]])</f>
        <v>2008-4</v>
      </c>
      <c r="T64" s="37">
        <f>CurrentMtgRatesDataTable8711121314[[#This Row],[SeriesNumValue]]</f>
        <v>1.9719070890697001E-2</v>
      </c>
      <c r="U64" s="37">
        <f>VLOOKUP(CurrentMtgRatesDataTable8711121314[[#This Row],[asofdate]],B:D,2,0)</f>
        <v>0.112280776236066</v>
      </c>
      <c r="V64" s="37">
        <f>IF(VLOOKUP(CurrentMtgRatesDataTable8711121314[[#This Row],[asofdate]],G:H,2,0)&lt;&gt;0,VLOOKUP(CurrentMtgRatesDataTable8711121314[[#This Row],[asofdate]],G:H,2,0),V63)</f>
        <v>9.3530245327451605E-2</v>
      </c>
      <c r="W64" s="37">
        <f>CurrentMtgRatesDataTable8711121314[[#This Row],[FHA]]+0.5*CurrentMtgRatesDataTable8711121314[[#This Row],[Conventional]]</f>
        <v>0.1221403116814145</v>
      </c>
      <c r="X64" s="37">
        <f>2*CurrentMtgRatesDataTable8711121314[[#This Row],[FHA]]</f>
        <v>0.224561552472132</v>
      </c>
      <c r="Y64" s="19">
        <f>VLOOKUP(YEAR(CurrentMtgRatesDataTable8711121314[[#This Row],[asofdate]]),OriginationVolume!$A:$N,8,FALSE)</f>
        <v>0.67052023121387283</v>
      </c>
      <c r="Z64" s="19">
        <f>VLOOKUP(YEAR(CurrentMtgRatesDataTable8711121314[[#This Row],[asofdate]]),OriginationVolume!$A:$N,9,FALSE)</f>
        <v>5.2926300578034685E-2</v>
      </c>
      <c r="AA64" s="19">
        <f>VLOOKUP(YEAR(CurrentMtgRatesDataTable8711121314[[#This Row],[asofdate]]),OriginationVolume!$A:$N,10,FALSE)</f>
        <v>0.15877890173410406</v>
      </c>
      <c r="AB64" s="19">
        <f>VLOOKUP(YEAR(CurrentMtgRatesDataTable8711121314[[#This Row],[asofdate]]),OriginationVolume!$A:$N,11,FALSE)</f>
        <v>7.0809248554913301E-2</v>
      </c>
      <c r="AC64" s="19">
        <f>VLOOKUP(YEAR(CurrentMtgRatesDataTable8711121314[[#This Row],[asofdate]]),OriginationVolume!$A:$N,12,FALSE)</f>
        <v>3.0346820809248554E-2</v>
      </c>
      <c r="AD64" s="19">
        <f>VLOOKUP(YEAR(CurrentMtgRatesDataTable8711121314[[#This Row],[asofdate]]),OriginationVolume!$A:$N,13,FALSE)</f>
        <v>1.6618497109826588E-2</v>
      </c>
      <c r="AE6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4.4834802441795447E-2</v>
      </c>
      <c r="AF6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7.5013973894274541E-2</v>
      </c>
      <c r="AG64" s="3" t="s">
        <v>83</v>
      </c>
      <c r="AH64" s="5">
        <v>133612000</v>
      </c>
      <c r="AI64" s="26"/>
      <c r="AK64" s="3" t="s">
        <v>83</v>
      </c>
      <c r="AL64" s="5">
        <v>27023000</v>
      </c>
      <c r="AM64" s="26"/>
      <c r="AO64" s="3" t="s">
        <v>83</v>
      </c>
      <c r="AP64" s="5">
        <v>13130616566.99</v>
      </c>
      <c r="AQ64" s="29"/>
      <c r="AS64" s="3" t="s">
        <v>83</v>
      </c>
      <c r="AT64" s="5">
        <v>12969981566.99</v>
      </c>
      <c r="AU64" s="29" t="str">
        <f>YEAR(CurrentMtgRatesDataTable871112131417[[#This Row],[asofdate]])&amp;"-"&amp;MONTH(CurrentMtgRatesDataTable871112131417[[#This Row],[asofdate]])</f>
        <v>2008-4</v>
      </c>
      <c r="AV64" s="29">
        <f>CurrentMtgRatesDataTable871112131417[[#This Row],[SeriesNumValue]]</f>
        <v>12969981566.99</v>
      </c>
      <c r="AW64" s="29">
        <f>VLOOKUP(CurrentMtgRatesDataTable871112131417[[#This Row],[asofdate]],AG:AH,2,0)</f>
        <v>133612000</v>
      </c>
      <c r="AX64" s="25">
        <f>IF(VLOOKUP(CurrentMtgRatesDataTable871112131417[[#This Row],[asofdate]],AK:AL,2,0)&lt;&gt;0,VLOOKUP(CurrentMtgRatesDataTable871112131417[[#This Row],[asofdate]],AK:AL,2,0),AX63)</f>
        <v>27023000</v>
      </c>
      <c r="AY64" s="25">
        <f>VLOOKUP(CurrentMtgRatesDataTable871112131417[[#This Row],[asofdate]],AO:AP,2,0)</f>
        <v>13130616566.99</v>
      </c>
    </row>
    <row r="65" spans="2:51" s="2" customFormat="1">
      <c r="B65" s="3" t="s">
        <v>84</v>
      </c>
      <c r="C65" s="21">
        <v>0.10862820934442299</v>
      </c>
      <c r="D65" s="26">
        <f>((CurrentMtgRatesDataTable8711[[#This Row],[SeriesNumValue]]-$C$1)/$C$1+1)*100</f>
        <v>724.18806229615336</v>
      </c>
      <c r="E65" s="26"/>
      <c r="G65" s="3" t="s">
        <v>111</v>
      </c>
      <c r="H65" s="21">
        <v>6.0916811511753502E-2</v>
      </c>
      <c r="I65" s="21" t="str">
        <f>YEAR(CurrentMtgRatesDataTable871112[[#This Row],[asofdate]])&amp;"-"&amp;MONTH(CurrentMtgRatesDataTable871112[[#This Row],[asofdate]])</f>
        <v>2010-8</v>
      </c>
      <c r="J65" s="40">
        <f>VLOOKUP(CurrentMtgRatesDataTable871112[[#This Row],[asofdate]],Q:AE,15,0)*100</f>
        <v>2.2843715418558439</v>
      </c>
      <c r="K65" s="40">
        <f>VLOOKUP(CurrentMtgRatesDataTable871112[[#This Row],[asofdate]],Q:AE,4,0)*100</f>
        <v>1.19820818057222</v>
      </c>
      <c r="L65" s="40">
        <f>VLOOKUP(CurrentMtgRatesDataTable871112[[#This Row],[asofdate]],Q:AE,5,0)*100</f>
        <v>5.4351045253614698</v>
      </c>
      <c r="M65" s="40">
        <f>VLOOKUP(CurrentMtgRatesDataTable871112[[#This Row],[asofdate]],Q:AE,6,0)*100</f>
        <v>6.0916811511753499</v>
      </c>
      <c r="N65" s="40">
        <f>VLOOKUP(CurrentMtgRatesDataTable871112[[#This Row],[asofdate]],Q:AF,16,0)*100</f>
        <v>1.716351084330294</v>
      </c>
      <c r="Q65" s="3" t="s">
        <v>84</v>
      </c>
      <c r="R65" s="21">
        <v>1.9430117842498599E-2</v>
      </c>
      <c r="S65" s="29" t="str">
        <f>YEAR(CurrentMtgRatesDataTable8711121314[[#This Row],[asofdate]])&amp;"-"&amp;MONTH(CurrentMtgRatesDataTable8711121314[[#This Row],[asofdate]])</f>
        <v>2008-5</v>
      </c>
      <c r="T65" s="37">
        <f>CurrentMtgRatesDataTable8711121314[[#This Row],[SeriesNumValue]]</f>
        <v>1.9430117842498599E-2</v>
      </c>
      <c r="U65" s="37">
        <f>VLOOKUP(CurrentMtgRatesDataTable8711121314[[#This Row],[asofdate]],B:D,2,0)</f>
        <v>0.10862820934442299</v>
      </c>
      <c r="V65" s="37">
        <f>IF(VLOOKUP(CurrentMtgRatesDataTable8711121314[[#This Row],[asofdate]],G:H,2,0)&lt;&gt;0,VLOOKUP(CurrentMtgRatesDataTable8711121314[[#This Row],[asofdate]],G:H,2,0),V64)</f>
        <v>9.4390282645507598E-2</v>
      </c>
      <c r="W65" s="37">
        <f>CurrentMtgRatesDataTable8711121314[[#This Row],[FHA]]+0.5*CurrentMtgRatesDataTable8711121314[[#This Row],[Conventional]]</f>
        <v>0.11834326826567229</v>
      </c>
      <c r="X65" s="37">
        <f>2*CurrentMtgRatesDataTable8711121314[[#This Row],[FHA]]</f>
        <v>0.21725641868884599</v>
      </c>
      <c r="Y65" s="19">
        <f>VLOOKUP(YEAR(CurrentMtgRatesDataTable8711121314[[#This Row],[asofdate]]),OriginationVolume!$A:$N,8,FALSE)</f>
        <v>0.67052023121387283</v>
      </c>
      <c r="Z65" s="19">
        <f>VLOOKUP(YEAR(CurrentMtgRatesDataTable8711121314[[#This Row],[asofdate]]),OriginationVolume!$A:$N,9,FALSE)</f>
        <v>5.2926300578034685E-2</v>
      </c>
      <c r="AA65" s="19">
        <f>VLOOKUP(YEAR(CurrentMtgRatesDataTable8711121314[[#This Row],[asofdate]]),OriginationVolume!$A:$N,10,FALSE)</f>
        <v>0.15877890173410406</v>
      </c>
      <c r="AB65" s="19">
        <f>VLOOKUP(YEAR(CurrentMtgRatesDataTable8711121314[[#This Row],[asofdate]]),OriginationVolume!$A:$N,11,FALSE)</f>
        <v>7.0809248554913301E-2</v>
      </c>
      <c r="AC65" s="19">
        <f>VLOOKUP(YEAR(CurrentMtgRatesDataTable8711121314[[#This Row],[asofdate]]),OriginationVolume!$A:$N,12,FALSE)</f>
        <v>3.0346820809248554E-2</v>
      </c>
      <c r="AD65" s="19">
        <f>VLOOKUP(YEAR(CurrentMtgRatesDataTable8711121314[[#This Row],[asofdate]]),OriginationVolume!$A:$N,13,FALSE)</f>
        <v>1.6618497109826588E-2</v>
      </c>
      <c r="AE6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4.3849532522128351E-2</v>
      </c>
      <c r="AF6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7.2831082488138368E-2</v>
      </c>
      <c r="AG65" s="3" t="s">
        <v>84</v>
      </c>
      <c r="AH65" s="5">
        <v>182947000</v>
      </c>
      <c r="AI65" s="26"/>
      <c r="AK65" s="3" t="s">
        <v>84</v>
      </c>
      <c r="AL65" s="5">
        <v>25233000</v>
      </c>
      <c r="AM65" s="26"/>
      <c r="AO65" s="3" t="s">
        <v>84</v>
      </c>
      <c r="AP65" s="5">
        <v>14529429316.049999</v>
      </c>
      <c r="AQ65" s="29"/>
      <c r="AS65" s="3" t="s">
        <v>84</v>
      </c>
      <c r="AT65" s="5">
        <v>14321249316.049999</v>
      </c>
      <c r="AU65" s="29" t="str">
        <f>YEAR(CurrentMtgRatesDataTable871112131417[[#This Row],[asofdate]])&amp;"-"&amp;MONTH(CurrentMtgRatesDataTable871112131417[[#This Row],[asofdate]])</f>
        <v>2008-5</v>
      </c>
      <c r="AV65" s="29">
        <f>CurrentMtgRatesDataTable871112131417[[#This Row],[SeriesNumValue]]</f>
        <v>14321249316.049999</v>
      </c>
      <c r="AW65" s="29">
        <f>VLOOKUP(CurrentMtgRatesDataTable871112131417[[#This Row],[asofdate]],AG:AH,2,0)</f>
        <v>182947000</v>
      </c>
      <c r="AX65" s="25">
        <f>IF(VLOOKUP(CurrentMtgRatesDataTable871112131417[[#This Row],[asofdate]],AK:AL,2,0)&lt;&gt;0,VLOOKUP(CurrentMtgRatesDataTable871112131417[[#This Row],[asofdate]],AK:AL,2,0),AX64)</f>
        <v>25233000</v>
      </c>
      <c r="AY65" s="25">
        <f>VLOOKUP(CurrentMtgRatesDataTable871112131417[[#This Row],[asofdate]],AO:AP,2,0)</f>
        <v>14529429316.049999</v>
      </c>
    </row>
    <row r="66" spans="2:51" s="2" customFormat="1">
      <c r="B66" s="3" t="s">
        <v>85</v>
      </c>
      <c r="C66" s="21">
        <v>0.101027125337702</v>
      </c>
      <c r="D66" s="26">
        <f>((CurrentMtgRatesDataTable8711[[#This Row],[SeriesNumValue]]-$C$1)/$C$1+1)*100</f>
        <v>673.51416891801341</v>
      </c>
      <c r="E66" s="26"/>
      <c r="G66" s="3" t="s">
        <v>110</v>
      </c>
      <c r="H66" s="21">
        <v>5.9673922576363399E-2</v>
      </c>
      <c r="I66" s="21" t="str">
        <f>YEAR(CurrentMtgRatesDataTable871112[[#This Row],[asofdate]])&amp;"-"&amp;MONTH(CurrentMtgRatesDataTable871112[[#This Row],[asofdate]])</f>
        <v>2010-7</v>
      </c>
      <c r="J66" s="40">
        <f>VLOOKUP(CurrentMtgRatesDataTable871112[[#This Row],[asofdate]],Q:AE,15,0)*100</f>
        <v>2.2333654133830931</v>
      </c>
      <c r="K66" s="40">
        <f>VLOOKUP(CurrentMtgRatesDataTable871112[[#This Row],[asofdate]],Q:AE,4,0)*100</f>
        <v>1.19301678722133</v>
      </c>
      <c r="L66" s="40">
        <f>VLOOKUP(CurrentMtgRatesDataTable871112[[#This Row],[asofdate]],Q:AE,5,0)*100</f>
        <v>5.2223575477024307</v>
      </c>
      <c r="M66" s="40">
        <f>VLOOKUP(CurrentMtgRatesDataTable871112[[#This Row],[asofdate]],Q:AE,6,0)*100</f>
        <v>5.9673922576363401</v>
      </c>
      <c r="N66" s="40">
        <f>VLOOKUP(CurrentMtgRatesDataTable871112[[#This Row],[asofdate]],Q:AF,16,0)*100</f>
        <v>1.6886434823025902</v>
      </c>
      <c r="Q66" s="3" t="s">
        <v>85</v>
      </c>
      <c r="R66" s="21">
        <v>1.65254347118865E-2</v>
      </c>
      <c r="S66" s="29" t="str">
        <f>YEAR(CurrentMtgRatesDataTable8711121314[[#This Row],[asofdate]])&amp;"-"&amp;MONTH(CurrentMtgRatesDataTable8711121314[[#This Row],[asofdate]])</f>
        <v>2008-6</v>
      </c>
      <c r="T66" s="37">
        <f>CurrentMtgRatesDataTable8711121314[[#This Row],[SeriesNumValue]]</f>
        <v>1.65254347118865E-2</v>
      </c>
      <c r="U66" s="37">
        <f>VLOOKUP(CurrentMtgRatesDataTable8711121314[[#This Row],[asofdate]],B:D,2,0)</f>
        <v>0.101027125337702</v>
      </c>
      <c r="V66" s="37">
        <f>IF(VLOOKUP(CurrentMtgRatesDataTable8711121314[[#This Row],[asofdate]],G:H,2,0)&lt;&gt;0,VLOOKUP(CurrentMtgRatesDataTable8711121314[[#This Row],[asofdate]],G:H,2,0),V65)</f>
        <v>7.7078342061616595E-2</v>
      </c>
      <c r="W66" s="37">
        <f>CurrentMtgRatesDataTable8711121314[[#This Row],[FHA]]+0.5*CurrentMtgRatesDataTable8711121314[[#This Row],[Conventional]]</f>
        <v>0.10928984269364525</v>
      </c>
      <c r="X66" s="37">
        <f>2*CurrentMtgRatesDataTable8711121314[[#This Row],[FHA]]</f>
        <v>0.202054250675404</v>
      </c>
      <c r="Y66" s="19">
        <f>VLOOKUP(YEAR(CurrentMtgRatesDataTable8711121314[[#This Row],[asofdate]]),OriginationVolume!$A:$N,8,FALSE)</f>
        <v>0.67052023121387283</v>
      </c>
      <c r="Z66" s="19">
        <f>VLOOKUP(YEAR(CurrentMtgRatesDataTable8711121314[[#This Row],[asofdate]]),OriginationVolume!$A:$N,9,FALSE)</f>
        <v>5.2926300578034685E-2</v>
      </c>
      <c r="AA66" s="19">
        <f>VLOOKUP(YEAR(CurrentMtgRatesDataTable8711121314[[#This Row],[asofdate]]),OriginationVolume!$A:$N,10,FALSE)</f>
        <v>0.15877890173410406</v>
      </c>
      <c r="AB66" s="19">
        <f>VLOOKUP(YEAR(CurrentMtgRatesDataTable8711121314[[#This Row],[asofdate]]),OriginationVolume!$A:$N,11,FALSE)</f>
        <v>7.0809248554913301E-2</v>
      </c>
      <c r="AC66" s="19">
        <f>VLOOKUP(YEAR(CurrentMtgRatesDataTable8711121314[[#This Row],[asofdate]]),OriginationVolume!$A:$N,12,FALSE)</f>
        <v>3.0346820809248554E-2</v>
      </c>
      <c r="AD66" s="19">
        <f>VLOOKUP(YEAR(CurrentMtgRatesDataTable8711121314[[#This Row],[asofdate]]),OriginationVolume!$A:$N,13,FALSE)</f>
        <v>1.6618497109826588E-2</v>
      </c>
      <c r="AE6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3.9045676677771951E-2</v>
      </c>
      <c r="AF6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6.6606832886087541E-2</v>
      </c>
      <c r="AG66" s="3" t="s">
        <v>85</v>
      </c>
      <c r="AH66" s="5">
        <v>257908000</v>
      </c>
      <c r="AI66" s="26"/>
      <c r="AK66" s="3" t="s">
        <v>85</v>
      </c>
      <c r="AL66" s="5">
        <v>35354000</v>
      </c>
      <c r="AM66" s="26"/>
      <c r="AO66" s="3" t="s">
        <v>85</v>
      </c>
      <c r="AP66" s="5">
        <v>14563854951.780001</v>
      </c>
      <c r="AQ66" s="29"/>
      <c r="AS66" s="3" t="s">
        <v>85</v>
      </c>
      <c r="AT66" s="5">
        <v>14270592951.780001</v>
      </c>
      <c r="AU66" s="29" t="str">
        <f>YEAR(CurrentMtgRatesDataTable871112131417[[#This Row],[asofdate]])&amp;"-"&amp;MONTH(CurrentMtgRatesDataTable871112131417[[#This Row],[asofdate]])</f>
        <v>2008-6</v>
      </c>
      <c r="AV66" s="29">
        <f>CurrentMtgRatesDataTable871112131417[[#This Row],[SeriesNumValue]]</f>
        <v>14270592951.780001</v>
      </c>
      <c r="AW66" s="29">
        <f>VLOOKUP(CurrentMtgRatesDataTable871112131417[[#This Row],[asofdate]],AG:AH,2,0)</f>
        <v>257908000</v>
      </c>
      <c r="AX66" s="25">
        <f>IF(VLOOKUP(CurrentMtgRatesDataTable871112131417[[#This Row],[asofdate]],AK:AL,2,0)&lt;&gt;0,VLOOKUP(CurrentMtgRatesDataTable871112131417[[#This Row],[asofdate]],AK:AL,2,0),AX65)</f>
        <v>35354000</v>
      </c>
      <c r="AY66" s="25">
        <f>VLOOKUP(CurrentMtgRatesDataTable871112131417[[#This Row],[asofdate]],AO:AP,2,0)</f>
        <v>14563854951.780001</v>
      </c>
    </row>
    <row r="67" spans="2:51" s="2" customFormat="1">
      <c r="B67" s="3" t="s">
        <v>86</v>
      </c>
      <c r="C67" s="21">
        <v>9.3804213372806602E-2</v>
      </c>
      <c r="D67" s="26">
        <f>((CurrentMtgRatesDataTable8711[[#This Row],[SeriesNumValue]]-$C$1)/$C$1+1)*100</f>
        <v>625.36142248537737</v>
      </c>
      <c r="E67" s="26"/>
      <c r="G67" s="3" t="s">
        <v>109</v>
      </c>
      <c r="H67" s="21">
        <v>5.4544830915257102E-2</v>
      </c>
      <c r="I67" s="21" t="str">
        <f>YEAR(CurrentMtgRatesDataTable871112[[#This Row],[asofdate]])&amp;"-"&amp;MONTH(CurrentMtgRatesDataTable871112[[#This Row],[asofdate]])</f>
        <v>2010-6</v>
      </c>
      <c r="J67" s="40">
        <f>VLOOKUP(CurrentMtgRatesDataTable871112[[#This Row],[asofdate]],Q:AE,15,0)*100</f>
        <v>2.0377238569865437</v>
      </c>
      <c r="K67" s="40">
        <f>VLOOKUP(CurrentMtgRatesDataTable871112[[#This Row],[asofdate]],Q:AE,4,0)*100</f>
        <v>1.0806873793268901</v>
      </c>
      <c r="L67" s="40">
        <f>VLOOKUP(CurrentMtgRatesDataTable871112[[#This Row],[asofdate]],Q:AE,5,0)*100</f>
        <v>4.7935297916397399</v>
      </c>
      <c r="M67" s="40">
        <f>VLOOKUP(CurrentMtgRatesDataTable871112[[#This Row],[asofdate]],Q:AE,6,0)*100</f>
        <v>5.4544830915257103</v>
      </c>
      <c r="N67" s="40">
        <f>VLOOKUP(CurrentMtgRatesDataTable871112[[#This Row],[asofdate]],Q:AF,16,0)*100</f>
        <v>1.5363858902529215</v>
      </c>
      <c r="Q67" s="3" t="s">
        <v>86</v>
      </c>
      <c r="R67" s="21">
        <v>1.50068827988702E-2</v>
      </c>
      <c r="S67" s="29" t="str">
        <f>YEAR(CurrentMtgRatesDataTable8711121314[[#This Row],[asofdate]])&amp;"-"&amp;MONTH(CurrentMtgRatesDataTable8711121314[[#This Row],[asofdate]])</f>
        <v>2008-7</v>
      </c>
      <c r="T67" s="37">
        <f>CurrentMtgRatesDataTable8711121314[[#This Row],[SeriesNumValue]]</f>
        <v>1.50068827988702E-2</v>
      </c>
      <c r="U67" s="37">
        <f>VLOOKUP(CurrentMtgRatesDataTable8711121314[[#This Row],[asofdate]],B:D,2,0)</f>
        <v>9.3804213372806602E-2</v>
      </c>
      <c r="V67" s="37">
        <f>IF(VLOOKUP(CurrentMtgRatesDataTable8711121314[[#This Row],[asofdate]],G:H,2,0)&lt;&gt;0,VLOOKUP(CurrentMtgRatesDataTable8711121314[[#This Row],[asofdate]],G:H,2,0),V66)</f>
        <v>7.5508534809422503E-2</v>
      </c>
      <c r="W67" s="37">
        <f>CurrentMtgRatesDataTable8711121314[[#This Row],[FHA]]+0.5*CurrentMtgRatesDataTable8711121314[[#This Row],[Conventional]]</f>
        <v>0.1013076547722417</v>
      </c>
      <c r="X67" s="37">
        <f>2*CurrentMtgRatesDataTable8711121314[[#This Row],[FHA]]</f>
        <v>0.1876084267456132</v>
      </c>
      <c r="Y67" s="19">
        <f>VLOOKUP(YEAR(CurrentMtgRatesDataTable8711121314[[#This Row],[asofdate]]),OriginationVolume!$A:$N,8,FALSE)</f>
        <v>0.67052023121387283</v>
      </c>
      <c r="Z67" s="19">
        <f>VLOOKUP(YEAR(CurrentMtgRatesDataTable8711121314[[#This Row],[asofdate]]),OriginationVolume!$A:$N,9,FALSE)</f>
        <v>5.2926300578034685E-2</v>
      </c>
      <c r="AA67" s="19">
        <f>VLOOKUP(YEAR(CurrentMtgRatesDataTable8711121314[[#This Row],[asofdate]]),OriginationVolume!$A:$N,10,FALSE)</f>
        <v>0.15877890173410406</v>
      </c>
      <c r="AB67" s="19">
        <f>VLOOKUP(YEAR(CurrentMtgRatesDataTable8711121314[[#This Row],[asofdate]]),OriginationVolume!$A:$N,11,FALSE)</f>
        <v>7.0809248554913301E-2</v>
      </c>
      <c r="AC67" s="19">
        <f>VLOOKUP(YEAR(CurrentMtgRatesDataTable8711121314[[#This Row],[asofdate]]),OriginationVolume!$A:$N,12,FALSE)</f>
        <v>3.0346820809248554E-2</v>
      </c>
      <c r="AD67" s="19">
        <f>VLOOKUP(YEAR(CurrentMtgRatesDataTable8711121314[[#This Row],[asofdate]]),OriginationVolume!$A:$N,13,FALSE)</f>
        <v>1.6618497109826588E-2</v>
      </c>
      <c r="AE6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3.620769734876339E-2</v>
      </c>
      <c r="AF6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6.1598710612714928E-2</v>
      </c>
      <c r="AG67" s="3" t="s">
        <v>86</v>
      </c>
      <c r="AH67" s="5">
        <v>300657000</v>
      </c>
      <c r="AI67" s="26"/>
      <c r="AK67" s="3" t="s">
        <v>86</v>
      </c>
      <c r="AL67" s="5">
        <v>43486000</v>
      </c>
      <c r="AM67" s="26"/>
      <c r="AO67" s="3" t="s">
        <v>86</v>
      </c>
      <c r="AP67" s="5">
        <v>14197334880.99</v>
      </c>
      <c r="AQ67" s="29"/>
      <c r="AS67" s="3" t="s">
        <v>86</v>
      </c>
      <c r="AT67" s="5">
        <v>13853191880.99</v>
      </c>
      <c r="AU67" s="29" t="str">
        <f>YEAR(CurrentMtgRatesDataTable871112131417[[#This Row],[asofdate]])&amp;"-"&amp;MONTH(CurrentMtgRatesDataTable871112131417[[#This Row],[asofdate]])</f>
        <v>2008-7</v>
      </c>
      <c r="AV67" s="29">
        <f>CurrentMtgRatesDataTable871112131417[[#This Row],[SeriesNumValue]]</f>
        <v>13853191880.99</v>
      </c>
      <c r="AW67" s="29">
        <f>VLOOKUP(CurrentMtgRatesDataTable871112131417[[#This Row],[asofdate]],AG:AH,2,0)</f>
        <v>300657000</v>
      </c>
      <c r="AX67" s="25">
        <f>IF(VLOOKUP(CurrentMtgRatesDataTable871112131417[[#This Row],[asofdate]],AK:AL,2,0)&lt;&gt;0,VLOOKUP(CurrentMtgRatesDataTable871112131417[[#This Row],[asofdate]],AK:AL,2,0),AX66)</f>
        <v>43486000</v>
      </c>
      <c r="AY67" s="25">
        <f>VLOOKUP(CurrentMtgRatesDataTable871112131417[[#This Row],[asofdate]],AO:AP,2,0)</f>
        <v>14197334880.99</v>
      </c>
    </row>
    <row r="68" spans="2:51" s="2" customFormat="1">
      <c r="B68" s="3" t="s">
        <v>87</v>
      </c>
      <c r="C68" s="21">
        <v>8.7395122950958998E-2</v>
      </c>
      <c r="D68" s="26">
        <f>((CurrentMtgRatesDataTable8711[[#This Row],[SeriesNumValue]]-$C$1)/$C$1+1)*100</f>
        <v>582.63415300639338</v>
      </c>
      <c r="E68" s="26"/>
      <c r="G68" s="3" t="s">
        <v>108</v>
      </c>
      <c r="H68" s="21">
        <v>5.5631148970286398E-2</v>
      </c>
      <c r="I68" s="21" t="str">
        <f>YEAR(CurrentMtgRatesDataTable871112[[#This Row],[asofdate]])&amp;"-"&amp;MONTH(CurrentMtgRatesDataTable871112[[#This Row],[asofdate]])</f>
        <v>2010-5</v>
      </c>
      <c r="J68" s="40">
        <f>VLOOKUP(CurrentMtgRatesDataTable871112[[#This Row],[asofdate]],Q:AE,15,0)*100</f>
        <v>2.1013399056538318</v>
      </c>
      <c r="K68" s="40">
        <f>VLOOKUP(CurrentMtgRatesDataTable871112[[#This Row],[asofdate]],Q:AE,4,0)*100</f>
        <v>1.11922493066082</v>
      </c>
      <c r="L68" s="40">
        <f>VLOOKUP(CurrentMtgRatesDataTable871112[[#This Row],[asofdate]],Q:AE,5,0)*100</f>
        <v>4.9433870902870103</v>
      </c>
      <c r="M68" s="40">
        <f>VLOOKUP(CurrentMtgRatesDataTable871112[[#This Row],[asofdate]],Q:AE,6,0)*100</f>
        <v>5.5631148970286395</v>
      </c>
      <c r="N68" s="40">
        <f>VLOOKUP(CurrentMtgRatesDataTable871112[[#This Row],[asofdate]],Q:AF,16,0)*100</f>
        <v>1.5889150690490275</v>
      </c>
      <c r="Q68" s="3" t="s">
        <v>87</v>
      </c>
      <c r="R68" s="21">
        <v>1.3633996571414401E-2</v>
      </c>
      <c r="S68" s="29" t="str">
        <f>YEAR(CurrentMtgRatesDataTable8711121314[[#This Row],[asofdate]])&amp;"-"&amp;MONTH(CurrentMtgRatesDataTable8711121314[[#This Row],[asofdate]])</f>
        <v>2008-8</v>
      </c>
      <c r="T68" s="37">
        <f>CurrentMtgRatesDataTable8711121314[[#This Row],[SeriesNumValue]]</f>
        <v>1.3633996571414401E-2</v>
      </c>
      <c r="U68" s="37">
        <f>VLOOKUP(CurrentMtgRatesDataTable8711121314[[#This Row],[asofdate]],B:D,2,0)</f>
        <v>8.7395122950958998E-2</v>
      </c>
      <c r="V68" s="37">
        <f>IF(VLOOKUP(CurrentMtgRatesDataTable8711121314[[#This Row],[asofdate]],G:H,2,0)&lt;&gt;0,VLOOKUP(CurrentMtgRatesDataTable8711121314[[#This Row],[asofdate]],G:H,2,0),V67)</f>
        <v>7.3574608785366299E-2</v>
      </c>
      <c r="W68" s="37">
        <f>CurrentMtgRatesDataTable8711121314[[#This Row],[FHA]]+0.5*CurrentMtgRatesDataTable8711121314[[#This Row],[Conventional]]</f>
        <v>9.4212121236666196E-2</v>
      </c>
      <c r="X68" s="37">
        <f>2*CurrentMtgRatesDataTable8711121314[[#This Row],[FHA]]</f>
        <v>0.174790245901918</v>
      </c>
      <c r="Y68" s="19">
        <f>VLOOKUP(YEAR(CurrentMtgRatesDataTable8711121314[[#This Row],[asofdate]]),OriginationVolume!$A:$N,8,FALSE)</f>
        <v>0.67052023121387283</v>
      </c>
      <c r="Z68" s="19">
        <f>VLOOKUP(YEAR(CurrentMtgRatesDataTable8711121314[[#This Row],[asofdate]]),OriginationVolume!$A:$N,9,FALSE)</f>
        <v>5.2926300578034685E-2</v>
      </c>
      <c r="AA68" s="19">
        <f>VLOOKUP(YEAR(CurrentMtgRatesDataTable8711121314[[#This Row],[asofdate]]),OriginationVolume!$A:$N,10,FALSE)</f>
        <v>0.15877890173410406</v>
      </c>
      <c r="AB68" s="19">
        <f>VLOOKUP(YEAR(CurrentMtgRatesDataTable8711121314[[#This Row],[asofdate]]),OriginationVolume!$A:$N,11,FALSE)</f>
        <v>7.0809248554913301E-2</v>
      </c>
      <c r="AC68" s="19">
        <f>VLOOKUP(YEAR(CurrentMtgRatesDataTable8711121314[[#This Row],[asofdate]]),OriginationVolume!$A:$N,12,FALSE)</f>
        <v>3.0346820809248554E-2</v>
      </c>
      <c r="AD68" s="19">
        <f>VLOOKUP(YEAR(CurrentMtgRatesDataTable8711121314[[#This Row],[asofdate]]),OriginationVolume!$A:$N,13,FALSE)</f>
        <v>1.6618497109826588E-2</v>
      </c>
      <c r="AE6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3.3641606641587128E-2</v>
      </c>
      <c r="AF6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5.7136297004188374E-2</v>
      </c>
      <c r="AG68" s="3" t="s">
        <v>87</v>
      </c>
      <c r="AH68" s="5">
        <v>288286000</v>
      </c>
      <c r="AI68" s="26"/>
      <c r="AK68" s="3" t="s">
        <v>87</v>
      </c>
      <c r="AL68" s="5">
        <v>42329000</v>
      </c>
      <c r="AM68" s="26"/>
      <c r="AO68" s="3" t="s">
        <v>87</v>
      </c>
      <c r="AP68" s="5">
        <v>14884989554.790001</v>
      </c>
      <c r="AQ68" s="29"/>
      <c r="AS68" s="3" t="s">
        <v>87</v>
      </c>
      <c r="AT68" s="5">
        <v>14554374554.790001</v>
      </c>
      <c r="AU68" s="29" t="str">
        <f>YEAR(CurrentMtgRatesDataTable871112131417[[#This Row],[asofdate]])&amp;"-"&amp;MONTH(CurrentMtgRatesDataTable871112131417[[#This Row],[asofdate]])</f>
        <v>2008-8</v>
      </c>
      <c r="AV68" s="29">
        <f>CurrentMtgRatesDataTable871112131417[[#This Row],[SeriesNumValue]]</f>
        <v>14554374554.790001</v>
      </c>
      <c r="AW68" s="29">
        <f>VLOOKUP(CurrentMtgRatesDataTable871112131417[[#This Row],[asofdate]],AG:AH,2,0)</f>
        <v>288286000</v>
      </c>
      <c r="AX68" s="25">
        <f>IF(VLOOKUP(CurrentMtgRatesDataTable871112131417[[#This Row],[asofdate]],AK:AL,2,0)&lt;&gt;0,VLOOKUP(CurrentMtgRatesDataTable871112131417[[#This Row],[asofdate]],AK:AL,2,0),AX67)</f>
        <v>42329000</v>
      </c>
      <c r="AY68" s="25">
        <f>VLOOKUP(CurrentMtgRatesDataTable871112131417[[#This Row],[asofdate]],AO:AP,2,0)</f>
        <v>14884989554.790001</v>
      </c>
    </row>
    <row r="69" spans="2:51" s="2" customFormat="1">
      <c r="B69" s="3" t="s">
        <v>88</v>
      </c>
      <c r="C69" s="21">
        <v>8.9057747301929793E-2</v>
      </c>
      <c r="D69" s="26">
        <f>((CurrentMtgRatesDataTable8711[[#This Row],[SeriesNumValue]]-$C$1)/$C$1+1)*100</f>
        <v>593.71831534619866</v>
      </c>
      <c r="E69" s="26"/>
      <c r="G69" s="3" t="s">
        <v>107</v>
      </c>
      <c r="H69" s="21">
        <v>5.7537915234067899E-2</v>
      </c>
      <c r="I69" s="21" t="str">
        <f>YEAR(CurrentMtgRatesDataTable871112[[#This Row],[asofdate]])&amp;"-"&amp;MONTH(CurrentMtgRatesDataTable871112[[#This Row],[asofdate]])</f>
        <v>2010-4</v>
      </c>
      <c r="J69" s="40">
        <f>VLOOKUP(CurrentMtgRatesDataTable871112[[#This Row],[asofdate]],Q:AE,15,0)*100</f>
        <v>2.1031470618442416</v>
      </c>
      <c r="K69" s="40">
        <f>VLOOKUP(CurrentMtgRatesDataTable871112[[#This Row],[asofdate]],Q:AE,4,0)*100</f>
        <v>1.0941874131880001</v>
      </c>
      <c r="L69" s="40">
        <f>VLOOKUP(CurrentMtgRatesDataTable871112[[#This Row],[asofdate]],Q:AE,5,0)*100</f>
        <v>4.9938732237334404</v>
      </c>
      <c r="M69" s="40">
        <f>VLOOKUP(CurrentMtgRatesDataTable871112[[#This Row],[asofdate]],Q:AE,6,0)*100</f>
        <v>5.7537915234067896</v>
      </c>
      <c r="N69" s="40">
        <f>VLOOKUP(CurrentMtgRatesDataTable871112[[#This Row],[asofdate]],Q:AF,16,0)*100</f>
        <v>1.5706280757386546</v>
      </c>
      <c r="Q69" s="3" t="s">
        <v>88</v>
      </c>
      <c r="R69" s="21">
        <v>1.35929357011554E-2</v>
      </c>
      <c r="S69" s="29" t="str">
        <f>YEAR(CurrentMtgRatesDataTable8711121314[[#This Row],[asofdate]])&amp;"-"&amp;MONTH(CurrentMtgRatesDataTable8711121314[[#This Row],[asofdate]])</f>
        <v>2008-9</v>
      </c>
      <c r="T69" s="37">
        <f>CurrentMtgRatesDataTable8711121314[[#This Row],[SeriesNumValue]]</f>
        <v>1.35929357011554E-2</v>
      </c>
      <c r="U69" s="37">
        <f>VLOOKUP(CurrentMtgRatesDataTable8711121314[[#This Row],[asofdate]],B:D,2,0)</f>
        <v>8.9057747301929793E-2</v>
      </c>
      <c r="V69" s="37">
        <f>IF(VLOOKUP(CurrentMtgRatesDataTable8711121314[[#This Row],[asofdate]],G:H,2,0)&lt;&gt;0,VLOOKUP(CurrentMtgRatesDataTable8711121314[[#This Row],[asofdate]],G:H,2,0),V68)</f>
        <v>7.8305822025021996E-2</v>
      </c>
      <c r="W69" s="37">
        <f>CurrentMtgRatesDataTable8711121314[[#This Row],[FHA]]+0.5*CurrentMtgRatesDataTable8711121314[[#This Row],[Conventional]]</f>
        <v>9.5854215152507499E-2</v>
      </c>
      <c r="X69" s="37">
        <f>2*CurrentMtgRatesDataTable8711121314[[#This Row],[FHA]]</f>
        <v>0.17811549460385959</v>
      </c>
      <c r="Y69" s="19">
        <f>VLOOKUP(YEAR(CurrentMtgRatesDataTable8711121314[[#This Row],[asofdate]]),OriginationVolume!$A:$N,8,FALSE)</f>
        <v>0.67052023121387283</v>
      </c>
      <c r="Z69" s="19">
        <f>VLOOKUP(YEAR(CurrentMtgRatesDataTable8711121314[[#This Row],[asofdate]]),OriginationVolume!$A:$N,9,FALSE)</f>
        <v>5.2926300578034685E-2</v>
      </c>
      <c r="AA69" s="19">
        <f>VLOOKUP(YEAR(CurrentMtgRatesDataTable8711121314[[#This Row],[asofdate]]),OriginationVolume!$A:$N,10,FALSE)</f>
        <v>0.15877890173410406</v>
      </c>
      <c r="AB69" s="19">
        <f>VLOOKUP(YEAR(CurrentMtgRatesDataTable8711121314[[#This Row],[asofdate]]),OriginationVolume!$A:$N,11,FALSE)</f>
        <v>7.0809248554913301E-2</v>
      </c>
      <c r="AC69" s="19">
        <f>VLOOKUP(YEAR(CurrentMtgRatesDataTable8711121314[[#This Row],[asofdate]]),OriginationVolume!$A:$N,12,FALSE)</f>
        <v>3.0346820809248554E-2</v>
      </c>
      <c r="AD69" s="19">
        <f>VLOOKUP(YEAR(CurrentMtgRatesDataTable8711121314[[#This Row],[asofdate]]),OriginationVolume!$A:$N,13,FALSE)</f>
        <v>1.6618497109826588E-2</v>
      </c>
      <c r="AE6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3.4230655256222153E-2</v>
      </c>
      <c r="AF6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5.8003933196363884E-2</v>
      </c>
      <c r="AG69" s="3" t="s">
        <v>88</v>
      </c>
      <c r="AH69" s="5">
        <v>303910000</v>
      </c>
      <c r="AI69" s="26"/>
      <c r="AK69" s="3" t="s">
        <v>88</v>
      </c>
      <c r="AL69" s="5">
        <v>31451000</v>
      </c>
      <c r="AM69" s="26"/>
      <c r="AO69" s="3" t="s">
        <v>88</v>
      </c>
      <c r="AP69" s="5">
        <v>12653045190.209999</v>
      </c>
      <c r="AQ69" s="29"/>
      <c r="AS69" s="3" t="s">
        <v>88</v>
      </c>
      <c r="AT69" s="5">
        <v>12317684190.209999</v>
      </c>
      <c r="AU69" s="29" t="str">
        <f>YEAR(CurrentMtgRatesDataTable871112131417[[#This Row],[asofdate]])&amp;"-"&amp;MONTH(CurrentMtgRatesDataTable871112131417[[#This Row],[asofdate]])</f>
        <v>2008-9</v>
      </c>
      <c r="AV69" s="29">
        <f>CurrentMtgRatesDataTable871112131417[[#This Row],[SeriesNumValue]]</f>
        <v>12317684190.209999</v>
      </c>
      <c r="AW69" s="29">
        <f>VLOOKUP(CurrentMtgRatesDataTable871112131417[[#This Row],[asofdate]],AG:AH,2,0)</f>
        <v>303910000</v>
      </c>
      <c r="AX69" s="25">
        <f>IF(VLOOKUP(CurrentMtgRatesDataTable871112131417[[#This Row],[asofdate]],AK:AL,2,0)&lt;&gt;0,VLOOKUP(CurrentMtgRatesDataTable871112131417[[#This Row],[asofdate]],AK:AL,2,0),AX68)</f>
        <v>31451000</v>
      </c>
      <c r="AY69" s="25">
        <f>VLOOKUP(CurrentMtgRatesDataTable871112131417[[#This Row],[asofdate]],AO:AP,2,0)</f>
        <v>12653045190.209999</v>
      </c>
    </row>
    <row r="70" spans="2:51" s="2" customFormat="1">
      <c r="B70" s="3" t="s">
        <v>89</v>
      </c>
      <c r="C70" s="21">
        <v>8.9562512546187495E-2</v>
      </c>
      <c r="D70" s="26">
        <f>((CurrentMtgRatesDataTable8711[[#This Row],[SeriesNumValue]]-$C$1)/$C$1+1)*100</f>
        <v>597.08341697458332</v>
      </c>
      <c r="E70" s="26"/>
      <c r="G70" s="3" t="s">
        <v>106</v>
      </c>
      <c r="H70" s="21">
        <v>5.42370628751601E-2</v>
      </c>
      <c r="I70" s="21" t="str">
        <f>YEAR(CurrentMtgRatesDataTable871112[[#This Row],[asofdate]])&amp;"-"&amp;MONTH(CurrentMtgRatesDataTable871112[[#This Row],[asofdate]])</f>
        <v>2010-3</v>
      </c>
      <c r="J70" s="40">
        <f>VLOOKUP(CurrentMtgRatesDataTable871112[[#This Row],[asofdate]],Q:AE,15,0)*100</f>
        <v>2.0482850539817172</v>
      </c>
      <c r="K70" s="40">
        <f>VLOOKUP(CurrentMtgRatesDataTable871112[[#This Row],[asofdate]],Q:AE,4,0)*100</f>
        <v>1.0557352436426499</v>
      </c>
      <c r="L70" s="40">
        <f>VLOOKUP(CurrentMtgRatesDataTable871112[[#This Row],[asofdate]],Q:AE,5,0)*100</f>
        <v>4.9614369155651099</v>
      </c>
      <c r="M70" s="40">
        <f>VLOOKUP(CurrentMtgRatesDataTable871112[[#This Row],[asofdate]],Q:AE,6,0)*100</f>
        <v>5.4237062875160102</v>
      </c>
      <c r="N70" s="40">
        <f>VLOOKUP(CurrentMtgRatesDataTable871112[[#This Row],[asofdate]],Q:AF,16,0)*100</f>
        <v>1.5307605251151983</v>
      </c>
      <c r="Q70" s="3" t="s">
        <v>89</v>
      </c>
      <c r="R70" s="21">
        <v>1.4091668990269699E-2</v>
      </c>
      <c r="S70" s="29" t="str">
        <f>YEAR(CurrentMtgRatesDataTable8711121314[[#This Row],[asofdate]])&amp;"-"&amp;MONTH(CurrentMtgRatesDataTable8711121314[[#This Row],[asofdate]])</f>
        <v>2008-10</v>
      </c>
      <c r="T70" s="37">
        <f>CurrentMtgRatesDataTable8711121314[[#This Row],[SeriesNumValue]]</f>
        <v>1.4091668990269699E-2</v>
      </c>
      <c r="U70" s="37">
        <f>VLOOKUP(CurrentMtgRatesDataTable8711121314[[#This Row],[asofdate]],B:D,2,0)</f>
        <v>8.9562512546187495E-2</v>
      </c>
      <c r="V70" s="37">
        <f>IF(VLOOKUP(CurrentMtgRatesDataTable8711121314[[#This Row],[asofdate]],G:H,2,0)&lt;&gt;0,VLOOKUP(CurrentMtgRatesDataTable8711121314[[#This Row],[asofdate]],G:H,2,0),V69)</f>
        <v>7.4692912532645095E-2</v>
      </c>
      <c r="W70" s="37">
        <f>CurrentMtgRatesDataTable8711121314[[#This Row],[FHA]]+0.5*CurrentMtgRatesDataTable8711121314[[#This Row],[Conventional]]</f>
        <v>9.6608347041322346E-2</v>
      </c>
      <c r="X70" s="37">
        <f>2*CurrentMtgRatesDataTable8711121314[[#This Row],[FHA]]</f>
        <v>0.17912502509237499</v>
      </c>
      <c r="Y70" s="19">
        <f>VLOOKUP(YEAR(CurrentMtgRatesDataTable8711121314[[#This Row],[asofdate]]),OriginationVolume!$A:$N,8,FALSE)</f>
        <v>0.67052023121387283</v>
      </c>
      <c r="Z70" s="19">
        <f>VLOOKUP(YEAR(CurrentMtgRatesDataTable8711121314[[#This Row],[asofdate]]),OriginationVolume!$A:$N,9,FALSE)</f>
        <v>5.2926300578034685E-2</v>
      </c>
      <c r="AA70" s="19">
        <f>VLOOKUP(YEAR(CurrentMtgRatesDataTable8711121314[[#This Row],[asofdate]]),OriginationVolume!$A:$N,10,FALSE)</f>
        <v>0.15877890173410406</v>
      </c>
      <c r="AB70" s="19">
        <f>VLOOKUP(YEAR(CurrentMtgRatesDataTable8711121314[[#This Row],[asofdate]]),OriginationVolume!$A:$N,11,FALSE)</f>
        <v>7.0809248554913301E-2</v>
      </c>
      <c r="AC70" s="19">
        <f>VLOOKUP(YEAR(CurrentMtgRatesDataTable8711121314[[#This Row],[asofdate]]),OriginationVolume!$A:$N,12,FALSE)</f>
        <v>3.0346820809248554E-2</v>
      </c>
      <c r="AD70" s="19">
        <f>VLOOKUP(YEAR(CurrentMtgRatesDataTable8711121314[[#This Row],[asofdate]]),OriginationVolume!$A:$N,13,FALSE)</f>
        <v>1.6618497109826588E-2</v>
      </c>
      <c r="AE7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3.452897146814872E-2</v>
      </c>
      <c r="AF7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5.8640550392064991E-2</v>
      </c>
      <c r="AG70" s="3" t="s">
        <v>89</v>
      </c>
      <c r="AH70" s="5">
        <v>271159000</v>
      </c>
      <c r="AI70" s="26"/>
      <c r="AK70" s="3" t="s">
        <v>89</v>
      </c>
      <c r="AL70" s="5">
        <v>27244000</v>
      </c>
      <c r="AM70" s="26"/>
      <c r="AO70" s="3" t="s">
        <v>89</v>
      </c>
      <c r="AP70" s="5">
        <v>9130461207.7099991</v>
      </c>
      <c r="AQ70" s="29"/>
      <c r="AS70" s="3" t="s">
        <v>89</v>
      </c>
      <c r="AT70" s="5">
        <v>8832058207.7099991</v>
      </c>
      <c r="AU70" s="29" t="str">
        <f>YEAR(CurrentMtgRatesDataTable871112131417[[#This Row],[asofdate]])&amp;"-"&amp;MONTH(CurrentMtgRatesDataTable871112131417[[#This Row],[asofdate]])</f>
        <v>2008-10</v>
      </c>
      <c r="AV70" s="29">
        <f>CurrentMtgRatesDataTable871112131417[[#This Row],[SeriesNumValue]]</f>
        <v>8832058207.7099991</v>
      </c>
      <c r="AW70" s="29">
        <f>VLOOKUP(CurrentMtgRatesDataTable871112131417[[#This Row],[asofdate]],AG:AH,2,0)</f>
        <v>271159000</v>
      </c>
      <c r="AX70" s="25">
        <f>IF(VLOOKUP(CurrentMtgRatesDataTable871112131417[[#This Row],[asofdate]],AK:AL,2,0)&lt;&gt;0,VLOOKUP(CurrentMtgRatesDataTable871112131417[[#This Row],[asofdate]],AK:AL,2,0),AX69)</f>
        <v>27244000</v>
      </c>
      <c r="AY70" s="25">
        <f>VLOOKUP(CurrentMtgRatesDataTable871112131417[[#This Row],[asofdate]],AO:AP,2,0)</f>
        <v>9130461207.7099991</v>
      </c>
    </row>
    <row r="71" spans="2:51" s="2" customFormat="1">
      <c r="B71" s="3" t="s">
        <v>90</v>
      </c>
      <c r="C71" s="21">
        <v>0.103351642697491</v>
      </c>
      <c r="D71" s="26">
        <f>((CurrentMtgRatesDataTable8711[[#This Row],[SeriesNumValue]]-$C$1)/$C$1+1)*100</f>
        <v>689.01095131660668</v>
      </c>
      <c r="E71" s="26"/>
      <c r="G71" s="3" t="s">
        <v>105</v>
      </c>
      <c r="H71" s="21">
        <v>5.8153942835834402E-2</v>
      </c>
      <c r="I71" s="21" t="str">
        <f>YEAR(CurrentMtgRatesDataTable871112[[#This Row],[asofdate]])&amp;"-"&amp;MONTH(CurrentMtgRatesDataTable871112[[#This Row],[asofdate]])</f>
        <v>2010-2</v>
      </c>
      <c r="J71" s="40">
        <f>VLOOKUP(CurrentMtgRatesDataTable871112[[#This Row],[asofdate]],Q:AE,15,0)*100</f>
        <v>2.1438308713372325</v>
      </c>
      <c r="K71" s="40">
        <f>VLOOKUP(CurrentMtgRatesDataTable871112[[#This Row],[asofdate]],Q:AE,4,0)*100</f>
        <v>1.0642411948961898</v>
      </c>
      <c r="L71" s="40">
        <f>VLOOKUP(CurrentMtgRatesDataTable871112[[#This Row],[asofdate]],Q:AE,5,0)*100</f>
        <v>5.3141127900620502</v>
      </c>
      <c r="M71" s="40">
        <f>VLOOKUP(CurrentMtgRatesDataTable871112[[#This Row],[asofdate]],Q:AE,6,0)*100</f>
        <v>5.8153942835834398</v>
      </c>
      <c r="N71" s="40">
        <f>VLOOKUP(CurrentMtgRatesDataTable871112[[#This Row],[asofdate]],Q:AF,16,0)*100</f>
        <v>1.5765975012476852</v>
      </c>
      <c r="Q71" s="3" t="s">
        <v>90</v>
      </c>
      <c r="R71" s="21">
        <v>1.4663344961973499E-2</v>
      </c>
      <c r="S71" s="29" t="str">
        <f>YEAR(CurrentMtgRatesDataTable8711121314[[#This Row],[asofdate]])&amp;"-"&amp;MONTH(CurrentMtgRatesDataTable8711121314[[#This Row],[asofdate]])</f>
        <v>2008-11</v>
      </c>
      <c r="T71" s="37">
        <f>CurrentMtgRatesDataTable8711121314[[#This Row],[SeriesNumValue]]</f>
        <v>1.4663344961973499E-2</v>
      </c>
      <c r="U71" s="37">
        <f>VLOOKUP(CurrentMtgRatesDataTable8711121314[[#This Row],[asofdate]],B:D,2,0)</f>
        <v>0.103351642697491</v>
      </c>
      <c r="V71" s="37">
        <f>IF(VLOOKUP(CurrentMtgRatesDataTable8711121314[[#This Row],[asofdate]],G:H,2,0)&lt;&gt;0,VLOOKUP(CurrentMtgRatesDataTable8711121314[[#This Row],[asofdate]],G:H,2,0),V70)</f>
        <v>0.103441437654216</v>
      </c>
      <c r="W71" s="37">
        <f>CurrentMtgRatesDataTable8711121314[[#This Row],[FHA]]+0.5*CurrentMtgRatesDataTable8711121314[[#This Row],[Conventional]]</f>
        <v>0.11068331517847775</v>
      </c>
      <c r="X71" s="37">
        <f>2*CurrentMtgRatesDataTable8711121314[[#This Row],[FHA]]</f>
        <v>0.20670328539498201</v>
      </c>
      <c r="Y71" s="19">
        <f>VLOOKUP(YEAR(CurrentMtgRatesDataTable8711121314[[#This Row],[asofdate]]),OriginationVolume!$A:$N,8,FALSE)</f>
        <v>0.67052023121387283</v>
      </c>
      <c r="Z71" s="19">
        <f>VLOOKUP(YEAR(CurrentMtgRatesDataTable8711121314[[#This Row],[asofdate]]),OriginationVolume!$A:$N,9,FALSE)</f>
        <v>5.2926300578034685E-2</v>
      </c>
      <c r="AA71" s="19">
        <f>VLOOKUP(YEAR(CurrentMtgRatesDataTable8711121314[[#This Row],[asofdate]]),OriginationVolume!$A:$N,10,FALSE)</f>
        <v>0.15877890173410406</v>
      </c>
      <c r="AB71" s="19">
        <f>VLOOKUP(YEAR(CurrentMtgRatesDataTable8711121314[[#This Row],[asofdate]]),OriginationVolume!$A:$N,11,FALSE)</f>
        <v>7.0809248554913301E-2</v>
      </c>
      <c r="AC71" s="19">
        <f>VLOOKUP(YEAR(CurrentMtgRatesDataTable8711121314[[#This Row],[asofdate]]),OriginationVolume!$A:$N,12,FALSE)</f>
        <v>3.0346820809248554E-2</v>
      </c>
      <c r="AD71" s="19">
        <f>VLOOKUP(YEAR(CurrentMtgRatesDataTable8711121314[[#This Row],[asofdate]]),OriginationVolume!$A:$N,13,FALSE)</f>
        <v>1.6618497109826588E-2</v>
      </c>
      <c r="AE7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3.95491875169873E-2</v>
      </c>
      <c r="AF7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6.650234728744818E-2</v>
      </c>
      <c r="AG71" s="3" t="s">
        <v>90</v>
      </c>
      <c r="AH71" s="5">
        <v>314563000</v>
      </c>
      <c r="AI71" s="26"/>
      <c r="AK71" s="3" t="s">
        <v>90</v>
      </c>
      <c r="AL71" s="5">
        <v>18615000</v>
      </c>
      <c r="AM71" s="26"/>
      <c r="AO71" s="3" t="s">
        <v>90</v>
      </c>
      <c r="AP71" s="5">
        <v>9734828322.3099995</v>
      </c>
      <c r="AQ71" s="29"/>
      <c r="AS71" s="3" t="s">
        <v>90</v>
      </c>
      <c r="AT71" s="5">
        <v>9401650322.3099995</v>
      </c>
      <c r="AU71" s="29" t="str">
        <f>YEAR(CurrentMtgRatesDataTable871112131417[[#This Row],[asofdate]])&amp;"-"&amp;MONTH(CurrentMtgRatesDataTable871112131417[[#This Row],[asofdate]])</f>
        <v>2008-11</v>
      </c>
      <c r="AV71" s="29">
        <f>CurrentMtgRatesDataTable871112131417[[#This Row],[SeriesNumValue]]</f>
        <v>9401650322.3099995</v>
      </c>
      <c r="AW71" s="29">
        <f>VLOOKUP(CurrentMtgRatesDataTable871112131417[[#This Row],[asofdate]],AG:AH,2,0)</f>
        <v>314563000</v>
      </c>
      <c r="AX71" s="25">
        <f>IF(VLOOKUP(CurrentMtgRatesDataTable871112131417[[#This Row],[asofdate]],AK:AL,2,0)&lt;&gt;0,VLOOKUP(CurrentMtgRatesDataTable871112131417[[#This Row],[asofdate]],AK:AL,2,0),AX70)</f>
        <v>18615000</v>
      </c>
      <c r="AY71" s="25">
        <f>VLOOKUP(CurrentMtgRatesDataTable871112131417[[#This Row],[asofdate]],AO:AP,2,0)</f>
        <v>9734828322.3099995</v>
      </c>
    </row>
    <row r="72" spans="2:51" s="2" customFormat="1">
      <c r="B72" s="3" t="s">
        <v>91</v>
      </c>
      <c r="C72" s="21">
        <v>8.3829992538756004E-2</v>
      </c>
      <c r="D72" s="26">
        <f>((CurrentMtgRatesDataTable8711[[#This Row],[SeriesNumValue]]-$C$1)/$C$1+1)*100</f>
        <v>558.86661692504003</v>
      </c>
      <c r="E72" s="26"/>
      <c r="G72" s="3" t="s">
        <v>104</v>
      </c>
      <c r="H72" s="21">
        <v>6.7441193636602101E-2</v>
      </c>
      <c r="I72" s="21" t="str">
        <f>YEAR(CurrentMtgRatesDataTable871112[[#This Row],[asofdate]])&amp;"-"&amp;MONTH(CurrentMtgRatesDataTable871112[[#This Row],[asofdate]])</f>
        <v>2010-1</v>
      </c>
      <c r="J72" s="40">
        <f>VLOOKUP(CurrentMtgRatesDataTable871112[[#This Row],[asofdate]],Q:AE,15,0)*100</f>
        <v>2.4772861020973478</v>
      </c>
      <c r="K72" s="40">
        <f>VLOOKUP(CurrentMtgRatesDataTable871112[[#This Row],[asofdate]],Q:AE,4,0)*100</f>
        <v>1.1614952330152899</v>
      </c>
      <c r="L72" s="40">
        <f>VLOOKUP(CurrentMtgRatesDataTable871112[[#This Row],[asofdate]],Q:AE,5,0)*100</f>
        <v>6.4104657785873309</v>
      </c>
      <c r="M72" s="40">
        <f>VLOOKUP(CurrentMtgRatesDataTable871112[[#This Row],[asofdate]],Q:AE,6,0)*100</f>
        <v>6.7441193636602099</v>
      </c>
      <c r="N72" s="40">
        <f>VLOOKUP(CurrentMtgRatesDataTable871112[[#This Row],[asofdate]],Q:AF,16,0)*100</f>
        <v>1.7861078932381134</v>
      </c>
      <c r="Q72" s="3" t="s">
        <v>91</v>
      </c>
      <c r="R72" s="21">
        <v>1.2793965938819299E-2</v>
      </c>
      <c r="S72" s="29" t="str">
        <f>YEAR(CurrentMtgRatesDataTable8711121314[[#This Row],[asofdate]])&amp;"-"&amp;MONTH(CurrentMtgRatesDataTable8711121314[[#This Row],[asofdate]])</f>
        <v>2008-12</v>
      </c>
      <c r="T72" s="37">
        <f>CurrentMtgRatesDataTable8711121314[[#This Row],[SeriesNumValue]]</f>
        <v>1.2793965938819299E-2</v>
      </c>
      <c r="U72" s="37">
        <f>VLOOKUP(CurrentMtgRatesDataTable8711121314[[#This Row],[asofdate]],B:D,2,0)</f>
        <v>8.3829992538756004E-2</v>
      </c>
      <c r="V72" s="37">
        <f>IF(VLOOKUP(CurrentMtgRatesDataTable8711121314[[#This Row],[asofdate]],G:H,2,0)&lt;&gt;0,VLOOKUP(CurrentMtgRatesDataTable8711121314[[#This Row],[asofdate]],G:H,2,0),V71)</f>
        <v>7.9089503798013702E-2</v>
      </c>
      <c r="W72" s="37">
        <f>CurrentMtgRatesDataTable8711121314[[#This Row],[FHA]]+0.5*CurrentMtgRatesDataTable8711121314[[#This Row],[Conventional]]</f>
        <v>9.0226975508165649E-2</v>
      </c>
      <c r="X72" s="37">
        <f>2*CurrentMtgRatesDataTable8711121314[[#This Row],[FHA]]</f>
        <v>0.16765998507751201</v>
      </c>
      <c r="Y72" s="19">
        <f>VLOOKUP(YEAR(CurrentMtgRatesDataTable8711121314[[#This Row],[asofdate]]),OriginationVolume!$A:$N,8,FALSE)</f>
        <v>0.67052023121387283</v>
      </c>
      <c r="Z72" s="19">
        <f>VLOOKUP(YEAR(CurrentMtgRatesDataTable8711121314[[#This Row],[asofdate]]),OriginationVolume!$A:$N,9,FALSE)</f>
        <v>5.2926300578034685E-2</v>
      </c>
      <c r="AA72" s="19">
        <f>VLOOKUP(YEAR(CurrentMtgRatesDataTable8711121314[[#This Row],[asofdate]]),OriginationVolume!$A:$N,10,FALSE)</f>
        <v>0.15877890173410406</v>
      </c>
      <c r="AB72" s="19">
        <f>VLOOKUP(YEAR(CurrentMtgRatesDataTable8711121314[[#This Row],[asofdate]]),OriginationVolume!$A:$N,11,FALSE)</f>
        <v>7.0809248554913301E-2</v>
      </c>
      <c r="AC72" s="19">
        <f>VLOOKUP(YEAR(CurrentMtgRatesDataTable8711121314[[#This Row],[asofdate]]),OriginationVolume!$A:$N,12,FALSE)</f>
        <v>3.0346820809248554E-2</v>
      </c>
      <c r="AD72" s="19">
        <f>VLOOKUP(YEAR(CurrentMtgRatesDataTable8711121314[[#This Row],[asofdate]]),OriginationVolume!$A:$N,13,FALSE)</f>
        <v>1.6618497109826588E-2</v>
      </c>
      <c r="AE7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3.2505251947218546E-2</v>
      </c>
      <c r="AF7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5.4598290123497088E-2</v>
      </c>
      <c r="AG72" s="3" t="s">
        <v>91</v>
      </c>
      <c r="AH72" s="5">
        <v>275184000</v>
      </c>
      <c r="AI72" s="26"/>
      <c r="AK72" s="3" t="s">
        <v>91</v>
      </c>
      <c r="AL72" s="5">
        <v>32780000</v>
      </c>
      <c r="AM72" s="26"/>
      <c r="AO72" s="3" t="s">
        <v>91</v>
      </c>
      <c r="AP72" s="5">
        <v>9613885455.2399998</v>
      </c>
      <c r="AQ72" s="29"/>
      <c r="AS72" s="3" t="s">
        <v>91</v>
      </c>
      <c r="AT72" s="5">
        <v>9305921455.2399998</v>
      </c>
      <c r="AU72" s="29" t="str">
        <f>YEAR(CurrentMtgRatesDataTable871112131417[[#This Row],[asofdate]])&amp;"-"&amp;MONTH(CurrentMtgRatesDataTable871112131417[[#This Row],[asofdate]])</f>
        <v>2008-12</v>
      </c>
      <c r="AV72" s="29">
        <f>CurrentMtgRatesDataTable871112131417[[#This Row],[SeriesNumValue]]</f>
        <v>9305921455.2399998</v>
      </c>
      <c r="AW72" s="29">
        <f>VLOOKUP(CurrentMtgRatesDataTable871112131417[[#This Row],[asofdate]],AG:AH,2,0)</f>
        <v>275184000</v>
      </c>
      <c r="AX72" s="25">
        <f>IF(VLOOKUP(CurrentMtgRatesDataTable871112131417[[#This Row],[asofdate]],AK:AL,2,0)&lt;&gt;0,VLOOKUP(CurrentMtgRatesDataTable871112131417[[#This Row],[asofdate]],AK:AL,2,0),AX71)</f>
        <v>32780000</v>
      </c>
      <c r="AY72" s="25">
        <f>VLOOKUP(CurrentMtgRatesDataTable871112131417[[#This Row],[asofdate]],AO:AP,2,0)</f>
        <v>9613885455.2399998</v>
      </c>
    </row>
    <row r="73" spans="2:51" s="2" customFormat="1">
      <c r="B73" s="3" t="s">
        <v>92</v>
      </c>
      <c r="C73" s="21">
        <v>9.3076853520146705E-2</v>
      </c>
      <c r="D73" s="26">
        <f>((CurrentMtgRatesDataTable8711[[#This Row],[SeriesNumValue]]-$C$1)/$C$1+1)*100</f>
        <v>620.51235680097807</v>
      </c>
      <c r="E73" s="26"/>
      <c r="G73" s="3" t="s">
        <v>103</v>
      </c>
      <c r="H73" s="21">
        <v>6.9173427498785203E-2</v>
      </c>
      <c r="I73" s="21" t="str">
        <f>YEAR(CurrentMtgRatesDataTable871112[[#This Row],[asofdate]])&amp;"-"&amp;MONTH(CurrentMtgRatesDataTable871112[[#This Row],[asofdate]])</f>
        <v>2009-12</v>
      </c>
      <c r="J73" s="40">
        <f>VLOOKUP(CurrentMtgRatesDataTable871112[[#This Row],[asofdate]],Q:AE,15,0)*100</f>
        <v>2.6362766886529823</v>
      </c>
      <c r="K73" s="40">
        <f>VLOOKUP(CurrentMtgRatesDataTable871112[[#This Row],[asofdate]],Q:AE,4,0)*100</f>
        <v>1.12598456902907</v>
      </c>
      <c r="L73" s="40">
        <f>VLOOKUP(CurrentMtgRatesDataTable871112[[#This Row],[asofdate]],Q:AE,5,0)*100</f>
        <v>6.7916944669552102</v>
      </c>
      <c r="M73" s="40">
        <f>VLOOKUP(CurrentMtgRatesDataTable871112[[#This Row],[asofdate]],Q:AE,6,0)*100</f>
        <v>6.9173427498785207</v>
      </c>
      <c r="N73" s="40">
        <f>VLOOKUP(CurrentMtgRatesDataTable871112[[#This Row],[asofdate]],Q:AF,16,0)*100</f>
        <v>1.9409549480399995</v>
      </c>
      <c r="Q73" s="3" t="s">
        <v>92</v>
      </c>
      <c r="R73" s="21">
        <v>1.38638196736778E-2</v>
      </c>
      <c r="S73" s="29" t="str">
        <f>YEAR(CurrentMtgRatesDataTable8711121314[[#This Row],[asofdate]])&amp;"-"&amp;MONTH(CurrentMtgRatesDataTable8711121314[[#This Row],[asofdate]])</f>
        <v>2009-1</v>
      </c>
      <c r="T73" s="37">
        <f>CurrentMtgRatesDataTable8711121314[[#This Row],[SeriesNumValue]]</f>
        <v>1.38638196736778E-2</v>
      </c>
      <c r="U73" s="37">
        <f>VLOOKUP(CurrentMtgRatesDataTable8711121314[[#This Row],[asofdate]],B:D,2,0)</f>
        <v>9.3076853520146705E-2</v>
      </c>
      <c r="V73" s="37">
        <f>IF(VLOOKUP(CurrentMtgRatesDataTable8711121314[[#This Row],[asofdate]],G:H,2,0)&lt;&gt;0,VLOOKUP(CurrentMtgRatesDataTable8711121314[[#This Row],[asofdate]],G:H,2,0),V72)</f>
        <v>8.5495306297522E-2</v>
      </c>
      <c r="W73" s="37">
        <f>CurrentMtgRatesDataTable8711121314[[#This Row],[FHA]]+0.5*CurrentMtgRatesDataTable8711121314[[#This Row],[Conventional]]</f>
        <v>0.10000876335698561</v>
      </c>
      <c r="X73" s="37">
        <f>2*CurrentMtgRatesDataTable8711121314[[#This Row],[FHA]]</f>
        <v>0.18615370704029341</v>
      </c>
      <c r="Y73" s="19">
        <f>VLOOKUP(YEAR(CurrentMtgRatesDataTable8711121314[[#This Row],[asofdate]]),OriginationVolume!$A:$N,8,FALSE)</f>
        <v>0.68277430358158042</v>
      </c>
      <c r="Z73" s="19">
        <f>VLOOKUP(YEAR(CurrentMtgRatesDataTable8711121314[[#This Row],[asofdate]]),OriginationVolume!$A:$N,9,FALSE)</f>
        <v>6.4098919840818641E-2</v>
      </c>
      <c r="AA73" s="19">
        <f>VLOOKUP(YEAR(CurrentMtgRatesDataTable8711121314[[#This Row],[asofdate]]),OriginationVolume!$A:$N,10,FALSE)</f>
        <v>0.19229675952245595</v>
      </c>
      <c r="AB73" s="19">
        <f>VLOOKUP(YEAR(CurrentMtgRatesDataTable8711121314[[#This Row],[asofdate]]),OriginationVolume!$A:$N,11,FALSE)</f>
        <v>5.5144968732234227E-2</v>
      </c>
      <c r="AC73" s="19">
        <f>VLOOKUP(YEAR(CurrentMtgRatesDataTable8711121314[[#This Row],[asofdate]]),OriginationVolume!$A:$N,12,FALSE)</f>
        <v>3.4110289937464467E-3</v>
      </c>
      <c r="AD73" s="19">
        <f>VLOOKUP(YEAR(CurrentMtgRatesDataTable8711121314[[#This Row],[asofdate]]),OriginationVolume!$A:$N,13,FALSE)</f>
        <v>2.2740193291642978E-3</v>
      </c>
      <c r="AE7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3.4373363748136501E-2</v>
      </c>
      <c r="AF7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2.5135120716353588E-2</v>
      </c>
      <c r="AG73" s="3" t="s">
        <v>92</v>
      </c>
      <c r="AH73" s="5">
        <v>206822000</v>
      </c>
      <c r="AI73" s="26"/>
      <c r="AK73" s="3" t="s">
        <v>92</v>
      </c>
      <c r="AL73" s="5">
        <v>22337000</v>
      </c>
      <c r="AM73" s="26"/>
      <c r="AO73" s="3" t="s">
        <v>92</v>
      </c>
      <c r="AP73" s="5">
        <v>6760565628.5100002</v>
      </c>
      <c r="AQ73" s="29"/>
      <c r="AS73" s="3" t="s">
        <v>92</v>
      </c>
      <c r="AT73" s="5">
        <v>6531406628.5100002</v>
      </c>
      <c r="AU73" s="29" t="str">
        <f>YEAR(CurrentMtgRatesDataTable871112131417[[#This Row],[asofdate]])&amp;"-"&amp;MONTH(CurrentMtgRatesDataTable871112131417[[#This Row],[asofdate]])</f>
        <v>2009-1</v>
      </c>
      <c r="AV73" s="29">
        <f>CurrentMtgRatesDataTable871112131417[[#This Row],[SeriesNumValue]]</f>
        <v>6531406628.5100002</v>
      </c>
      <c r="AW73" s="29">
        <f>VLOOKUP(CurrentMtgRatesDataTable871112131417[[#This Row],[asofdate]],AG:AH,2,0)</f>
        <v>206822000</v>
      </c>
      <c r="AX73" s="25">
        <f>IF(VLOOKUP(CurrentMtgRatesDataTable871112131417[[#This Row],[asofdate]],AK:AL,2,0)&lt;&gt;0,VLOOKUP(CurrentMtgRatesDataTable871112131417[[#This Row],[asofdate]],AK:AL,2,0),AX72)</f>
        <v>22337000</v>
      </c>
      <c r="AY73" s="25">
        <f>VLOOKUP(CurrentMtgRatesDataTable871112131417[[#This Row],[asofdate]],AO:AP,2,0)</f>
        <v>6760565628.5100002</v>
      </c>
    </row>
    <row r="74" spans="2:51" s="2" customFormat="1">
      <c r="B74" s="3" t="s">
        <v>93</v>
      </c>
      <c r="C74" s="21">
        <v>0.100196056372731</v>
      </c>
      <c r="D74" s="26">
        <f>((CurrentMtgRatesDataTable8711[[#This Row],[SeriesNumValue]]-$C$1)/$C$1+1)*100</f>
        <v>667.97370915154011</v>
      </c>
      <c r="E74" s="26"/>
      <c r="G74" s="3" t="s">
        <v>102</v>
      </c>
      <c r="H74" s="21">
        <v>6.7723009407227197E-2</v>
      </c>
      <c r="I74" s="21" t="str">
        <f>YEAR(CurrentMtgRatesDataTable871112[[#This Row],[asofdate]])&amp;"-"&amp;MONTH(CurrentMtgRatesDataTable871112[[#This Row],[asofdate]])</f>
        <v>2009-11</v>
      </c>
      <c r="J74" s="40">
        <f>VLOOKUP(CurrentMtgRatesDataTable871112[[#This Row],[asofdate]],Q:AE,15,0)*100</f>
        <v>2.741386149423001</v>
      </c>
      <c r="K74" s="40">
        <f>VLOOKUP(CurrentMtgRatesDataTable871112[[#This Row],[asofdate]],Q:AE,4,0)*100</f>
        <v>1.17542416448183</v>
      </c>
      <c r="L74" s="40">
        <f>VLOOKUP(CurrentMtgRatesDataTable871112[[#This Row],[asofdate]],Q:AE,5,0)*100</f>
        <v>7.1803959340744097</v>
      </c>
      <c r="M74" s="40">
        <f>VLOOKUP(CurrentMtgRatesDataTable871112[[#This Row],[asofdate]],Q:AE,6,0)*100</f>
        <v>6.7723009407227197</v>
      </c>
      <c r="N74" s="40">
        <f>VLOOKUP(CurrentMtgRatesDataTable871112[[#This Row],[asofdate]],Q:AF,16,0)*100</f>
        <v>2.0380183133198573</v>
      </c>
      <c r="Q74" s="3" t="s">
        <v>93</v>
      </c>
      <c r="R74" s="21">
        <v>1.39907857369967E-2</v>
      </c>
      <c r="S74" s="29" t="str">
        <f>YEAR(CurrentMtgRatesDataTable8711121314[[#This Row],[asofdate]])&amp;"-"&amp;MONTH(CurrentMtgRatesDataTable8711121314[[#This Row],[asofdate]])</f>
        <v>2009-2</v>
      </c>
      <c r="T74" s="37">
        <f>CurrentMtgRatesDataTable8711121314[[#This Row],[SeriesNumValue]]</f>
        <v>1.39907857369967E-2</v>
      </c>
      <c r="U74" s="37">
        <f>VLOOKUP(CurrentMtgRatesDataTable8711121314[[#This Row],[asofdate]],B:D,2,0)</f>
        <v>0.100196056372731</v>
      </c>
      <c r="V74" s="37">
        <f>IF(VLOOKUP(CurrentMtgRatesDataTable8711121314[[#This Row],[asofdate]],G:H,2,0)&lt;&gt;0,VLOOKUP(CurrentMtgRatesDataTable8711121314[[#This Row],[asofdate]],G:H,2,0),V73)</f>
        <v>8.9137877795202894E-2</v>
      </c>
      <c r="W74" s="37">
        <f>CurrentMtgRatesDataTable8711121314[[#This Row],[FHA]]+0.5*CurrentMtgRatesDataTable8711121314[[#This Row],[Conventional]]</f>
        <v>0.10719144924122935</v>
      </c>
      <c r="X74" s="37">
        <f>2*CurrentMtgRatesDataTable8711121314[[#This Row],[FHA]]</f>
        <v>0.20039211274546201</v>
      </c>
      <c r="Y74" s="19">
        <f>VLOOKUP(YEAR(CurrentMtgRatesDataTable8711121314[[#This Row],[asofdate]]),OriginationVolume!$A:$N,8,FALSE)</f>
        <v>0.68277430358158042</v>
      </c>
      <c r="Z74" s="19">
        <f>VLOOKUP(YEAR(CurrentMtgRatesDataTable8711121314[[#This Row],[asofdate]]),OriginationVolume!$A:$N,9,FALSE)</f>
        <v>6.4098919840818641E-2</v>
      </c>
      <c r="AA74" s="19">
        <f>VLOOKUP(YEAR(CurrentMtgRatesDataTable8711121314[[#This Row],[asofdate]]),OriginationVolume!$A:$N,10,FALSE)</f>
        <v>0.19229675952245595</v>
      </c>
      <c r="AB74" s="19">
        <f>VLOOKUP(YEAR(CurrentMtgRatesDataTable8711121314[[#This Row],[asofdate]]),OriginationVolume!$A:$N,11,FALSE)</f>
        <v>5.5144968732234227E-2</v>
      </c>
      <c r="AC74" s="19">
        <f>VLOOKUP(YEAR(CurrentMtgRatesDataTable8711121314[[#This Row],[asofdate]]),OriginationVolume!$A:$N,12,FALSE)</f>
        <v>3.4110289937464467E-3</v>
      </c>
      <c r="AD74" s="19">
        <f>VLOOKUP(YEAR(CurrentMtgRatesDataTable8711121314[[#This Row],[asofdate]]),OriginationVolume!$A:$N,13,FALSE)</f>
        <v>2.2740193291642978E-3</v>
      </c>
      <c r="AE7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3.612641775016278E-2</v>
      </c>
      <c r="AF7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2.6185265073999101E-2</v>
      </c>
      <c r="AG74" s="3" t="s">
        <v>93</v>
      </c>
      <c r="AH74" s="5">
        <v>297508000</v>
      </c>
      <c r="AI74" s="26"/>
      <c r="AK74" s="3" t="s">
        <v>93</v>
      </c>
      <c r="AL74" s="5">
        <v>40030000</v>
      </c>
      <c r="AM74" s="26"/>
      <c r="AO74" s="3" t="s">
        <v>93</v>
      </c>
      <c r="AP74" s="5">
        <v>9577071168.3700008</v>
      </c>
      <c r="AQ74" s="29"/>
      <c r="AS74" s="3" t="s">
        <v>93</v>
      </c>
      <c r="AT74" s="5">
        <v>9239533168.3700008</v>
      </c>
      <c r="AU74" s="29" t="str">
        <f>YEAR(CurrentMtgRatesDataTable871112131417[[#This Row],[asofdate]])&amp;"-"&amp;MONTH(CurrentMtgRatesDataTable871112131417[[#This Row],[asofdate]])</f>
        <v>2009-2</v>
      </c>
      <c r="AV74" s="29">
        <f>CurrentMtgRatesDataTable871112131417[[#This Row],[SeriesNumValue]]</f>
        <v>9239533168.3700008</v>
      </c>
      <c r="AW74" s="29">
        <f>VLOOKUP(CurrentMtgRatesDataTable871112131417[[#This Row],[asofdate]],AG:AH,2,0)</f>
        <v>297508000</v>
      </c>
      <c r="AX74" s="25">
        <f>IF(VLOOKUP(CurrentMtgRatesDataTable871112131417[[#This Row],[asofdate]],AK:AL,2,0)&lt;&gt;0,VLOOKUP(CurrentMtgRatesDataTable871112131417[[#This Row],[asofdate]],AK:AL,2,0),AX73)</f>
        <v>40030000</v>
      </c>
      <c r="AY74" s="25">
        <f>VLOOKUP(CurrentMtgRatesDataTable871112131417[[#This Row],[asofdate]],AO:AP,2,0)</f>
        <v>9577071168.3700008</v>
      </c>
    </row>
    <row r="75" spans="2:51" s="2" customFormat="1">
      <c r="B75" s="3" t="s">
        <v>94</v>
      </c>
      <c r="C75" s="21">
        <v>8.3237162808257104E-2</v>
      </c>
      <c r="D75" s="26">
        <f>((CurrentMtgRatesDataTable8711[[#This Row],[SeriesNumValue]]-$C$1)/$C$1+1)*100</f>
        <v>554.91441872171401</v>
      </c>
      <c r="E75" s="26"/>
      <c r="G75" s="3" t="s">
        <v>101</v>
      </c>
      <c r="H75" s="21">
        <v>6.1390904287183197E-2</v>
      </c>
      <c r="I75" s="21" t="str">
        <f>YEAR(CurrentMtgRatesDataTable871112[[#This Row],[asofdate]])&amp;"-"&amp;MONTH(CurrentMtgRatesDataTable871112[[#This Row],[asofdate]])</f>
        <v>2009-10</v>
      </c>
      <c r="J75" s="40">
        <f>VLOOKUP(CurrentMtgRatesDataTable871112[[#This Row],[asofdate]],Q:AE,15,0)*100</f>
        <v>2.6347311876231623</v>
      </c>
      <c r="K75" s="40">
        <f>VLOOKUP(CurrentMtgRatesDataTable871112[[#This Row],[asofdate]],Q:AE,4,0)*100</f>
        <v>1.13315361956783</v>
      </c>
      <c r="L75" s="40">
        <f>VLOOKUP(CurrentMtgRatesDataTable871112[[#This Row],[asofdate]],Q:AE,5,0)*100</f>
        <v>7.0066056895199598</v>
      </c>
      <c r="M75" s="40">
        <f>VLOOKUP(CurrentMtgRatesDataTable871112[[#This Row],[asofdate]],Q:AE,6,0)*100</f>
        <v>6.1390904287183199</v>
      </c>
      <c r="N75" s="40">
        <f>VLOOKUP(CurrentMtgRatesDataTable871112[[#This Row],[asofdate]],Q:AF,16,0)*100</f>
        <v>1.9757742206547892</v>
      </c>
      <c r="Q75" s="3" t="s">
        <v>94</v>
      </c>
      <c r="R75" s="21">
        <v>1.2143485589171599E-2</v>
      </c>
      <c r="S75" s="29" t="str">
        <f>YEAR(CurrentMtgRatesDataTable8711121314[[#This Row],[asofdate]])&amp;"-"&amp;MONTH(CurrentMtgRatesDataTable8711121314[[#This Row],[asofdate]])</f>
        <v>2009-3</v>
      </c>
      <c r="T75" s="37">
        <f>CurrentMtgRatesDataTable8711121314[[#This Row],[SeriesNumValue]]</f>
        <v>1.2143485589171599E-2</v>
      </c>
      <c r="U75" s="37">
        <f>VLOOKUP(CurrentMtgRatesDataTable8711121314[[#This Row],[asofdate]],B:D,2,0)</f>
        <v>8.3237162808257104E-2</v>
      </c>
      <c r="V75" s="37">
        <f>IF(VLOOKUP(CurrentMtgRatesDataTable8711121314[[#This Row],[asofdate]],G:H,2,0)&lt;&gt;0,VLOOKUP(CurrentMtgRatesDataTable8711121314[[#This Row],[asofdate]],G:H,2,0),V74)</f>
        <v>6.4262861829081905E-2</v>
      </c>
      <c r="W75" s="37">
        <f>CurrentMtgRatesDataTable8711121314[[#This Row],[FHA]]+0.5*CurrentMtgRatesDataTable8711121314[[#This Row],[Conventional]]</f>
        <v>8.9308905602842908E-2</v>
      </c>
      <c r="X75" s="37">
        <f>2*CurrentMtgRatesDataTable8711121314[[#This Row],[FHA]]</f>
        <v>0.16647432561651421</v>
      </c>
      <c r="Y75" s="19">
        <f>VLOOKUP(YEAR(CurrentMtgRatesDataTable8711121314[[#This Row],[asofdate]]),OriginationVolume!$A:$N,8,FALSE)</f>
        <v>0.68277430358158042</v>
      </c>
      <c r="Z75" s="19">
        <f>VLOOKUP(YEAR(CurrentMtgRatesDataTable8711121314[[#This Row],[asofdate]]),OriginationVolume!$A:$N,9,FALSE)</f>
        <v>6.4098919840818641E-2</v>
      </c>
      <c r="AA75" s="19">
        <f>VLOOKUP(YEAR(CurrentMtgRatesDataTable8711121314[[#This Row],[asofdate]]),OriginationVolume!$A:$N,10,FALSE)</f>
        <v>0.19229675952245595</v>
      </c>
      <c r="AB75" s="19">
        <f>VLOOKUP(YEAR(CurrentMtgRatesDataTable8711121314[[#This Row],[asofdate]]),OriginationVolume!$A:$N,11,FALSE)</f>
        <v>5.5144968732234227E-2</v>
      </c>
      <c r="AC75" s="19">
        <f>VLOOKUP(YEAR(CurrentMtgRatesDataTable8711121314[[#This Row],[asofdate]]),OriginationVolume!$A:$N,12,FALSE)</f>
        <v>3.4110289937464467E-3</v>
      </c>
      <c r="AD75" s="19">
        <f>VLOOKUP(YEAR(CurrentMtgRatesDataTable8711121314[[#This Row],[asofdate]]),OriginationVolume!$A:$N,13,FALSE)</f>
        <v>2.2740193291642978E-3</v>
      </c>
      <c r="AE7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2.9769529858982267E-2</v>
      </c>
      <c r="AF7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2.2239895684418313E-2</v>
      </c>
      <c r="AG75" s="3" t="s">
        <v>94</v>
      </c>
      <c r="AH75" s="5">
        <v>403351000</v>
      </c>
      <c r="AI75" s="26"/>
      <c r="AK75" s="3" t="s">
        <v>94</v>
      </c>
      <c r="AL75" s="5">
        <v>74556000</v>
      </c>
      <c r="AM75" s="26"/>
      <c r="AO75" s="3" t="s">
        <v>94</v>
      </c>
      <c r="AP75" s="5">
        <v>7649530609.0799999</v>
      </c>
      <c r="AQ75" s="29"/>
      <c r="AS75" s="3" t="s">
        <v>94</v>
      </c>
      <c r="AT75" s="5">
        <v>7171623609.0799999</v>
      </c>
      <c r="AU75" s="29" t="str">
        <f>YEAR(CurrentMtgRatesDataTable871112131417[[#This Row],[asofdate]])&amp;"-"&amp;MONTH(CurrentMtgRatesDataTable871112131417[[#This Row],[asofdate]])</f>
        <v>2009-3</v>
      </c>
      <c r="AV75" s="29">
        <f>CurrentMtgRatesDataTable871112131417[[#This Row],[SeriesNumValue]]</f>
        <v>7171623609.0799999</v>
      </c>
      <c r="AW75" s="29">
        <f>VLOOKUP(CurrentMtgRatesDataTable871112131417[[#This Row],[asofdate]],AG:AH,2,0)</f>
        <v>403351000</v>
      </c>
      <c r="AX75" s="25">
        <f>IF(VLOOKUP(CurrentMtgRatesDataTable871112131417[[#This Row],[asofdate]],AK:AL,2,0)&lt;&gt;0,VLOOKUP(CurrentMtgRatesDataTable871112131417[[#This Row],[asofdate]],AK:AL,2,0),AX74)</f>
        <v>74556000</v>
      </c>
      <c r="AY75" s="25">
        <f>VLOOKUP(CurrentMtgRatesDataTable871112131417[[#This Row],[asofdate]],AO:AP,2,0)</f>
        <v>7649530609.0799999</v>
      </c>
    </row>
    <row r="76" spans="2:51" s="2" customFormat="1">
      <c r="B76" s="3" t="s">
        <v>95</v>
      </c>
      <c r="C76" s="21">
        <v>7.7152354316607705E-2</v>
      </c>
      <c r="D76" s="26">
        <f>((CurrentMtgRatesDataTable8711[[#This Row],[SeriesNumValue]]-$C$1)/$C$1+1)*100</f>
        <v>514.34902877738477</v>
      </c>
      <c r="E76" s="26"/>
      <c r="G76" s="3" t="s">
        <v>100</v>
      </c>
      <c r="H76" s="21">
        <v>6.14172208510139E-2</v>
      </c>
      <c r="I76" s="21" t="str">
        <f>YEAR(CurrentMtgRatesDataTable871112[[#This Row],[asofdate]])&amp;"-"&amp;MONTH(CurrentMtgRatesDataTable871112[[#This Row],[asofdate]])</f>
        <v>2009-9</v>
      </c>
      <c r="J76" s="40">
        <f>VLOOKUP(CurrentMtgRatesDataTable871112[[#This Row],[asofdate]],Q:AE,15,0)*100</f>
        <v>2.5616628750235821</v>
      </c>
      <c r="K76" s="40">
        <f>VLOOKUP(CurrentMtgRatesDataTable871112[[#This Row],[asofdate]],Q:AE,4,0)*100</f>
        <v>1.0899307781871399</v>
      </c>
      <c r="L76" s="40">
        <f>VLOOKUP(CurrentMtgRatesDataTable871112[[#This Row],[asofdate]],Q:AE,5,0)*100</f>
        <v>6.8005277207944097</v>
      </c>
      <c r="M76" s="40">
        <f>VLOOKUP(CurrentMtgRatesDataTable871112[[#This Row],[asofdate]],Q:AE,6,0)*100</f>
        <v>6.1417220851013896</v>
      </c>
      <c r="N76" s="40">
        <f>VLOOKUP(CurrentMtgRatesDataTable871112[[#This Row],[asofdate]],Q:AF,16,0)*100</f>
        <v>1.9084155692508011</v>
      </c>
      <c r="Q76" s="3" t="s">
        <v>95</v>
      </c>
      <c r="R76" s="21">
        <v>1.1109793158067399E-2</v>
      </c>
      <c r="S76" s="29" t="str">
        <f>YEAR(CurrentMtgRatesDataTable8711121314[[#This Row],[asofdate]])&amp;"-"&amp;MONTH(CurrentMtgRatesDataTable8711121314[[#This Row],[asofdate]])</f>
        <v>2009-4</v>
      </c>
      <c r="T76" s="37">
        <f>CurrentMtgRatesDataTable8711121314[[#This Row],[SeriesNumValue]]</f>
        <v>1.1109793158067399E-2</v>
      </c>
      <c r="U76" s="37">
        <f>VLOOKUP(CurrentMtgRatesDataTable8711121314[[#This Row],[asofdate]],B:D,2,0)</f>
        <v>7.7152354316607705E-2</v>
      </c>
      <c r="V76" s="37">
        <f>IF(VLOOKUP(CurrentMtgRatesDataTable8711121314[[#This Row],[asofdate]],G:H,2,0)&lt;&gt;0,VLOOKUP(CurrentMtgRatesDataTable8711121314[[#This Row],[asofdate]],G:H,2,0),V75)</f>
        <v>5.8657409652671001E-2</v>
      </c>
      <c r="W76" s="37">
        <f>CurrentMtgRatesDataTable8711121314[[#This Row],[FHA]]+0.5*CurrentMtgRatesDataTable8711121314[[#This Row],[Conventional]]</f>
        <v>8.2707250895641404E-2</v>
      </c>
      <c r="X76" s="37">
        <f>2*CurrentMtgRatesDataTable8711121314[[#This Row],[FHA]]</f>
        <v>0.15430470863321541</v>
      </c>
      <c r="Y76" s="19">
        <f>VLOOKUP(YEAR(CurrentMtgRatesDataTable8711121314[[#This Row],[asofdate]]),OriginationVolume!$A:$N,8,FALSE)</f>
        <v>0.68277430358158042</v>
      </c>
      <c r="Z76" s="19">
        <f>VLOOKUP(YEAR(CurrentMtgRatesDataTable8711121314[[#This Row],[asofdate]]),OriginationVolume!$A:$N,9,FALSE)</f>
        <v>6.4098919840818641E-2</v>
      </c>
      <c r="AA76" s="19">
        <f>VLOOKUP(YEAR(CurrentMtgRatesDataTable8711121314[[#This Row],[asofdate]]),OriginationVolume!$A:$N,10,FALSE)</f>
        <v>0.19229675952245595</v>
      </c>
      <c r="AB76" s="19">
        <f>VLOOKUP(YEAR(CurrentMtgRatesDataTable8711121314[[#This Row],[asofdate]]),OriginationVolume!$A:$N,11,FALSE)</f>
        <v>5.5144968732234227E-2</v>
      </c>
      <c r="AC76" s="19">
        <f>VLOOKUP(YEAR(CurrentMtgRatesDataTable8711121314[[#This Row],[asofdate]]),OriginationVolume!$A:$N,12,FALSE)</f>
        <v>3.4110289937464467E-3</v>
      </c>
      <c r="AD76" s="19">
        <f>VLOOKUP(YEAR(CurrentMtgRatesDataTable8711121314[[#This Row],[asofdate]]),OriginationVolume!$A:$N,13,FALSE)</f>
        <v>2.2740193291642978E-3</v>
      </c>
      <c r="AE7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2.7427163527577837E-2</v>
      </c>
      <c r="AF7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2.0477684824665866E-2</v>
      </c>
      <c r="AG76" s="3" t="s">
        <v>95</v>
      </c>
      <c r="AH76" s="5">
        <v>486214000</v>
      </c>
      <c r="AI76" s="26"/>
      <c r="AK76" s="3" t="s">
        <v>95</v>
      </c>
      <c r="AL76" s="5">
        <v>124438000</v>
      </c>
      <c r="AM76" s="26"/>
      <c r="AO76" s="3" t="s">
        <v>95</v>
      </c>
      <c r="AP76" s="5">
        <v>8754719640.6599998</v>
      </c>
      <c r="AQ76" s="29"/>
      <c r="AS76" s="3" t="s">
        <v>95</v>
      </c>
      <c r="AT76" s="5">
        <v>8144067640.6599998</v>
      </c>
      <c r="AU76" s="29" t="str">
        <f>YEAR(CurrentMtgRatesDataTable871112131417[[#This Row],[asofdate]])&amp;"-"&amp;MONTH(CurrentMtgRatesDataTable871112131417[[#This Row],[asofdate]])</f>
        <v>2009-4</v>
      </c>
      <c r="AV76" s="29">
        <f>CurrentMtgRatesDataTable871112131417[[#This Row],[SeriesNumValue]]</f>
        <v>8144067640.6599998</v>
      </c>
      <c r="AW76" s="29">
        <f>VLOOKUP(CurrentMtgRatesDataTable871112131417[[#This Row],[asofdate]],AG:AH,2,0)</f>
        <v>486214000</v>
      </c>
      <c r="AX76" s="25">
        <f>IF(VLOOKUP(CurrentMtgRatesDataTable871112131417[[#This Row],[asofdate]],AK:AL,2,0)&lt;&gt;0,VLOOKUP(CurrentMtgRatesDataTable871112131417[[#This Row],[asofdate]],AK:AL,2,0),AX75)</f>
        <v>124438000</v>
      </c>
      <c r="AY76" s="25">
        <f>VLOOKUP(CurrentMtgRatesDataTable871112131417[[#This Row],[asofdate]],AO:AP,2,0)</f>
        <v>8754719640.6599998</v>
      </c>
    </row>
    <row r="77" spans="2:51" s="2" customFormat="1">
      <c r="B77" s="3" t="s">
        <v>96</v>
      </c>
      <c r="C77" s="21">
        <v>8.2111872443475398E-2</v>
      </c>
      <c r="D77" s="26">
        <f>((CurrentMtgRatesDataTable8711[[#This Row],[SeriesNumValue]]-$C$1)/$C$1+1)*100</f>
        <v>547.41248295650269</v>
      </c>
      <c r="E77" s="26"/>
      <c r="G77" s="3" t="s">
        <v>99</v>
      </c>
      <c r="H77" s="21">
        <v>4.9912524929129003E-2</v>
      </c>
      <c r="I77" s="21" t="str">
        <f>YEAR(CurrentMtgRatesDataTable871112[[#This Row],[asofdate]])&amp;"-"&amp;MONTH(CurrentMtgRatesDataTable871112[[#This Row],[asofdate]])</f>
        <v>2009-8</v>
      </c>
      <c r="J77" s="40">
        <f>VLOOKUP(CurrentMtgRatesDataTable871112[[#This Row],[asofdate]],Q:AE,15,0)*100</f>
        <v>2.1832322950026484</v>
      </c>
      <c r="K77" s="40">
        <f>VLOOKUP(CurrentMtgRatesDataTable871112[[#This Row],[asofdate]],Q:AE,4,0)*100</f>
        <v>0.91456582353529603</v>
      </c>
      <c r="L77" s="40">
        <f>VLOOKUP(CurrentMtgRatesDataTable871112[[#This Row],[asofdate]],Q:AE,5,0)*100</f>
        <v>5.9267331495083297</v>
      </c>
      <c r="M77" s="40">
        <f>VLOOKUP(CurrentMtgRatesDataTable871112[[#This Row],[asofdate]],Q:AE,6,0)*100</f>
        <v>4.9912524929129001</v>
      </c>
      <c r="N77" s="40">
        <f>VLOOKUP(CurrentMtgRatesDataTable871112[[#This Row],[asofdate]],Q:AF,16,0)*100</f>
        <v>1.6301948266041704</v>
      </c>
      <c r="Q77" s="3" t="s">
        <v>96</v>
      </c>
      <c r="R77" s="21">
        <v>1.1418573341871499E-2</v>
      </c>
      <c r="S77" s="29" t="str">
        <f>YEAR(CurrentMtgRatesDataTable8711121314[[#This Row],[asofdate]])&amp;"-"&amp;MONTH(CurrentMtgRatesDataTable8711121314[[#This Row],[asofdate]])</f>
        <v>2009-5</v>
      </c>
      <c r="T77" s="37">
        <f>CurrentMtgRatesDataTable8711121314[[#This Row],[SeriesNumValue]]</f>
        <v>1.1418573341871499E-2</v>
      </c>
      <c r="U77" s="37">
        <f>VLOOKUP(CurrentMtgRatesDataTable8711121314[[#This Row],[asofdate]],B:D,2,0)</f>
        <v>8.2111872443475398E-2</v>
      </c>
      <c r="V77" s="37">
        <f>IF(VLOOKUP(CurrentMtgRatesDataTable8711121314[[#This Row],[asofdate]],G:H,2,0)&lt;&gt;0,VLOOKUP(CurrentMtgRatesDataTable8711121314[[#This Row],[asofdate]],G:H,2,0),V76)</f>
        <v>6.7690700362425998E-2</v>
      </c>
      <c r="W77" s="37">
        <f>CurrentMtgRatesDataTable8711121314[[#This Row],[FHA]]+0.5*CurrentMtgRatesDataTable8711121314[[#This Row],[Conventional]]</f>
        <v>8.7821159114411143E-2</v>
      </c>
      <c r="X77" s="37">
        <f>2*CurrentMtgRatesDataTable8711121314[[#This Row],[FHA]]</f>
        <v>0.1642237448869508</v>
      </c>
      <c r="Y77" s="19">
        <f>VLOOKUP(YEAR(CurrentMtgRatesDataTable8711121314[[#This Row],[asofdate]]),OriginationVolume!$A:$N,8,FALSE)</f>
        <v>0.68277430358158042</v>
      </c>
      <c r="Z77" s="19">
        <f>VLOOKUP(YEAR(CurrentMtgRatesDataTable8711121314[[#This Row],[asofdate]]),OriginationVolume!$A:$N,9,FALSE)</f>
        <v>6.4098919840818641E-2</v>
      </c>
      <c r="AA77" s="19">
        <f>VLOOKUP(YEAR(CurrentMtgRatesDataTable8711121314[[#This Row],[asofdate]]),OriginationVolume!$A:$N,10,FALSE)</f>
        <v>0.19229675952245595</v>
      </c>
      <c r="AB77" s="19">
        <f>VLOOKUP(YEAR(CurrentMtgRatesDataTable8711121314[[#This Row],[asofdate]]),OriginationVolume!$A:$N,11,FALSE)</f>
        <v>5.5144968732234227E-2</v>
      </c>
      <c r="AC77" s="19">
        <f>VLOOKUP(YEAR(CurrentMtgRatesDataTable8711121314[[#This Row],[asofdate]]),OriginationVolume!$A:$N,12,FALSE)</f>
        <v>3.4110289937464467E-3</v>
      </c>
      <c r="AD77" s="19">
        <f>VLOOKUP(YEAR(CurrentMtgRatesDataTable8711121314[[#This Row],[asofdate]]),OriginationVolume!$A:$N,13,FALSE)</f>
        <v>2.2740193291642978E-3</v>
      </c>
      <c r="AE7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2.9227741587181673E-2</v>
      </c>
      <c r="AF7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2.141517334949351E-2</v>
      </c>
      <c r="AG77" s="3" t="s">
        <v>96</v>
      </c>
      <c r="AH77" s="5">
        <v>615764000</v>
      </c>
      <c r="AI77" s="26"/>
      <c r="AK77" s="3" t="s">
        <v>96</v>
      </c>
      <c r="AL77" s="5">
        <v>137974000</v>
      </c>
      <c r="AM77" s="26"/>
      <c r="AO77" s="3" t="s">
        <v>96</v>
      </c>
      <c r="AP77" s="5">
        <v>11466280323.84</v>
      </c>
      <c r="AQ77" s="29"/>
      <c r="AS77" s="3" t="s">
        <v>96</v>
      </c>
      <c r="AT77" s="5">
        <v>10712542323.84</v>
      </c>
      <c r="AU77" s="29" t="str">
        <f>YEAR(CurrentMtgRatesDataTable871112131417[[#This Row],[asofdate]])&amp;"-"&amp;MONTH(CurrentMtgRatesDataTable871112131417[[#This Row],[asofdate]])</f>
        <v>2009-5</v>
      </c>
      <c r="AV77" s="29">
        <f>CurrentMtgRatesDataTable871112131417[[#This Row],[SeriesNumValue]]</f>
        <v>10712542323.84</v>
      </c>
      <c r="AW77" s="29">
        <f>VLOOKUP(CurrentMtgRatesDataTable871112131417[[#This Row],[asofdate]],AG:AH,2,0)</f>
        <v>615764000</v>
      </c>
      <c r="AX77" s="25">
        <f>IF(VLOOKUP(CurrentMtgRatesDataTable871112131417[[#This Row],[asofdate]],AK:AL,2,0)&lt;&gt;0,VLOOKUP(CurrentMtgRatesDataTable871112131417[[#This Row],[asofdate]],AK:AL,2,0),AX76)</f>
        <v>137974000</v>
      </c>
      <c r="AY77" s="25">
        <f>VLOOKUP(CurrentMtgRatesDataTable871112131417[[#This Row],[asofdate]],AO:AP,2,0)</f>
        <v>11466280323.84</v>
      </c>
    </row>
    <row r="78" spans="2:51" s="2" customFormat="1">
      <c r="B78" s="3" t="s">
        <v>97</v>
      </c>
      <c r="C78" s="21">
        <v>6.6489943042899999E-2</v>
      </c>
      <c r="D78" s="26">
        <f>((CurrentMtgRatesDataTable8711[[#This Row],[SeriesNumValue]]-$C$1)/$C$1+1)*100</f>
        <v>443.26628695266663</v>
      </c>
      <c r="E78" s="26"/>
      <c r="G78" s="3" t="s">
        <v>98</v>
      </c>
      <c r="H78" s="21">
        <v>6.3204319708041495E-2</v>
      </c>
      <c r="I78" s="21" t="str">
        <f>YEAR(CurrentMtgRatesDataTable871112[[#This Row],[asofdate]])&amp;"-"&amp;MONTH(CurrentMtgRatesDataTable871112[[#This Row],[asofdate]])</f>
        <v>2009-7</v>
      </c>
      <c r="J78" s="40">
        <f>VLOOKUP(CurrentMtgRatesDataTable871112[[#This Row],[asofdate]],Q:AE,15,0)*100</f>
        <v>2.445963201019413</v>
      </c>
      <c r="K78" s="40">
        <f>VLOOKUP(CurrentMtgRatesDataTable871112[[#This Row],[asofdate]],Q:AE,4,0)*100</f>
        <v>1.0724321486784001</v>
      </c>
      <c r="L78" s="40">
        <f>VLOOKUP(CurrentMtgRatesDataTable871112[[#This Row],[asofdate]],Q:AE,5,0)*100</f>
        <v>6.2301954306724801</v>
      </c>
      <c r="M78" s="40">
        <f>VLOOKUP(CurrentMtgRatesDataTable871112[[#This Row],[asofdate]],Q:AE,6,0)*100</f>
        <v>6.3204319708041492</v>
      </c>
      <c r="N78" s="40">
        <f>VLOOKUP(CurrentMtgRatesDataTable871112[[#This Row],[asofdate]],Q:AF,16,0)*100</f>
        <v>1.8174387934322869</v>
      </c>
      <c r="Q78" s="3" t="s">
        <v>97</v>
      </c>
      <c r="R78" s="21">
        <v>1.1449481001714499E-2</v>
      </c>
      <c r="S78" s="29" t="str">
        <f>YEAR(CurrentMtgRatesDataTable8711121314[[#This Row],[asofdate]])&amp;"-"&amp;MONTH(CurrentMtgRatesDataTable8711121314[[#This Row],[asofdate]])</f>
        <v>2009-6</v>
      </c>
      <c r="T78" s="37">
        <f>CurrentMtgRatesDataTable8711121314[[#This Row],[SeriesNumValue]]</f>
        <v>1.1449481001714499E-2</v>
      </c>
      <c r="U78" s="37">
        <f>VLOOKUP(CurrentMtgRatesDataTable8711121314[[#This Row],[asofdate]],B:D,2,0)</f>
        <v>6.6489943042899999E-2</v>
      </c>
      <c r="V78" s="37">
        <f>IF(VLOOKUP(CurrentMtgRatesDataTable8711121314[[#This Row],[asofdate]],G:H,2,0)&lt;&gt;0,VLOOKUP(CurrentMtgRatesDataTable8711121314[[#This Row],[asofdate]],G:H,2,0),V77)</f>
        <v>6.2547871487745293E-2</v>
      </c>
      <c r="W78" s="37">
        <f>CurrentMtgRatesDataTable8711121314[[#This Row],[FHA]]+0.5*CurrentMtgRatesDataTable8711121314[[#This Row],[Conventional]]</f>
        <v>7.2214683543757249E-2</v>
      </c>
      <c r="X78" s="37">
        <f>2*CurrentMtgRatesDataTable8711121314[[#This Row],[FHA]]</f>
        <v>0.1329798860858</v>
      </c>
      <c r="Y78" s="19">
        <f>VLOOKUP(YEAR(CurrentMtgRatesDataTable8711121314[[#This Row],[asofdate]]),OriginationVolume!$A:$N,8,FALSE)</f>
        <v>0.68277430358158042</v>
      </c>
      <c r="Z78" s="19">
        <f>VLOOKUP(YEAR(CurrentMtgRatesDataTable8711121314[[#This Row],[asofdate]]),OriginationVolume!$A:$N,9,FALSE)</f>
        <v>6.4098919840818641E-2</v>
      </c>
      <c r="AA78" s="19">
        <f>VLOOKUP(YEAR(CurrentMtgRatesDataTable8711121314[[#This Row],[asofdate]]),OriginationVolume!$A:$N,10,FALSE)</f>
        <v>0.19229675952245595</v>
      </c>
      <c r="AB78" s="19">
        <f>VLOOKUP(YEAR(CurrentMtgRatesDataTable8711121314[[#This Row],[asofdate]]),OriginationVolume!$A:$N,11,FALSE)</f>
        <v>5.5144968732234227E-2</v>
      </c>
      <c r="AC78" s="19">
        <f>VLOOKUP(YEAR(CurrentMtgRatesDataTable8711121314[[#This Row],[asofdate]]),OriginationVolume!$A:$N,12,FALSE)</f>
        <v>3.4110289937464467E-3</v>
      </c>
      <c r="AD78" s="19">
        <f>VLOOKUP(YEAR(CurrentMtgRatesDataTable8711121314[[#This Row],[asofdate]]),OriginationVolume!$A:$N,13,FALSE)</f>
        <v>2.2740193291642978E-3</v>
      </c>
      <c r="AE7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2.579256948853631E-2</v>
      </c>
      <c r="AF7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1.9400068250206074E-2</v>
      </c>
      <c r="AG78" s="3" t="s">
        <v>97</v>
      </c>
      <c r="AH78" s="5">
        <v>873440000</v>
      </c>
      <c r="AI78" s="26"/>
      <c r="AK78" s="3" t="s">
        <v>97</v>
      </c>
      <c r="AL78" s="5">
        <v>166008000</v>
      </c>
      <c r="AM78" s="26"/>
      <c r="AO78" s="3" t="s">
        <v>97</v>
      </c>
      <c r="AP78" s="5">
        <v>12474284900.35</v>
      </c>
      <c r="AQ78" s="29"/>
      <c r="AS78" s="3" t="s">
        <v>97</v>
      </c>
      <c r="AT78" s="5">
        <v>11434836900.35</v>
      </c>
      <c r="AU78" s="29" t="str">
        <f>YEAR(CurrentMtgRatesDataTable871112131417[[#This Row],[asofdate]])&amp;"-"&amp;MONTH(CurrentMtgRatesDataTable871112131417[[#This Row],[asofdate]])</f>
        <v>2009-6</v>
      </c>
      <c r="AV78" s="29">
        <f>CurrentMtgRatesDataTable871112131417[[#This Row],[SeriesNumValue]]</f>
        <v>11434836900.35</v>
      </c>
      <c r="AW78" s="29">
        <f>VLOOKUP(CurrentMtgRatesDataTable871112131417[[#This Row],[asofdate]],AG:AH,2,0)</f>
        <v>873440000</v>
      </c>
      <c r="AX78" s="25">
        <f>IF(VLOOKUP(CurrentMtgRatesDataTable871112131417[[#This Row],[asofdate]],AK:AL,2,0)&lt;&gt;0,VLOOKUP(CurrentMtgRatesDataTable871112131417[[#This Row],[asofdate]],AK:AL,2,0),AX77)</f>
        <v>166008000</v>
      </c>
      <c r="AY78" s="25">
        <f>VLOOKUP(CurrentMtgRatesDataTable871112131417[[#This Row],[asofdate]],AO:AP,2,0)</f>
        <v>12474284900.35</v>
      </c>
    </row>
    <row r="79" spans="2:51" s="4" customFormat="1">
      <c r="B79" s="3" t="s">
        <v>98</v>
      </c>
      <c r="C79" s="21">
        <v>6.2301954306724798E-2</v>
      </c>
      <c r="D79" s="26">
        <f>((CurrentMtgRatesDataTable8711[[#This Row],[SeriesNumValue]]-$C$1)/$C$1+1)*100</f>
        <v>415.34636204483206</v>
      </c>
      <c r="E79" s="26"/>
      <c r="G79" s="3" t="s">
        <v>97</v>
      </c>
      <c r="H79" s="21">
        <v>6.2547871487745293E-2</v>
      </c>
      <c r="I79" s="21" t="str">
        <f>YEAR(CurrentMtgRatesDataTable871112[[#This Row],[asofdate]])&amp;"-"&amp;MONTH(CurrentMtgRatesDataTable871112[[#This Row],[asofdate]])</f>
        <v>2009-6</v>
      </c>
      <c r="J79" s="40">
        <f>VLOOKUP(CurrentMtgRatesDataTable871112[[#This Row],[asofdate]],Q:AE,15,0)*100</f>
        <v>2.5792569488536312</v>
      </c>
      <c r="K79" s="40">
        <f>VLOOKUP(CurrentMtgRatesDataTable871112[[#This Row],[asofdate]],Q:AE,4,0)*100</f>
        <v>1.1449481001714499</v>
      </c>
      <c r="L79" s="40">
        <f>VLOOKUP(CurrentMtgRatesDataTable871112[[#This Row],[asofdate]],Q:AE,5,0)*100</f>
        <v>6.6489943042899995</v>
      </c>
      <c r="M79" s="40">
        <f>VLOOKUP(CurrentMtgRatesDataTable871112[[#This Row],[asofdate]],Q:AE,6,0)*100</f>
        <v>6.254787148774529</v>
      </c>
      <c r="N79" s="40">
        <f>VLOOKUP(CurrentMtgRatesDataTable871112[[#This Row],[asofdate]],Q:AF,16,0)*100</f>
        <v>1.9400068250206075</v>
      </c>
      <c r="Q79" s="3" t="s">
        <v>98</v>
      </c>
      <c r="R79" s="21">
        <v>1.0724321486784E-2</v>
      </c>
      <c r="S79" s="29" t="str">
        <f>YEAR(CurrentMtgRatesDataTable8711121314[[#This Row],[asofdate]])&amp;"-"&amp;MONTH(CurrentMtgRatesDataTable8711121314[[#This Row],[asofdate]])</f>
        <v>2009-7</v>
      </c>
      <c r="T79" s="37">
        <f>CurrentMtgRatesDataTable8711121314[[#This Row],[SeriesNumValue]]</f>
        <v>1.0724321486784E-2</v>
      </c>
      <c r="U79" s="37">
        <f>VLOOKUP(CurrentMtgRatesDataTable8711121314[[#This Row],[asofdate]],B:D,2,0)</f>
        <v>6.2301954306724798E-2</v>
      </c>
      <c r="V79" s="37">
        <f>IF(VLOOKUP(CurrentMtgRatesDataTable8711121314[[#This Row],[asofdate]],G:H,2,0)&lt;&gt;0,VLOOKUP(CurrentMtgRatesDataTable8711121314[[#This Row],[asofdate]],G:H,2,0),V78)</f>
        <v>6.3204319708041495E-2</v>
      </c>
      <c r="W79" s="37">
        <f>CurrentMtgRatesDataTable8711121314[[#This Row],[FHA]]+0.5*CurrentMtgRatesDataTable8711121314[[#This Row],[Conventional]]</f>
        <v>6.7664115050116797E-2</v>
      </c>
      <c r="X79" s="37">
        <f>2*CurrentMtgRatesDataTable8711121314[[#This Row],[FHA]]</f>
        <v>0.1246039086134496</v>
      </c>
      <c r="Y79" s="19">
        <f>VLOOKUP(YEAR(CurrentMtgRatesDataTable8711121314[[#This Row],[asofdate]]),OriginationVolume!$A:$N,8,FALSE)</f>
        <v>0.68277430358158042</v>
      </c>
      <c r="Z79" s="19">
        <f>VLOOKUP(YEAR(CurrentMtgRatesDataTable8711121314[[#This Row],[asofdate]]),OriginationVolume!$A:$N,9,FALSE)</f>
        <v>6.4098919840818641E-2</v>
      </c>
      <c r="AA79" s="19">
        <f>VLOOKUP(YEAR(CurrentMtgRatesDataTable8711121314[[#This Row],[asofdate]]),OriginationVolume!$A:$N,10,FALSE)</f>
        <v>0.19229675952245595</v>
      </c>
      <c r="AB79" s="19">
        <f>VLOOKUP(YEAR(CurrentMtgRatesDataTable8711121314[[#This Row],[asofdate]]),OriginationVolume!$A:$N,11,FALSE)</f>
        <v>5.5144968732234227E-2</v>
      </c>
      <c r="AC79" s="19">
        <f>VLOOKUP(YEAR(CurrentMtgRatesDataTable8711121314[[#This Row],[asofdate]]),OriginationVolume!$A:$N,12,FALSE)</f>
        <v>3.4110289937464467E-3</v>
      </c>
      <c r="AD79" s="19">
        <f>VLOOKUP(YEAR(CurrentMtgRatesDataTable8711121314[[#This Row],[asofdate]]),OriginationVolume!$A:$N,13,FALSE)</f>
        <v>2.2740193291642978E-3</v>
      </c>
      <c r="AE7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2.4459632010194129E-2</v>
      </c>
      <c r="AF7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1.8174387934322869E-2</v>
      </c>
      <c r="AG79" s="3" t="s">
        <v>98</v>
      </c>
      <c r="AH79" s="5">
        <v>933343000</v>
      </c>
      <c r="AI79" s="26"/>
      <c r="AK79" s="3" t="s">
        <v>98</v>
      </c>
      <c r="AL79" s="5">
        <v>163058000</v>
      </c>
      <c r="AM79" s="26"/>
      <c r="AO79" s="3" t="s">
        <v>98</v>
      </c>
      <c r="AP79" s="5">
        <v>14867477660.629999</v>
      </c>
      <c r="AQ79" s="29"/>
      <c r="AS79" s="3" t="s">
        <v>98</v>
      </c>
      <c r="AT79" s="5">
        <v>13771076660.629999</v>
      </c>
      <c r="AU79" s="29" t="str">
        <f>YEAR(CurrentMtgRatesDataTable871112131417[[#This Row],[asofdate]])&amp;"-"&amp;MONTH(CurrentMtgRatesDataTable871112131417[[#This Row],[asofdate]])</f>
        <v>2009-7</v>
      </c>
      <c r="AV79" s="29">
        <f>CurrentMtgRatesDataTable871112131417[[#This Row],[SeriesNumValue]]</f>
        <v>13771076660.629999</v>
      </c>
      <c r="AW79" s="29">
        <f>VLOOKUP(CurrentMtgRatesDataTable871112131417[[#This Row],[asofdate]],AG:AH,2,0)</f>
        <v>933343000</v>
      </c>
      <c r="AX79" s="25">
        <f>IF(VLOOKUP(CurrentMtgRatesDataTable871112131417[[#This Row],[asofdate]],AK:AL,2,0)&lt;&gt;0,VLOOKUP(CurrentMtgRatesDataTable871112131417[[#This Row],[asofdate]],AK:AL,2,0),AX78)</f>
        <v>163058000</v>
      </c>
      <c r="AY79" s="25">
        <f>VLOOKUP(CurrentMtgRatesDataTable871112131417[[#This Row],[asofdate]],AO:AP,2,0)</f>
        <v>14867477660.629999</v>
      </c>
    </row>
    <row r="80" spans="2:51" s="4" customFormat="1">
      <c r="B80" s="3" t="s">
        <v>99</v>
      </c>
      <c r="C80" s="21">
        <v>5.92673314950833E-2</v>
      </c>
      <c r="D80" s="26">
        <f>((CurrentMtgRatesDataTable8711[[#This Row],[SeriesNumValue]]-$C$1)/$C$1+1)*100</f>
        <v>395.11554330055537</v>
      </c>
      <c r="E80" s="26"/>
      <c r="G80" s="3" t="s">
        <v>96</v>
      </c>
      <c r="H80" s="21">
        <v>6.7690700362425998E-2</v>
      </c>
      <c r="I80" s="21" t="str">
        <f>YEAR(CurrentMtgRatesDataTable871112[[#This Row],[asofdate]])&amp;"-"&amp;MONTH(CurrentMtgRatesDataTable871112[[#This Row],[asofdate]])</f>
        <v>2009-5</v>
      </c>
      <c r="J80" s="40">
        <f>VLOOKUP(CurrentMtgRatesDataTable871112[[#This Row],[asofdate]],Q:AE,15,0)*100</f>
        <v>2.9227741587181675</v>
      </c>
      <c r="K80" s="40">
        <f>VLOOKUP(CurrentMtgRatesDataTable871112[[#This Row],[asofdate]],Q:AE,4,0)*100</f>
        <v>1.1418573341871499</v>
      </c>
      <c r="L80" s="40">
        <f>VLOOKUP(CurrentMtgRatesDataTable871112[[#This Row],[asofdate]],Q:AE,5,0)*100</f>
        <v>8.2111872443475402</v>
      </c>
      <c r="M80" s="40">
        <f>VLOOKUP(CurrentMtgRatesDataTable871112[[#This Row],[asofdate]],Q:AE,6,0)*100</f>
        <v>6.7690700362426002</v>
      </c>
      <c r="N80" s="40">
        <f>VLOOKUP(CurrentMtgRatesDataTable871112[[#This Row],[asofdate]],Q:AF,16,0)*100</f>
        <v>2.1415173349493508</v>
      </c>
      <c r="Q80" s="3" t="s">
        <v>99</v>
      </c>
      <c r="R80" s="21">
        <v>9.1456582353529603E-3</v>
      </c>
      <c r="S80" s="29" t="str">
        <f>YEAR(CurrentMtgRatesDataTable8711121314[[#This Row],[asofdate]])&amp;"-"&amp;MONTH(CurrentMtgRatesDataTable8711121314[[#This Row],[asofdate]])</f>
        <v>2009-8</v>
      </c>
      <c r="T80" s="37">
        <f>CurrentMtgRatesDataTable8711121314[[#This Row],[SeriesNumValue]]</f>
        <v>9.1456582353529603E-3</v>
      </c>
      <c r="U80" s="37">
        <f>VLOOKUP(CurrentMtgRatesDataTable8711121314[[#This Row],[asofdate]],B:D,2,0)</f>
        <v>5.92673314950833E-2</v>
      </c>
      <c r="V80" s="37">
        <f>IF(VLOOKUP(CurrentMtgRatesDataTable8711121314[[#This Row],[asofdate]],G:H,2,0)&lt;&gt;0,VLOOKUP(CurrentMtgRatesDataTable8711121314[[#This Row],[asofdate]],G:H,2,0),V79)</f>
        <v>4.9912524929129003E-2</v>
      </c>
      <c r="W80" s="37">
        <f>CurrentMtgRatesDataTable8711121314[[#This Row],[FHA]]+0.5*CurrentMtgRatesDataTable8711121314[[#This Row],[Conventional]]</f>
        <v>6.384016061275978E-2</v>
      </c>
      <c r="X80" s="37">
        <f>2*CurrentMtgRatesDataTable8711121314[[#This Row],[FHA]]</f>
        <v>0.1185346629901666</v>
      </c>
      <c r="Y80" s="19">
        <f>VLOOKUP(YEAR(CurrentMtgRatesDataTable8711121314[[#This Row],[asofdate]]),OriginationVolume!$A:$N,8,FALSE)</f>
        <v>0.68277430358158042</v>
      </c>
      <c r="Z80" s="19">
        <f>VLOOKUP(YEAR(CurrentMtgRatesDataTable8711121314[[#This Row],[asofdate]]),OriginationVolume!$A:$N,9,FALSE)</f>
        <v>6.4098919840818641E-2</v>
      </c>
      <c r="AA80" s="19">
        <f>VLOOKUP(YEAR(CurrentMtgRatesDataTable8711121314[[#This Row],[asofdate]]),OriginationVolume!$A:$N,10,FALSE)</f>
        <v>0.19229675952245595</v>
      </c>
      <c r="AB80" s="19">
        <f>VLOOKUP(YEAR(CurrentMtgRatesDataTable8711121314[[#This Row],[asofdate]]),OriginationVolume!$A:$N,11,FALSE)</f>
        <v>5.5144968732234227E-2</v>
      </c>
      <c r="AC80" s="19">
        <f>VLOOKUP(YEAR(CurrentMtgRatesDataTable8711121314[[#This Row],[asofdate]]),OriginationVolume!$A:$N,12,FALSE)</f>
        <v>3.4110289937464467E-3</v>
      </c>
      <c r="AD80" s="19">
        <f>VLOOKUP(YEAR(CurrentMtgRatesDataTable8711121314[[#This Row],[asofdate]]),OriginationVolume!$A:$N,13,FALSE)</f>
        <v>2.2740193291642978E-3</v>
      </c>
      <c r="AE8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2.1832322950026486E-2</v>
      </c>
      <c r="AF8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1.6301948266041703E-2</v>
      </c>
      <c r="AG80" s="3" t="s">
        <v>99</v>
      </c>
      <c r="AH80" s="5">
        <v>715813000</v>
      </c>
      <c r="AI80" s="26"/>
      <c r="AK80" s="3" t="s">
        <v>99</v>
      </c>
      <c r="AL80" s="5">
        <v>203310000</v>
      </c>
      <c r="AM80" s="26"/>
      <c r="AO80" s="3" t="s">
        <v>99</v>
      </c>
      <c r="AP80" s="5">
        <v>16706553284.77</v>
      </c>
      <c r="AQ80" s="29"/>
      <c r="AS80" s="3" t="s">
        <v>99</v>
      </c>
      <c r="AT80" s="5">
        <v>15787430284.77</v>
      </c>
      <c r="AU80" s="29" t="str">
        <f>YEAR(CurrentMtgRatesDataTable871112131417[[#This Row],[asofdate]])&amp;"-"&amp;MONTH(CurrentMtgRatesDataTable871112131417[[#This Row],[asofdate]])</f>
        <v>2009-8</v>
      </c>
      <c r="AV80" s="29">
        <f>CurrentMtgRatesDataTable871112131417[[#This Row],[SeriesNumValue]]</f>
        <v>15787430284.77</v>
      </c>
      <c r="AW80" s="29">
        <f>VLOOKUP(CurrentMtgRatesDataTable871112131417[[#This Row],[asofdate]],AG:AH,2,0)</f>
        <v>715813000</v>
      </c>
      <c r="AX80" s="25">
        <f>IF(VLOOKUP(CurrentMtgRatesDataTable871112131417[[#This Row],[asofdate]],AK:AL,2,0)&lt;&gt;0,VLOOKUP(CurrentMtgRatesDataTable871112131417[[#This Row],[asofdate]],AK:AL,2,0),AX79)</f>
        <v>203310000</v>
      </c>
      <c r="AY80" s="25">
        <f>VLOOKUP(CurrentMtgRatesDataTable871112131417[[#This Row],[asofdate]],AO:AP,2,0)</f>
        <v>16706553284.77</v>
      </c>
    </row>
    <row r="81" spans="2:51" s="4" customFormat="1">
      <c r="B81" s="3" t="s">
        <v>100</v>
      </c>
      <c r="C81" s="21">
        <v>6.8005277207944095E-2</v>
      </c>
      <c r="D81" s="26">
        <f>((CurrentMtgRatesDataTable8711[[#This Row],[SeriesNumValue]]-$C$1)/$C$1+1)*100</f>
        <v>453.36851471962734</v>
      </c>
      <c r="E81" s="26"/>
      <c r="G81" s="3" t="s">
        <v>95</v>
      </c>
      <c r="H81" s="21">
        <v>5.8657409652671001E-2</v>
      </c>
      <c r="I81" s="21" t="str">
        <f>YEAR(CurrentMtgRatesDataTable871112[[#This Row],[asofdate]])&amp;"-"&amp;MONTH(CurrentMtgRatesDataTable871112[[#This Row],[asofdate]])</f>
        <v>2009-4</v>
      </c>
      <c r="J81" s="40">
        <f>VLOOKUP(CurrentMtgRatesDataTable871112[[#This Row],[asofdate]],Q:AE,15,0)*100</f>
        <v>2.7427163527577836</v>
      </c>
      <c r="K81" s="40">
        <f>VLOOKUP(CurrentMtgRatesDataTable871112[[#This Row],[asofdate]],Q:AE,4,0)*100</f>
        <v>1.1109793158067398</v>
      </c>
      <c r="L81" s="40">
        <f>VLOOKUP(CurrentMtgRatesDataTable871112[[#This Row],[asofdate]],Q:AE,5,0)*100</f>
        <v>7.7152354316607701</v>
      </c>
      <c r="M81" s="40">
        <f>VLOOKUP(CurrentMtgRatesDataTable871112[[#This Row],[asofdate]],Q:AE,6,0)*100</f>
        <v>5.8657409652670998</v>
      </c>
      <c r="N81" s="40">
        <f>VLOOKUP(CurrentMtgRatesDataTable871112[[#This Row],[asofdate]],Q:AF,16,0)*100</f>
        <v>2.0477684824665867</v>
      </c>
      <c r="Q81" s="3" t="s">
        <v>100</v>
      </c>
      <c r="R81" s="21">
        <v>1.08993077818714E-2</v>
      </c>
      <c r="S81" s="29" t="str">
        <f>YEAR(CurrentMtgRatesDataTable8711121314[[#This Row],[asofdate]])&amp;"-"&amp;MONTH(CurrentMtgRatesDataTable8711121314[[#This Row],[asofdate]])</f>
        <v>2009-9</v>
      </c>
      <c r="T81" s="37">
        <f>CurrentMtgRatesDataTable8711121314[[#This Row],[SeriesNumValue]]</f>
        <v>1.08993077818714E-2</v>
      </c>
      <c r="U81" s="37">
        <f>VLOOKUP(CurrentMtgRatesDataTable8711121314[[#This Row],[asofdate]],B:D,2,0)</f>
        <v>6.8005277207944095E-2</v>
      </c>
      <c r="V81" s="37">
        <f>IF(VLOOKUP(CurrentMtgRatesDataTable8711121314[[#This Row],[asofdate]],G:H,2,0)&lt;&gt;0,VLOOKUP(CurrentMtgRatesDataTable8711121314[[#This Row],[asofdate]],G:H,2,0),V80)</f>
        <v>6.14172208510139E-2</v>
      </c>
      <c r="W81" s="37">
        <f>CurrentMtgRatesDataTable8711121314[[#This Row],[FHA]]+0.5*CurrentMtgRatesDataTable8711121314[[#This Row],[Conventional]]</f>
        <v>7.3454931098879794E-2</v>
      </c>
      <c r="X81" s="37">
        <f>2*CurrentMtgRatesDataTable8711121314[[#This Row],[FHA]]</f>
        <v>0.13601055441588819</v>
      </c>
      <c r="Y81" s="19">
        <f>VLOOKUP(YEAR(CurrentMtgRatesDataTable8711121314[[#This Row],[asofdate]]),OriginationVolume!$A:$N,8,FALSE)</f>
        <v>0.68277430358158042</v>
      </c>
      <c r="Z81" s="19">
        <f>VLOOKUP(YEAR(CurrentMtgRatesDataTable8711121314[[#This Row],[asofdate]]),OriginationVolume!$A:$N,9,FALSE)</f>
        <v>6.4098919840818641E-2</v>
      </c>
      <c r="AA81" s="19">
        <f>VLOOKUP(YEAR(CurrentMtgRatesDataTable8711121314[[#This Row],[asofdate]]),OriginationVolume!$A:$N,10,FALSE)</f>
        <v>0.19229675952245595</v>
      </c>
      <c r="AB81" s="19">
        <f>VLOOKUP(YEAR(CurrentMtgRatesDataTable8711121314[[#This Row],[asofdate]]),OriginationVolume!$A:$N,11,FALSE)</f>
        <v>5.5144968732234227E-2</v>
      </c>
      <c r="AC81" s="19">
        <f>VLOOKUP(YEAR(CurrentMtgRatesDataTable8711121314[[#This Row],[asofdate]]),OriginationVolume!$A:$N,12,FALSE)</f>
        <v>3.4110289937464467E-3</v>
      </c>
      <c r="AD81" s="19">
        <f>VLOOKUP(YEAR(CurrentMtgRatesDataTable8711121314[[#This Row],[asofdate]]),OriginationVolume!$A:$N,13,FALSE)</f>
        <v>2.2740193291642978E-3</v>
      </c>
      <c r="AE8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2.561662875023582E-2</v>
      </c>
      <c r="AF8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1.9084155692508011E-2</v>
      </c>
      <c r="AG81" s="3" t="s">
        <v>100</v>
      </c>
      <c r="AH81" s="5">
        <v>770343000</v>
      </c>
      <c r="AI81" s="26"/>
      <c r="AK81" s="3" t="s">
        <v>100</v>
      </c>
      <c r="AL81" s="5">
        <v>148117000</v>
      </c>
      <c r="AM81" s="26"/>
      <c r="AO81" s="3" t="s">
        <v>100</v>
      </c>
      <c r="AP81" s="5">
        <v>15939928257.370001</v>
      </c>
      <c r="AQ81" s="29"/>
      <c r="AS81" s="3" t="s">
        <v>100</v>
      </c>
      <c r="AT81" s="5">
        <v>15021468257.370001</v>
      </c>
      <c r="AU81" s="29" t="str">
        <f>YEAR(CurrentMtgRatesDataTable871112131417[[#This Row],[asofdate]])&amp;"-"&amp;MONTH(CurrentMtgRatesDataTable871112131417[[#This Row],[asofdate]])</f>
        <v>2009-9</v>
      </c>
      <c r="AV81" s="29">
        <f>CurrentMtgRatesDataTable871112131417[[#This Row],[SeriesNumValue]]</f>
        <v>15021468257.370001</v>
      </c>
      <c r="AW81" s="29">
        <f>VLOOKUP(CurrentMtgRatesDataTable871112131417[[#This Row],[asofdate]],AG:AH,2,0)</f>
        <v>770343000</v>
      </c>
      <c r="AX81" s="25">
        <f>IF(VLOOKUP(CurrentMtgRatesDataTable871112131417[[#This Row],[asofdate]],AK:AL,2,0)&lt;&gt;0,VLOOKUP(CurrentMtgRatesDataTable871112131417[[#This Row],[asofdate]],AK:AL,2,0),AX80)</f>
        <v>148117000</v>
      </c>
      <c r="AY81" s="25">
        <f>VLOOKUP(CurrentMtgRatesDataTable871112131417[[#This Row],[asofdate]],AO:AP,2,0)</f>
        <v>15939928257.370001</v>
      </c>
    </row>
    <row r="82" spans="2:51" s="4" customFormat="1">
      <c r="B82" s="3" t="s">
        <v>101</v>
      </c>
      <c r="C82" s="21">
        <v>7.0066056895199597E-2</v>
      </c>
      <c r="D82" s="26">
        <f>((CurrentMtgRatesDataTable8711[[#This Row],[SeriesNumValue]]-$C$1)/$C$1+1)*100</f>
        <v>467.10704596799735</v>
      </c>
      <c r="E82" s="26"/>
      <c r="G82" s="3" t="s">
        <v>94</v>
      </c>
      <c r="H82" s="21">
        <v>6.4262861829081905E-2</v>
      </c>
      <c r="I82" s="21" t="str">
        <f>YEAR(CurrentMtgRatesDataTable871112[[#This Row],[asofdate]])&amp;"-"&amp;MONTH(CurrentMtgRatesDataTable871112[[#This Row],[asofdate]])</f>
        <v>2009-3</v>
      </c>
      <c r="J82" s="40">
        <f>VLOOKUP(CurrentMtgRatesDataTable871112[[#This Row],[asofdate]],Q:AE,15,0)*100</f>
        <v>2.9769529858982269</v>
      </c>
      <c r="K82" s="40">
        <f>VLOOKUP(CurrentMtgRatesDataTable871112[[#This Row],[asofdate]],Q:AE,4,0)*100</f>
        <v>1.2143485589171599</v>
      </c>
      <c r="L82" s="40">
        <f>VLOOKUP(CurrentMtgRatesDataTable871112[[#This Row],[asofdate]],Q:AE,5,0)*100</f>
        <v>8.3237162808257104</v>
      </c>
      <c r="M82" s="40">
        <f>VLOOKUP(CurrentMtgRatesDataTable871112[[#This Row],[asofdate]],Q:AE,6,0)*100</f>
        <v>6.4262861829081901</v>
      </c>
      <c r="N82" s="40">
        <f>VLOOKUP(CurrentMtgRatesDataTable871112[[#This Row],[asofdate]],Q:AF,16,0)*100</f>
        <v>2.2239895684418314</v>
      </c>
      <c r="Q82" s="3" t="s">
        <v>101</v>
      </c>
      <c r="R82" s="21">
        <v>1.13315361956783E-2</v>
      </c>
      <c r="S82" s="29" t="str">
        <f>YEAR(CurrentMtgRatesDataTable8711121314[[#This Row],[asofdate]])&amp;"-"&amp;MONTH(CurrentMtgRatesDataTable8711121314[[#This Row],[asofdate]])</f>
        <v>2009-10</v>
      </c>
      <c r="T82" s="37">
        <f>CurrentMtgRatesDataTable8711121314[[#This Row],[SeriesNumValue]]</f>
        <v>1.13315361956783E-2</v>
      </c>
      <c r="U82" s="37">
        <f>VLOOKUP(CurrentMtgRatesDataTable8711121314[[#This Row],[asofdate]],B:D,2,0)</f>
        <v>7.0066056895199597E-2</v>
      </c>
      <c r="V82" s="37">
        <f>IF(VLOOKUP(CurrentMtgRatesDataTable8711121314[[#This Row],[asofdate]],G:H,2,0)&lt;&gt;0,VLOOKUP(CurrentMtgRatesDataTable8711121314[[#This Row],[asofdate]],G:H,2,0),V81)</f>
        <v>6.1390904287183197E-2</v>
      </c>
      <c r="W82" s="37">
        <f>CurrentMtgRatesDataTable8711121314[[#This Row],[FHA]]+0.5*CurrentMtgRatesDataTable8711121314[[#This Row],[Conventional]]</f>
        <v>7.5731824993038752E-2</v>
      </c>
      <c r="X82" s="37">
        <f>2*CurrentMtgRatesDataTable8711121314[[#This Row],[FHA]]</f>
        <v>0.14013211379039919</v>
      </c>
      <c r="Y82" s="19">
        <f>VLOOKUP(YEAR(CurrentMtgRatesDataTable8711121314[[#This Row],[asofdate]]),OriginationVolume!$A:$N,8,FALSE)</f>
        <v>0.68277430358158042</v>
      </c>
      <c r="Z82" s="19">
        <f>VLOOKUP(YEAR(CurrentMtgRatesDataTable8711121314[[#This Row],[asofdate]]),OriginationVolume!$A:$N,9,FALSE)</f>
        <v>6.4098919840818641E-2</v>
      </c>
      <c r="AA82" s="19">
        <f>VLOOKUP(YEAR(CurrentMtgRatesDataTable8711121314[[#This Row],[asofdate]]),OriginationVolume!$A:$N,10,FALSE)</f>
        <v>0.19229675952245595</v>
      </c>
      <c r="AB82" s="19">
        <f>VLOOKUP(YEAR(CurrentMtgRatesDataTable8711121314[[#This Row],[asofdate]]),OriginationVolume!$A:$N,11,FALSE)</f>
        <v>5.5144968732234227E-2</v>
      </c>
      <c r="AC82" s="19">
        <f>VLOOKUP(YEAR(CurrentMtgRatesDataTable8711121314[[#This Row],[asofdate]]),OriginationVolume!$A:$N,12,FALSE)</f>
        <v>3.4110289937464467E-3</v>
      </c>
      <c r="AD82" s="19">
        <f>VLOOKUP(YEAR(CurrentMtgRatesDataTable8711121314[[#This Row],[asofdate]]),OriginationVolume!$A:$N,13,FALSE)</f>
        <v>2.2740193291642978E-3</v>
      </c>
      <c r="AE8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2.6347311876231624E-2</v>
      </c>
      <c r="AF8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1.9757742206547892E-2</v>
      </c>
      <c r="AG82" s="3" t="s">
        <v>101</v>
      </c>
      <c r="AH82" s="5">
        <v>610776000</v>
      </c>
      <c r="AI82" s="26"/>
      <c r="AK82" s="3" t="s">
        <v>101</v>
      </c>
      <c r="AL82" s="5">
        <v>142960000</v>
      </c>
      <c r="AM82" s="26"/>
      <c r="AO82" s="3" t="s">
        <v>101</v>
      </c>
      <c r="AP82" s="5">
        <v>13528722032.889999</v>
      </c>
      <c r="AQ82" s="29"/>
      <c r="AS82" s="3" t="s">
        <v>101</v>
      </c>
      <c r="AT82" s="5">
        <v>12774986032.889999</v>
      </c>
      <c r="AU82" s="29" t="str">
        <f>YEAR(CurrentMtgRatesDataTable871112131417[[#This Row],[asofdate]])&amp;"-"&amp;MONTH(CurrentMtgRatesDataTable871112131417[[#This Row],[asofdate]])</f>
        <v>2009-10</v>
      </c>
      <c r="AV82" s="29">
        <f>CurrentMtgRatesDataTable871112131417[[#This Row],[SeriesNumValue]]</f>
        <v>12774986032.889999</v>
      </c>
      <c r="AW82" s="29">
        <f>VLOOKUP(CurrentMtgRatesDataTable871112131417[[#This Row],[asofdate]],AG:AH,2,0)</f>
        <v>610776000</v>
      </c>
      <c r="AX82" s="25">
        <f>IF(VLOOKUP(CurrentMtgRatesDataTable871112131417[[#This Row],[asofdate]],AK:AL,2,0)&lt;&gt;0,VLOOKUP(CurrentMtgRatesDataTable871112131417[[#This Row],[asofdate]],AK:AL,2,0),AX81)</f>
        <v>142960000</v>
      </c>
      <c r="AY82" s="25">
        <f>VLOOKUP(CurrentMtgRatesDataTable871112131417[[#This Row],[asofdate]],AO:AP,2,0)</f>
        <v>13528722032.889999</v>
      </c>
    </row>
    <row r="83" spans="2:51" s="4" customFormat="1">
      <c r="B83" s="3" t="s">
        <v>102</v>
      </c>
      <c r="C83" s="21">
        <v>7.18039593407441E-2</v>
      </c>
      <c r="D83" s="26">
        <f>((CurrentMtgRatesDataTable8711[[#This Row],[SeriesNumValue]]-$C$1)/$C$1+1)*100</f>
        <v>478.6930622716273</v>
      </c>
      <c r="E83" s="26"/>
      <c r="G83" s="3" t="s">
        <v>93</v>
      </c>
      <c r="H83" s="21">
        <v>8.9137877795202894E-2</v>
      </c>
      <c r="I83" s="21" t="str">
        <f>YEAR(CurrentMtgRatesDataTable871112[[#This Row],[asofdate]])&amp;"-"&amp;MONTH(CurrentMtgRatesDataTable871112[[#This Row],[asofdate]])</f>
        <v>2009-2</v>
      </c>
      <c r="J83" s="40">
        <f>VLOOKUP(CurrentMtgRatesDataTable871112[[#This Row],[asofdate]],Q:AE,15,0)*100</f>
        <v>3.6126417750162778</v>
      </c>
      <c r="K83" s="40">
        <f>VLOOKUP(CurrentMtgRatesDataTable871112[[#This Row],[asofdate]],Q:AE,4,0)*100</f>
        <v>1.39907857369967</v>
      </c>
      <c r="L83" s="40">
        <f>VLOOKUP(CurrentMtgRatesDataTable871112[[#This Row],[asofdate]],Q:AE,5,0)*100</f>
        <v>10.0196056372731</v>
      </c>
      <c r="M83" s="40">
        <f>VLOOKUP(CurrentMtgRatesDataTable871112[[#This Row],[asofdate]],Q:AE,6,0)*100</f>
        <v>8.9137877795202893</v>
      </c>
      <c r="N83" s="40">
        <f>VLOOKUP(CurrentMtgRatesDataTable871112[[#This Row],[asofdate]],Q:AF,16,0)*100</f>
        <v>2.6185265073999102</v>
      </c>
      <c r="Q83" s="3" t="s">
        <v>102</v>
      </c>
      <c r="R83" s="21">
        <v>1.17542416448183E-2</v>
      </c>
      <c r="S83" s="29" t="str">
        <f>YEAR(CurrentMtgRatesDataTable8711121314[[#This Row],[asofdate]])&amp;"-"&amp;MONTH(CurrentMtgRatesDataTable8711121314[[#This Row],[asofdate]])</f>
        <v>2009-11</v>
      </c>
      <c r="T83" s="37">
        <f>CurrentMtgRatesDataTable8711121314[[#This Row],[SeriesNumValue]]</f>
        <v>1.17542416448183E-2</v>
      </c>
      <c r="U83" s="37">
        <f>VLOOKUP(CurrentMtgRatesDataTable8711121314[[#This Row],[asofdate]],B:D,2,0)</f>
        <v>7.18039593407441E-2</v>
      </c>
      <c r="V83" s="37">
        <f>IF(VLOOKUP(CurrentMtgRatesDataTable8711121314[[#This Row],[asofdate]],G:H,2,0)&lt;&gt;0,VLOOKUP(CurrentMtgRatesDataTable8711121314[[#This Row],[asofdate]],G:H,2,0),V82)</f>
        <v>6.7723009407227197E-2</v>
      </c>
      <c r="W83" s="37">
        <f>CurrentMtgRatesDataTable8711121314[[#This Row],[FHA]]+0.5*CurrentMtgRatesDataTable8711121314[[#This Row],[Conventional]]</f>
        <v>7.7681080163153254E-2</v>
      </c>
      <c r="X83" s="37">
        <f>2*CurrentMtgRatesDataTable8711121314[[#This Row],[FHA]]</f>
        <v>0.1436079186814882</v>
      </c>
      <c r="Y83" s="19">
        <f>VLOOKUP(YEAR(CurrentMtgRatesDataTable8711121314[[#This Row],[asofdate]]),OriginationVolume!$A:$N,8,FALSE)</f>
        <v>0.68277430358158042</v>
      </c>
      <c r="Z83" s="19">
        <f>VLOOKUP(YEAR(CurrentMtgRatesDataTable8711121314[[#This Row],[asofdate]]),OriginationVolume!$A:$N,9,FALSE)</f>
        <v>6.4098919840818641E-2</v>
      </c>
      <c r="AA83" s="19">
        <f>VLOOKUP(YEAR(CurrentMtgRatesDataTable8711121314[[#This Row],[asofdate]]),OriginationVolume!$A:$N,10,FALSE)</f>
        <v>0.19229675952245595</v>
      </c>
      <c r="AB83" s="19">
        <f>VLOOKUP(YEAR(CurrentMtgRatesDataTable8711121314[[#This Row],[asofdate]]),OriginationVolume!$A:$N,11,FALSE)</f>
        <v>5.5144968732234227E-2</v>
      </c>
      <c r="AC83" s="19">
        <f>VLOOKUP(YEAR(CurrentMtgRatesDataTable8711121314[[#This Row],[asofdate]]),OriginationVolume!$A:$N,12,FALSE)</f>
        <v>3.4110289937464467E-3</v>
      </c>
      <c r="AD83" s="19">
        <f>VLOOKUP(YEAR(CurrentMtgRatesDataTable8711121314[[#This Row],[asofdate]]),OriginationVolume!$A:$N,13,FALSE)</f>
        <v>2.2740193291642978E-3</v>
      </c>
      <c r="AE8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2.7413861494230009E-2</v>
      </c>
      <c r="AF8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2.0380183133198573E-2</v>
      </c>
      <c r="AG83" s="3" t="s">
        <v>102</v>
      </c>
      <c r="AH83" s="5">
        <v>655657000</v>
      </c>
      <c r="AI83" s="26"/>
      <c r="AK83" s="3" t="s">
        <v>102</v>
      </c>
      <c r="AL83" s="5">
        <v>153251000</v>
      </c>
      <c r="AM83" s="26"/>
      <c r="AO83" s="3" t="s">
        <v>102</v>
      </c>
      <c r="AP83" s="5">
        <v>12690846042.559999</v>
      </c>
      <c r="AQ83" s="29"/>
      <c r="AS83" s="3" t="s">
        <v>102</v>
      </c>
      <c r="AT83" s="5">
        <v>11881938042.559999</v>
      </c>
      <c r="AU83" s="29" t="str">
        <f>YEAR(CurrentMtgRatesDataTable871112131417[[#This Row],[asofdate]])&amp;"-"&amp;MONTH(CurrentMtgRatesDataTable871112131417[[#This Row],[asofdate]])</f>
        <v>2009-11</v>
      </c>
      <c r="AV83" s="29">
        <f>CurrentMtgRatesDataTable871112131417[[#This Row],[SeriesNumValue]]</f>
        <v>11881938042.559999</v>
      </c>
      <c r="AW83" s="29">
        <f>VLOOKUP(CurrentMtgRatesDataTable871112131417[[#This Row],[asofdate]],AG:AH,2,0)</f>
        <v>655657000</v>
      </c>
      <c r="AX83" s="25">
        <f>IF(VLOOKUP(CurrentMtgRatesDataTable871112131417[[#This Row],[asofdate]],AK:AL,2,0)&lt;&gt;0,VLOOKUP(CurrentMtgRatesDataTable871112131417[[#This Row],[asofdate]],AK:AL,2,0),AX82)</f>
        <v>153251000</v>
      </c>
      <c r="AY83" s="25">
        <f>VLOOKUP(CurrentMtgRatesDataTable871112131417[[#This Row],[asofdate]],AO:AP,2,0)</f>
        <v>12690846042.559999</v>
      </c>
    </row>
    <row r="84" spans="2:51" s="4" customFormat="1">
      <c r="B84" s="3" t="s">
        <v>103</v>
      </c>
      <c r="C84" s="21">
        <v>6.7916944669552101E-2</v>
      </c>
      <c r="D84" s="26">
        <f>((CurrentMtgRatesDataTable8711[[#This Row],[SeriesNumValue]]-$C$1)/$C$1+1)*100</f>
        <v>452.77963113034741</v>
      </c>
      <c r="E84" s="26"/>
      <c r="G84" s="3" t="s">
        <v>92</v>
      </c>
      <c r="H84" s="21">
        <v>8.5495306297522E-2</v>
      </c>
      <c r="I84" s="21" t="str">
        <f>YEAR(CurrentMtgRatesDataTable871112[[#This Row],[asofdate]])&amp;"-"&amp;MONTH(CurrentMtgRatesDataTable871112[[#This Row],[asofdate]])</f>
        <v>2009-1</v>
      </c>
      <c r="J84" s="40">
        <f>VLOOKUP(CurrentMtgRatesDataTable871112[[#This Row],[asofdate]],Q:AE,15,0)*100</f>
        <v>3.4373363748136501</v>
      </c>
      <c r="K84" s="40">
        <f>VLOOKUP(CurrentMtgRatesDataTable871112[[#This Row],[asofdate]],Q:AE,4,0)*100</f>
        <v>1.38638196736778</v>
      </c>
      <c r="L84" s="40">
        <f>VLOOKUP(CurrentMtgRatesDataTable871112[[#This Row],[asofdate]],Q:AE,5,0)*100</f>
        <v>9.307685352014671</v>
      </c>
      <c r="M84" s="40">
        <f>VLOOKUP(CurrentMtgRatesDataTable871112[[#This Row],[asofdate]],Q:AE,6,0)*100</f>
        <v>8.5495306297521996</v>
      </c>
      <c r="N84" s="40">
        <f>VLOOKUP(CurrentMtgRatesDataTable871112[[#This Row],[asofdate]],Q:AF,16,0)*100</f>
        <v>2.5135120716353589</v>
      </c>
      <c r="Q84" s="3" t="s">
        <v>103</v>
      </c>
      <c r="R84" s="21">
        <v>1.1259845690290701E-2</v>
      </c>
      <c r="S84" s="29" t="str">
        <f>YEAR(CurrentMtgRatesDataTable8711121314[[#This Row],[asofdate]])&amp;"-"&amp;MONTH(CurrentMtgRatesDataTable8711121314[[#This Row],[asofdate]])</f>
        <v>2009-12</v>
      </c>
      <c r="T84" s="37">
        <f>CurrentMtgRatesDataTable8711121314[[#This Row],[SeriesNumValue]]</f>
        <v>1.1259845690290701E-2</v>
      </c>
      <c r="U84" s="37">
        <f>VLOOKUP(CurrentMtgRatesDataTable8711121314[[#This Row],[asofdate]],B:D,2,0)</f>
        <v>6.7916944669552101E-2</v>
      </c>
      <c r="V84" s="37">
        <f>IF(VLOOKUP(CurrentMtgRatesDataTable8711121314[[#This Row],[asofdate]],G:H,2,0)&lt;&gt;0,VLOOKUP(CurrentMtgRatesDataTable8711121314[[#This Row],[asofdate]],G:H,2,0),V83)</f>
        <v>6.9173427498785203E-2</v>
      </c>
      <c r="W84" s="37">
        <f>CurrentMtgRatesDataTable8711121314[[#This Row],[FHA]]+0.5*CurrentMtgRatesDataTable8711121314[[#This Row],[Conventional]]</f>
        <v>7.3546867514697453E-2</v>
      </c>
      <c r="X84" s="37">
        <f>2*CurrentMtgRatesDataTable8711121314[[#This Row],[FHA]]</f>
        <v>0.1358338893391042</v>
      </c>
      <c r="Y84" s="19">
        <f>VLOOKUP(YEAR(CurrentMtgRatesDataTable8711121314[[#This Row],[asofdate]]),OriginationVolume!$A:$N,8,FALSE)</f>
        <v>0.68277430358158042</v>
      </c>
      <c r="Z84" s="19">
        <f>VLOOKUP(YEAR(CurrentMtgRatesDataTable8711121314[[#This Row],[asofdate]]),OriginationVolume!$A:$N,9,FALSE)</f>
        <v>6.4098919840818641E-2</v>
      </c>
      <c r="AA84" s="19">
        <f>VLOOKUP(YEAR(CurrentMtgRatesDataTable8711121314[[#This Row],[asofdate]]),OriginationVolume!$A:$N,10,FALSE)</f>
        <v>0.19229675952245595</v>
      </c>
      <c r="AB84" s="19">
        <f>VLOOKUP(YEAR(CurrentMtgRatesDataTable8711121314[[#This Row],[asofdate]]),OriginationVolume!$A:$N,11,FALSE)</f>
        <v>5.5144968732234227E-2</v>
      </c>
      <c r="AC84" s="19">
        <f>VLOOKUP(YEAR(CurrentMtgRatesDataTable8711121314[[#This Row],[asofdate]]),OriginationVolume!$A:$N,12,FALSE)</f>
        <v>3.4110289937464467E-3</v>
      </c>
      <c r="AD84" s="19">
        <f>VLOOKUP(YEAR(CurrentMtgRatesDataTable8711121314[[#This Row],[asofdate]]),OriginationVolume!$A:$N,13,FALSE)</f>
        <v>2.2740193291642978E-3</v>
      </c>
      <c r="AE8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2.6362766886529825E-2</v>
      </c>
      <c r="AF8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1.9409549480399996E-2</v>
      </c>
      <c r="AG84" s="3" t="s">
        <v>103</v>
      </c>
      <c r="AH84" s="5">
        <v>1043851000</v>
      </c>
      <c r="AI84" s="26"/>
      <c r="AK84" s="3" t="s">
        <v>103</v>
      </c>
      <c r="AL84" s="5">
        <v>147779000</v>
      </c>
      <c r="AM84" s="26"/>
      <c r="AO84" s="3" t="s">
        <v>103</v>
      </c>
      <c r="AP84" s="5">
        <v>14055645207.799999</v>
      </c>
      <c r="AQ84" s="29"/>
      <c r="AS84" s="3" t="s">
        <v>103</v>
      </c>
      <c r="AT84" s="5">
        <v>12864015207.799999</v>
      </c>
      <c r="AU84" s="29" t="str">
        <f>YEAR(CurrentMtgRatesDataTable871112131417[[#This Row],[asofdate]])&amp;"-"&amp;MONTH(CurrentMtgRatesDataTable871112131417[[#This Row],[asofdate]])</f>
        <v>2009-12</v>
      </c>
      <c r="AV84" s="29">
        <f>CurrentMtgRatesDataTable871112131417[[#This Row],[SeriesNumValue]]</f>
        <v>12864015207.799999</v>
      </c>
      <c r="AW84" s="29">
        <f>VLOOKUP(CurrentMtgRatesDataTable871112131417[[#This Row],[asofdate]],AG:AH,2,0)</f>
        <v>1043851000</v>
      </c>
      <c r="AX84" s="25">
        <f>IF(VLOOKUP(CurrentMtgRatesDataTable871112131417[[#This Row],[asofdate]],AK:AL,2,0)&lt;&gt;0,VLOOKUP(CurrentMtgRatesDataTable871112131417[[#This Row],[asofdate]],AK:AL,2,0),AX83)</f>
        <v>147779000</v>
      </c>
      <c r="AY84" s="25">
        <f>VLOOKUP(CurrentMtgRatesDataTable871112131417[[#This Row],[asofdate]],AO:AP,2,0)</f>
        <v>14055645207.799999</v>
      </c>
    </row>
    <row r="85" spans="2:51" s="4" customFormat="1">
      <c r="B85" s="3" t="s">
        <v>104</v>
      </c>
      <c r="C85" s="21">
        <v>6.4104657785873306E-2</v>
      </c>
      <c r="D85" s="26">
        <f>((CurrentMtgRatesDataTable8711[[#This Row],[SeriesNumValue]]-$C$1)/$C$1+1)*100</f>
        <v>427.36438523915547</v>
      </c>
      <c r="E85" s="26"/>
      <c r="G85" s="3" t="s">
        <v>91</v>
      </c>
      <c r="H85" s="21">
        <v>7.9089503798013702E-2</v>
      </c>
      <c r="I85" s="21" t="str">
        <f>YEAR(CurrentMtgRatesDataTable871112[[#This Row],[asofdate]])&amp;"-"&amp;MONTH(CurrentMtgRatesDataTable871112[[#This Row],[asofdate]])</f>
        <v>2008-12</v>
      </c>
      <c r="J85" s="40">
        <f>VLOOKUP(CurrentMtgRatesDataTable871112[[#This Row],[asofdate]],Q:AE,15,0)*100</f>
        <v>3.2505251947218547</v>
      </c>
      <c r="K85" s="40">
        <f>VLOOKUP(CurrentMtgRatesDataTable871112[[#This Row],[asofdate]],Q:AE,4,0)*100</f>
        <v>1.2793965938819298</v>
      </c>
      <c r="L85" s="40">
        <f>VLOOKUP(CurrentMtgRatesDataTable871112[[#This Row],[asofdate]],Q:AE,5,0)*100</f>
        <v>8.3829992538755995</v>
      </c>
      <c r="M85" s="40">
        <f>VLOOKUP(CurrentMtgRatesDataTable871112[[#This Row],[asofdate]],Q:AE,6,0)*100</f>
        <v>7.9089503798013698</v>
      </c>
      <c r="N85" s="40">
        <f>VLOOKUP(CurrentMtgRatesDataTable871112[[#This Row],[asofdate]],Q:AF,16,0)*100</f>
        <v>5.4598290123497089</v>
      </c>
      <c r="Q85" s="3" t="s">
        <v>104</v>
      </c>
      <c r="R85" s="21">
        <v>1.1614952330152899E-2</v>
      </c>
      <c r="S85" s="29" t="str">
        <f>YEAR(CurrentMtgRatesDataTable8711121314[[#This Row],[asofdate]])&amp;"-"&amp;MONTH(CurrentMtgRatesDataTable8711121314[[#This Row],[asofdate]])</f>
        <v>2010-1</v>
      </c>
      <c r="T85" s="37">
        <f>CurrentMtgRatesDataTable8711121314[[#This Row],[SeriesNumValue]]</f>
        <v>1.1614952330152899E-2</v>
      </c>
      <c r="U85" s="37">
        <f>VLOOKUP(CurrentMtgRatesDataTable8711121314[[#This Row],[asofdate]],B:D,2,0)</f>
        <v>6.4104657785873306E-2</v>
      </c>
      <c r="V85" s="37">
        <f>IF(VLOOKUP(CurrentMtgRatesDataTable8711121314[[#This Row],[asofdate]],G:H,2,0)&lt;&gt;0,VLOOKUP(CurrentMtgRatesDataTable8711121314[[#This Row],[asofdate]],G:H,2,0),V84)</f>
        <v>6.7441193636602101E-2</v>
      </c>
      <c r="W85" s="37">
        <f>CurrentMtgRatesDataTable8711121314[[#This Row],[FHA]]+0.5*CurrentMtgRatesDataTable8711121314[[#This Row],[Conventional]]</f>
        <v>6.9912133950949751E-2</v>
      </c>
      <c r="X85" s="37">
        <f>2*CurrentMtgRatesDataTable8711121314[[#This Row],[FHA]]</f>
        <v>0.12820931557174661</v>
      </c>
      <c r="Y85" s="19">
        <f>VLOOKUP(YEAR(CurrentMtgRatesDataTable8711121314[[#This Row],[asofdate]]),OriginationVolume!$A:$N,8,FALSE)</f>
        <v>0.69070208728652749</v>
      </c>
      <c r="Z85" s="19">
        <f>VLOOKUP(YEAR(CurrentMtgRatesDataTable8711121314[[#This Row],[asofdate]]),OriginationVolume!$A:$N,9,FALSE)</f>
        <v>5.9614168247944341E-2</v>
      </c>
      <c r="AA85" s="19">
        <f>VLOOKUP(YEAR(CurrentMtgRatesDataTable8711121314[[#This Row],[asofdate]]),OriginationVolume!$A:$N,10,FALSE)</f>
        <v>0.17884250474383301</v>
      </c>
      <c r="AB85" s="19">
        <f>VLOOKUP(YEAR(CurrentMtgRatesDataTable8711121314[[#This Row],[asofdate]]),OriginationVolume!$A:$N,11,FALSE)</f>
        <v>6.5781151170145477E-2</v>
      </c>
      <c r="AC85" s="19">
        <f>VLOOKUP(YEAR(CurrentMtgRatesDataTable8711121314[[#This Row],[asofdate]]),OriginationVolume!$A:$N,12,FALSE)</f>
        <v>2.5300442757748261E-3</v>
      </c>
      <c r="AD85" s="19">
        <f>VLOOKUP(YEAR(CurrentMtgRatesDataTable8711121314[[#This Row],[asofdate]]),OriginationVolume!$A:$N,13,FALSE)</f>
        <v>2.5300442757748261E-3</v>
      </c>
      <c r="AE8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2.477286102097348E-2</v>
      </c>
      <c r="AF8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1.7861078932381133E-2</v>
      </c>
      <c r="AG85" s="3" t="s">
        <v>104</v>
      </c>
      <c r="AH85" s="5">
        <v>1653489000</v>
      </c>
      <c r="AI85" s="26"/>
      <c r="AK85" s="3" t="s">
        <v>104</v>
      </c>
      <c r="AL85" s="5">
        <v>167787000</v>
      </c>
      <c r="AM85" s="26"/>
      <c r="AO85" s="3" t="s">
        <v>104</v>
      </c>
      <c r="AP85" s="5">
        <v>14284627990.09</v>
      </c>
      <c r="AQ85" s="29"/>
      <c r="AS85" s="3" t="s">
        <v>104</v>
      </c>
      <c r="AT85" s="5">
        <v>12463351990.09</v>
      </c>
      <c r="AU85" s="29" t="str">
        <f>YEAR(CurrentMtgRatesDataTable871112131417[[#This Row],[asofdate]])&amp;"-"&amp;MONTH(CurrentMtgRatesDataTable871112131417[[#This Row],[asofdate]])</f>
        <v>2010-1</v>
      </c>
      <c r="AV85" s="29">
        <f>CurrentMtgRatesDataTable871112131417[[#This Row],[SeriesNumValue]]</f>
        <v>12463351990.09</v>
      </c>
      <c r="AW85" s="29">
        <f>VLOOKUP(CurrentMtgRatesDataTable871112131417[[#This Row],[asofdate]],AG:AH,2,0)</f>
        <v>1653489000</v>
      </c>
      <c r="AX85" s="25">
        <f>IF(VLOOKUP(CurrentMtgRatesDataTable871112131417[[#This Row],[asofdate]],AK:AL,2,0)&lt;&gt;0,VLOOKUP(CurrentMtgRatesDataTable871112131417[[#This Row],[asofdate]],AK:AL,2,0),AX84)</f>
        <v>167787000</v>
      </c>
      <c r="AY85" s="25">
        <f>VLOOKUP(CurrentMtgRatesDataTable871112131417[[#This Row],[asofdate]],AO:AP,2,0)</f>
        <v>14284627990.09</v>
      </c>
    </row>
    <row r="86" spans="2:51" s="4" customFormat="1">
      <c r="B86" s="3" t="s">
        <v>105</v>
      </c>
      <c r="C86" s="21">
        <v>5.3141127900620498E-2</v>
      </c>
      <c r="D86" s="26">
        <f>((CurrentMtgRatesDataTable8711[[#This Row],[SeriesNumValue]]-$C$1)/$C$1+1)*100</f>
        <v>354.27418600413665</v>
      </c>
      <c r="E86" s="26"/>
      <c r="G86" s="3" t="s">
        <v>90</v>
      </c>
      <c r="H86" s="21">
        <v>0.103441437654216</v>
      </c>
      <c r="I86" s="21" t="str">
        <f>YEAR(CurrentMtgRatesDataTable871112[[#This Row],[asofdate]])&amp;"-"&amp;MONTH(CurrentMtgRatesDataTable871112[[#This Row],[asofdate]])</f>
        <v>2008-11</v>
      </c>
      <c r="J86" s="40">
        <f>VLOOKUP(CurrentMtgRatesDataTable871112[[#This Row],[asofdate]],Q:AE,15,0)*100</f>
        <v>3.9549187516987301</v>
      </c>
      <c r="K86" s="40">
        <f>VLOOKUP(CurrentMtgRatesDataTable871112[[#This Row],[asofdate]],Q:AE,4,0)*100</f>
        <v>1.4663344961973499</v>
      </c>
      <c r="L86" s="40">
        <f>VLOOKUP(CurrentMtgRatesDataTable871112[[#This Row],[asofdate]],Q:AE,5,0)*100</f>
        <v>10.3351642697491</v>
      </c>
      <c r="M86" s="40">
        <f>VLOOKUP(CurrentMtgRatesDataTable871112[[#This Row],[asofdate]],Q:AE,6,0)*100</f>
        <v>10.344143765421601</v>
      </c>
      <c r="N86" s="40">
        <f>VLOOKUP(CurrentMtgRatesDataTable871112[[#This Row],[asofdate]],Q:AF,16,0)*100</f>
        <v>6.6502347287448176</v>
      </c>
      <c r="Q86" s="3" t="s">
        <v>105</v>
      </c>
      <c r="R86" s="21">
        <v>1.06424119489619E-2</v>
      </c>
      <c r="S86" s="29" t="str">
        <f>YEAR(CurrentMtgRatesDataTable8711121314[[#This Row],[asofdate]])&amp;"-"&amp;MONTH(CurrentMtgRatesDataTable8711121314[[#This Row],[asofdate]])</f>
        <v>2010-2</v>
      </c>
      <c r="T86" s="37">
        <f>CurrentMtgRatesDataTable8711121314[[#This Row],[SeriesNumValue]]</f>
        <v>1.06424119489619E-2</v>
      </c>
      <c r="U86" s="37">
        <f>VLOOKUP(CurrentMtgRatesDataTable8711121314[[#This Row],[asofdate]],B:D,2,0)</f>
        <v>5.3141127900620498E-2</v>
      </c>
      <c r="V86" s="37">
        <f>IF(VLOOKUP(CurrentMtgRatesDataTable8711121314[[#This Row],[asofdate]],G:H,2,0)&lt;&gt;0,VLOOKUP(CurrentMtgRatesDataTable8711121314[[#This Row],[asofdate]],G:H,2,0),V85)</f>
        <v>5.8153942835834402E-2</v>
      </c>
      <c r="W86" s="37">
        <f>CurrentMtgRatesDataTable8711121314[[#This Row],[FHA]]+0.5*CurrentMtgRatesDataTable8711121314[[#This Row],[Conventional]]</f>
        <v>5.8462333875101448E-2</v>
      </c>
      <c r="X86" s="37">
        <f>2*CurrentMtgRatesDataTable8711121314[[#This Row],[FHA]]</f>
        <v>0.106282255801241</v>
      </c>
      <c r="Y86" s="19">
        <f>VLOOKUP(YEAR(CurrentMtgRatesDataTable8711121314[[#This Row],[asofdate]]),OriginationVolume!$A:$N,8,FALSE)</f>
        <v>0.69070208728652749</v>
      </c>
      <c r="Z86" s="19">
        <f>VLOOKUP(YEAR(CurrentMtgRatesDataTable8711121314[[#This Row],[asofdate]]),OriginationVolume!$A:$N,9,FALSE)</f>
        <v>5.9614168247944341E-2</v>
      </c>
      <c r="AA86" s="19">
        <f>VLOOKUP(YEAR(CurrentMtgRatesDataTable8711121314[[#This Row],[asofdate]]),OriginationVolume!$A:$N,10,FALSE)</f>
        <v>0.17884250474383301</v>
      </c>
      <c r="AB86" s="19">
        <f>VLOOKUP(YEAR(CurrentMtgRatesDataTable8711121314[[#This Row],[asofdate]]),OriginationVolume!$A:$N,11,FALSE)</f>
        <v>6.5781151170145477E-2</v>
      </c>
      <c r="AC86" s="19">
        <f>VLOOKUP(YEAR(CurrentMtgRatesDataTable8711121314[[#This Row],[asofdate]]),OriginationVolume!$A:$N,12,FALSE)</f>
        <v>2.5300442757748261E-3</v>
      </c>
      <c r="AD86" s="19">
        <f>VLOOKUP(YEAR(CurrentMtgRatesDataTable8711121314[[#This Row],[asofdate]]),OriginationVolume!$A:$N,13,FALSE)</f>
        <v>2.5300442757748261E-3</v>
      </c>
      <c r="AE8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2.1438308713372326E-2</v>
      </c>
      <c r="AF8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1.5765975012476851E-2</v>
      </c>
      <c r="AG86" s="3" t="s">
        <v>105</v>
      </c>
      <c r="AH86" s="5">
        <v>3490097000</v>
      </c>
      <c r="AI86" s="26"/>
      <c r="AK86" s="3" t="s">
        <v>105</v>
      </c>
      <c r="AL86" s="5">
        <v>342052000</v>
      </c>
      <c r="AM86" s="26"/>
      <c r="AO86" s="3" t="s">
        <v>105</v>
      </c>
      <c r="AP86" s="5">
        <v>14878861003.209999</v>
      </c>
      <c r="AQ86" s="29"/>
      <c r="AS86" s="3" t="s">
        <v>105</v>
      </c>
      <c r="AT86" s="5">
        <v>11046712003.209999</v>
      </c>
      <c r="AU86" s="29" t="str">
        <f>YEAR(CurrentMtgRatesDataTable871112131417[[#This Row],[asofdate]])&amp;"-"&amp;MONTH(CurrentMtgRatesDataTable871112131417[[#This Row],[asofdate]])</f>
        <v>2010-2</v>
      </c>
      <c r="AV86" s="29">
        <f>CurrentMtgRatesDataTable871112131417[[#This Row],[SeriesNumValue]]</f>
        <v>11046712003.209999</v>
      </c>
      <c r="AW86" s="29">
        <f>VLOOKUP(CurrentMtgRatesDataTable871112131417[[#This Row],[asofdate]],AG:AH,2,0)</f>
        <v>3490097000</v>
      </c>
      <c r="AX86" s="25">
        <f>IF(VLOOKUP(CurrentMtgRatesDataTable871112131417[[#This Row],[asofdate]],AK:AL,2,0)&lt;&gt;0,VLOOKUP(CurrentMtgRatesDataTable871112131417[[#This Row],[asofdate]],AK:AL,2,0),AX85)</f>
        <v>342052000</v>
      </c>
      <c r="AY86" s="25">
        <f>VLOOKUP(CurrentMtgRatesDataTable871112131417[[#This Row],[asofdate]],AO:AP,2,0)</f>
        <v>14878861003.209999</v>
      </c>
    </row>
    <row r="87" spans="2:51" s="4" customFormat="1">
      <c r="B87" s="3" t="s">
        <v>106</v>
      </c>
      <c r="C87" s="21">
        <v>4.9614369155651102E-2</v>
      </c>
      <c r="D87" s="26">
        <f>((CurrentMtgRatesDataTable8711[[#This Row],[SeriesNumValue]]-$C$1)/$C$1+1)*100</f>
        <v>330.76246103767403</v>
      </c>
      <c r="E87" s="26"/>
      <c r="G87" s="3" t="s">
        <v>89</v>
      </c>
      <c r="H87" s="21">
        <v>7.4692912532645095E-2</v>
      </c>
      <c r="I87" s="21" t="str">
        <f>YEAR(CurrentMtgRatesDataTable871112[[#This Row],[asofdate]])&amp;"-"&amp;MONTH(CurrentMtgRatesDataTable871112[[#This Row],[asofdate]])</f>
        <v>2008-10</v>
      </c>
      <c r="J87" s="40">
        <f>VLOOKUP(CurrentMtgRatesDataTable871112[[#This Row],[asofdate]],Q:AE,15,0)*100</f>
        <v>3.4528971468148719</v>
      </c>
      <c r="K87" s="40">
        <f>VLOOKUP(CurrentMtgRatesDataTable871112[[#This Row],[asofdate]],Q:AE,4,0)*100</f>
        <v>1.4091668990269699</v>
      </c>
      <c r="L87" s="40">
        <f>VLOOKUP(CurrentMtgRatesDataTable871112[[#This Row],[asofdate]],Q:AE,5,0)*100</f>
        <v>8.9562512546187492</v>
      </c>
      <c r="M87" s="40">
        <f>VLOOKUP(CurrentMtgRatesDataTable871112[[#This Row],[asofdate]],Q:AE,6,0)*100</f>
        <v>7.4692912532645099</v>
      </c>
      <c r="N87" s="40">
        <f>VLOOKUP(CurrentMtgRatesDataTable871112[[#This Row],[asofdate]],Q:AF,16,0)*100</f>
        <v>5.864055039206499</v>
      </c>
      <c r="Q87" s="3" t="s">
        <v>106</v>
      </c>
      <c r="R87" s="21">
        <v>1.05573524364265E-2</v>
      </c>
      <c r="S87" s="29" t="str">
        <f>YEAR(CurrentMtgRatesDataTable8711121314[[#This Row],[asofdate]])&amp;"-"&amp;MONTH(CurrentMtgRatesDataTable8711121314[[#This Row],[asofdate]])</f>
        <v>2010-3</v>
      </c>
      <c r="T87" s="37">
        <f>CurrentMtgRatesDataTable8711121314[[#This Row],[SeriesNumValue]]</f>
        <v>1.05573524364265E-2</v>
      </c>
      <c r="U87" s="37">
        <f>VLOOKUP(CurrentMtgRatesDataTable8711121314[[#This Row],[asofdate]],B:D,2,0)</f>
        <v>4.9614369155651102E-2</v>
      </c>
      <c r="V87" s="37">
        <f>IF(VLOOKUP(CurrentMtgRatesDataTable8711121314[[#This Row],[asofdate]],G:H,2,0)&lt;&gt;0,VLOOKUP(CurrentMtgRatesDataTable8711121314[[#This Row],[asofdate]],G:H,2,0),V86)</f>
        <v>5.42370628751601E-2</v>
      </c>
      <c r="W87" s="37">
        <f>CurrentMtgRatesDataTable8711121314[[#This Row],[FHA]]+0.5*CurrentMtgRatesDataTable8711121314[[#This Row],[Conventional]]</f>
        <v>5.4893045373864351E-2</v>
      </c>
      <c r="X87" s="37">
        <f>2*CurrentMtgRatesDataTable8711121314[[#This Row],[FHA]]</f>
        <v>9.9228738311302203E-2</v>
      </c>
      <c r="Y87" s="19">
        <f>VLOOKUP(YEAR(CurrentMtgRatesDataTable8711121314[[#This Row],[asofdate]]),OriginationVolume!$A:$N,8,FALSE)</f>
        <v>0.69070208728652749</v>
      </c>
      <c r="Z87" s="19">
        <f>VLOOKUP(YEAR(CurrentMtgRatesDataTable8711121314[[#This Row],[asofdate]]),OriginationVolume!$A:$N,9,FALSE)</f>
        <v>5.9614168247944341E-2</v>
      </c>
      <c r="AA87" s="19">
        <f>VLOOKUP(YEAR(CurrentMtgRatesDataTable8711121314[[#This Row],[asofdate]]),OriginationVolume!$A:$N,10,FALSE)</f>
        <v>0.17884250474383301</v>
      </c>
      <c r="AB87" s="19">
        <f>VLOOKUP(YEAR(CurrentMtgRatesDataTable8711121314[[#This Row],[asofdate]]),OriginationVolume!$A:$N,11,FALSE)</f>
        <v>6.5781151170145477E-2</v>
      </c>
      <c r="AC87" s="19">
        <f>VLOOKUP(YEAR(CurrentMtgRatesDataTable8711121314[[#This Row],[asofdate]]),OriginationVolume!$A:$N,12,FALSE)</f>
        <v>2.5300442757748261E-3</v>
      </c>
      <c r="AD87" s="19">
        <f>VLOOKUP(YEAR(CurrentMtgRatesDataTable8711121314[[#This Row],[asofdate]]),OriginationVolume!$A:$N,13,FALSE)</f>
        <v>2.5300442757748261E-3</v>
      </c>
      <c r="AE8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2.0482850539817174E-2</v>
      </c>
      <c r="AF8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1.5307605251151983E-2</v>
      </c>
      <c r="AG87" s="3" t="s">
        <v>106</v>
      </c>
      <c r="AH87" s="5">
        <v>4877017000</v>
      </c>
      <c r="AI87" s="26"/>
      <c r="AK87" s="3" t="s">
        <v>106</v>
      </c>
      <c r="AL87" s="5">
        <v>326276000</v>
      </c>
      <c r="AM87" s="26"/>
      <c r="AO87" s="3" t="s">
        <v>106</v>
      </c>
      <c r="AP87" s="5">
        <v>12729941372.379999</v>
      </c>
      <c r="AQ87" s="29"/>
      <c r="AS87" s="3" t="s">
        <v>106</v>
      </c>
      <c r="AT87" s="5">
        <v>7526648372.3800001</v>
      </c>
      <c r="AU87" s="29" t="str">
        <f>YEAR(CurrentMtgRatesDataTable871112131417[[#This Row],[asofdate]])&amp;"-"&amp;MONTH(CurrentMtgRatesDataTable871112131417[[#This Row],[asofdate]])</f>
        <v>2010-3</v>
      </c>
      <c r="AV87" s="29">
        <f>CurrentMtgRatesDataTable871112131417[[#This Row],[SeriesNumValue]]</f>
        <v>7526648372.3800001</v>
      </c>
      <c r="AW87" s="29">
        <f>VLOOKUP(CurrentMtgRatesDataTable871112131417[[#This Row],[asofdate]],AG:AH,2,0)</f>
        <v>4877017000</v>
      </c>
      <c r="AX87" s="25">
        <f>IF(VLOOKUP(CurrentMtgRatesDataTable871112131417[[#This Row],[asofdate]],AK:AL,2,0)&lt;&gt;0,VLOOKUP(CurrentMtgRatesDataTable871112131417[[#This Row],[asofdate]],AK:AL,2,0),AX86)</f>
        <v>326276000</v>
      </c>
      <c r="AY87" s="25">
        <f>VLOOKUP(CurrentMtgRatesDataTable871112131417[[#This Row],[asofdate]],AO:AP,2,0)</f>
        <v>12729941372.379999</v>
      </c>
    </row>
    <row r="88" spans="2:51" s="4" customFormat="1">
      <c r="B88" s="3" t="s">
        <v>107</v>
      </c>
      <c r="C88" s="21">
        <v>4.9938732237334402E-2</v>
      </c>
      <c r="D88" s="26">
        <f>((CurrentMtgRatesDataTable8711[[#This Row],[SeriesNumValue]]-$C$1)/$C$1+1)*100</f>
        <v>332.92488158222937</v>
      </c>
      <c r="E88" s="26"/>
      <c r="G88" s="3" t="s">
        <v>88</v>
      </c>
      <c r="H88" s="21">
        <v>7.8305822025021996E-2</v>
      </c>
      <c r="I88" s="21" t="str">
        <f>YEAR(CurrentMtgRatesDataTable871112[[#This Row],[asofdate]])&amp;"-"&amp;MONTH(CurrentMtgRatesDataTable871112[[#This Row],[asofdate]])</f>
        <v>2008-9</v>
      </c>
      <c r="J88" s="40">
        <f>VLOOKUP(CurrentMtgRatesDataTable871112[[#This Row],[asofdate]],Q:AE,15,0)*100</f>
        <v>3.4230655256222153</v>
      </c>
      <c r="K88" s="40">
        <f>VLOOKUP(CurrentMtgRatesDataTable871112[[#This Row],[asofdate]],Q:AE,4,0)*100</f>
        <v>1.35929357011554</v>
      </c>
      <c r="L88" s="40">
        <f>VLOOKUP(CurrentMtgRatesDataTable871112[[#This Row],[asofdate]],Q:AE,5,0)*100</f>
        <v>8.905774730192979</v>
      </c>
      <c r="M88" s="40">
        <f>VLOOKUP(CurrentMtgRatesDataTable871112[[#This Row],[asofdate]],Q:AE,6,0)*100</f>
        <v>7.8305822025021996</v>
      </c>
      <c r="N88" s="40">
        <f>VLOOKUP(CurrentMtgRatesDataTable871112[[#This Row],[asofdate]],Q:AF,16,0)*100</f>
        <v>5.8003933196363882</v>
      </c>
      <c r="Q88" s="3" t="s">
        <v>107</v>
      </c>
      <c r="R88" s="21">
        <v>1.0941874131880001E-2</v>
      </c>
      <c r="S88" s="29" t="str">
        <f>YEAR(CurrentMtgRatesDataTable8711121314[[#This Row],[asofdate]])&amp;"-"&amp;MONTH(CurrentMtgRatesDataTable8711121314[[#This Row],[asofdate]])</f>
        <v>2010-4</v>
      </c>
      <c r="T88" s="37">
        <f>CurrentMtgRatesDataTable8711121314[[#This Row],[SeriesNumValue]]</f>
        <v>1.0941874131880001E-2</v>
      </c>
      <c r="U88" s="37">
        <f>VLOOKUP(CurrentMtgRatesDataTable8711121314[[#This Row],[asofdate]],B:D,2,0)</f>
        <v>4.9938732237334402E-2</v>
      </c>
      <c r="V88" s="37">
        <f>IF(VLOOKUP(CurrentMtgRatesDataTable8711121314[[#This Row],[asofdate]],G:H,2,0)&lt;&gt;0,VLOOKUP(CurrentMtgRatesDataTable8711121314[[#This Row],[asofdate]],G:H,2,0),V87)</f>
        <v>5.7537915234067899E-2</v>
      </c>
      <c r="W88" s="37">
        <f>CurrentMtgRatesDataTable8711121314[[#This Row],[FHA]]+0.5*CurrentMtgRatesDataTable8711121314[[#This Row],[Conventional]]</f>
        <v>5.54096693032744E-2</v>
      </c>
      <c r="X88" s="37">
        <f>2*CurrentMtgRatesDataTable8711121314[[#This Row],[FHA]]</f>
        <v>9.9877464474668803E-2</v>
      </c>
      <c r="Y88" s="19">
        <f>VLOOKUP(YEAR(CurrentMtgRatesDataTable8711121314[[#This Row],[asofdate]]),OriginationVolume!$A:$N,8,FALSE)</f>
        <v>0.69070208728652749</v>
      </c>
      <c r="Z88" s="19">
        <f>VLOOKUP(YEAR(CurrentMtgRatesDataTable8711121314[[#This Row],[asofdate]]),OriginationVolume!$A:$N,9,FALSE)</f>
        <v>5.9614168247944341E-2</v>
      </c>
      <c r="AA88" s="19">
        <f>VLOOKUP(YEAR(CurrentMtgRatesDataTable8711121314[[#This Row],[asofdate]]),OriginationVolume!$A:$N,10,FALSE)</f>
        <v>0.17884250474383301</v>
      </c>
      <c r="AB88" s="19">
        <f>VLOOKUP(YEAR(CurrentMtgRatesDataTable8711121314[[#This Row],[asofdate]]),OriginationVolume!$A:$N,11,FALSE)</f>
        <v>6.5781151170145477E-2</v>
      </c>
      <c r="AC88" s="19">
        <f>VLOOKUP(YEAR(CurrentMtgRatesDataTable8711121314[[#This Row],[asofdate]]),OriginationVolume!$A:$N,12,FALSE)</f>
        <v>2.5300442757748261E-3</v>
      </c>
      <c r="AD88" s="19">
        <f>VLOOKUP(YEAR(CurrentMtgRatesDataTable8711121314[[#This Row],[asofdate]]),OriginationVolume!$A:$N,13,FALSE)</f>
        <v>2.5300442757748261E-3</v>
      </c>
      <c r="AE8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2.1031470618442415E-2</v>
      </c>
      <c r="AF8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1.5706280757386545E-2</v>
      </c>
      <c r="AG88" s="3" t="s">
        <v>107</v>
      </c>
      <c r="AH88" s="5">
        <v>5390326000</v>
      </c>
      <c r="AI88" s="26"/>
      <c r="AK88" s="3" t="s">
        <v>107</v>
      </c>
      <c r="AL88" s="5">
        <v>367123000</v>
      </c>
      <c r="AM88" s="26"/>
      <c r="AO88" s="3" t="s">
        <v>107</v>
      </c>
      <c r="AP88" s="5">
        <v>13588645038.32</v>
      </c>
      <c r="AQ88" s="29"/>
      <c r="AS88" s="3" t="s">
        <v>107</v>
      </c>
      <c r="AT88" s="5">
        <v>7831196038.3199997</v>
      </c>
      <c r="AU88" s="29" t="str">
        <f>YEAR(CurrentMtgRatesDataTable871112131417[[#This Row],[asofdate]])&amp;"-"&amp;MONTH(CurrentMtgRatesDataTable871112131417[[#This Row],[asofdate]])</f>
        <v>2010-4</v>
      </c>
      <c r="AV88" s="29">
        <f>CurrentMtgRatesDataTable871112131417[[#This Row],[SeriesNumValue]]</f>
        <v>7831196038.3199997</v>
      </c>
      <c r="AW88" s="29">
        <f>VLOOKUP(CurrentMtgRatesDataTable871112131417[[#This Row],[asofdate]],AG:AH,2,0)</f>
        <v>5390326000</v>
      </c>
      <c r="AX88" s="25">
        <f>IF(VLOOKUP(CurrentMtgRatesDataTable871112131417[[#This Row],[asofdate]],AK:AL,2,0)&lt;&gt;0,VLOOKUP(CurrentMtgRatesDataTable871112131417[[#This Row],[asofdate]],AK:AL,2,0),AX87)</f>
        <v>367123000</v>
      </c>
      <c r="AY88" s="25">
        <f>VLOOKUP(CurrentMtgRatesDataTable871112131417[[#This Row],[asofdate]],AO:AP,2,0)</f>
        <v>13588645038.32</v>
      </c>
    </row>
    <row r="89" spans="2:51" s="4" customFormat="1">
      <c r="B89" s="3" t="s">
        <v>108</v>
      </c>
      <c r="C89" s="21">
        <v>4.9433870902870103E-2</v>
      </c>
      <c r="D89" s="26">
        <f>((CurrentMtgRatesDataTable8711[[#This Row],[SeriesNumValue]]-$C$1)/$C$1+1)*100</f>
        <v>329.55913935246735</v>
      </c>
      <c r="E89" s="26"/>
      <c r="G89" s="3" t="s">
        <v>87</v>
      </c>
      <c r="H89" s="21">
        <v>7.3574608785366299E-2</v>
      </c>
      <c r="I89" s="21" t="str">
        <f>YEAR(CurrentMtgRatesDataTable871112[[#This Row],[asofdate]])&amp;"-"&amp;MONTH(CurrentMtgRatesDataTable871112[[#This Row],[asofdate]])</f>
        <v>2008-8</v>
      </c>
      <c r="J89" s="40">
        <f>VLOOKUP(CurrentMtgRatesDataTable871112[[#This Row],[asofdate]],Q:AE,15,0)*100</f>
        <v>3.364160664158713</v>
      </c>
      <c r="K89" s="40">
        <f>VLOOKUP(CurrentMtgRatesDataTable871112[[#This Row],[asofdate]],Q:AE,4,0)*100</f>
        <v>1.3633996571414402</v>
      </c>
      <c r="L89" s="40">
        <f>VLOOKUP(CurrentMtgRatesDataTable871112[[#This Row],[asofdate]],Q:AE,5,0)*100</f>
        <v>8.7395122950958992</v>
      </c>
      <c r="M89" s="40">
        <f>VLOOKUP(CurrentMtgRatesDataTable871112[[#This Row],[asofdate]],Q:AE,6,0)*100</f>
        <v>7.3574608785366298</v>
      </c>
      <c r="N89" s="40">
        <f>VLOOKUP(CurrentMtgRatesDataTable871112[[#This Row],[asofdate]],Q:AF,16,0)*100</f>
        <v>5.7136297004188377</v>
      </c>
      <c r="Q89" s="3" t="s">
        <v>108</v>
      </c>
      <c r="R89" s="21">
        <v>1.11922493066082E-2</v>
      </c>
      <c r="S89" s="29" t="str">
        <f>YEAR(CurrentMtgRatesDataTable8711121314[[#This Row],[asofdate]])&amp;"-"&amp;MONTH(CurrentMtgRatesDataTable8711121314[[#This Row],[asofdate]])</f>
        <v>2010-5</v>
      </c>
      <c r="T89" s="37">
        <f>CurrentMtgRatesDataTable8711121314[[#This Row],[SeriesNumValue]]</f>
        <v>1.11922493066082E-2</v>
      </c>
      <c r="U89" s="37">
        <f>VLOOKUP(CurrentMtgRatesDataTable8711121314[[#This Row],[asofdate]],B:D,2,0)</f>
        <v>4.9433870902870103E-2</v>
      </c>
      <c r="V89" s="37">
        <f>IF(VLOOKUP(CurrentMtgRatesDataTable8711121314[[#This Row],[asofdate]],G:H,2,0)&lt;&gt;0,VLOOKUP(CurrentMtgRatesDataTable8711121314[[#This Row],[asofdate]],G:H,2,0),V88)</f>
        <v>5.5631148970286398E-2</v>
      </c>
      <c r="W89" s="37">
        <f>CurrentMtgRatesDataTable8711121314[[#This Row],[FHA]]+0.5*CurrentMtgRatesDataTable8711121314[[#This Row],[Conventional]]</f>
        <v>5.5029995556174202E-2</v>
      </c>
      <c r="X89" s="37">
        <f>2*CurrentMtgRatesDataTable8711121314[[#This Row],[FHA]]</f>
        <v>9.8867741805740206E-2</v>
      </c>
      <c r="Y89" s="19">
        <f>VLOOKUP(YEAR(CurrentMtgRatesDataTable8711121314[[#This Row],[asofdate]]),OriginationVolume!$A:$N,8,FALSE)</f>
        <v>0.69070208728652749</v>
      </c>
      <c r="Z89" s="19">
        <f>VLOOKUP(YEAR(CurrentMtgRatesDataTable8711121314[[#This Row],[asofdate]]),OriginationVolume!$A:$N,9,FALSE)</f>
        <v>5.9614168247944341E-2</v>
      </c>
      <c r="AA89" s="19">
        <f>VLOOKUP(YEAR(CurrentMtgRatesDataTable8711121314[[#This Row],[asofdate]]),OriginationVolume!$A:$N,10,FALSE)</f>
        <v>0.17884250474383301</v>
      </c>
      <c r="AB89" s="19">
        <f>VLOOKUP(YEAR(CurrentMtgRatesDataTable8711121314[[#This Row],[asofdate]]),OriginationVolume!$A:$N,11,FALSE)</f>
        <v>6.5781151170145477E-2</v>
      </c>
      <c r="AC89" s="19">
        <f>VLOOKUP(YEAR(CurrentMtgRatesDataTable8711121314[[#This Row],[asofdate]]),OriginationVolume!$A:$N,12,FALSE)</f>
        <v>2.5300442757748261E-3</v>
      </c>
      <c r="AD89" s="19">
        <f>VLOOKUP(YEAR(CurrentMtgRatesDataTable8711121314[[#This Row],[asofdate]]),OriginationVolume!$A:$N,13,FALSE)</f>
        <v>2.5300442757748261E-3</v>
      </c>
      <c r="AE8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2.1013399056538318E-2</v>
      </c>
      <c r="AF8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1.5889150690490274E-2</v>
      </c>
      <c r="AG89" s="3" t="s">
        <v>108</v>
      </c>
      <c r="AH89" s="5">
        <v>8575167000</v>
      </c>
      <c r="AI89" s="26"/>
      <c r="AK89" s="3" t="s">
        <v>108</v>
      </c>
      <c r="AL89" s="5">
        <v>595131000</v>
      </c>
      <c r="AM89" s="26"/>
      <c r="AO89" s="3" t="s">
        <v>108</v>
      </c>
      <c r="AP89" s="5">
        <v>19740280619.880001</v>
      </c>
      <c r="AQ89" s="29"/>
      <c r="AS89" s="3" t="s">
        <v>108</v>
      </c>
      <c r="AT89" s="5">
        <v>10569982619.879999</v>
      </c>
      <c r="AU89" s="29" t="str">
        <f>YEAR(CurrentMtgRatesDataTable871112131417[[#This Row],[asofdate]])&amp;"-"&amp;MONTH(CurrentMtgRatesDataTable871112131417[[#This Row],[asofdate]])</f>
        <v>2010-5</v>
      </c>
      <c r="AV89" s="29">
        <f>CurrentMtgRatesDataTable871112131417[[#This Row],[SeriesNumValue]]</f>
        <v>10569982619.879999</v>
      </c>
      <c r="AW89" s="29">
        <f>VLOOKUP(CurrentMtgRatesDataTable871112131417[[#This Row],[asofdate]],AG:AH,2,0)</f>
        <v>8575167000</v>
      </c>
      <c r="AX89" s="25">
        <f>IF(VLOOKUP(CurrentMtgRatesDataTable871112131417[[#This Row],[asofdate]],AK:AL,2,0)&lt;&gt;0,VLOOKUP(CurrentMtgRatesDataTable871112131417[[#This Row],[asofdate]],AK:AL,2,0),AX88)</f>
        <v>595131000</v>
      </c>
      <c r="AY89" s="25">
        <f>VLOOKUP(CurrentMtgRatesDataTable871112131417[[#This Row],[asofdate]],AO:AP,2,0)</f>
        <v>19740280619.880001</v>
      </c>
    </row>
    <row r="90" spans="2:51" s="4" customFormat="1">
      <c r="B90" s="3" t="s">
        <v>109</v>
      </c>
      <c r="C90" s="21">
        <v>4.7935297916397397E-2</v>
      </c>
      <c r="D90" s="26">
        <f>((CurrentMtgRatesDataTable8711[[#This Row],[SeriesNumValue]]-$C$1)/$C$1+1)*100</f>
        <v>319.56865277598268</v>
      </c>
      <c r="E90" s="26"/>
      <c r="G90" s="3" t="s">
        <v>86</v>
      </c>
      <c r="H90" s="21">
        <v>7.5508534809422503E-2</v>
      </c>
      <c r="I90" s="21" t="str">
        <f>YEAR(CurrentMtgRatesDataTable871112[[#This Row],[asofdate]])&amp;"-"&amp;MONTH(CurrentMtgRatesDataTable871112[[#This Row],[asofdate]])</f>
        <v>2008-7</v>
      </c>
      <c r="J90" s="40">
        <f>VLOOKUP(CurrentMtgRatesDataTable871112[[#This Row],[asofdate]],Q:AE,15,0)*100</f>
        <v>3.620769734876339</v>
      </c>
      <c r="K90" s="40">
        <f>VLOOKUP(CurrentMtgRatesDataTable871112[[#This Row],[asofdate]],Q:AE,4,0)*100</f>
        <v>1.50068827988702</v>
      </c>
      <c r="L90" s="40">
        <f>VLOOKUP(CurrentMtgRatesDataTable871112[[#This Row],[asofdate]],Q:AE,5,0)*100</f>
        <v>9.3804213372806604</v>
      </c>
      <c r="M90" s="40">
        <f>VLOOKUP(CurrentMtgRatesDataTable871112[[#This Row],[asofdate]],Q:AE,6,0)*100</f>
        <v>7.5508534809422505</v>
      </c>
      <c r="N90" s="40">
        <f>VLOOKUP(CurrentMtgRatesDataTable871112[[#This Row],[asofdate]],Q:AF,16,0)*100</f>
        <v>6.1598710612714926</v>
      </c>
      <c r="Q90" s="3" t="s">
        <v>109</v>
      </c>
      <c r="R90" s="21">
        <v>1.08068737932689E-2</v>
      </c>
      <c r="S90" s="29" t="str">
        <f>YEAR(CurrentMtgRatesDataTable8711121314[[#This Row],[asofdate]])&amp;"-"&amp;MONTH(CurrentMtgRatesDataTable8711121314[[#This Row],[asofdate]])</f>
        <v>2010-6</v>
      </c>
      <c r="T90" s="37">
        <f>CurrentMtgRatesDataTable8711121314[[#This Row],[SeriesNumValue]]</f>
        <v>1.08068737932689E-2</v>
      </c>
      <c r="U90" s="37">
        <f>VLOOKUP(CurrentMtgRatesDataTable8711121314[[#This Row],[asofdate]],B:D,2,0)</f>
        <v>4.7935297916397397E-2</v>
      </c>
      <c r="V90" s="37">
        <f>IF(VLOOKUP(CurrentMtgRatesDataTable8711121314[[#This Row],[asofdate]],G:H,2,0)&lt;&gt;0,VLOOKUP(CurrentMtgRatesDataTable8711121314[[#This Row],[asofdate]],G:H,2,0),V89)</f>
        <v>5.4544830915257102E-2</v>
      </c>
      <c r="W90" s="37">
        <f>CurrentMtgRatesDataTable8711121314[[#This Row],[FHA]]+0.5*CurrentMtgRatesDataTable8711121314[[#This Row],[Conventional]]</f>
        <v>5.3338734813031849E-2</v>
      </c>
      <c r="X90" s="37">
        <f>2*CurrentMtgRatesDataTable8711121314[[#This Row],[FHA]]</f>
        <v>9.5870595832794794E-2</v>
      </c>
      <c r="Y90" s="19">
        <f>VLOOKUP(YEAR(CurrentMtgRatesDataTable8711121314[[#This Row],[asofdate]]),OriginationVolume!$A:$N,8,FALSE)</f>
        <v>0.69070208728652749</v>
      </c>
      <c r="Z90" s="19">
        <f>VLOOKUP(YEAR(CurrentMtgRatesDataTable8711121314[[#This Row],[asofdate]]),OriginationVolume!$A:$N,9,FALSE)</f>
        <v>5.9614168247944341E-2</v>
      </c>
      <c r="AA90" s="19">
        <f>VLOOKUP(YEAR(CurrentMtgRatesDataTable8711121314[[#This Row],[asofdate]]),OriginationVolume!$A:$N,10,FALSE)</f>
        <v>0.17884250474383301</v>
      </c>
      <c r="AB90" s="19">
        <f>VLOOKUP(YEAR(CurrentMtgRatesDataTable8711121314[[#This Row],[asofdate]]),OriginationVolume!$A:$N,11,FALSE)</f>
        <v>6.5781151170145477E-2</v>
      </c>
      <c r="AC90" s="19">
        <f>VLOOKUP(YEAR(CurrentMtgRatesDataTable8711121314[[#This Row],[asofdate]]),OriginationVolume!$A:$N,12,FALSE)</f>
        <v>2.5300442757748261E-3</v>
      </c>
      <c r="AD90" s="19">
        <f>VLOOKUP(YEAR(CurrentMtgRatesDataTable8711121314[[#This Row],[asofdate]]),OriginationVolume!$A:$N,13,FALSE)</f>
        <v>2.5300442757748261E-3</v>
      </c>
      <c r="AE9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2.0377238569865435E-2</v>
      </c>
      <c r="AF9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1.5363858902529216E-2</v>
      </c>
      <c r="AG90" s="3" t="s">
        <v>109</v>
      </c>
      <c r="AH90" s="5">
        <v>10024425000</v>
      </c>
      <c r="AI90" s="26"/>
      <c r="AK90" s="3" t="s">
        <v>109</v>
      </c>
      <c r="AL90" s="5">
        <v>657152000</v>
      </c>
      <c r="AM90" s="26"/>
      <c r="AO90" s="3" t="s">
        <v>109</v>
      </c>
      <c r="AP90" s="5">
        <v>22513554772.990002</v>
      </c>
      <c r="AQ90" s="29"/>
      <c r="AS90" s="3" t="s">
        <v>109</v>
      </c>
      <c r="AT90" s="5">
        <v>11831977772.99</v>
      </c>
      <c r="AU90" s="29" t="str">
        <f>YEAR(CurrentMtgRatesDataTable871112131417[[#This Row],[asofdate]])&amp;"-"&amp;MONTH(CurrentMtgRatesDataTable871112131417[[#This Row],[asofdate]])</f>
        <v>2010-6</v>
      </c>
      <c r="AV90" s="29">
        <f>CurrentMtgRatesDataTable871112131417[[#This Row],[SeriesNumValue]]</f>
        <v>11831977772.99</v>
      </c>
      <c r="AW90" s="29">
        <f>VLOOKUP(CurrentMtgRatesDataTable871112131417[[#This Row],[asofdate]],AG:AH,2,0)</f>
        <v>10024425000</v>
      </c>
      <c r="AX90" s="25">
        <f>IF(VLOOKUP(CurrentMtgRatesDataTable871112131417[[#This Row],[asofdate]],AK:AL,2,0)&lt;&gt;0,VLOOKUP(CurrentMtgRatesDataTable871112131417[[#This Row],[asofdate]],AK:AL,2,0),AX89)</f>
        <v>657152000</v>
      </c>
      <c r="AY90" s="25">
        <f>VLOOKUP(CurrentMtgRatesDataTable871112131417[[#This Row],[asofdate]],AO:AP,2,0)</f>
        <v>22513554772.990002</v>
      </c>
    </row>
    <row r="91" spans="2:51" s="4" customFormat="1">
      <c r="B91" s="3" t="s">
        <v>110</v>
      </c>
      <c r="C91" s="21">
        <v>5.2223575477024303E-2</v>
      </c>
      <c r="D91" s="26">
        <f>((CurrentMtgRatesDataTable8711[[#This Row],[SeriesNumValue]]-$C$1)/$C$1+1)*100</f>
        <v>348.15716984682871</v>
      </c>
      <c r="E91" s="26"/>
      <c r="G91" s="3" t="s">
        <v>85</v>
      </c>
      <c r="H91" s="21">
        <v>7.7078342061616595E-2</v>
      </c>
      <c r="I91" s="21" t="str">
        <f>YEAR(CurrentMtgRatesDataTable871112[[#This Row],[asofdate]])&amp;"-"&amp;MONTH(CurrentMtgRatesDataTable871112[[#This Row],[asofdate]])</f>
        <v>2008-6</v>
      </c>
      <c r="J91" s="40">
        <f>VLOOKUP(CurrentMtgRatesDataTable871112[[#This Row],[asofdate]],Q:AE,15,0)*100</f>
        <v>3.904567667777195</v>
      </c>
      <c r="K91" s="40">
        <f>VLOOKUP(CurrentMtgRatesDataTable871112[[#This Row],[asofdate]],Q:AE,4,0)*100</f>
        <v>1.65254347118865</v>
      </c>
      <c r="L91" s="40">
        <f>VLOOKUP(CurrentMtgRatesDataTable871112[[#This Row],[asofdate]],Q:AE,5,0)*100</f>
        <v>10.1027125337702</v>
      </c>
      <c r="M91" s="40">
        <f>VLOOKUP(CurrentMtgRatesDataTable871112[[#This Row],[asofdate]],Q:AE,6,0)*100</f>
        <v>7.7078342061616594</v>
      </c>
      <c r="N91" s="40">
        <f>VLOOKUP(CurrentMtgRatesDataTable871112[[#This Row],[asofdate]],Q:AF,16,0)*100</f>
        <v>6.6606832886087544</v>
      </c>
      <c r="Q91" s="3" t="s">
        <v>110</v>
      </c>
      <c r="R91" s="21">
        <v>1.19301678722133E-2</v>
      </c>
      <c r="S91" s="29" t="str">
        <f>YEAR(CurrentMtgRatesDataTable8711121314[[#This Row],[asofdate]])&amp;"-"&amp;MONTH(CurrentMtgRatesDataTable8711121314[[#This Row],[asofdate]])</f>
        <v>2010-7</v>
      </c>
      <c r="T91" s="37">
        <f>CurrentMtgRatesDataTable8711121314[[#This Row],[SeriesNumValue]]</f>
        <v>1.19301678722133E-2</v>
      </c>
      <c r="U91" s="37">
        <f>VLOOKUP(CurrentMtgRatesDataTable8711121314[[#This Row],[asofdate]],B:D,2,0)</f>
        <v>5.2223575477024303E-2</v>
      </c>
      <c r="V91" s="37">
        <f>IF(VLOOKUP(CurrentMtgRatesDataTable8711121314[[#This Row],[asofdate]],G:H,2,0)&lt;&gt;0,VLOOKUP(CurrentMtgRatesDataTable8711121314[[#This Row],[asofdate]],G:H,2,0),V90)</f>
        <v>5.9673922576363399E-2</v>
      </c>
      <c r="W91" s="37">
        <f>CurrentMtgRatesDataTable8711121314[[#This Row],[FHA]]+0.5*CurrentMtgRatesDataTable8711121314[[#This Row],[Conventional]]</f>
        <v>5.818865941313095E-2</v>
      </c>
      <c r="X91" s="37">
        <f>2*CurrentMtgRatesDataTable8711121314[[#This Row],[FHA]]</f>
        <v>0.10444715095404861</v>
      </c>
      <c r="Y91" s="19">
        <f>VLOOKUP(YEAR(CurrentMtgRatesDataTable8711121314[[#This Row],[asofdate]]),OriginationVolume!$A:$N,8,FALSE)</f>
        <v>0.69070208728652749</v>
      </c>
      <c r="Z91" s="19">
        <f>VLOOKUP(YEAR(CurrentMtgRatesDataTable8711121314[[#This Row],[asofdate]]),OriginationVolume!$A:$N,9,FALSE)</f>
        <v>5.9614168247944341E-2</v>
      </c>
      <c r="AA91" s="19">
        <f>VLOOKUP(YEAR(CurrentMtgRatesDataTable8711121314[[#This Row],[asofdate]]),OriginationVolume!$A:$N,10,FALSE)</f>
        <v>0.17884250474383301</v>
      </c>
      <c r="AB91" s="19">
        <f>VLOOKUP(YEAR(CurrentMtgRatesDataTable8711121314[[#This Row],[asofdate]]),OriginationVolume!$A:$N,11,FALSE)</f>
        <v>6.5781151170145477E-2</v>
      </c>
      <c r="AC91" s="19">
        <f>VLOOKUP(YEAR(CurrentMtgRatesDataTable8711121314[[#This Row],[asofdate]]),OriginationVolume!$A:$N,12,FALSE)</f>
        <v>2.5300442757748261E-3</v>
      </c>
      <c r="AD91" s="19">
        <f>VLOOKUP(YEAR(CurrentMtgRatesDataTable8711121314[[#This Row],[asofdate]]),OriginationVolume!$A:$N,13,FALSE)</f>
        <v>2.5300442757748261E-3</v>
      </c>
      <c r="AE9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2.233365413383093E-2</v>
      </c>
      <c r="AF9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1.6886434823025903E-2</v>
      </c>
      <c r="AG91" s="3" t="s">
        <v>110</v>
      </c>
      <c r="AH91" s="5">
        <v>11137448000</v>
      </c>
      <c r="AI91" s="26"/>
      <c r="AK91" s="3" t="s">
        <v>110</v>
      </c>
      <c r="AL91" s="5">
        <v>733454000</v>
      </c>
      <c r="AM91" s="26"/>
      <c r="AO91" s="3" t="s">
        <v>110</v>
      </c>
      <c r="AP91" s="5">
        <v>24879975718.720001</v>
      </c>
      <c r="AQ91" s="29"/>
      <c r="AS91" s="3" t="s">
        <v>110</v>
      </c>
      <c r="AT91" s="5">
        <v>13009073718.719999</v>
      </c>
      <c r="AU91" s="29" t="str">
        <f>YEAR(CurrentMtgRatesDataTable871112131417[[#This Row],[asofdate]])&amp;"-"&amp;MONTH(CurrentMtgRatesDataTable871112131417[[#This Row],[asofdate]])</f>
        <v>2010-7</v>
      </c>
      <c r="AV91" s="29">
        <f>CurrentMtgRatesDataTable871112131417[[#This Row],[SeriesNumValue]]</f>
        <v>13009073718.719999</v>
      </c>
      <c r="AW91" s="29">
        <f>VLOOKUP(CurrentMtgRatesDataTable871112131417[[#This Row],[asofdate]],AG:AH,2,0)</f>
        <v>11137448000</v>
      </c>
      <c r="AX91" s="25">
        <f>IF(VLOOKUP(CurrentMtgRatesDataTable871112131417[[#This Row],[asofdate]],AK:AL,2,0)&lt;&gt;0,VLOOKUP(CurrentMtgRatesDataTable871112131417[[#This Row],[asofdate]],AK:AL,2,0),AX90)</f>
        <v>733454000</v>
      </c>
      <c r="AY91" s="25">
        <f>VLOOKUP(CurrentMtgRatesDataTable871112131417[[#This Row],[asofdate]],AO:AP,2,0)</f>
        <v>24879975718.720001</v>
      </c>
    </row>
    <row r="92" spans="2:51" s="4" customFormat="1">
      <c r="B92" s="3" t="s">
        <v>111</v>
      </c>
      <c r="C92" s="21">
        <v>5.4351045253614699E-2</v>
      </c>
      <c r="D92" s="26">
        <f>((CurrentMtgRatesDataTable8711[[#This Row],[SeriesNumValue]]-$C$1)/$C$1+1)*100</f>
        <v>362.34030169076465</v>
      </c>
      <c r="E92" s="26"/>
      <c r="G92" s="3" t="s">
        <v>84</v>
      </c>
      <c r="H92" s="21">
        <v>9.4390282645507598E-2</v>
      </c>
      <c r="I92" s="21" t="str">
        <f>YEAR(CurrentMtgRatesDataTable871112[[#This Row],[asofdate]])&amp;"-"&amp;MONTH(CurrentMtgRatesDataTable871112[[#This Row],[asofdate]])</f>
        <v>2008-5</v>
      </c>
      <c r="J92" s="40">
        <f>VLOOKUP(CurrentMtgRatesDataTable871112[[#This Row],[asofdate]],Q:AE,15,0)*100</f>
        <v>4.3849532522128349</v>
      </c>
      <c r="K92" s="40">
        <f>VLOOKUP(CurrentMtgRatesDataTable871112[[#This Row],[asofdate]],Q:AE,4,0)*100</f>
        <v>1.94301178424986</v>
      </c>
      <c r="L92" s="40">
        <f>VLOOKUP(CurrentMtgRatesDataTable871112[[#This Row],[asofdate]],Q:AE,5,0)*100</f>
        <v>10.862820934442299</v>
      </c>
      <c r="M92" s="40">
        <f>VLOOKUP(CurrentMtgRatesDataTable871112[[#This Row],[asofdate]],Q:AE,6,0)*100</f>
        <v>9.4390282645507604</v>
      </c>
      <c r="N92" s="40">
        <f>VLOOKUP(CurrentMtgRatesDataTable871112[[#This Row],[asofdate]],Q:AF,16,0)*100</f>
        <v>7.2831082488138366</v>
      </c>
      <c r="Q92" s="3" t="s">
        <v>111</v>
      </c>
      <c r="R92" s="21">
        <v>1.1982081805722199E-2</v>
      </c>
      <c r="S92" s="29" t="str">
        <f>YEAR(CurrentMtgRatesDataTable8711121314[[#This Row],[asofdate]])&amp;"-"&amp;MONTH(CurrentMtgRatesDataTable8711121314[[#This Row],[asofdate]])</f>
        <v>2010-8</v>
      </c>
      <c r="T92" s="37">
        <f>CurrentMtgRatesDataTable8711121314[[#This Row],[SeriesNumValue]]</f>
        <v>1.1982081805722199E-2</v>
      </c>
      <c r="U92" s="37">
        <f>VLOOKUP(CurrentMtgRatesDataTable8711121314[[#This Row],[asofdate]],B:D,2,0)</f>
        <v>5.4351045253614699E-2</v>
      </c>
      <c r="V92" s="37">
        <f>IF(VLOOKUP(CurrentMtgRatesDataTable8711121314[[#This Row],[asofdate]],G:H,2,0)&lt;&gt;0,VLOOKUP(CurrentMtgRatesDataTable8711121314[[#This Row],[asofdate]],G:H,2,0),V91)</f>
        <v>6.0916811511753502E-2</v>
      </c>
      <c r="W92" s="37">
        <f>CurrentMtgRatesDataTable8711121314[[#This Row],[FHA]]+0.5*CurrentMtgRatesDataTable8711121314[[#This Row],[Conventional]]</f>
        <v>6.0342086156475801E-2</v>
      </c>
      <c r="X92" s="37">
        <f>2*CurrentMtgRatesDataTable8711121314[[#This Row],[FHA]]</f>
        <v>0.1087020905072294</v>
      </c>
      <c r="Y92" s="19">
        <f>VLOOKUP(YEAR(CurrentMtgRatesDataTable8711121314[[#This Row],[asofdate]]),OriginationVolume!$A:$N,8,FALSE)</f>
        <v>0.69070208728652749</v>
      </c>
      <c r="Z92" s="19">
        <f>VLOOKUP(YEAR(CurrentMtgRatesDataTable8711121314[[#This Row],[asofdate]]),OriginationVolume!$A:$N,9,FALSE)</f>
        <v>5.9614168247944341E-2</v>
      </c>
      <c r="AA92" s="19">
        <f>VLOOKUP(YEAR(CurrentMtgRatesDataTable8711121314[[#This Row],[asofdate]]),OriginationVolume!$A:$N,10,FALSE)</f>
        <v>0.17884250474383301</v>
      </c>
      <c r="AB92" s="19">
        <f>VLOOKUP(YEAR(CurrentMtgRatesDataTable8711121314[[#This Row],[asofdate]]),OriginationVolume!$A:$N,11,FALSE)</f>
        <v>6.5781151170145477E-2</v>
      </c>
      <c r="AC92" s="19">
        <f>VLOOKUP(YEAR(CurrentMtgRatesDataTable8711121314[[#This Row],[asofdate]]),OriginationVolume!$A:$N,12,FALSE)</f>
        <v>2.5300442757748261E-3</v>
      </c>
      <c r="AD92" s="19">
        <f>VLOOKUP(YEAR(CurrentMtgRatesDataTable8711121314[[#This Row],[asofdate]]),OriginationVolume!$A:$N,13,FALSE)</f>
        <v>2.5300442757748261E-3</v>
      </c>
      <c r="AE9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2.2843715418558438E-2</v>
      </c>
      <c r="AF9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1.7163510843302941E-2</v>
      </c>
      <c r="AG92" s="3" t="s">
        <v>111</v>
      </c>
      <c r="AH92" s="5">
        <v>13088231000</v>
      </c>
      <c r="AI92" s="26"/>
      <c r="AK92" s="3" t="s">
        <v>111</v>
      </c>
      <c r="AL92" s="5">
        <v>929866000</v>
      </c>
      <c r="AM92" s="26"/>
      <c r="AO92" s="3" t="s">
        <v>111</v>
      </c>
      <c r="AP92" s="5">
        <v>29569308347.779999</v>
      </c>
      <c r="AQ92" s="29"/>
      <c r="AS92" s="3" t="s">
        <v>111</v>
      </c>
      <c r="AT92" s="5">
        <v>15551211347.780001</v>
      </c>
      <c r="AU92" s="29" t="str">
        <f>YEAR(CurrentMtgRatesDataTable871112131417[[#This Row],[asofdate]])&amp;"-"&amp;MONTH(CurrentMtgRatesDataTable871112131417[[#This Row],[asofdate]])</f>
        <v>2010-8</v>
      </c>
      <c r="AV92" s="29">
        <f>CurrentMtgRatesDataTable871112131417[[#This Row],[SeriesNumValue]]</f>
        <v>15551211347.780001</v>
      </c>
      <c r="AW92" s="29">
        <f>VLOOKUP(CurrentMtgRatesDataTable871112131417[[#This Row],[asofdate]],AG:AH,2,0)</f>
        <v>13088231000</v>
      </c>
      <c r="AX92" s="25">
        <f>IF(VLOOKUP(CurrentMtgRatesDataTable871112131417[[#This Row],[asofdate]],AK:AL,2,0)&lt;&gt;0,VLOOKUP(CurrentMtgRatesDataTable871112131417[[#This Row],[asofdate]],AK:AL,2,0),AX91)</f>
        <v>929866000</v>
      </c>
      <c r="AY92" s="25">
        <f>VLOOKUP(CurrentMtgRatesDataTable871112131417[[#This Row],[asofdate]],AO:AP,2,0)</f>
        <v>29569308347.779999</v>
      </c>
    </row>
    <row r="93" spans="2:51" s="4" customFormat="1">
      <c r="B93" s="3" t="s">
        <v>112</v>
      </c>
      <c r="C93" s="21">
        <v>5.18039852039874E-2</v>
      </c>
      <c r="D93" s="26">
        <f>((CurrentMtgRatesDataTable8711[[#This Row],[SeriesNumValue]]-$C$1)/$C$1+1)*100</f>
        <v>345.35990135991602</v>
      </c>
      <c r="E93" s="26"/>
      <c r="G93" s="3" t="s">
        <v>83</v>
      </c>
      <c r="H93" s="21">
        <v>9.3530245327451605E-2</v>
      </c>
      <c r="I93" s="21" t="str">
        <f>YEAR(CurrentMtgRatesDataTable871112[[#This Row],[asofdate]])&amp;"-"&amp;MONTH(CurrentMtgRatesDataTable871112[[#This Row],[asofdate]])</f>
        <v>2008-4</v>
      </c>
      <c r="J93" s="40">
        <f>VLOOKUP(CurrentMtgRatesDataTable871112[[#This Row],[asofdate]],Q:AE,15,0)*100</f>
        <v>4.4834802441795452</v>
      </c>
      <c r="K93" s="40">
        <f>VLOOKUP(CurrentMtgRatesDataTable871112[[#This Row],[asofdate]],Q:AE,4,0)*100</f>
        <v>1.9719070890697001</v>
      </c>
      <c r="L93" s="40">
        <f>VLOOKUP(CurrentMtgRatesDataTable871112[[#This Row],[asofdate]],Q:AE,5,0)*100</f>
        <v>11.2280776236066</v>
      </c>
      <c r="M93" s="40">
        <f>VLOOKUP(CurrentMtgRatesDataTable871112[[#This Row],[asofdate]],Q:AE,6,0)*100</f>
        <v>9.3530245327451613</v>
      </c>
      <c r="N93" s="40">
        <f>VLOOKUP(CurrentMtgRatesDataTable871112[[#This Row],[asofdate]],Q:AF,16,0)*100</f>
        <v>7.5013973894274537</v>
      </c>
      <c r="Q93" s="3" t="s">
        <v>112</v>
      </c>
      <c r="R93" s="21">
        <v>1.16348044415624E-2</v>
      </c>
      <c r="S93" s="29" t="str">
        <f>YEAR(CurrentMtgRatesDataTable8711121314[[#This Row],[asofdate]])&amp;"-"&amp;MONTH(CurrentMtgRatesDataTable8711121314[[#This Row],[asofdate]])</f>
        <v>2010-9</v>
      </c>
      <c r="T93" s="37">
        <f>CurrentMtgRatesDataTable8711121314[[#This Row],[SeriesNumValue]]</f>
        <v>1.16348044415624E-2</v>
      </c>
      <c r="U93" s="37">
        <f>VLOOKUP(CurrentMtgRatesDataTable8711121314[[#This Row],[asofdate]],B:D,2,0)</f>
        <v>5.18039852039874E-2</v>
      </c>
      <c r="V93" s="37">
        <f>IF(VLOOKUP(CurrentMtgRatesDataTable8711121314[[#This Row],[asofdate]],G:H,2,0)&lt;&gt;0,VLOOKUP(CurrentMtgRatesDataTable8711121314[[#This Row],[asofdate]],G:H,2,0),V92)</f>
        <v>5.5588128111664102E-2</v>
      </c>
      <c r="W93" s="37">
        <f>CurrentMtgRatesDataTable8711121314[[#This Row],[FHA]]+0.5*CurrentMtgRatesDataTable8711121314[[#This Row],[Conventional]]</f>
        <v>5.7621387424768598E-2</v>
      </c>
      <c r="X93" s="37">
        <f>2*CurrentMtgRatesDataTable8711121314[[#This Row],[FHA]]</f>
        <v>0.1036079704079748</v>
      </c>
      <c r="Y93" s="19">
        <f>VLOOKUP(YEAR(CurrentMtgRatesDataTable8711121314[[#This Row],[asofdate]]),OriginationVolume!$A:$N,8,FALSE)</f>
        <v>0.69070208728652749</v>
      </c>
      <c r="Z93" s="19">
        <f>VLOOKUP(YEAR(CurrentMtgRatesDataTable8711121314[[#This Row],[asofdate]]),OriginationVolume!$A:$N,9,FALSE)</f>
        <v>5.9614168247944341E-2</v>
      </c>
      <c r="AA93" s="19">
        <f>VLOOKUP(YEAR(CurrentMtgRatesDataTable8711121314[[#This Row],[asofdate]]),OriginationVolume!$A:$N,10,FALSE)</f>
        <v>0.17884250474383301</v>
      </c>
      <c r="AB93" s="19">
        <f>VLOOKUP(YEAR(CurrentMtgRatesDataTable8711121314[[#This Row],[asofdate]]),OriginationVolume!$A:$N,11,FALSE)</f>
        <v>6.5781151170145477E-2</v>
      </c>
      <c r="AC93" s="19">
        <f>VLOOKUP(YEAR(CurrentMtgRatesDataTable8711121314[[#This Row],[asofdate]]),OriginationVolume!$A:$N,12,FALSE)</f>
        <v>2.5300442757748261E-3</v>
      </c>
      <c r="AD93" s="19">
        <f>VLOOKUP(YEAR(CurrentMtgRatesDataTable8711121314[[#This Row],[asofdate]]),OriginationVolume!$A:$N,13,FALSE)</f>
        <v>2.5300442757748261E-3</v>
      </c>
      <c r="AE9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2.1788046448065389E-2</v>
      </c>
      <c r="AF9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1.6561938332620204E-2</v>
      </c>
      <c r="AG93" s="3" t="s">
        <v>112</v>
      </c>
      <c r="AH93" s="5">
        <v>7424329000</v>
      </c>
      <c r="AI93" s="26"/>
      <c r="AK93" s="3" t="s">
        <v>112</v>
      </c>
      <c r="AL93" s="5">
        <v>753346000</v>
      </c>
      <c r="AM93" s="26"/>
      <c r="AO93" s="3" t="s">
        <v>112</v>
      </c>
      <c r="AP93" s="5">
        <v>18971719558.360001</v>
      </c>
      <c r="AQ93" s="29"/>
      <c r="AS93" s="3" t="s">
        <v>112</v>
      </c>
      <c r="AT93" s="5">
        <v>10794044558.360001</v>
      </c>
      <c r="AU93" s="29" t="str">
        <f>YEAR(CurrentMtgRatesDataTable871112131417[[#This Row],[asofdate]])&amp;"-"&amp;MONTH(CurrentMtgRatesDataTable871112131417[[#This Row],[asofdate]])</f>
        <v>2010-9</v>
      </c>
      <c r="AV93" s="29">
        <f>CurrentMtgRatesDataTable871112131417[[#This Row],[SeriesNumValue]]</f>
        <v>10794044558.360001</v>
      </c>
      <c r="AW93" s="29">
        <f>VLOOKUP(CurrentMtgRatesDataTable871112131417[[#This Row],[asofdate]],AG:AH,2,0)</f>
        <v>7424329000</v>
      </c>
      <c r="AX93" s="25">
        <f>IF(VLOOKUP(CurrentMtgRatesDataTable871112131417[[#This Row],[asofdate]],AK:AL,2,0)&lt;&gt;0,VLOOKUP(CurrentMtgRatesDataTable871112131417[[#This Row],[asofdate]],AK:AL,2,0),AX92)</f>
        <v>753346000</v>
      </c>
      <c r="AY93" s="25">
        <f>VLOOKUP(CurrentMtgRatesDataTable871112131417[[#This Row],[asofdate]],AO:AP,2,0)</f>
        <v>18971719558.360001</v>
      </c>
    </row>
    <row r="94" spans="2:51" s="4" customFormat="1">
      <c r="B94" s="3" t="s">
        <v>113</v>
      </c>
      <c r="C94" s="21">
        <v>4.9523196065882701E-2</v>
      </c>
      <c r="D94" s="26">
        <f>((CurrentMtgRatesDataTable8711[[#This Row],[SeriesNumValue]]-$C$1)/$C$1+1)*100</f>
        <v>330.15464043921804</v>
      </c>
      <c r="E94" s="26"/>
      <c r="G94" s="3" t="s">
        <v>82</v>
      </c>
      <c r="H94" s="21">
        <v>0.11098315619719901</v>
      </c>
      <c r="I94" s="21" t="str">
        <f>YEAR(CurrentMtgRatesDataTable871112[[#This Row],[asofdate]])&amp;"-"&amp;MONTH(CurrentMtgRatesDataTable871112[[#This Row],[asofdate]])</f>
        <v>2008-3</v>
      </c>
      <c r="J94" s="40">
        <f>VLOOKUP(CurrentMtgRatesDataTable871112[[#This Row],[asofdate]],Q:AE,15,0)*100</f>
        <v>5.2638723607768672</v>
      </c>
      <c r="K94" s="40">
        <f>VLOOKUP(CurrentMtgRatesDataTable871112[[#This Row],[asofdate]],Q:AE,4,0)*100</f>
        <v>2.4153941632995801</v>
      </c>
      <c r="L94" s="40">
        <f>VLOOKUP(CurrentMtgRatesDataTable871112[[#This Row],[asofdate]],Q:AE,5,0)*100</f>
        <v>12.813420111116299</v>
      </c>
      <c r="M94" s="40">
        <f>VLOOKUP(CurrentMtgRatesDataTable871112[[#This Row],[asofdate]],Q:AE,6,0)*100</f>
        <v>11.098315619719902</v>
      </c>
      <c r="N94" s="40">
        <f>VLOOKUP(CurrentMtgRatesDataTable871112[[#This Row],[asofdate]],Q:AF,16,0)*100</f>
        <v>8.6810605841158548</v>
      </c>
      <c r="Q94" s="3" t="s">
        <v>113</v>
      </c>
      <c r="R94" s="21">
        <v>1.15064206683952E-2</v>
      </c>
      <c r="S94" s="29" t="str">
        <f>YEAR(CurrentMtgRatesDataTable8711121314[[#This Row],[asofdate]])&amp;"-"&amp;MONTH(CurrentMtgRatesDataTable8711121314[[#This Row],[asofdate]])</f>
        <v>2010-10</v>
      </c>
      <c r="T94" s="37">
        <f>CurrentMtgRatesDataTable8711121314[[#This Row],[SeriesNumValue]]</f>
        <v>1.15064206683952E-2</v>
      </c>
      <c r="U94" s="37">
        <f>VLOOKUP(CurrentMtgRatesDataTable8711121314[[#This Row],[asofdate]],B:D,2,0)</f>
        <v>4.9523196065882701E-2</v>
      </c>
      <c r="V94" s="37">
        <f>IF(VLOOKUP(CurrentMtgRatesDataTable8711121314[[#This Row],[asofdate]],G:H,2,0)&lt;&gt;0,VLOOKUP(CurrentMtgRatesDataTable8711121314[[#This Row],[asofdate]],G:H,2,0),V93)</f>
        <v>5.3804484253040998E-2</v>
      </c>
      <c r="W94" s="37">
        <f>CurrentMtgRatesDataTable8711121314[[#This Row],[FHA]]+0.5*CurrentMtgRatesDataTable8711121314[[#This Row],[Conventional]]</f>
        <v>5.5276406400080302E-2</v>
      </c>
      <c r="X94" s="37">
        <f>2*CurrentMtgRatesDataTable8711121314[[#This Row],[FHA]]</f>
        <v>9.9046392131765401E-2</v>
      </c>
      <c r="Y94" s="19">
        <f>VLOOKUP(YEAR(CurrentMtgRatesDataTable8711121314[[#This Row],[asofdate]]),OriginationVolume!$A:$N,8,FALSE)</f>
        <v>0.69070208728652749</v>
      </c>
      <c r="Z94" s="19">
        <f>VLOOKUP(YEAR(CurrentMtgRatesDataTable8711121314[[#This Row],[asofdate]]),OriginationVolume!$A:$N,9,FALSE)</f>
        <v>5.9614168247944341E-2</v>
      </c>
      <c r="AA94" s="19">
        <f>VLOOKUP(YEAR(CurrentMtgRatesDataTable8711121314[[#This Row],[asofdate]]),OriginationVolume!$A:$N,10,FALSE)</f>
        <v>0.17884250474383301</v>
      </c>
      <c r="AB94" s="19">
        <f>VLOOKUP(YEAR(CurrentMtgRatesDataTable8711121314[[#This Row],[asofdate]]),OriginationVolume!$A:$N,11,FALSE)</f>
        <v>6.5781151170145477E-2</v>
      </c>
      <c r="AC94" s="19">
        <f>VLOOKUP(YEAR(CurrentMtgRatesDataTable8711121314[[#This Row],[asofdate]]),OriginationVolume!$A:$N,12,FALSE)</f>
        <v>2.5300442757748261E-3</v>
      </c>
      <c r="AD94" s="19">
        <f>VLOOKUP(YEAR(CurrentMtgRatesDataTable8711121314[[#This Row],[asofdate]]),OriginationVolume!$A:$N,13,FALSE)</f>
        <v>2.5300442757748261E-3</v>
      </c>
      <c r="AE9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2.1159219887416505E-2</v>
      </c>
      <c r="AF9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1.619606199679003E-2</v>
      </c>
      <c r="AG94" s="3" t="s">
        <v>113</v>
      </c>
      <c r="AH94" s="5">
        <v>8429378000</v>
      </c>
      <c r="AI94" s="26"/>
      <c r="AK94" s="3" t="s">
        <v>113</v>
      </c>
      <c r="AL94" s="5">
        <v>881953000</v>
      </c>
      <c r="AM94" s="26"/>
      <c r="AO94" s="3" t="s">
        <v>113</v>
      </c>
      <c r="AP94" s="5">
        <v>21149620177.060001</v>
      </c>
      <c r="AQ94" s="29"/>
      <c r="AS94" s="3" t="s">
        <v>113</v>
      </c>
      <c r="AT94" s="5">
        <v>11838289177.059999</v>
      </c>
      <c r="AU94" s="29" t="str">
        <f>YEAR(CurrentMtgRatesDataTable871112131417[[#This Row],[asofdate]])&amp;"-"&amp;MONTH(CurrentMtgRatesDataTable871112131417[[#This Row],[asofdate]])</f>
        <v>2010-10</v>
      </c>
      <c r="AV94" s="29">
        <f>CurrentMtgRatesDataTable871112131417[[#This Row],[SeriesNumValue]]</f>
        <v>11838289177.059999</v>
      </c>
      <c r="AW94" s="29">
        <f>VLOOKUP(CurrentMtgRatesDataTable871112131417[[#This Row],[asofdate]],AG:AH,2,0)</f>
        <v>8429378000</v>
      </c>
      <c r="AX94" s="25">
        <f>IF(VLOOKUP(CurrentMtgRatesDataTable871112131417[[#This Row],[asofdate]],AK:AL,2,0)&lt;&gt;0,VLOOKUP(CurrentMtgRatesDataTable871112131417[[#This Row],[asofdate]],AK:AL,2,0),AX93)</f>
        <v>881953000</v>
      </c>
      <c r="AY94" s="25">
        <f>VLOOKUP(CurrentMtgRatesDataTable871112131417[[#This Row],[asofdate]],AO:AP,2,0)</f>
        <v>21149620177.060001</v>
      </c>
    </row>
    <row r="95" spans="2:51" s="4" customFormat="1">
      <c r="B95" s="3" t="s">
        <v>114</v>
      </c>
      <c r="C95" s="21">
        <v>4.8155285513132098E-2</v>
      </c>
      <c r="D95" s="26">
        <f>((CurrentMtgRatesDataTable8711[[#This Row],[SeriesNumValue]]-$C$1)/$C$1+1)*100</f>
        <v>321.035236754214</v>
      </c>
      <c r="E95" s="26"/>
      <c r="G95" s="3" t="s">
        <v>81</v>
      </c>
      <c r="H95" s="21">
        <v>9.1688117328369095E-2</v>
      </c>
      <c r="I95" s="21" t="str">
        <f>YEAR(CurrentMtgRatesDataTable871112[[#This Row],[asofdate]])&amp;"-"&amp;MONTH(CurrentMtgRatesDataTable871112[[#This Row],[asofdate]])</f>
        <v>2008-2</v>
      </c>
      <c r="J95" s="40">
        <f>VLOOKUP(CurrentMtgRatesDataTable871112[[#This Row],[asofdate]],Q:AE,15,0)*100</f>
        <v>4.8605475545115153</v>
      </c>
      <c r="K95" s="40">
        <f>VLOOKUP(CurrentMtgRatesDataTable871112[[#This Row],[asofdate]],Q:AE,4,0)*100</f>
        <v>2.3507893875338</v>
      </c>
      <c r="L95" s="40">
        <f>VLOOKUP(CurrentMtgRatesDataTable871112[[#This Row],[asofdate]],Q:AE,5,0)*100</f>
        <v>11.6786543209285</v>
      </c>
      <c r="M95" s="40">
        <f>VLOOKUP(CurrentMtgRatesDataTable871112[[#This Row],[asofdate]],Q:AE,6,0)*100</f>
        <v>9.1688117328369092</v>
      </c>
      <c r="N95" s="40">
        <f>VLOOKUP(CurrentMtgRatesDataTable871112[[#This Row],[asofdate]],Q:AF,16,0)*100</f>
        <v>8.0212608426885286</v>
      </c>
      <c r="Q95" s="3" t="s">
        <v>114</v>
      </c>
      <c r="R95" s="21">
        <v>1.14185357327672E-2</v>
      </c>
      <c r="S95" s="29" t="str">
        <f>YEAR(CurrentMtgRatesDataTable8711121314[[#This Row],[asofdate]])&amp;"-"&amp;MONTH(CurrentMtgRatesDataTable8711121314[[#This Row],[asofdate]])</f>
        <v>2010-11</v>
      </c>
      <c r="T95" s="37">
        <f>CurrentMtgRatesDataTable8711121314[[#This Row],[SeriesNumValue]]</f>
        <v>1.14185357327672E-2</v>
      </c>
      <c r="U95" s="37">
        <f>VLOOKUP(CurrentMtgRatesDataTable8711121314[[#This Row],[asofdate]],B:D,2,0)</f>
        <v>4.8155285513132098E-2</v>
      </c>
      <c r="V95" s="37">
        <f>IF(VLOOKUP(CurrentMtgRatesDataTable8711121314[[#This Row],[asofdate]],G:H,2,0)&lt;&gt;0,VLOOKUP(CurrentMtgRatesDataTable8711121314[[#This Row],[asofdate]],G:H,2,0),V94)</f>
        <v>5.1146297447306997E-2</v>
      </c>
      <c r="W95" s="37">
        <f>CurrentMtgRatesDataTable8711121314[[#This Row],[FHA]]+0.5*CurrentMtgRatesDataTable8711121314[[#This Row],[Conventional]]</f>
        <v>5.3864553379515699E-2</v>
      </c>
      <c r="X95" s="37">
        <f>2*CurrentMtgRatesDataTable8711121314[[#This Row],[FHA]]</f>
        <v>9.6310571026264197E-2</v>
      </c>
      <c r="Y95" s="19">
        <f>VLOOKUP(YEAR(CurrentMtgRatesDataTable8711121314[[#This Row],[asofdate]]),OriginationVolume!$A:$N,8,FALSE)</f>
        <v>0.69070208728652749</v>
      </c>
      <c r="Z95" s="19">
        <f>VLOOKUP(YEAR(CurrentMtgRatesDataTable8711121314[[#This Row],[asofdate]]),OriginationVolume!$A:$N,9,FALSE)</f>
        <v>5.9614168247944341E-2</v>
      </c>
      <c r="AA95" s="19">
        <f>VLOOKUP(YEAR(CurrentMtgRatesDataTable8711121314[[#This Row],[asofdate]]),OriginationVolume!$A:$N,10,FALSE)</f>
        <v>0.17884250474383301</v>
      </c>
      <c r="AB95" s="19">
        <f>VLOOKUP(YEAR(CurrentMtgRatesDataTable8711121314[[#This Row],[asofdate]]),OriginationVolume!$A:$N,11,FALSE)</f>
        <v>6.5781151170145477E-2</v>
      </c>
      <c r="AC95" s="19">
        <f>VLOOKUP(YEAR(CurrentMtgRatesDataTable8711121314[[#This Row],[asofdate]]),OriginationVolume!$A:$N,12,FALSE)</f>
        <v>2.5300442757748261E-3</v>
      </c>
      <c r="AD95" s="19">
        <f>VLOOKUP(YEAR(CurrentMtgRatesDataTable8711121314[[#This Row],[asofdate]]),OriginationVolume!$A:$N,13,FALSE)</f>
        <v>2.5300442757748261E-3</v>
      </c>
      <c r="AE9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2.0679136462529713E-2</v>
      </c>
      <c r="AF9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1.5966323337775964E-2</v>
      </c>
      <c r="AG95" s="3" t="s">
        <v>114</v>
      </c>
      <c r="AH95" s="5">
        <v>8785174000</v>
      </c>
      <c r="AI95" s="26"/>
      <c r="AK95" s="3" t="s">
        <v>114</v>
      </c>
      <c r="AL95" s="5">
        <v>999464000</v>
      </c>
      <c r="AM95" s="26"/>
      <c r="AO95" s="3" t="s">
        <v>114</v>
      </c>
      <c r="AP95" s="5">
        <v>20824544242.75</v>
      </c>
      <c r="AQ95" s="29"/>
      <c r="AS95" s="3" t="s">
        <v>114</v>
      </c>
      <c r="AT95" s="5">
        <v>11039906242.75</v>
      </c>
      <c r="AU95" s="29" t="str">
        <f>YEAR(CurrentMtgRatesDataTable871112131417[[#This Row],[asofdate]])&amp;"-"&amp;MONTH(CurrentMtgRatesDataTable871112131417[[#This Row],[asofdate]])</f>
        <v>2010-11</v>
      </c>
      <c r="AV95" s="29">
        <f>CurrentMtgRatesDataTable871112131417[[#This Row],[SeriesNumValue]]</f>
        <v>11039906242.75</v>
      </c>
      <c r="AW95" s="29">
        <f>VLOOKUP(CurrentMtgRatesDataTable871112131417[[#This Row],[asofdate]],AG:AH,2,0)</f>
        <v>8785174000</v>
      </c>
      <c r="AX95" s="25">
        <f>IF(VLOOKUP(CurrentMtgRatesDataTable871112131417[[#This Row],[asofdate]],AK:AL,2,0)&lt;&gt;0,VLOOKUP(CurrentMtgRatesDataTable871112131417[[#This Row],[asofdate]],AK:AL,2,0),AX94)</f>
        <v>999464000</v>
      </c>
      <c r="AY95" s="25">
        <f>VLOOKUP(CurrentMtgRatesDataTable871112131417[[#This Row],[asofdate]],AO:AP,2,0)</f>
        <v>20824544242.75</v>
      </c>
    </row>
    <row r="96" spans="2:51" s="4" customFormat="1">
      <c r="B96" s="3" t="s">
        <v>115</v>
      </c>
      <c r="C96" s="21">
        <v>4.8498782379219799E-2</v>
      </c>
      <c r="D96" s="26">
        <f>((CurrentMtgRatesDataTable8711[[#This Row],[SeriesNumValue]]-$C$1)/$C$1+1)*100</f>
        <v>323.32521586146532</v>
      </c>
      <c r="E96" s="26"/>
      <c r="G96" s="3" t="s">
        <v>80</v>
      </c>
      <c r="H96" s="21">
        <v>8.5858970649299801E-2</v>
      </c>
      <c r="I96" s="21" t="str">
        <f>YEAR(CurrentMtgRatesDataTable871112[[#This Row],[asofdate]])&amp;"-"&amp;MONTH(CurrentMtgRatesDataTable871112[[#This Row],[asofdate]])</f>
        <v>2008-1</v>
      </c>
      <c r="J96" s="40">
        <f>VLOOKUP(CurrentMtgRatesDataTable871112[[#This Row],[asofdate]],Q:AE,15,0)*100</f>
        <v>5.0047722669643679</v>
      </c>
      <c r="K96" s="40">
        <f>VLOOKUP(CurrentMtgRatesDataTable871112[[#This Row],[asofdate]],Q:AE,4,0)*100</f>
        <v>2.5406454290126099</v>
      </c>
      <c r="L96" s="40">
        <f>VLOOKUP(CurrentMtgRatesDataTable871112[[#This Row],[asofdate]],Q:AE,5,0)*100</f>
        <v>11.8200880367063</v>
      </c>
      <c r="M96" s="40">
        <f>VLOOKUP(CurrentMtgRatesDataTable871112[[#This Row],[asofdate]],Q:AE,6,0)*100</f>
        <v>8.5858970649299806</v>
      </c>
      <c r="N96" s="40">
        <f>VLOOKUP(CurrentMtgRatesDataTable871112[[#This Row],[asofdate]],Q:AF,16,0)*100</f>
        <v>8.2362242532678209</v>
      </c>
      <c r="Q96" s="3" t="s">
        <v>115</v>
      </c>
      <c r="R96" s="21">
        <v>1.16788104740246E-2</v>
      </c>
      <c r="S96" s="29" t="str">
        <f>YEAR(CurrentMtgRatesDataTable8711121314[[#This Row],[asofdate]])&amp;"-"&amp;MONTH(CurrentMtgRatesDataTable8711121314[[#This Row],[asofdate]])</f>
        <v>2010-12</v>
      </c>
      <c r="T96" s="37">
        <f>CurrentMtgRatesDataTable8711121314[[#This Row],[SeriesNumValue]]</f>
        <v>1.16788104740246E-2</v>
      </c>
      <c r="U96" s="37">
        <f>VLOOKUP(CurrentMtgRatesDataTable8711121314[[#This Row],[asofdate]],B:D,2,0)</f>
        <v>4.8498782379219799E-2</v>
      </c>
      <c r="V96" s="37">
        <f>IF(VLOOKUP(CurrentMtgRatesDataTable8711121314[[#This Row],[asofdate]],G:H,2,0)&lt;&gt;0,VLOOKUP(CurrentMtgRatesDataTable8711121314[[#This Row],[asofdate]],G:H,2,0),V95)</f>
        <v>5.3530082124945297E-2</v>
      </c>
      <c r="W96" s="37">
        <f>CurrentMtgRatesDataTable8711121314[[#This Row],[FHA]]+0.5*CurrentMtgRatesDataTable8711121314[[#This Row],[Conventional]]</f>
        <v>5.4338187616232096E-2</v>
      </c>
      <c r="X96" s="37">
        <f>2*CurrentMtgRatesDataTable8711121314[[#This Row],[FHA]]</f>
        <v>9.6997564758439597E-2</v>
      </c>
      <c r="Y96" s="19">
        <f>VLOOKUP(YEAR(CurrentMtgRatesDataTable8711121314[[#This Row],[asofdate]]),OriginationVolume!$A:$N,8,FALSE)</f>
        <v>0.69070208728652749</v>
      </c>
      <c r="Z96" s="19">
        <f>VLOOKUP(YEAR(CurrentMtgRatesDataTable8711121314[[#This Row],[asofdate]]),OriginationVolume!$A:$N,9,FALSE)</f>
        <v>5.9614168247944341E-2</v>
      </c>
      <c r="AA96" s="19">
        <f>VLOOKUP(YEAR(CurrentMtgRatesDataTable8711121314[[#This Row],[asofdate]]),OriginationVolume!$A:$N,10,FALSE)</f>
        <v>0.17884250474383301</v>
      </c>
      <c r="AB96" s="19">
        <f>VLOOKUP(YEAR(CurrentMtgRatesDataTable8711121314[[#This Row],[asofdate]]),OriginationVolume!$A:$N,11,FALSE)</f>
        <v>6.5781151170145477E-2</v>
      </c>
      <c r="AC96" s="19">
        <f>VLOOKUP(YEAR(CurrentMtgRatesDataTable8711121314[[#This Row],[asofdate]]),OriginationVolume!$A:$N,12,FALSE)</f>
        <v>2.5300442757748261E-3</v>
      </c>
      <c r="AD96" s="19">
        <f>VLOOKUP(YEAR(CurrentMtgRatesDataTable8711121314[[#This Row],[asofdate]]),OriginationVolume!$A:$N,13,FALSE)</f>
        <v>2.5300442757748261E-3</v>
      </c>
      <c r="AE9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2.1082505562575963E-2</v>
      </c>
      <c r="AF9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1.6249458024975402E-2</v>
      </c>
      <c r="AG96" s="3" t="s">
        <v>115</v>
      </c>
      <c r="AH96" s="5">
        <v>7860228000</v>
      </c>
      <c r="AI96" s="26"/>
      <c r="AK96" s="3" t="s">
        <v>115</v>
      </c>
      <c r="AL96" s="5">
        <v>888768000</v>
      </c>
      <c r="AM96" s="26"/>
      <c r="AO96" s="3" t="s">
        <v>115</v>
      </c>
      <c r="AP96" s="5">
        <v>19327443127.73</v>
      </c>
      <c r="AQ96" s="29"/>
      <c r="AS96" s="3" t="s">
        <v>115</v>
      </c>
      <c r="AT96" s="5">
        <v>10578447127.73</v>
      </c>
      <c r="AU96" s="29" t="str">
        <f>YEAR(CurrentMtgRatesDataTable871112131417[[#This Row],[asofdate]])&amp;"-"&amp;MONTH(CurrentMtgRatesDataTable871112131417[[#This Row],[asofdate]])</f>
        <v>2010-12</v>
      </c>
      <c r="AV96" s="29">
        <f>CurrentMtgRatesDataTable871112131417[[#This Row],[SeriesNumValue]]</f>
        <v>10578447127.73</v>
      </c>
      <c r="AW96" s="29">
        <f>VLOOKUP(CurrentMtgRatesDataTable871112131417[[#This Row],[asofdate]],AG:AH,2,0)</f>
        <v>7860228000</v>
      </c>
      <c r="AX96" s="25">
        <f>IF(VLOOKUP(CurrentMtgRatesDataTable871112131417[[#This Row],[asofdate]],AK:AL,2,0)&lt;&gt;0,VLOOKUP(CurrentMtgRatesDataTable871112131417[[#This Row],[asofdate]],AK:AL,2,0),AX95)</f>
        <v>888768000</v>
      </c>
      <c r="AY96" s="25">
        <f>VLOOKUP(CurrentMtgRatesDataTable871112131417[[#This Row],[asofdate]],AO:AP,2,0)</f>
        <v>19327443127.73</v>
      </c>
    </row>
    <row r="97" spans="2:51" s="4" customFormat="1">
      <c r="B97" s="3" t="s">
        <v>116</v>
      </c>
      <c r="C97" s="21">
        <v>4.5520286505032703E-2</v>
      </c>
      <c r="D97" s="26">
        <f>((CurrentMtgRatesDataTable8711[[#This Row],[SeriesNumValue]]-$C$1)/$C$1+1)*100</f>
        <v>303.46857670021802</v>
      </c>
      <c r="E97" s="26"/>
      <c r="G97" s="3" t="s">
        <v>79</v>
      </c>
      <c r="H97" s="21">
        <v>0.103616622616662</v>
      </c>
      <c r="I97" s="21" t="str">
        <f>YEAR(CurrentMtgRatesDataTable871112[[#This Row],[asofdate]])&amp;"-"&amp;MONTH(CurrentMtgRatesDataTable871112[[#This Row],[asofdate]])</f>
        <v>2007-12</v>
      </c>
      <c r="J97" s="40">
        <f>VLOOKUP(CurrentMtgRatesDataTable871112[[#This Row],[asofdate]],Q:AE,15,0)*100</f>
        <v>6.1902205903061347</v>
      </c>
      <c r="K97" s="40">
        <f>VLOOKUP(CurrentMtgRatesDataTable871112[[#This Row],[asofdate]],Q:AE,4,0)*100</f>
        <v>2.4805939567978501</v>
      </c>
      <c r="L97" s="40">
        <f>VLOOKUP(CurrentMtgRatesDataTable871112[[#This Row],[asofdate]],Q:AE,5,0)*100</f>
        <v>11.4541247749181</v>
      </c>
      <c r="M97" s="40">
        <f>VLOOKUP(CurrentMtgRatesDataTable871112[[#This Row],[asofdate]],Q:AE,6,0)*100</f>
        <v>10.361662261666201</v>
      </c>
      <c r="N97" s="40">
        <f>VLOOKUP(CurrentMtgRatesDataTable871112[[#This Row],[asofdate]],Q:AF,16,0)*100</f>
        <v>10.724432853988388</v>
      </c>
      <c r="Q97" s="3" t="s">
        <v>116</v>
      </c>
      <c r="R97" s="21">
        <v>1.09787728382045E-2</v>
      </c>
      <c r="S97" s="29" t="str">
        <f>YEAR(CurrentMtgRatesDataTable8711121314[[#This Row],[asofdate]])&amp;"-"&amp;MONTH(CurrentMtgRatesDataTable8711121314[[#This Row],[asofdate]])</f>
        <v>2011-1</v>
      </c>
      <c r="T97" s="37">
        <f>CurrentMtgRatesDataTable8711121314[[#This Row],[SeriesNumValue]]</f>
        <v>1.09787728382045E-2</v>
      </c>
      <c r="U97" s="37">
        <f>VLOOKUP(CurrentMtgRatesDataTable8711121314[[#This Row],[asofdate]],B:D,2,0)</f>
        <v>4.5520286505032703E-2</v>
      </c>
      <c r="V97" s="37">
        <f>IF(VLOOKUP(CurrentMtgRatesDataTable8711121314[[#This Row],[asofdate]],G:H,2,0)&lt;&gt;0,VLOOKUP(CurrentMtgRatesDataTable8711121314[[#This Row],[asofdate]],G:H,2,0),V96)</f>
        <v>4.8276735846155397E-2</v>
      </c>
      <c r="W97" s="37">
        <f>CurrentMtgRatesDataTable8711121314[[#This Row],[FHA]]+0.5*CurrentMtgRatesDataTable8711121314[[#This Row],[Conventional]]</f>
        <v>5.1009672924134955E-2</v>
      </c>
      <c r="X97" s="37">
        <f>2*CurrentMtgRatesDataTable8711121314[[#This Row],[FHA]]</f>
        <v>9.1040573010065406E-2</v>
      </c>
      <c r="Y97" s="19">
        <f>VLOOKUP(YEAR(CurrentMtgRatesDataTable8711121314[[#This Row],[asofdate]]),OriginationVolume!$A:$N,8,FALSE)</f>
        <v>0.66643598615916955</v>
      </c>
      <c r="Z97" s="19">
        <f>VLOOKUP(YEAR(CurrentMtgRatesDataTable8711121314[[#This Row],[asofdate]]),OriginationVolume!$A:$N,9,FALSE)</f>
        <v>5.0865051903114189E-2</v>
      </c>
      <c r="AA97" s="19">
        <f>VLOOKUP(YEAR(CurrentMtgRatesDataTable8711121314[[#This Row],[asofdate]]),OriginationVolume!$A:$N,10,FALSE)</f>
        <v>0.15259515570934257</v>
      </c>
      <c r="AB97" s="19">
        <f>VLOOKUP(YEAR(CurrentMtgRatesDataTable8711121314[[#This Row],[asofdate]]),OriginationVolume!$A:$N,11,FALSE)</f>
        <v>0.11764705882352941</v>
      </c>
      <c r="AC97" s="19">
        <f>VLOOKUP(YEAR(CurrentMtgRatesDataTable8711121314[[#This Row],[asofdate]]),OriginationVolume!$A:$N,12,FALSE)</f>
        <v>9.688581314878892E-3</v>
      </c>
      <c r="AD97" s="19">
        <f>VLOOKUP(YEAR(CurrentMtgRatesDataTable8711121314[[#This Row],[asofdate]]),OriginationVolume!$A:$N,13,FALSE)</f>
        <v>2.7681660899653978E-3</v>
      </c>
      <c r="AE9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1.8756270309838053E-2</v>
      </c>
      <c r="AF9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1.5663239869536785E-2</v>
      </c>
      <c r="AG97" s="3" t="s">
        <v>116</v>
      </c>
      <c r="AH97" s="5">
        <v>7185062000</v>
      </c>
      <c r="AI97" s="26"/>
      <c r="AK97" s="3" t="s">
        <v>116</v>
      </c>
      <c r="AL97" s="5">
        <v>962537000</v>
      </c>
      <c r="AM97" s="26"/>
      <c r="AO97" s="3" t="s">
        <v>116</v>
      </c>
      <c r="AP97" s="5">
        <v>18606514902.029999</v>
      </c>
      <c r="AQ97" s="29"/>
      <c r="AS97" s="3" t="s">
        <v>116</v>
      </c>
      <c r="AT97" s="5">
        <v>10458915902.030001</v>
      </c>
      <c r="AU97" s="29" t="str">
        <f>YEAR(CurrentMtgRatesDataTable871112131417[[#This Row],[asofdate]])&amp;"-"&amp;MONTH(CurrentMtgRatesDataTable871112131417[[#This Row],[asofdate]])</f>
        <v>2011-1</v>
      </c>
      <c r="AV97" s="29">
        <f>CurrentMtgRatesDataTable871112131417[[#This Row],[SeriesNumValue]]</f>
        <v>10458915902.030001</v>
      </c>
      <c r="AW97" s="29">
        <f>VLOOKUP(CurrentMtgRatesDataTable871112131417[[#This Row],[asofdate]],AG:AH,2,0)</f>
        <v>7185062000</v>
      </c>
      <c r="AX97" s="25">
        <f>IF(VLOOKUP(CurrentMtgRatesDataTable871112131417[[#This Row],[asofdate]],AK:AL,2,0)&lt;&gt;0,VLOOKUP(CurrentMtgRatesDataTable871112131417[[#This Row],[asofdate]],AK:AL,2,0),AX96)</f>
        <v>962537000</v>
      </c>
      <c r="AY97" s="25">
        <f>VLOOKUP(CurrentMtgRatesDataTable871112131417[[#This Row],[asofdate]],AO:AP,2,0)</f>
        <v>18606514902.029999</v>
      </c>
    </row>
    <row r="98" spans="2:51" s="4" customFormat="1">
      <c r="B98" s="3" t="s">
        <v>117</v>
      </c>
      <c r="C98" s="21">
        <v>4.0079471562488797E-2</v>
      </c>
      <c r="D98" s="26">
        <f>((CurrentMtgRatesDataTable8711[[#This Row],[SeriesNumValue]]-$C$1)/$C$1+1)*100</f>
        <v>267.19647708325869</v>
      </c>
      <c r="E98" s="26"/>
      <c r="G98" s="3" t="s">
        <v>78</v>
      </c>
      <c r="H98" s="21">
        <v>0</v>
      </c>
      <c r="I98" s="21" t="str">
        <f>YEAR(CurrentMtgRatesDataTable871112[[#This Row],[asofdate]])&amp;"-"&amp;MONTH(CurrentMtgRatesDataTable871112[[#This Row],[asofdate]])</f>
        <v>2007-11</v>
      </c>
      <c r="J98" s="40">
        <f>VLOOKUP(CurrentMtgRatesDataTable871112[[#This Row],[asofdate]],Q:AE,15,0)*100</f>
        <v>6.3819830264385651</v>
      </c>
      <c r="K98" s="40">
        <f>VLOOKUP(CurrentMtgRatesDataTable871112[[#This Row],[asofdate]],Q:AE,4,0)*100</f>
        <v>2.5456936115816999</v>
      </c>
      <c r="L98" s="40">
        <f>VLOOKUP(CurrentMtgRatesDataTable871112[[#This Row],[asofdate]],Q:AE,5,0)*100</f>
        <v>11.8620974906118</v>
      </c>
      <c r="M98" s="40">
        <f>VLOOKUP(CurrentMtgRatesDataTable871112[[#This Row],[asofdate]],Q:AE,6,0)*100</f>
        <v>9.9820189534489714</v>
      </c>
      <c r="N98" s="40">
        <f>VLOOKUP(CurrentMtgRatesDataTable871112[[#This Row],[asofdate]],Q:AF,16,0)*100</f>
        <v>11.092545822794678</v>
      </c>
      <c r="Q98" s="3" t="s">
        <v>117</v>
      </c>
      <c r="R98" s="21">
        <v>1.01283020433927E-2</v>
      </c>
      <c r="S98" s="29" t="str">
        <f>YEAR(CurrentMtgRatesDataTable8711121314[[#This Row],[asofdate]])&amp;"-"&amp;MONTH(CurrentMtgRatesDataTable8711121314[[#This Row],[asofdate]])</f>
        <v>2011-2</v>
      </c>
      <c r="T98" s="37">
        <f>CurrentMtgRatesDataTable8711121314[[#This Row],[SeriesNumValue]]</f>
        <v>1.01283020433927E-2</v>
      </c>
      <c r="U98" s="37">
        <f>VLOOKUP(CurrentMtgRatesDataTable8711121314[[#This Row],[asofdate]],B:D,2,0)</f>
        <v>4.0079471562488797E-2</v>
      </c>
      <c r="V98" s="37">
        <f>IF(VLOOKUP(CurrentMtgRatesDataTable8711121314[[#This Row],[asofdate]],G:H,2,0)&lt;&gt;0,VLOOKUP(CurrentMtgRatesDataTable8711121314[[#This Row],[asofdate]],G:H,2,0),V97)</f>
        <v>4.2674310047092101E-2</v>
      </c>
      <c r="W98" s="37">
        <f>CurrentMtgRatesDataTable8711121314[[#This Row],[FHA]]+0.5*CurrentMtgRatesDataTable8711121314[[#This Row],[Conventional]]</f>
        <v>4.5143622584185146E-2</v>
      </c>
      <c r="X98" s="37">
        <f>2*CurrentMtgRatesDataTable8711121314[[#This Row],[FHA]]</f>
        <v>8.0158943124977594E-2</v>
      </c>
      <c r="Y98" s="19">
        <f>VLOOKUP(YEAR(CurrentMtgRatesDataTable8711121314[[#This Row],[asofdate]]),OriginationVolume!$A:$N,8,FALSE)</f>
        <v>0.66643598615916955</v>
      </c>
      <c r="Z98" s="19">
        <f>VLOOKUP(YEAR(CurrentMtgRatesDataTable8711121314[[#This Row],[asofdate]]),OriginationVolume!$A:$N,9,FALSE)</f>
        <v>5.0865051903114189E-2</v>
      </c>
      <c r="AA98" s="19">
        <f>VLOOKUP(YEAR(CurrentMtgRatesDataTable8711121314[[#This Row],[asofdate]]),OriginationVolume!$A:$N,10,FALSE)</f>
        <v>0.15259515570934257</v>
      </c>
      <c r="AB98" s="19">
        <f>VLOOKUP(YEAR(CurrentMtgRatesDataTable8711121314[[#This Row],[asofdate]]),OriginationVolume!$A:$N,11,FALSE)</f>
        <v>0.11764705882352941</v>
      </c>
      <c r="AC98" s="19">
        <f>VLOOKUP(YEAR(CurrentMtgRatesDataTable8711121314[[#This Row],[asofdate]]),OriginationVolume!$A:$N,12,FALSE)</f>
        <v>9.688581314878892E-3</v>
      </c>
      <c r="AD98" s="19">
        <f>VLOOKUP(YEAR(CurrentMtgRatesDataTable8711121314[[#This Row],[asofdate]]),OriginationVolume!$A:$N,13,FALSE)</f>
        <v>2.7681660899653978E-3</v>
      </c>
      <c r="AE9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1.6887265032410021E-2</v>
      </c>
      <c r="AF9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1.4225839553485433E-2</v>
      </c>
      <c r="AG98" s="3" t="s">
        <v>117</v>
      </c>
      <c r="AH98" s="5">
        <v>7336184000</v>
      </c>
      <c r="AI98" s="26"/>
      <c r="AK98" s="3" t="s">
        <v>117</v>
      </c>
      <c r="AL98" s="5">
        <v>1215721000</v>
      </c>
      <c r="AM98" s="26"/>
      <c r="AO98" s="3" t="s">
        <v>117</v>
      </c>
      <c r="AP98" s="5">
        <v>19595722018.380001</v>
      </c>
      <c r="AQ98" s="29"/>
      <c r="AS98" s="3" t="s">
        <v>117</v>
      </c>
      <c r="AT98" s="5">
        <v>11043817018.379999</v>
      </c>
      <c r="AU98" s="29" t="str">
        <f>YEAR(CurrentMtgRatesDataTable871112131417[[#This Row],[asofdate]])&amp;"-"&amp;MONTH(CurrentMtgRatesDataTable871112131417[[#This Row],[asofdate]])</f>
        <v>2011-2</v>
      </c>
      <c r="AV98" s="29">
        <f>CurrentMtgRatesDataTable871112131417[[#This Row],[SeriesNumValue]]</f>
        <v>11043817018.379999</v>
      </c>
      <c r="AW98" s="29">
        <f>VLOOKUP(CurrentMtgRatesDataTable871112131417[[#This Row],[asofdate]],AG:AH,2,0)</f>
        <v>7336184000</v>
      </c>
      <c r="AX98" s="25">
        <f>IF(VLOOKUP(CurrentMtgRatesDataTable871112131417[[#This Row],[asofdate]],AK:AL,2,0)&lt;&gt;0,VLOOKUP(CurrentMtgRatesDataTable871112131417[[#This Row],[asofdate]],AK:AL,2,0),AX97)</f>
        <v>1215721000</v>
      </c>
      <c r="AY98" s="25">
        <f>VLOOKUP(CurrentMtgRatesDataTable871112131417[[#This Row],[asofdate]],AO:AP,2,0)</f>
        <v>19595722018.380001</v>
      </c>
    </row>
    <row r="99" spans="2:51" s="4" customFormat="1">
      <c r="B99" s="3" t="s">
        <v>118</v>
      </c>
      <c r="C99" s="21">
        <v>4.3811617029674503E-2</v>
      </c>
      <c r="D99" s="26">
        <f>((CurrentMtgRatesDataTable8711[[#This Row],[SeriesNumValue]]-$C$1)/$C$1+1)*100</f>
        <v>292.07744686449672</v>
      </c>
      <c r="E99" s="26"/>
      <c r="G99" s="3" t="s">
        <v>77</v>
      </c>
      <c r="H99" s="21">
        <v>9.9820189534489706E-2</v>
      </c>
      <c r="I99" s="21" t="str">
        <f>YEAR(CurrentMtgRatesDataTable871112[[#This Row],[asofdate]])&amp;"-"&amp;MONTH(CurrentMtgRatesDataTable871112[[#This Row],[asofdate]])</f>
        <v>2007-10</v>
      </c>
      <c r="J99" s="40">
        <f>VLOOKUP(CurrentMtgRatesDataTable871112[[#This Row],[asofdate]],Q:AE,15,0)*100</f>
        <v>6.4712981723017036</v>
      </c>
      <c r="K99" s="40">
        <f>VLOOKUP(CurrentMtgRatesDataTable871112[[#This Row],[asofdate]],Q:AE,4,0)*100</f>
        <v>2.4060060280724</v>
      </c>
      <c r="L99" s="40">
        <f>VLOOKUP(CurrentMtgRatesDataTable871112[[#This Row],[asofdate]],Q:AE,5,0)*100</f>
        <v>12.419172153184601</v>
      </c>
      <c r="M99" s="40">
        <f>VLOOKUP(CurrentMtgRatesDataTable871112[[#This Row],[asofdate]],Q:AE,6,0)*100</f>
        <v>9.9820189534489714</v>
      </c>
      <c r="N99" s="40">
        <f>VLOOKUP(CurrentMtgRatesDataTable871112[[#This Row],[asofdate]],Q:AF,16,0)*100</f>
        <v>11.458859989276945</v>
      </c>
      <c r="Q99" s="3" t="s">
        <v>118</v>
      </c>
      <c r="R99" s="21">
        <v>1.13508512550948E-2</v>
      </c>
      <c r="S99" s="29" t="str">
        <f>YEAR(CurrentMtgRatesDataTable8711121314[[#This Row],[asofdate]])&amp;"-"&amp;MONTH(CurrentMtgRatesDataTable8711121314[[#This Row],[asofdate]])</f>
        <v>2011-3</v>
      </c>
      <c r="T99" s="37">
        <f>CurrentMtgRatesDataTable8711121314[[#This Row],[SeriesNumValue]]</f>
        <v>1.13508512550948E-2</v>
      </c>
      <c r="U99" s="37">
        <f>VLOOKUP(CurrentMtgRatesDataTable8711121314[[#This Row],[asofdate]],B:D,2,0)</f>
        <v>4.3811617029674503E-2</v>
      </c>
      <c r="V99" s="37">
        <f>IF(VLOOKUP(CurrentMtgRatesDataTable8711121314[[#This Row],[asofdate]],G:H,2,0)&lt;&gt;0,VLOOKUP(CurrentMtgRatesDataTable8711121314[[#This Row],[asofdate]],G:H,2,0),V98)</f>
        <v>4.7347657775073798E-2</v>
      </c>
      <c r="W99" s="37">
        <f>CurrentMtgRatesDataTable8711121314[[#This Row],[FHA]]+0.5*CurrentMtgRatesDataTable8711121314[[#This Row],[Conventional]]</f>
        <v>4.9487042657221904E-2</v>
      </c>
      <c r="X99" s="37">
        <f>2*CurrentMtgRatesDataTable8711121314[[#This Row],[FHA]]</f>
        <v>8.7623234059349006E-2</v>
      </c>
      <c r="Y99" s="19">
        <f>VLOOKUP(YEAR(CurrentMtgRatesDataTable8711121314[[#This Row],[asofdate]]),OriginationVolume!$A:$N,8,FALSE)</f>
        <v>0.66643598615916955</v>
      </c>
      <c r="Z99" s="19">
        <f>VLOOKUP(YEAR(CurrentMtgRatesDataTable8711121314[[#This Row],[asofdate]]),OriginationVolume!$A:$N,9,FALSE)</f>
        <v>5.0865051903114189E-2</v>
      </c>
      <c r="AA99" s="19">
        <f>VLOOKUP(YEAR(CurrentMtgRatesDataTable8711121314[[#This Row],[asofdate]]),OriginationVolume!$A:$N,10,FALSE)</f>
        <v>0.15259515570934257</v>
      </c>
      <c r="AB99" s="19">
        <f>VLOOKUP(YEAR(CurrentMtgRatesDataTable8711121314[[#This Row],[asofdate]]),OriginationVolume!$A:$N,11,FALSE)</f>
        <v>0.11764705882352941</v>
      </c>
      <c r="AC99" s="19">
        <f>VLOOKUP(YEAR(CurrentMtgRatesDataTable8711121314[[#This Row],[asofdate]]),OriginationVolume!$A:$N,12,FALSE)</f>
        <v>9.688581314878892E-3</v>
      </c>
      <c r="AD99" s="19">
        <f>VLOOKUP(YEAR(CurrentMtgRatesDataTable8711121314[[#This Row],[asofdate]]),OriginationVolume!$A:$N,13,FALSE)</f>
        <v>2.7681660899653978E-3</v>
      </c>
      <c r="AE9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1.8715806510015271E-2</v>
      </c>
      <c r="AF9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1.5813597057471377E-2</v>
      </c>
      <c r="AG99" s="3" t="s">
        <v>118</v>
      </c>
      <c r="AH99" s="5">
        <v>4523772000</v>
      </c>
      <c r="AI99" s="26"/>
      <c r="AK99" s="3" t="s">
        <v>118</v>
      </c>
      <c r="AL99" s="5">
        <v>860403000</v>
      </c>
      <c r="AM99" s="26"/>
      <c r="AO99" s="3" t="s">
        <v>118</v>
      </c>
      <c r="AP99" s="5">
        <v>12517854062.799999</v>
      </c>
      <c r="AQ99" s="29"/>
      <c r="AS99" s="3" t="s">
        <v>118</v>
      </c>
      <c r="AT99" s="5">
        <v>7133679062.8000002</v>
      </c>
      <c r="AU99" s="29" t="str">
        <f>YEAR(CurrentMtgRatesDataTable871112131417[[#This Row],[asofdate]])&amp;"-"&amp;MONTH(CurrentMtgRatesDataTable871112131417[[#This Row],[asofdate]])</f>
        <v>2011-3</v>
      </c>
      <c r="AV99" s="29">
        <f>CurrentMtgRatesDataTable871112131417[[#This Row],[SeriesNumValue]]</f>
        <v>7133679062.8000002</v>
      </c>
      <c r="AW99" s="29">
        <f>VLOOKUP(CurrentMtgRatesDataTable871112131417[[#This Row],[asofdate]],AG:AH,2,0)</f>
        <v>4523772000</v>
      </c>
      <c r="AX99" s="25">
        <f>IF(VLOOKUP(CurrentMtgRatesDataTable871112131417[[#This Row],[asofdate]],AK:AL,2,0)&lt;&gt;0,VLOOKUP(CurrentMtgRatesDataTable871112131417[[#This Row],[asofdate]],AK:AL,2,0),AX98)</f>
        <v>860403000</v>
      </c>
      <c r="AY99" s="25">
        <f>VLOOKUP(CurrentMtgRatesDataTable871112131417[[#This Row],[asofdate]],AO:AP,2,0)</f>
        <v>12517854062.799999</v>
      </c>
    </row>
    <row r="100" spans="2:51" s="4" customFormat="1">
      <c r="B100" s="3" t="s">
        <v>119</v>
      </c>
      <c r="C100" s="21">
        <v>4.3426562211492999E-2</v>
      </c>
      <c r="D100" s="26">
        <f>((CurrentMtgRatesDataTable8711[[#This Row],[SeriesNumValue]]-$C$1)/$C$1+1)*100</f>
        <v>289.51041474328667</v>
      </c>
      <c r="E100" s="26"/>
      <c r="G100" s="3" t="s">
        <v>76</v>
      </c>
      <c r="H100" s="21">
        <v>0</v>
      </c>
      <c r="I100" s="21" t="str">
        <f>YEAR(CurrentMtgRatesDataTable871112[[#This Row],[asofdate]])&amp;"-"&amp;MONTH(CurrentMtgRatesDataTable871112[[#This Row],[asofdate]])</f>
        <v>2007-9</v>
      </c>
      <c r="J100" s="40">
        <f>VLOOKUP(CurrentMtgRatesDataTable871112[[#This Row],[asofdate]],Q:AE,15,0)*100</f>
        <v>5.7594444626793129</v>
      </c>
      <c r="K100" s="40">
        <f>VLOOKUP(CurrentMtgRatesDataTable871112[[#This Row],[asofdate]],Q:AE,4,0)*100</f>
        <v>2.2340967435251802</v>
      </c>
      <c r="L100" s="40">
        <f>VLOOKUP(CurrentMtgRatesDataTable871112[[#This Row],[asofdate]],Q:AE,5,0)*100</f>
        <v>10.910090538364701</v>
      </c>
      <c r="M100" s="40">
        <f>VLOOKUP(CurrentMtgRatesDataTable871112[[#This Row],[asofdate]],Q:AE,6,0)*100</f>
        <v>7.3171463970122792</v>
      </c>
      <c r="N100" s="40">
        <f>VLOOKUP(CurrentMtgRatesDataTable871112[[#This Row],[asofdate]],Q:AF,16,0)*100</f>
        <v>10.13830890993499</v>
      </c>
      <c r="Q100" s="3" t="s">
        <v>119</v>
      </c>
      <c r="R100" s="21">
        <v>1.12627930078745E-2</v>
      </c>
      <c r="S100" s="29" t="str">
        <f>YEAR(CurrentMtgRatesDataTable8711121314[[#This Row],[asofdate]])&amp;"-"&amp;MONTH(CurrentMtgRatesDataTable8711121314[[#This Row],[asofdate]])</f>
        <v>2011-4</v>
      </c>
      <c r="T100" s="37">
        <f>CurrentMtgRatesDataTable8711121314[[#This Row],[SeriesNumValue]]</f>
        <v>1.12627930078745E-2</v>
      </c>
      <c r="U100" s="37">
        <f>VLOOKUP(CurrentMtgRatesDataTable8711121314[[#This Row],[asofdate]],B:D,2,0)</f>
        <v>4.3426562211492999E-2</v>
      </c>
      <c r="V100" s="37">
        <f>IF(VLOOKUP(CurrentMtgRatesDataTable8711121314[[#This Row],[asofdate]],G:H,2,0)&lt;&gt;0,VLOOKUP(CurrentMtgRatesDataTable8711121314[[#This Row],[asofdate]],G:H,2,0),V99)</f>
        <v>4.6889622090334801E-2</v>
      </c>
      <c r="W100" s="37">
        <f>CurrentMtgRatesDataTable8711121314[[#This Row],[FHA]]+0.5*CurrentMtgRatesDataTable8711121314[[#This Row],[Conventional]]</f>
        <v>4.9057958715430248E-2</v>
      </c>
      <c r="X100" s="37">
        <f>2*CurrentMtgRatesDataTable8711121314[[#This Row],[FHA]]</f>
        <v>8.6853124422985997E-2</v>
      </c>
      <c r="Y100" s="19">
        <f>VLOOKUP(YEAR(CurrentMtgRatesDataTable8711121314[[#This Row],[asofdate]]),OriginationVolume!$A:$N,8,FALSE)</f>
        <v>0.66643598615916955</v>
      </c>
      <c r="Z100" s="19">
        <f>VLOOKUP(YEAR(CurrentMtgRatesDataTable8711121314[[#This Row],[asofdate]]),OriginationVolume!$A:$N,9,FALSE)</f>
        <v>5.0865051903114189E-2</v>
      </c>
      <c r="AA100" s="19">
        <f>VLOOKUP(YEAR(CurrentMtgRatesDataTable8711121314[[#This Row],[asofdate]]),OriginationVolume!$A:$N,10,FALSE)</f>
        <v>0.15259515570934257</v>
      </c>
      <c r="AB100" s="19">
        <f>VLOOKUP(YEAR(CurrentMtgRatesDataTable8711121314[[#This Row],[asofdate]]),OriginationVolume!$A:$N,11,FALSE)</f>
        <v>0.11764705882352941</v>
      </c>
      <c r="AC100" s="19">
        <f>VLOOKUP(YEAR(CurrentMtgRatesDataTable8711121314[[#This Row],[asofdate]]),OriginationVolume!$A:$N,12,FALSE)</f>
        <v>9.688581314878892E-3</v>
      </c>
      <c r="AD100" s="19">
        <f>VLOOKUP(YEAR(CurrentMtgRatesDataTable8711121314[[#This Row],[asofdate]]),OriginationVolume!$A:$N,13,FALSE)</f>
        <v>2.7681660899653978E-3</v>
      </c>
      <c r="AE10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1.8558417016542272E-2</v>
      </c>
      <c r="AF10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1.5685631548120384E-2</v>
      </c>
      <c r="AG100" s="3" t="s">
        <v>119</v>
      </c>
      <c r="AH100" s="5">
        <v>4510409000</v>
      </c>
      <c r="AI100" s="26"/>
      <c r="AK100" s="3" t="s">
        <v>119</v>
      </c>
      <c r="AL100" s="5">
        <v>834045000</v>
      </c>
      <c r="AM100" s="26"/>
      <c r="AO100" s="3" t="s">
        <v>119</v>
      </c>
      <c r="AP100" s="5">
        <v>11968693481.92</v>
      </c>
      <c r="AQ100" s="29"/>
      <c r="AS100" s="3" t="s">
        <v>119</v>
      </c>
      <c r="AT100" s="5">
        <v>6624239481.9200001</v>
      </c>
      <c r="AU100" s="29" t="str">
        <f>YEAR(CurrentMtgRatesDataTable871112131417[[#This Row],[asofdate]])&amp;"-"&amp;MONTH(CurrentMtgRatesDataTable871112131417[[#This Row],[asofdate]])</f>
        <v>2011-4</v>
      </c>
      <c r="AV100" s="29">
        <f>CurrentMtgRatesDataTable871112131417[[#This Row],[SeriesNumValue]]</f>
        <v>6624239481.9200001</v>
      </c>
      <c r="AW100" s="29">
        <f>VLOOKUP(CurrentMtgRatesDataTable871112131417[[#This Row],[asofdate]],AG:AH,2,0)</f>
        <v>4510409000</v>
      </c>
      <c r="AX100" s="25">
        <f>IF(VLOOKUP(CurrentMtgRatesDataTable871112131417[[#This Row],[asofdate]],AK:AL,2,0)&lt;&gt;0,VLOOKUP(CurrentMtgRatesDataTable871112131417[[#This Row],[asofdate]],AK:AL,2,0),AX99)</f>
        <v>834045000</v>
      </c>
      <c r="AY100" s="25">
        <f>VLOOKUP(CurrentMtgRatesDataTable871112131417[[#This Row],[asofdate]],AO:AP,2,0)</f>
        <v>11968693481.92</v>
      </c>
    </row>
    <row r="101" spans="2:51" s="4" customFormat="1">
      <c r="B101" s="3" t="s">
        <v>120</v>
      </c>
      <c r="C101" s="21">
        <v>4.7030864544221701E-2</v>
      </c>
      <c r="D101" s="26">
        <f>((CurrentMtgRatesDataTable8711[[#This Row],[SeriesNumValue]]-$C$1)/$C$1+1)*100</f>
        <v>313.53909696147804</v>
      </c>
      <c r="E101" s="26"/>
      <c r="G101" s="3" t="s">
        <v>75</v>
      </c>
      <c r="H101" s="21">
        <v>7.3171463970122794E-2</v>
      </c>
      <c r="I101" s="21" t="str">
        <f>YEAR(CurrentMtgRatesDataTable871112[[#This Row],[asofdate]])&amp;"-"&amp;MONTH(CurrentMtgRatesDataTable871112[[#This Row],[asofdate]])</f>
        <v>2007-8</v>
      </c>
      <c r="J101" s="40">
        <f>VLOOKUP(CurrentMtgRatesDataTable871112[[#This Row],[asofdate]],Q:AE,15,0)*100</f>
        <v>5.1419308670780941</v>
      </c>
      <c r="K101" s="40">
        <f>VLOOKUP(CurrentMtgRatesDataTable871112[[#This Row],[asofdate]],Q:AE,4,0)*100</f>
        <v>2.0795248102935102</v>
      </c>
      <c r="L101" s="40">
        <f>VLOOKUP(CurrentMtgRatesDataTable871112[[#This Row],[asofdate]],Q:AE,5,0)*100</f>
        <v>9.5228743774607896</v>
      </c>
      <c r="M101" s="40">
        <f>VLOOKUP(CurrentMtgRatesDataTable871112[[#This Row],[asofdate]],Q:AE,6,0)*100</f>
        <v>7.3171463970122792</v>
      </c>
      <c r="N101" s="40">
        <f>VLOOKUP(CurrentMtgRatesDataTable871112[[#This Row],[asofdate]],Q:AF,16,0)*100</f>
        <v>8.9264591663258468</v>
      </c>
      <c r="Q101" s="3" t="s">
        <v>120</v>
      </c>
      <c r="R101" s="21">
        <v>1.23644975040067E-2</v>
      </c>
      <c r="S101" s="29" t="str">
        <f>YEAR(CurrentMtgRatesDataTable8711121314[[#This Row],[asofdate]])&amp;"-"&amp;MONTH(CurrentMtgRatesDataTable8711121314[[#This Row],[asofdate]])</f>
        <v>2011-5</v>
      </c>
      <c r="T101" s="37">
        <f>CurrentMtgRatesDataTable8711121314[[#This Row],[SeriesNumValue]]</f>
        <v>1.23644975040067E-2</v>
      </c>
      <c r="U101" s="37">
        <f>VLOOKUP(CurrentMtgRatesDataTable8711121314[[#This Row],[asofdate]],B:D,2,0)</f>
        <v>4.7030864544221701E-2</v>
      </c>
      <c r="V101" s="37">
        <f>IF(VLOOKUP(CurrentMtgRatesDataTable8711121314[[#This Row],[asofdate]],G:H,2,0)&lt;&gt;0,VLOOKUP(CurrentMtgRatesDataTable8711121314[[#This Row],[asofdate]],G:H,2,0),V100)</f>
        <v>5.1291471977601498E-2</v>
      </c>
      <c r="W101" s="37">
        <f>CurrentMtgRatesDataTable8711121314[[#This Row],[FHA]]+0.5*CurrentMtgRatesDataTable8711121314[[#This Row],[Conventional]]</f>
        <v>5.3213113296225051E-2</v>
      </c>
      <c r="X101" s="37">
        <f>2*CurrentMtgRatesDataTable8711121314[[#This Row],[FHA]]</f>
        <v>9.4061729088443402E-2</v>
      </c>
      <c r="Y101" s="19">
        <f>VLOOKUP(YEAR(CurrentMtgRatesDataTable8711121314[[#This Row],[asofdate]]),OriginationVolume!$A:$N,8,FALSE)</f>
        <v>0.66643598615916955</v>
      </c>
      <c r="Z101" s="19">
        <f>VLOOKUP(YEAR(CurrentMtgRatesDataTable8711121314[[#This Row],[asofdate]]),OriginationVolume!$A:$N,9,FALSE)</f>
        <v>5.0865051903114189E-2</v>
      </c>
      <c r="AA101" s="19">
        <f>VLOOKUP(YEAR(CurrentMtgRatesDataTable8711121314[[#This Row],[asofdate]]),OriginationVolume!$A:$N,10,FALSE)</f>
        <v>0.15259515570934257</v>
      </c>
      <c r="AB101" s="19">
        <f>VLOOKUP(YEAR(CurrentMtgRatesDataTable8711121314[[#This Row],[asofdate]]),OriginationVolume!$A:$N,11,FALSE)</f>
        <v>0.11764705882352941</v>
      </c>
      <c r="AC101" s="19">
        <f>VLOOKUP(YEAR(CurrentMtgRatesDataTable8711121314[[#This Row],[asofdate]]),OriginationVolume!$A:$N,12,FALSE)</f>
        <v>9.688581314878892E-3</v>
      </c>
      <c r="AD101" s="19">
        <f>VLOOKUP(YEAR(CurrentMtgRatesDataTable8711121314[[#This Row],[asofdate]]),OriginationVolume!$A:$N,13,FALSE)</f>
        <v>2.7681660899653978E-3</v>
      </c>
      <c r="AE10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2.0256356399235374E-2</v>
      </c>
      <c r="AF10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1.7144654671181186E-2</v>
      </c>
      <c r="AG101" s="3" t="s">
        <v>120</v>
      </c>
      <c r="AH101" s="5">
        <v>6264608000</v>
      </c>
      <c r="AI101" s="26"/>
      <c r="AK101" s="3" t="s">
        <v>120</v>
      </c>
      <c r="AL101" s="5">
        <v>1068440000</v>
      </c>
      <c r="AM101" s="26"/>
      <c r="AO101" s="3" t="s">
        <v>120</v>
      </c>
      <c r="AP101" s="5">
        <v>16128105234.540001</v>
      </c>
      <c r="AQ101" s="29"/>
      <c r="AS101" s="3" t="s">
        <v>120</v>
      </c>
      <c r="AT101" s="5">
        <v>8795057234.5400009</v>
      </c>
      <c r="AU101" s="29" t="str">
        <f>YEAR(CurrentMtgRatesDataTable871112131417[[#This Row],[asofdate]])&amp;"-"&amp;MONTH(CurrentMtgRatesDataTable871112131417[[#This Row],[asofdate]])</f>
        <v>2011-5</v>
      </c>
      <c r="AV101" s="29">
        <f>CurrentMtgRatesDataTable871112131417[[#This Row],[SeriesNumValue]]</f>
        <v>8795057234.5400009</v>
      </c>
      <c r="AW101" s="29">
        <f>VLOOKUP(CurrentMtgRatesDataTable871112131417[[#This Row],[asofdate]],AG:AH,2,0)</f>
        <v>6264608000</v>
      </c>
      <c r="AX101" s="25">
        <f>IF(VLOOKUP(CurrentMtgRatesDataTable871112131417[[#This Row],[asofdate]],AK:AL,2,0)&lt;&gt;0,VLOOKUP(CurrentMtgRatesDataTable871112131417[[#This Row],[asofdate]],AK:AL,2,0),AX100)</f>
        <v>1068440000</v>
      </c>
      <c r="AY101" s="25">
        <f>VLOOKUP(CurrentMtgRatesDataTable871112131417[[#This Row],[asofdate]],AO:AP,2,0)</f>
        <v>16128105234.540001</v>
      </c>
    </row>
    <row r="102" spans="2:51" s="4" customFormat="1">
      <c r="B102" s="3" t="s">
        <v>121</v>
      </c>
      <c r="C102" s="21">
        <v>4.7169554670103801E-2</v>
      </c>
      <c r="D102" s="26">
        <f>((CurrentMtgRatesDataTable8711[[#This Row],[SeriesNumValue]]-$C$1)/$C$1+1)*100</f>
        <v>314.46369780069199</v>
      </c>
      <c r="E102" s="26"/>
      <c r="G102" s="3" t="s">
        <v>74</v>
      </c>
      <c r="H102" s="21">
        <v>9.0262087142296804E-2</v>
      </c>
      <c r="I102" s="21" t="str">
        <f>YEAR(CurrentMtgRatesDataTable871112[[#This Row],[asofdate]])&amp;"-"&amp;MONTH(CurrentMtgRatesDataTable871112[[#This Row],[asofdate]])</f>
        <v>2007-7</v>
      </c>
      <c r="J102" s="40">
        <f>VLOOKUP(CurrentMtgRatesDataTable871112[[#This Row],[asofdate]],Q:AE,15,0)*100</f>
        <v>5.9875863036514456</v>
      </c>
      <c r="K102" s="40">
        <f>VLOOKUP(CurrentMtgRatesDataTable871112[[#This Row],[asofdate]],Q:AE,4,0)*100</f>
        <v>2.2137845183631497</v>
      </c>
      <c r="L102" s="40">
        <f>VLOOKUP(CurrentMtgRatesDataTable871112[[#This Row],[asofdate]],Q:AE,5,0)*100</f>
        <v>11.526275108716</v>
      </c>
      <c r="M102" s="40">
        <f>VLOOKUP(CurrentMtgRatesDataTable871112[[#This Row],[asofdate]],Q:AE,6,0)*100</f>
        <v>9.0262087142296803</v>
      </c>
      <c r="N102" s="40">
        <f>VLOOKUP(CurrentMtgRatesDataTable871112[[#This Row],[asofdate]],Q:AF,16,0)*100</f>
        <v>10.623532100849781</v>
      </c>
      <c r="Q102" s="3" t="s">
        <v>121</v>
      </c>
      <c r="R102" s="21">
        <v>1.22665245776873E-2</v>
      </c>
      <c r="S102" s="29" t="str">
        <f>YEAR(CurrentMtgRatesDataTable8711121314[[#This Row],[asofdate]])&amp;"-"&amp;MONTH(CurrentMtgRatesDataTable8711121314[[#This Row],[asofdate]])</f>
        <v>2011-6</v>
      </c>
      <c r="T102" s="37">
        <f>CurrentMtgRatesDataTable8711121314[[#This Row],[SeriesNumValue]]</f>
        <v>1.22665245776873E-2</v>
      </c>
      <c r="U102" s="37">
        <f>VLOOKUP(CurrentMtgRatesDataTable8711121314[[#This Row],[asofdate]],B:D,2,0)</f>
        <v>4.7169554670103801E-2</v>
      </c>
      <c r="V102" s="37">
        <f>IF(VLOOKUP(CurrentMtgRatesDataTable8711121314[[#This Row],[asofdate]],G:H,2,0)&lt;&gt;0,VLOOKUP(CurrentMtgRatesDataTable8711121314[[#This Row],[asofdate]],G:H,2,0),V101)</f>
        <v>5.1146663651552397E-2</v>
      </c>
      <c r="W102" s="37">
        <f>CurrentMtgRatesDataTable8711121314[[#This Row],[FHA]]+0.5*CurrentMtgRatesDataTable8711121314[[#This Row],[Conventional]]</f>
        <v>5.3302816958947452E-2</v>
      </c>
      <c r="X102" s="37">
        <f>2*CurrentMtgRatesDataTable8711121314[[#This Row],[FHA]]</f>
        <v>9.4339109340207603E-2</v>
      </c>
      <c r="Y102" s="19">
        <f>VLOOKUP(YEAR(CurrentMtgRatesDataTable8711121314[[#This Row],[asofdate]]),OriginationVolume!$A:$N,8,FALSE)</f>
        <v>0.66643598615916955</v>
      </c>
      <c r="Z102" s="19">
        <f>VLOOKUP(YEAR(CurrentMtgRatesDataTable8711121314[[#This Row],[asofdate]]),OriginationVolume!$A:$N,9,FALSE)</f>
        <v>5.0865051903114189E-2</v>
      </c>
      <c r="AA102" s="19">
        <f>VLOOKUP(YEAR(CurrentMtgRatesDataTable8711121314[[#This Row],[asofdate]]),OriginationVolume!$A:$N,10,FALSE)</f>
        <v>0.15259515570934257</v>
      </c>
      <c r="AB102" s="19">
        <f>VLOOKUP(YEAR(CurrentMtgRatesDataTable8711121314[[#This Row],[asofdate]]),OriginationVolume!$A:$N,11,FALSE)</f>
        <v>0.11764705882352941</v>
      </c>
      <c r="AC102" s="19">
        <f>VLOOKUP(YEAR(CurrentMtgRatesDataTable8711121314[[#This Row],[asofdate]]),OriginationVolume!$A:$N,12,FALSE)</f>
        <v>9.688581314878892E-3</v>
      </c>
      <c r="AD102" s="19">
        <f>VLOOKUP(YEAR(CurrentMtgRatesDataTable8711121314[[#This Row],[asofdate]]),OriginationVolume!$A:$N,13,FALSE)</f>
        <v>2.7681660899653978E-3</v>
      </c>
      <c r="AE10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2.0194972183012312E-2</v>
      </c>
      <c r="AF10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1.7068643898898592E-2</v>
      </c>
      <c r="AG102" s="3" t="s">
        <v>121</v>
      </c>
      <c r="AH102" s="5">
        <v>6733364000</v>
      </c>
      <c r="AI102" s="26"/>
      <c r="AK102" s="3" t="s">
        <v>121</v>
      </c>
      <c r="AL102" s="5">
        <v>1178013000</v>
      </c>
      <c r="AM102" s="26"/>
      <c r="AO102" s="3" t="s">
        <v>121</v>
      </c>
      <c r="AP102" s="5">
        <v>17029511603.32</v>
      </c>
      <c r="AQ102" s="29"/>
      <c r="AS102" s="3" t="s">
        <v>121</v>
      </c>
      <c r="AT102" s="5">
        <v>9118134603.3199997</v>
      </c>
      <c r="AU102" s="29" t="str">
        <f>YEAR(CurrentMtgRatesDataTable871112131417[[#This Row],[asofdate]])&amp;"-"&amp;MONTH(CurrentMtgRatesDataTable871112131417[[#This Row],[asofdate]])</f>
        <v>2011-6</v>
      </c>
      <c r="AV102" s="29">
        <f>CurrentMtgRatesDataTable871112131417[[#This Row],[SeriesNumValue]]</f>
        <v>9118134603.3199997</v>
      </c>
      <c r="AW102" s="29">
        <f>VLOOKUP(CurrentMtgRatesDataTable871112131417[[#This Row],[asofdate]],AG:AH,2,0)</f>
        <v>6733364000</v>
      </c>
      <c r="AX102" s="25">
        <f>IF(VLOOKUP(CurrentMtgRatesDataTable871112131417[[#This Row],[asofdate]],AK:AL,2,0)&lt;&gt;0,VLOOKUP(CurrentMtgRatesDataTable871112131417[[#This Row],[asofdate]],AK:AL,2,0),AX101)</f>
        <v>1178013000</v>
      </c>
      <c r="AY102" s="25">
        <f>VLOOKUP(CurrentMtgRatesDataTable871112131417[[#This Row],[asofdate]],AO:AP,2,0)</f>
        <v>17029511603.32</v>
      </c>
    </row>
    <row r="103" spans="2:51" s="4" customFormat="1">
      <c r="B103" s="3" t="s">
        <v>122</v>
      </c>
      <c r="C103" s="21">
        <v>5.01318953503316E-2</v>
      </c>
      <c r="D103" s="26">
        <f>((CurrentMtgRatesDataTable8711[[#This Row],[SeriesNumValue]]-$C$1)/$C$1+1)*100</f>
        <v>334.21263566887734</v>
      </c>
      <c r="E103" s="26"/>
      <c r="G103" s="3" t="s">
        <v>73</v>
      </c>
      <c r="H103" s="21">
        <v>7.6040970936058994E-2</v>
      </c>
      <c r="I103" s="21" t="str">
        <f>YEAR(CurrentMtgRatesDataTable871112[[#This Row],[asofdate]])&amp;"-"&amp;MONTH(CurrentMtgRatesDataTable871112[[#This Row],[asofdate]])</f>
        <v>2007-6</v>
      </c>
      <c r="J103" s="40">
        <f>VLOOKUP(CurrentMtgRatesDataTable871112[[#This Row],[asofdate]],Q:AE,15,0)*100</f>
        <v>5.8169862591925208</v>
      </c>
      <c r="K103" s="40">
        <f>VLOOKUP(CurrentMtgRatesDataTable871112[[#This Row],[asofdate]],Q:AE,4,0)*100</f>
        <v>2.1071832143085101</v>
      </c>
      <c r="L103" s="40">
        <f>VLOOKUP(CurrentMtgRatesDataTable871112[[#This Row],[asofdate]],Q:AE,5,0)*100</f>
        <v>11.3390111014102</v>
      </c>
      <c r="M103" s="40">
        <f>VLOOKUP(CurrentMtgRatesDataTable871112[[#This Row],[asofdate]],Q:AE,6,0)*100</f>
        <v>7.6040970936058994</v>
      </c>
      <c r="N103" s="40">
        <f>VLOOKUP(CurrentMtgRatesDataTable871112[[#This Row],[asofdate]],Q:AF,16,0)*100</f>
        <v>10.40880558252246</v>
      </c>
      <c r="Q103" s="3" t="s">
        <v>122</v>
      </c>
      <c r="R103" s="21">
        <v>1.3548661533222499E-2</v>
      </c>
      <c r="S103" s="29" t="str">
        <f>YEAR(CurrentMtgRatesDataTable8711121314[[#This Row],[asofdate]])&amp;"-"&amp;MONTH(CurrentMtgRatesDataTable8711121314[[#This Row],[asofdate]])</f>
        <v>2011-7</v>
      </c>
      <c r="T103" s="37">
        <f>CurrentMtgRatesDataTable8711121314[[#This Row],[SeriesNumValue]]</f>
        <v>1.3548661533222499E-2</v>
      </c>
      <c r="U103" s="37">
        <f>VLOOKUP(CurrentMtgRatesDataTable8711121314[[#This Row],[asofdate]],B:D,2,0)</f>
        <v>5.01318953503316E-2</v>
      </c>
      <c r="V103" s="37">
        <f>IF(VLOOKUP(CurrentMtgRatesDataTable8711121314[[#This Row],[asofdate]],G:H,2,0)&lt;&gt;0,VLOOKUP(CurrentMtgRatesDataTable8711121314[[#This Row],[asofdate]],G:H,2,0),V102)</f>
        <v>5.2659002166967103E-2</v>
      </c>
      <c r="W103" s="37">
        <f>CurrentMtgRatesDataTable8711121314[[#This Row],[FHA]]+0.5*CurrentMtgRatesDataTable8711121314[[#This Row],[Conventional]]</f>
        <v>5.6906226116942848E-2</v>
      </c>
      <c r="X103" s="37">
        <f>2*CurrentMtgRatesDataTable8711121314[[#This Row],[FHA]]</f>
        <v>0.1002637907006632</v>
      </c>
      <c r="Y103" s="19">
        <f>VLOOKUP(YEAR(CurrentMtgRatesDataTable8711121314[[#This Row],[asofdate]]),OriginationVolume!$A:$N,8,FALSE)</f>
        <v>0.66643598615916955</v>
      </c>
      <c r="Z103" s="19">
        <f>VLOOKUP(YEAR(CurrentMtgRatesDataTable8711121314[[#This Row],[asofdate]]),OriginationVolume!$A:$N,9,FALSE)</f>
        <v>5.0865051903114189E-2</v>
      </c>
      <c r="AA103" s="19">
        <f>VLOOKUP(YEAR(CurrentMtgRatesDataTable8711121314[[#This Row],[asofdate]]),OriginationVolume!$A:$N,10,FALSE)</f>
        <v>0.15259515570934257</v>
      </c>
      <c r="AB103" s="19">
        <f>VLOOKUP(YEAR(CurrentMtgRatesDataTable8711121314[[#This Row],[asofdate]]),OriginationVolume!$A:$N,11,FALSE)</f>
        <v>0.11764705882352941</v>
      </c>
      <c r="AC103" s="19">
        <f>VLOOKUP(YEAR(CurrentMtgRatesDataTable8711121314[[#This Row],[asofdate]]),OriginationVolume!$A:$N,12,FALSE)</f>
        <v>9.688581314878892E-3</v>
      </c>
      <c r="AD103" s="19">
        <f>VLOOKUP(YEAR(CurrentMtgRatesDataTable8711121314[[#This Row],[asofdate]]),OriginationVolume!$A:$N,13,FALSE)</f>
        <v>2.7681660899653978E-3</v>
      </c>
      <c r="AE10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2.1780550470312209E-2</v>
      </c>
      <c r="AF10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1.8622419090891899E-2</v>
      </c>
      <c r="AG103" s="3" t="s">
        <v>122</v>
      </c>
      <c r="AH103" s="5">
        <v>7397565000</v>
      </c>
      <c r="AI103" s="26"/>
      <c r="AK103" s="3" t="s">
        <v>122</v>
      </c>
      <c r="AL103" s="5">
        <v>1403411000</v>
      </c>
      <c r="AM103" s="26"/>
      <c r="AO103" s="3" t="s">
        <v>122</v>
      </c>
      <c r="AP103" s="5">
        <v>19200996692.759998</v>
      </c>
      <c r="AQ103" s="29"/>
      <c r="AS103" s="3" t="s">
        <v>122</v>
      </c>
      <c r="AT103" s="5">
        <v>10400020692.76</v>
      </c>
      <c r="AU103" s="29" t="str">
        <f>YEAR(CurrentMtgRatesDataTable871112131417[[#This Row],[asofdate]])&amp;"-"&amp;MONTH(CurrentMtgRatesDataTable871112131417[[#This Row],[asofdate]])</f>
        <v>2011-7</v>
      </c>
      <c r="AV103" s="29">
        <f>CurrentMtgRatesDataTable871112131417[[#This Row],[SeriesNumValue]]</f>
        <v>10400020692.76</v>
      </c>
      <c r="AW103" s="29">
        <f>VLOOKUP(CurrentMtgRatesDataTable871112131417[[#This Row],[asofdate]],AG:AH,2,0)</f>
        <v>7397565000</v>
      </c>
      <c r="AX103" s="25">
        <f>IF(VLOOKUP(CurrentMtgRatesDataTable871112131417[[#This Row],[asofdate]],AK:AL,2,0)&lt;&gt;0,VLOOKUP(CurrentMtgRatesDataTable871112131417[[#This Row],[asofdate]],AK:AL,2,0),AX102)</f>
        <v>1403411000</v>
      </c>
      <c r="AY103" s="25">
        <f>VLOOKUP(CurrentMtgRatesDataTable871112131417[[#This Row],[asofdate]],AO:AP,2,0)</f>
        <v>19200996692.759998</v>
      </c>
    </row>
    <row r="104" spans="2:51" s="4" customFormat="1">
      <c r="B104" s="3" t="s">
        <v>123</v>
      </c>
      <c r="C104" s="21">
        <v>4.9767969979469202E-2</v>
      </c>
      <c r="D104" s="26">
        <f>((CurrentMtgRatesDataTable8711[[#This Row],[SeriesNumValue]]-$C$1)/$C$1+1)*100</f>
        <v>331.78646652979472</v>
      </c>
      <c r="E104" s="26"/>
      <c r="G104" s="3" t="s">
        <v>72</v>
      </c>
      <c r="H104" s="21">
        <v>9.4059593281205903E-2</v>
      </c>
      <c r="I104" s="21" t="str">
        <f>YEAR(CurrentMtgRatesDataTable871112[[#This Row],[asofdate]])&amp;"-"&amp;MONTH(CurrentMtgRatesDataTable871112[[#This Row],[asofdate]])</f>
        <v>2007-5</v>
      </c>
      <c r="J104" s="40">
        <f>VLOOKUP(CurrentMtgRatesDataTable871112[[#This Row],[asofdate]],Q:AE,15,0)*100</f>
        <v>5.6459020362866816</v>
      </c>
      <c r="K104" s="40">
        <f>VLOOKUP(CurrentMtgRatesDataTable871112[[#This Row],[asofdate]],Q:AE,4,0)*100</f>
        <v>2.04223422000622</v>
      </c>
      <c r="L104" s="40">
        <f>VLOOKUP(CurrentMtgRatesDataTable871112[[#This Row],[asofdate]],Q:AE,5,0)*100</f>
        <v>10.9331088924152</v>
      </c>
      <c r="M104" s="40">
        <f>VLOOKUP(CurrentMtgRatesDataTable871112[[#This Row],[asofdate]],Q:AE,6,0)*100</f>
        <v>9.4059593281205895</v>
      </c>
      <c r="N104" s="40">
        <f>VLOOKUP(CurrentMtgRatesDataTable871112[[#This Row],[asofdate]],Q:AF,16,0)*100</f>
        <v>10.042453631609098</v>
      </c>
      <c r="Q104" s="3" t="s">
        <v>123</v>
      </c>
      <c r="R104" s="21">
        <v>1.35046347973401E-2</v>
      </c>
      <c r="S104" s="29" t="str">
        <f>YEAR(CurrentMtgRatesDataTable8711121314[[#This Row],[asofdate]])&amp;"-"&amp;MONTH(CurrentMtgRatesDataTable8711121314[[#This Row],[asofdate]])</f>
        <v>2011-8</v>
      </c>
      <c r="T104" s="37">
        <f>CurrentMtgRatesDataTable8711121314[[#This Row],[SeriesNumValue]]</f>
        <v>1.35046347973401E-2</v>
      </c>
      <c r="U104" s="37">
        <f>VLOOKUP(CurrentMtgRatesDataTable8711121314[[#This Row],[asofdate]],B:D,2,0)</f>
        <v>4.9767969979469202E-2</v>
      </c>
      <c r="V104" s="37">
        <f>IF(VLOOKUP(CurrentMtgRatesDataTable8711121314[[#This Row],[asofdate]],G:H,2,0)&lt;&gt;0,VLOOKUP(CurrentMtgRatesDataTable8711121314[[#This Row],[asofdate]],G:H,2,0),V103)</f>
        <v>5.0209840006234303E-2</v>
      </c>
      <c r="W104" s="37">
        <f>CurrentMtgRatesDataTable8711121314[[#This Row],[FHA]]+0.5*CurrentMtgRatesDataTable8711121314[[#This Row],[Conventional]]</f>
        <v>5.6520287378139251E-2</v>
      </c>
      <c r="X104" s="37">
        <f>2*CurrentMtgRatesDataTable8711121314[[#This Row],[FHA]]</f>
        <v>9.9535939958938405E-2</v>
      </c>
      <c r="Y104" s="19">
        <f>VLOOKUP(YEAR(CurrentMtgRatesDataTable8711121314[[#This Row],[asofdate]]),OriginationVolume!$A:$N,8,FALSE)</f>
        <v>0.66643598615916955</v>
      </c>
      <c r="Z104" s="19">
        <f>VLOOKUP(YEAR(CurrentMtgRatesDataTable8711121314[[#This Row],[asofdate]]),OriginationVolume!$A:$N,9,FALSE)</f>
        <v>5.0865051903114189E-2</v>
      </c>
      <c r="AA104" s="19">
        <f>VLOOKUP(YEAR(CurrentMtgRatesDataTable8711121314[[#This Row],[asofdate]]),OriginationVolume!$A:$N,10,FALSE)</f>
        <v>0.15259515570934257</v>
      </c>
      <c r="AB104" s="19">
        <f>VLOOKUP(YEAR(CurrentMtgRatesDataTable8711121314[[#This Row],[asofdate]]),OriginationVolume!$A:$N,11,FALSE)</f>
        <v>0.11764705882352941</v>
      </c>
      <c r="AC104" s="19">
        <f>VLOOKUP(YEAR(CurrentMtgRatesDataTable8711121314[[#This Row],[asofdate]]),OriginationVolume!$A:$N,12,FALSE)</f>
        <v>9.688581314878892E-3</v>
      </c>
      <c r="AD104" s="19">
        <f>VLOOKUP(YEAR(CurrentMtgRatesDataTable8711121314[[#This Row],[asofdate]]),OriginationVolume!$A:$N,13,FALSE)</f>
        <v>2.7681660899653978E-3</v>
      </c>
      <c r="AE10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2.1560165833527486E-2</v>
      </c>
      <c r="AF10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1.8538381375944255E-2</v>
      </c>
      <c r="AG104" s="3" t="s">
        <v>123</v>
      </c>
      <c r="AH104" s="5">
        <v>8156290000</v>
      </c>
      <c r="AI104" s="26"/>
      <c r="AK104" s="3" t="s">
        <v>123</v>
      </c>
      <c r="AL104" s="5">
        <v>1900169000</v>
      </c>
      <c r="AM104" s="26"/>
      <c r="AO104" s="3" t="s">
        <v>123</v>
      </c>
      <c r="AP104" s="5">
        <v>23478300195.93</v>
      </c>
      <c r="AQ104" s="29"/>
      <c r="AS104" s="3" t="s">
        <v>123</v>
      </c>
      <c r="AT104" s="5">
        <v>13421841195.93</v>
      </c>
      <c r="AU104" s="29" t="str">
        <f>YEAR(CurrentMtgRatesDataTable871112131417[[#This Row],[asofdate]])&amp;"-"&amp;MONTH(CurrentMtgRatesDataTable871112131417[[#This Row],[asofdate]])</f>
        <v>2011-8</v>
      </c>
      <c r="AV104" s="29">
        <f>CurrentMtgRatesDataTable871112131417[[#This Row],[SeriesNumValue]]</f>
        <v>13421841195.93</v>
      </c>
      <c r="AW104" s="29">
        <f>VLOOKUP(CurrentMtgRatesDataTable871112131417[[#This Row],[asofdate]],AG:AH,2,0)</f>
        <v>8156290000</v>
      </c>
      <c r="AX104" s="25">
        <f>IF(VLOOKUP(CurrentMtgRatesDataTable871112131417[[#This Row],[asofdate]],AK:AL,2,0)&lt;&gt;0,VLOOKUP(CurrentMtgRatesDataTable871112131417[[#This Row],[asofdate]],AK:AL,2,0),AX103)</f>
        <v>1900169000</v>
      </c>
      <c r="AY104" s="25">
        <f>VLOOKUP(CurrentMtgRatesDataTable871112131417[[#This Row],[asofdate]],AO:AP,2,0)</f>
        <v>23478300195.93</v>
      </c>
    </row>
    <row r="105" spans="2:51" s="4" customFormat="1">
      <c r="B105" s="3" t="s">
        <v>124</v>
      </c>
      <c r="C105" s="21">
        <v>4.8609534038481103E-2</v>
      </c>
      <c r="D105" s="26">
        <f>((CurrentMtgRatesDataTable8711[[#This Row],[SeriesNumValue]]-$C$1)/$C$1+1)*100</f>
        <v>324.06356025654071</v>
      </c>
      <c r="E105" s="26"/>
      <c r="G105" s="3" t="s">
        <v>71</v>
      </c>
      <c r="H105" s="21">
        <v>8.5720663516440795E-2</v>
      </c>
      <c r="I105" s="21" t="str">
        <f>YEAR(CurrentMtgRatesDataTable871112[[#This Row],[asofdate]])&amp;"-"&amp;MONTH(CurrentMtgRatesDataTable871112[[#This Row],[asofdate]])</f>
        <v>2007-4</v>
      </c>
      <c r="J105" s="40">
        <f>VLOOKUP(CurrentMtgRatesDataTable871112[[#This Row],[asofdate]],Q:AE,15,0)*100</f>
        <v>5.678927735420455</v>
      </c>
      <c r="K105" s="40">
        <f>VLOOKUP(CurrentMtgRatesDataTable871112[[#This Row],[asofdate]],Q:AE,4,0)*100</f>
        <v>1.9218681550226799</v>
      </c>
      <c r="L105" s="40">
        <f>VLOOKUP(CurrentMtgRatesDataTable871112[[#This Row],[asofdate]],Q:AE,5,0)*100</f>
        <v>11.322743894513</v>
      </c>
      <c r="M105" s="40">
        <f>VLOOKUP(CurrentMtgRatesDataTable871112[[#This Row],[asofdate]],Q:AE,6,0)*100</f>
        <v>8.5720663516440787</v>
      </c>
      <c r="N105" s="40">
        <f>VLOOKUP(CurrentMtgRatesDataTable871112[[#This Row],[asofdate]],Q:AF,16,0)*100</f>
        <v>10.285147085944168</v>
      </c>
      <c r="Q105" s="3" t="s">
        <v>124</v>
      </c>
      <c r="R105" s="21">
        <v>1.3295891282051799E-2</v>
      </c>
      <c r="S105" s="29" t="str">
        <f>YEAR(CurrentMtgRatesDataTable8711121314[[#This Row],[asofdate]])&amp;"-"&amp;MONTH(CurrentMtgRatesDataTable8711121314[[#This Row],[asofdate]])</f>
        <v>2011-9</v>
      </c>
      <c r="T105" s="37">
        <f>CurrentMtgRatesDataTable8711121314[[#This Row],[SeriesNumValue]]</f>
        <v>1.3295891282051799E-2</v>
      </c>
      <c r="U105" s="37">
        <f>VLOOKUP(CurrentMtgRatesDataTable8711121314[[#This Row],[asofdate]],B:D,2,0)</f>
        <v>4.8609534038481103E-2</v>
      </c>
      <c r="V105" s="37">
        <f>IF(VLOOKUP(CurrentMtgRatesDataTable8711121314[[#This Row],[asofdate]],G:H,2,0)&lt;&gt;0,VLOOKUP(CurrentMtgRatesDataTable8711121314[[#This Row],[asofdate]],G:H,2,0),V104)</f>
        <v>4.7379612469321097E-2</v>
      </c>
      <c r="W105" s="37">
        <f>CurrentMtgRatesDataTable8711121314[[#This Row],[FHA]]+0.5*CurrentMtgRatesDataTable8711121314[[#This Row],[Conventional]]</f>
        <v>5.5257479679507004E-2</v>
      </c>
      <c r="X105" s="37">
        <f>2*CurrentMtgRatesDataTable8711121314[[#This Row],[FHA]]</f>
        <v>9.7219068076962206E-2</v>
      </c>
      <c r="Y105" s="19">
        <f>VLOOKUP(YEAR(CurrentMtgRatesDataTable8711121314[[#This Row],[asofdate]]),OriginationVolume!$A:$N,8,FALSE)</f>
        <v>0.66643598615916955</v>
      </c>
      <c r="Z105" s="19">
        <f>VLOOKUP(YEAR(CurrentMtgRatesDataTable8711121314[[#This Row],[asofdate]]),OriginationVolume!$A:$N,9,FALSE)</f>
        <v>5.0865051903114189E-2</v>
      </c>
      <c r="AA105" s="19">
        <f>VLOOKUP(YEAR(CurrentMtgRatesDataTable8711121314[[#This Row],[asofdate]]),OriginationVolume!$A:$N,10,FALSE)</f>
        <v>0.15259515570934257</v>
      </c>
      <c r="AB105" s="19">
        <f>VLOOKUP(YEAR(CurrentMtgRatesDataTable8711121314[[#This Row],[asofdate]]),OriginationVolume!$A:$N,11,FALSE)</f>
        <v>0.11764705882352941</v>
      </c>
      <c r="AC105" s="19">
        <f>VLOOKUP(YEAR(CurrentMtgRatesDataTable8711121314[[#This Row],[asofdate]]),OriginationVolume!$A:$N,12,FALSE)</f>
        <v>9.688581314878892E-3</v>
      </c>
      <c r="AD105" s="19">
        <f>VLOOKUP(YEAR(CurrentMtgRatesDataTable8711121314[[#This Row],[asofdate]]),OriginationVolume!$A:$N,13,FALSE)</f>
        <v>2.7681660899653978E-3</v>
      </c>
      <c r="AE10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2.1057113897831017E-2</v>
      </c>
      <c r="AF10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1.8206289924307197E-2</v>
      </c>
      <c r="AG105" s="3" t="s">
        <v>124</v>
      </c>
      <c r="AH105" s="5">
        <v>7439272000</v>
      </c>
      <c r="AI105" s="26"/>
      <c r="AK105" s="3" t="s">
        <v>124</v>
      </c>
      <c r="AL105" s="5">
        <v>1853986000</v>
      </c>
      <c r="AM105" s="26"/>
      <c r="AO105" s="3" t="s">
        <v>124</v>
      </c>
      <c r="AP105" s="5">
        <v>21651222384.169998</v>
      </c>
      <c r="AQ105" s="29"/>
      <c r="AS105" s="3" t="s">
        <v>124</v>
      </c>
      <c r="AT105" s="5">
        <v>12357964384.17</v>
      </c>
      <c r="AU105" s="29" t="str">
        <f>YEAR(CurrentMtgRatesDataTable871112131417[[#This Row],[asofdate]])&amp;"-"&amp;MONTH(CurrentMtgRatesDataTable871112131417[[#This Row],[asofdate]])</f>
        <v>2011-9</v>
      </c>
      <c r="AV105" s="29">
        <f>CurrentMtgRatesDataTable871112131417[[#This Row],[SeriesNumValue]]</f>
        <v>12357964384.17</v>
      </c>
      <c r="AW105" s="29">
        <f>VLOOKUP(CurrentMtgRatesDataTable871112131417[[#This Row],[asofdate]],AG:AH,2,0)</f>
        <v>7439272000</v>
      </c>
      <c r="AX105" s="25">
        <f>IF(VLOOKUP(CurrentMtgRatesDataTable871112131417[[#This Row],[asofdate]],AK:AL,2,0)&lt;&gt;0,VLOOKUP(CurrentMtgRatesDataTable871112131417[[#This Row],[asofdate]],AK:AL,2,0),AX104)</f>
        <v>1853986000</v>
      </c>
      <c r="AY105" s="25">
        <f>VLOOKUP(CurrentMtgRatesDataTable871112131417[[#This Row],[asofdate]],AO:AP,2,0)</f>
        <v>21651222384.169998</v>
      </c>
    </row>
    <row r="106" spans="2:51" s="4" customFormat="1">
      <c r="B106" s="3" t="s">
        <v>125</v>
      </c>
      <c r="C106" s="21">
        <v>5.28969377612565E-2</v>
      </c>
      <c r="D106" s="26">
        <f>((CurrentMtgRatesDataTable8711[[#This Row],[SeriesNumValue]]-$C$1)/$C$1+1)*100</f>
        <v>352.64625174171005</v>
      </c>
      <c r="E106" s="26"/>
      <c r="G106" s="3" t="s">
        <v>70</v>
      </c>
      <c r="H106" s="21">
        <v>0</v>
      </c>
      <c r="I106" s="21" t="str">
        <f>YEAR(CurrentMtgRatesDataTable871112[[#This Row],[asofdate]])&amp;"-"&amp;MONTH(CurrentMtgRatesDataTable871112[[#This Row],[asofdate]])</f>
        <v>2007-3</v>
      </c>
      <c r="J106" s="40">
        <f>VLOOKUP(CurrentMtgRatesDataTable871112[[#This Row],[asofdate]],Q:AE,15,0)*100</f>
        <v>5.1926367849731658</v>
      </c>
      <c r="K106" s="40">
        <f>VLOOKUP(CurrentMtgRatesDataTable871112[[#This Row],[asofdate]],Q:AE,4,0)*100</f>
        <v>1.8106452720528399</v>
      </c>
      <c r="L106" s="40">
        <f>VLOOKUP(CurrentMtgRatesDataTable871112[[#This Row],[asofdate]],Q:AE,5,0)*100</f>
        <v>10.1950777887985</v>
      </c>
      <c r="M106" s="40">
        <f>VLOOKUP(CurrentMtgRatesDataTable871112[[#This Row],[asofdate]],Q:AE,6,0)*100</f>
        <v>8.8833892051242795</v>
      </c>
      <c r="N106" s="40">
        <f>VLOOKUP(CurrentMtgRatesDataTable871112[[#This Row],[asofdate]],Q:AF,16,0)*100</f>
        <v>9.3086417528529086</v>
      </c>
      <c r="Q106" s="3" t="s">
        <v>125</v>
      </c>
      <c r="R106" s="21">
        <v>1.45289945276896E-2</v>
      </c>
      <c r="S106" s="29" t="str">
        <f>YEAR(CurrentMtgRatesDataTable8711121314[[#This Row],[asofdate]])&amp;"-"&amp;MONTH(CurrentMtgRatesDataTable8711121314[[#This Row],[asofdate]])</f>
        <v>2011-10</v>
      </c>
      <c r="T106" s="37">
        <f>CurrentMtgRatesDataTable8711121314[[#This Row],[SeriesNumValue]]</f>
        <v>1.45289945276896E-2</v>
      </c>
      <c r="U106" s="37">
        <f>VLOOKUP(CurrentMtgRatesDataTable8711121314[[#This Row],[asofdate]],B:D,2,0)</f>
        <v>5.28969377612565E-2</v>
      </c>
      <c r="V106" s="37">
        <f>IF(VLOOKUP(CurrentMtgRatesDataTable8711121314[[#This Row],[asofdate]],G:H,2,0)&lt;&gt;0,VLOOKUP(CurrentMtgRatesDataTable8711121314[[#This Row],[asofdate]],G:H,2,0),V105)</f>
        <v>5.1907866082719203E-2</v>
      </c>
      <c r="W106" s="37">
        <f>CurrentMtgRatesDataTable8711121314[[#This Row],[FHA]]+0.5*CurrentMtgRatesDataTable8711121314[[#This Row],[Conventional]]</f>
        <v>6.0161435025101302E-2</v>
      </c>
      <c r="X106" s="37">
        <f>2*CurrentMtgRatesDataTable8711121314[[#This Row],[FHA]]</f>
        <v>0.105793875522513</v>
      </c>
      <c r="Y106" s="19">
        <f>VLOOKUP(YEAR(CurrentMtgRatesDataTable8711121314[[#This Row],[asofdate]]),OriginationVolume!$A:$N,8,FALSE)</f>
        <v>0.66643598615916955</v>
      </c>
      <c r="Z106" s="19">
        <f>VLOOKUP(YEAR(CurrentMtgRatesDataTable8711121314[[#This Row],[asofdate]]),OriginationVolume!$A:$N,9,FALSE)</f>
        <v>5.0865051903114189E-2</v>
      </c>
      <c r="AA106" s="19">
        <f>VLOOKUP(YEAR(CurrentMtgRatesDataTable8711121314[[#This Row],[asofdate]]),OriginationVolume!$A:$N,10,FALSE)</f>
        <v>0.15259515570934257</v>
      </c>
      <c r="AB106" s="19">
        <f>VLOOKUP(YEAR(CurrentMtgRatesDataTable8711121314[[#This Row],[asofdate]]),OriginationVolume!$A:$N,11,FALSE)</f>
        <v>0.11764705882352941</v>
      </c>
      <c r="AC106" s="19">
        <f>VLOOKUP(YEAR(CurrentMtgRatesDataTable8711121314[[#This Row],[asofdate]]),OriginationVolume!$A:$N,12,FALSE)</f>
        <v>9.688581314878892E-3</v>
      </c>
      <c r="AD106" s="19">
        <f>VLOOKUP(YEAR(CurrentMtgRatesDataTable8711121314[[#This Row],[asofdate]]),OriginationVolume!$A:$N,13,FALSE)</f>
        <v>2.7681660899653978E-3</v>
      </c>
      <c r="AE10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2.2979785000519518E-2</v>
      </c>
      <c r="AF10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1.9868960968876078E-2</v>
      </c>
      <c r="AG106" s="3" t="s">
        <v>125</v>
      </c>
      <c r="AH106" s="5">
        <v>7975850000</v>
      </c>
      <c r="AI106" s="26"/>
      <c r="AK106" s="3" t="s">
        <v>125</v>
      </c>
      <c r="AL106" s="5">
        <v>2094241000</v>
      </c>
      <c r="AM106" s="26"/>
      <c r="AO106" s="3" t="s">
        <v>125</v>
      </c>
      <c r="AP106" s="5">
        <v>23348020211.02</v>
      </c>
      <c r="AQ106" s="29"/>
      <c r="AS106" s="3" t="s">
        <v>125</v>
      </c>
      <c r="AT106" s="5">
        <v>13277929211.02</v>
      </c>
      <c r="AU106" s="29" t="str">
        <f>YEAR(CurrentMtgRatesDataTable871112131417[[#This Row],[asofdate]])&amp;"-"&amp;MONTH(CurrentMtgRatesDataTable871112131417[[#This Row],[asofdate]])</f>
        <v>2011-10</v>
      </c>
      <c r="AV106" s="29">
        <f>CurrentMtgRatesDataTable871112131417[[#This Row],[SeriesNumValue]]</f>
        <v>13277929211.02</v>
      </c>
      <c r="AW106" s="29">
        <f>VLOOKUP(CurrentMtgRatesDataTable871112131417[[#This Row],[asofdate]],AG:AH,2,0)</f>
        <v>7975850000</v>
      </c>
      <c r="AX106" s="25">
        <f>IF(VLOOKUP(CurrentMtgRatesDataTable871112131417[[#This Row],[asofdate]],AK:AL,2,0)&lt;&gt;0,VLOOKUP(CurrentMtgRatesDataTable871112131417[[#This Row],[asofdate]],AK:AL,2,0),AX105)</f>
        <v>2094241000</v>
      </c>
      <c r="AY106" s="25">
        <f>VLOOKUP(CurrentMtgRatesDataTable871112131417[[#This Row],[asofdate]],AO:AP,2,0)</f>
        <v>23348020211.02</v>
      </c>
    </row>
    <row r="107" spans="2:51" s="4" customFormat="1">
      <c r="B107" s="3" t="s">
        <v>126</v>
      </c>
      <c r="C107" s="21">
        <v>5.2062657199863797E-2</v>
      </c>
      <c r="D107" s="26">
        <f>((CurrentMtgRatesDataTable8711[[#This Row],[SeriesNumValue]]-$C$1)/$C$1+1)*100</f>
        <v>347.08438133242532</v>
      </c>
      <c r="E107" s="26"/>
      <c r="G107" s="3" t="s">
        <v>69</v>
      </c>
      <c r="H107" s="21">
        <v>8.8833892051242799E-2</v>
      </c>
      <c r="I107" s="21" t="str">
        <f>YEAR(CurrentMtgRatesDataTable871112[[#This Row],[asofdate]])&amp;"-"&amp;MONTH(CurrentMtgRatesDataTable871112[[#This Row],[asofdate]])</f>
        <v>2007-2</v>
      </c>
      <c r="J107" s="40">
        <f>VLOOKUP(CurrentMtgRatesDataTable871112[[#This Row],[asofdate]],Q:AE,15,0)*100</f>
        <v>5.3684184628719569</v>
      </c>
      <c r="K107" s="40">
        <f>VLOOKUP(CurrentMtgRatesDataTable871112[[#This Row],[asofdate]],Q:AE,4,0)*100</f>
        <v>1.8218072306683202</v>
      </c>
      <c r="L107" s="40">
        <f>VLOOKUP(CurrentMtgRatesDataTable871112[[#This Row],[asofdate]],Q:AE,5,0)*100</f>
        <v>10.6621948942194</v>
      </c>
      <c r="M107" s="40">
        <f>VLOOKUP(CurrentMtgRatesDataTable871112[[#This Row],[asofdate]],Q:AE,6,0)*100</f>
        <v>8.8833892051242795</v>
      </c>
      <c r="N107" s="40">
        <f>VLOOKUP(CurrentMtgRatesDataTable871112[[#This Row],[asofdate]],Q:AF,16,0)*100</f>
        <v>9.6923211990068978</v>
      </c>
      <c r="Q107" s="3" t="s">
        <v>126</v>
      </c>
      <c r="R107" s="21">
        <v>1.41537331520687E-2</v>
      </c>
      <c r="S107" s="29" t="str">
        <f>YEAR(CurrentMtgRatesDataTable8711121314[[#This Row],[asofdate]])&amp;"-"&amp;MONTH(CurrentMtgRatesDataTable8711121314[[#This Row],[asofdate]])</f>
        <v>2011-11</v>
      </c>
      <c r="T107" s="37">
        <f>CurrentMtgRatesDataTable8711121314[[#This Row],[SeriesNumValue]]</f>
        <v>1.41537331520687E-2</v>
      </c>
      <c r="U107" s="37">
        <f>VLOOKUP(CurrentMtgRatesDataTable8711121314[[#This Row],[asofdate]],B:D,2,0)</f>
        <v>5.2062657199863797E-2</v>
      </c>
      <c r="V107" s="37">
        <f>IF(VLOOKUP(CurrentMtgRatesDataTable8711121314[[#This Row],[asofdate]],G:H,2,0)&lt;&gt;0,VLOOKUP(CurrentMtgRatesDataTable8711121314[[#This Row],[asofdate]],G:H,2,0),V106)</f>
        <v>5.1315061043071201E-2</v>
      </c>
      <c r="W107" s="37">
        <f>CurrentMtgRatesDataTable8711121314[[#This Row],[FHA]]+0.5*CurrentMtgRatesDataTable8711121314[[#This Row],[Conventional]]</f>
        <v>5.9139523775898151E-2</v>
      </c>
      <c r="X107" s="37">
        <f>2*CurrentMtgRatesDataTable8711121314[[#This Row],[FHA]]</f>
        <v>0.10412531439972759</v>
      </c>
      <c r="Y107" s="19">
        <f>VLOOKUP(YEAR(CurrentMtgRatesDataTable8711121314[[#This Row],[asofdate]]),OriginationVolume!$A:$N,8,FALSE)</f>
        <v>0.66643598615916955</v>
      </c>
      <c r="Z107" s="19">
        <f>VLOOKUP(YEAR(CurrentMtgRatesDataTable8711121314[[#This Row],[asofdate]]),OriginationVolume!$A:$N,9,FALSE)</f>
        <v>5.0865051903114189E-2</v>
      </c>
      <c r="AA107" s="19">
        <f>VLOOKUP(YEAR(CurrentMtgRatesDataTable8711121314[[#This Row],[asofdate]]),OriginationVolume!$A:$N,10,FALSE)</f>
        <v>0.15259515570934257</v>
      </c>
      <c r="AB107" s="19">
        <f>VLOOKUP(YEAR(CurrentMtgRatesDataTable8711121314[[#This Row],[asofdate]]),OriginationVolume!$A:$N,11,FALSE)</f>
        <v>0.11764705882352941</v>
      </c>
      <c r="AC107" s="19">
        <f>VLOOKUP(YEAR(CurrentMtgRatesDataTable8711121314[[#This Row],[asofdate]]),OriginationVolume!$A:$N,12,FALSE)</f>
        <v>9.688581314878892E-3</v>
      </c>
      <c r="AD107" s="19">
        <f>VLOOKUP(YEAR(CurrentMtgRatesDataTable8711121314[[#This Row],[asofdate]]),OriginationVolume!$A:$N,13,FALSE)</f>
        <v>2.7681660899653978E-3</v>
      </c>
      <c r="AE10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2.2513568962623545E-2</v>
      </c>
      <c r="AF10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1.9418027799538103E-2</v>
      </c>
      <c r="AG107" s="3" t="s">
        <v>126</v>
      </c>
      <c r="AH107" s="5">
        <v>7806533000</v>
      </c>
      <c r="AI107" s="26"/>
      <c r="AK107" s="3" t="s">
        <v>126</v>
      </c>
      <c r="AL107" s="5">
        <v>2126623000</v>
      </c>
      <c r="AM107" s="26"/>
      <c r="AO107" s="3" t="s">
        <v>126</v>
      </c>
      <c r="AP107" s="5">
        <v>22063440657.23</v>
      </c>
      <c r="AQ107" s="29"/>
      <c r="AS107" s="3" t="s">
        <v>126</v>
      </c>
      <c r="AT107" s="5">
        <v>12130284657.23</v>
      </c>
      <c r="AU107" s="29" t="str">
        <f>YEAR(CurrentMtgRatesDataTable871112131417[[#This Row],[asofdate]])&amp;"-"&amp;MONTH(CurrentMtgRatesDataTable871112131417[[#This Row],[asofdate]])</f>
        <v>2011-11</v>
      </c>
      <c r="AV107" s="29">
        <f>CurrentMtgRatesDataTable871112131417[[#This Row],[SeriesNumValue]]</f>
        <v>12130284657.23</v>
      </c>
      <c r="AW107" s="29">
        <f>VLOOKUP(CurrentMtgRatesDataTable871112131417[[#This Row],[asofdate]],AG:AH,2,0)</f>
        <v>7806533000</v>
      </c>
      <c r="AX107" s="25">
        <f>IF(VLOOKUP(CurrentMtgRatesDataTable871112131417[[#This Row],[asofdate]],AK:AL,2,0)&lt;&gt;0,VLOOKUP(CurrentMtgRatesDataTable871112131417[[#This Row],[asofdate]],AK:AL,2,0),AX106)</f>
        <v>2126623000</v>
      </c>
      <c r="AY107" s="25">
        <f>VLOOKUP(CurrentMtgRatesDataTable871112131417[[#This Row],[asofdate]],AO:AP,2,0)</f>
        <v>22063440657.23</v>
      </c>
    </row>
    <row r="108" spans="2:51" s="4" customFormat="1">
      <c r="B108" s="3" t="s">
        <v>127</v>
      </c>
      <c r="C108" s="21">
        <v>4.88513891385828E-2</v>
      </c>
      <c r="D108" s="26">
        <f>((CurrentMtgRatesDataTable8711[[#This Row],[SeriesNumValue]]-$C$1)/$C$1+1)*100</f>
        <v>325.67592759055202</v>
      </c>
      <c r="E108" s="26"/>
      <c r="G108" s="3" t="s">
        <v>68</v>
      </c>
      <c r="H108" s="21">
        <v>8.7345811231672704E-2</v>
      </c>
      <c r="I108" s="21" t="str">
        <f>YEAR(CurrentMtgRatesDataTable871112[[#This Row],[asofdate]])&amp;"-"&amp;MONTH(CurrentMtgRatesDataTable871112[[#This Row],[asofdate]])</f>
        <v>2007-1</v>
      </c>
      <c r="J108" s="40">
        <f>VLOOKUP(CurrentMtgRatesDataTable871112[[#This Row],[asofdate]],Q:AE,15,0)*100</f>
        <v>5.4496657051605046</v>
      </c>
      <c r="K108" s="40">
        <f>VLOOKUP(CurrentMtgRatesDataTable871112[[#This Row],[asofdate]],Q:AE,4,0)*100</f>
        <v>1.8049062577908701</v>
      </c>
      <c r="L108" s="40">
        <f>VLOOKUP(CurrentMtgRatesDataTable871112[[#This Row],[asofdate]],Q:AE,5,0)*100</f>
        <v>10.93242256585</v>
      </c>
      <c r="M108" s="40">
        <f>VLOOKUP(CurrentMtgRatesDataTable871112[[#This Row],[asofdate]],Q:AE,6,0)*100</f>
        <v>8.7345811231672705</v>
      </c>
      <c r="N108" s="40">
        <f>VLOOKUP(CurrentMtgRatesDataTable871112[[#This Row],[asofdate]],Q:AF,16,0)*100</f>
        <v>9.9003484200502676</v>
      </c>
      <c r="Q108" s="3" t="s">
        <v>127</v>
      </c>
      <c r="R108" s="21">
        <v>1.3330284117289501E-2</v>
      </c>
      <c r="S108" s="29" t="str">
        <f>YEAR(CurrentMtgRatesDataTable8711121314[[#This Row],[asofdate]])&amp;"-"&amp;MONTH(CurrentMtgRatesDataTable8711121314[[#This Row],[asofdate]])</f>
        <v>2011-12</v>
      </c>
      <c r="T108" s="37">
        <f>CurrentMtgRatesDataTable8711121314[[#This Row],[SeriesNumValue]]</f>
        <v>1.3330284117289501E-2</v>
      </c>
      <c r="U108" s="37">
        <f>VLOOKUP(CurrentMtgRatesDataTable8711121314[[#This Row],[asofdate]],B:D,2,0)</f>
        <v>4.88513891385828E-2</v>
      </c>
      <c r="V108" s="37">
        <f>IF(VLOOKUP(CurrentMtgRatesDataTable8711121314[[#This Row],[asofdate]],G:H,2,0)&lt;&gt;0,VLOOKUP(CurrentMtgRatesDataTable8711121314[[#This Row],[asofdate]],G:H,2,0),V107)</f>
        <v>4.6816733514231698E-2</v>
      </c>
      <c r="W108" s="37">
        <f>CurrentMtgRatesDataTable8711121314[[#This Row],[FHA]]+0.5*CurrentMtgRatesDataTable8711121314[[#This Row],[Conventional]]</f>
        <v>5.5516531197227548E-2</v>
      </c>
      <c r="X108" s="37">
        <f>2*CurrentMtgRatesDataTable8711121314[[#This Row],[FHA]]</f>
        <v>9.77027782771656E-2</v>
      </c>
      <c r="Y108" s="19">
        <f>VLOOKUP(YEAR(CurrentMtgRatesDataTable8711121314[[#This Row],[asofdate]]),OriginationVolume!$A:$N,8,FALSE)</f>
        <v>0.66643598615916955</v>
      </c>
      <c r="Z108" s="19">
        <f>VLOOKUP(YEAR(CurrentMtgRatesDataTable8711121314[[#This Row],[asofdate]]),OriginationVolume!$A:$N,9,FALSE)</f>
        <v>5.0865051903114189E-2</v>
      </c>
      <c r="AA108" s="19">
        <f>VLOOKUP(YEAR(CurrentMtgRatesDataTable8711121314[[#This Row],[asofdate]]),OriginationVolume!$A:$N,10,FALSE)</f>
        <v>0.15259515570934257</v>
      </c>
      <c r="AB108" s="19">
        <f>VLOOKUP(YEAR(CurrentMtgRatesDataTable8711121314[[#This Row],[asofdate]]),OriginationVolume!$A:$N,11,FALSE)</f>
        <v>0.11764705882352941</v>
      </c>
      <c r="AC108" s="19">
        <f>VLOOKUP(YEAR(CurrentMtgRatesDataTable8711121314[[#This Row],[asofdate]]),OriginationVolume!$A:$N,12,FALSE)</f>
        <v>9.688581314878892E-3</v>
      </c>
      <c r="AD108" s="19">
        <f>VLOOKUP(YEAR(CurrentMtgRatesDataTable8711121314[[#This Row],[asofdate]]),OriginationVolume!$A:$N,13,FALSE)</f>
        <v>2.7681660899653978E-3</v>
      </c>
      <c r="AE10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2.1096204618070859E-2</v>
      </c>
      <c r="AF10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1.826697260536736E-2</v>
      </c>
      <c r="AG108" s="3" t="s">
        <v>127</v>
      </c>
      <c r="AH108" s="5">
        <v>7661966000</v>
      </c>
      <c r="AI108" s="26"/>
      <c r="AK108" s="3" t="s">
        <v>127</v>
      </c>
      <c r="AL108" s="5">
        <v>2239074000</v>
      </c>
      <c r="AM108" s="26"/>
      <c r="AO108" s="3" t="s">
        <v>127</v>
      </c>
      <c r="AP108" s="5">
        <v>21813664361.48</v>
      </c>
      <c r="AQ108" s="29"/>
      <c r="AS108" s="3" t="s">
        <v>127</v>
      </c>
      <c r="AT108" s="5">
        <v>11912624361.48</v>
      </c>
      <c r="AU108" s="29" t="str">
        <f>YEAR(CurrentMtgRatesDataTable871112131417[[#This Row],[asofdate]])&amp;"-"&amp;MONTH(CurrentMtgRatesDataTable871112131417[[#This Row],[asofdate]])</f>
        <v>2011-12</v>
      </c>
      <c r="AV108" s="29">
        <f>CurrentMtgRatesDataTable871112131417[[#This Row],[SeriesNumValue]]</f>
        <v>11912624361.48</v>
      </c>
      <c r="AW108" s="29">
        <f>VLOOKUP(CurrentMtgRatesDataTable871112131417[[#This Row],[asofdate]],AG:AH,2,0)</f>
        <v>7661966000</v>
      </c>
      <c r="AX108" s="25">
        <f>IF(VLOOKUP(CurrentMtgRatesDataTable871112131417[[#This Row],[asofdate]],AK:AL,2,0)&lt;&gt;0,VLOOKUP(CurrentMtgRatesDataTable871112131417[[#This Row],[asofdate]],AK:AL,2,0),AX107)</f>
        <v>2239074000</v>
      </c>
      <c r="AY108" s="25">
        <f>VLOOKUP(CurrentMtgRatesDataTable871112131417[[#This Row],[asofdate]],AO:AP,2,0)</f>
        <v>21813664361.48</v>
      </c>
    </row>
    <row r="109" spans="2:51" s="4" customFormat="1">
      <c r="B109" s="3" t="s">
        <v>128</v>
      </c>
      <c r="C109" s="21">
        <v>4.9178067070710603E-2</v>
      </c>
      <c r="D109" s="26">
        <f>((CurrentMtgRatesDataTable8711[[#This Row],[SeriesNumValue]]-$C$1)/$C$1+1)*100</f>
        <v>327.85378047140404</v>
      </c>
      <c r="E109" s="26"/>
      <c r="G109" s="3" t="s">
        <v>67</v>
      </c>
      <c r="H109" s="21">
        <v>8.2485989149712502E-2</v>
      </c>
      <c r="I109" s="21" t="str">
        <f>YEAR(CurrentMtgRatesDataTable871112[[#This Row],[asofdate]])&amp;"-"&amp;MONTH(CurrentMtgRatesDataTable871112[[#This Row],[asofdate]])</f>
        <v>2006-12</v>
      </c>
      <c r="J109" s="40">
        <f>VLOOKUP(CurrentMtgRatesDataTable871112[[#This Row],[asofdate]],Q:AE,15,0)*100</f>
        <v>8.3358492754637687</v>
      </c>
      <c r="K109" s="40">
        <f>VLOOKUP(CurrentMtgRatesDataTable871112[[#This Row],[asofdate]],Q:AE,4,0)*100</f>
        <v>1.7527473353113801</v>
      </c>
      <c r="L109" s="40">
        <f>VLOOKUP(CurrentMtgRatesDataTable871112[[#This Row],[asofdate]],Q:AE,5,0)*100</f>
        <v>10.9423829061224</v>
      </c>
      <c r="M109" s="40">
        <f>VLOOKUP(CurrentMtgRatesDataTable871112[[#This Row],[asofdate]],Q:AE,6,0)*100</f>
        <v>8.2485989149712502</v>
      </c>
      <c r="N109" s="40">
        <f>VLOOKUP(CurrentMtgRatesDataTable871112[[#This Row],[asofdate]],Q:AF,16,0)*100</f>
        <v>12.634919485005119</v>
      </c>
      <c r="Q109" s="3" t="s">
        <v>128</v>
      </c>
      <c r="R109" s="21">
        <v>1.3541139321708799E-2</v>
      </c>
      <c r="S109" s="29" t="str">
        <f>YEAR(CurrentMtgRatesDataTable8711121314[[#This Row],[asofdate]])&amp;"-"&amp;MONTH(CurrentMtgRatesDataTable8711121314[[#This Row],[asofdate]])</f>
        <v>2012-1</v>
      </c>
      <c r="T109" s="37">
        <f>CurrentMtgRatesDataTable8711121314[[#This Row],[SeriesNumValue]]</f>
        <v>1.3541139321708799E-2</v>
      </c>
      <c r="U109" s="37">
        <f>VLOOKUP(CurrentMtgRatesDataTable8711121314[[#This Row],[asofdate]],B:D,2,0)</f>
        <v>4.9178067070710603E-2</v>
      </c>
      <c r="V109" s="37">
        <f>IF(VLOOKUP(CurrentMtgRatesDataTable8711121314[[#This Row],[asofdate]],G:H,2,0)&lt;&gt;0,VLOOKUP(CurrentMtgRatesDataTable8711121314[[#This Row],[asofdate]],G:H,2,0),V108)</f>
        <v>4.6387119469580601E-2</v>
      </c>
      <c r="W109" s="37">
        <f>CurrentMtgRatesDataTable8711121314[[#This Row],[FHA]]+0.5*CurrentMtgRatesDataTable8711121314[[#This Row],[Conventional]]</f>
        <v>5.5948636731564999E-2</v>
      </c>
      <c r="X109" s="37">
        <f>2*CurrentMtgRatesDataTable8711121314[[#This Row],[FHA]]</f>
        <v>9.8356134141421206E-2</v>
      </c>
      <c r="Y109" s="19">
        <f>VLOOKUP(YEAR(CurrentMtgRatesDataTable8711121314[[#This Row],[asofdate]]),OriginationVolume!$A:$N,8,FALSE)</f>
        <v>0.69267822736030826</v>
      </c>
      <c r="Z109" s="19">
        <f>VLOOKUP(YEAR(CurrentMtgRatesDataTable8711121314[[#This Row],[asofdate]]),OriginationVolume!$A:$N,9,FALSE)</f>
        <v>4.6965317919075142E-2</v>
      </c>
      <c r="AA109" s="19">
        <f>VLOOKUP(YEAR(CurrentMtgRatesDataTable8711121314[[#This Row],[asofdate]]),OriginationVolume!$A:$N,10,FALSE)</f>
        <v>0.14089595375722544</v>
      </c>
      <c r="AB109" s="19">
        <f>VLOOKUP(YEAR(CurrentMtgRatesDataTable8711121314[[#This Row],[asofdate]]),OriginationVolume!$A:$N,11,FALSE)</f>
        <v>0.10838150289017341</v>
      </c>
      <c r="AC109" s="19">
        <f>VLOOKUP(YEAR(CurrentMtgRatesDataTable8711121314[[#This Row],[asofdate]]),OriginationVolume!$A:$N,12,FALSE)</f>
        <v>9.1522157996146436E-3</v>
      </c>
      <c r="AD109" s="19">
        <f>VLOOKUP(YEAR(CurrentMtgRatesDataTable8711121314[[#This Row],[asofdate]]),OriginationVolume!$A:$N,13,FALSE)</f>
        <v>1.9267822736030828E-3</v>
      </c>
      <c r="AE10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2.0656402742261132E-2</v>
      </c>
      <c r="AF10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1.8158084604233467E-2</v>
      </c>
      <c r="AG109" s="3" t="s">
        <v>128</v>
      </c>
      <c r="AH109" s="5">
        <v>7486376000</v>
      </c>
      <c r="AI109" s="26"/>
      <c r="AK109" s="3" t="s">
        <v>128</v>
      </c>
      <c r="AL109" s="5">
        <v>2138090000</v>
      </c>
      <c r="AM109" s="26"/>
      <c r="AO109" s="3" t="s">
        <v>128</v>
      </c>
      <c r="AP109" s="5">
        <v>21634291320.59</v>
      </c>
      <c r="AQ109" s="29"/>
      <c r="AS109" s="3" t="s">
        <v>128</v>
      </c>
      <c r="AT109" s="5">
        <v>12009825320.59</v>
      </c>
      <c r="AU109" s="29" t="str">
        <f>YEAR(CurrentMtgRatesDataTable871112131417[[#This Row],[asofdate]])&amp;"-"&amp;MONTH(CurrentMtgRatesDataTable871112131417[[#This Row],[asofdate]])</f>
        <v>2012-1</v>
      </c>
      <c r="AV109" s="29">
        <f>CurrentMtgRatesDataTable871112131417[[#This Row],[SeriesNumValue]]</f>
        <v>12009825320.59</v>
      </c>
      <c r="AW109" s="29">
        <f>VLOOKUP(CurrentMtgRatesDataTable871112131417[[#This Row],[asofdate]],AG:AH,2,0)</f>
        <v>7486376000</v>
      </c>
      <c r="AX109" s="25">
        <f>IF(VLOOKUP(CurrentMtgRatesDataTable871112131417[[#This Row],[asofdate]],AK:AL,2,0)&lt;&gt;0,VLOOKUP(CurrentMtgRatesDataTable871112131417[[#This Row],[asofdate]],AK:AL,2,0),AX108)</f>
        <v>2138090000</v>
      </c>
      <c r="AY109" s="25">
        <f>VLOOKUP(CurrentMtgRatesDataTable871112131417[[#This Row],[asofdate]],AO:AP,2,0)</f>
        <v>21634291320.59</v>
      </c>
    </row>
    <row r="110" spans="2:51" s="4" customFormat="1">
      <c r="B110" s="3" t="s">
        <v>129</v>
      </c>
      <c r="C110" s="21">
        <v>4.9578391995180202E-2</v>
      </c>
      <c r="D110" s="26">
        <f>((CurrentMtgRatesDataTable8711[[#This Row],[SeriesNumValue]]-$C$1)/$C$1+1)*100</f>
        <v>330.52261330120137</v>
      </c>
      <c r="E110" s="26"/>
      <c r="G110" s="3" t="s">
        <v>66</v>
      </c>
      <c r="H110" s="21">
        <v>0.101077691508849</v>
      </c>
      <c r="I110" s="21" t="str">
        <f>YEAR(CurrentMtgRatesDataTable871112[[#This Row],[asofdate]])&amp;"-"&amp;MONTH(CurrentMtgRatesDataTable871112[[#This Row],[asofdate]])</f>
        <v>2006-11</v>
      </c>
      <c r="J110" s="40">
        <f>VLOOKUP(CurrentMtgRatesDataTable871112[[#This Row],[asofdate]],Q:AE,15,0)*100</f>
        <v>7.9494243473813286</v>
      </c>
      <c r="K110" s="40">
        <f>VLOOKUP(CurrentMtgRatesDataTable871112[[#This Row],[asofdate]],Q:AE,4,0)*100</f>
        <v>1.7975522842157501</v>
      </c>
      <c r="L110" s="40">
        <f>VLOOKUP(CurrentMtgRatesDataTable871112[[#This Row],[asofdate]],Q:AE,5,0)*100</f>
        <v>10.281303848291801</v>
      </c>
      <c r="M110" s="40">
        <f>VLOOKUP(CurrentMtgRatesDataTable871112[[#This Row],[asofdate]],Q:AE,6,0)*100</f>
        <v>10.1077691508849</v>
      </c>
      <c r="N110" s="40">
        <f>VLOOKUP(CurrentMtgRatesDataTable871112[[#This Row],[asofdate]],Q:AF,16,0)*100</f>
        <v>11.940825480090265</v>
      </c>
      <c r="Q110" s="3" t="s">
        <v>129</v>
      </c>
      <c r="R110" s="21">
        <v>1.3375190108893801E-2</v>
      </c>
      <c r="S110" s="29" t="str">
        <f>YEAR(CurrentMtgRatesDataTable8711121314[[#This Row],[asofdate]])&amp;"-"&amp;MONTH(CurrentMtgRatesDataTable8711121314[[#This Row],[asofdate]])</f>
        <v>2012-2</v>
      </c>
      <c r="T110" s="37">
        <f>CurrentMtgRatesDataTable8711121314[[#This Row],[SeriesNumValue]]</f>
        <v>1.3375190108893801E-2</v>
      </c>
      <c r="U110" s="37">
        <f>VLOOKUP(CurrentMtgRatesDataTable8711121314[[#This Row],[asofdate]],B:D,2,0)</f>
        <v>4.9578391995180202E-2</v>
      </c>
      <c r="V110" s="37">
        <f>IF(VLOOKUP(CurrentMtgRatesDataTable8711121314[[#This Row],[asofdate]],G:H,2,0)&lt;&gt;0,VLOOKUP(CurrentMtgRatesDataTable8711121314[[#This Row],[asofdate]],G:H,2,0),V109)</f>
        <v>4.71167468684561E-2</v>
      </c>
      <c r="W110" s="37">
        <f>CurrentMtgRatesDataTable8711121314[[#This Row],[FHA]]+0.5*CurrentMtgRatesDataTable8711121314[[#This Row],[Conventional]]</f>
        <v>5.6265987049627104E-2</v>
      </c>
      <c r="X110" s="37">
        <f>2*CurrentMtgRatesDataTable8711121314[[#This Row],[FHA]]</f>
        <v>9.9156783990360403E-2</v>
      </c>
      <c r="Y110" s="19">
        <f>VLOOKUP(YEAR(CurrentMtgRatesDataTable8711121314[[#This Row],[asofdate]]),OriginationVolume!$A:$N,8,FALSE)</f>
        <v>0.69267822736030826</v>
      </c>
      <c r="Z110" s="19">
        <f>VLOOKUP(YEAR(CurrentMtgRatesDataTable8711121314[[#This Row],[asofdate]]),OriginationVolume!$A:$N,9,FALSE)</f>
        <v>4.6965317919075142E-2</v>
      </c>
      <c r="AA110" s="19">
        <f>VLOOKUP(YEAR(CurrentMtgRatesDataTable8711121314[[#This Row],[asofdate]]),OriginationVolume!$A:$N,10,FALSE)</f>
        <v>0.14089595375722544</v>
      </c>
      <c r="AB110" s="19">
        <f>VLOOKUP(YEAR(CurrentMtgRatesDataTable8711121314[[#This Row],[asofdate]]),OriginationVolume!$A:$N,11,FALSE)</f>
        <v>0.10838150289017341</v>
      </c>
      <c r="AC110" s="19">
        <f>VLOOKUP(YEAR(CurrentMtgRatesDataTable8711121314[[#This Row],[asofdate]]),OriginationVolume!$A:$N,12,FALSE)</f>
        <v>9.1522157996146436E-3</v>
      </c>
      <c r="AD110" s="19">
        <f>VLOOKUP(YEAR(CurrentMtgRatesDataTable8711121314[[#This Row],[asofdate]]),OriginationVolume!$A:$N,13,FALSE)</f>
        <v>1.9267822736030828E-3</v>
      </c>
      <c r="AE11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2.0618585991936139E-2</v>
      </c>
      <c r="AF11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1.8044752679054279E-2</v>
      </c>
      <c r="AG110" s="3" t="s">
        <v>129</v>
      </c>
      <c r="AH110" s="5">
        <v>8000834000</v>
      </c>
      <c r="AI110" s="26"/>
      <c r="AK110" s="3" t="s">
        <v>129</v>
      </c>
      <c r="AL110" s="5">
        <v>2569710000</v>
      </c>
      <c r="AM110" s="26"/>
      <c r="AO110" s="3" t="s">
        <v>129</v>
      </c>
      <c r="AP110" s="5">
        <v>23641513148.34</v>
      </c>
      <c r="AQ110" s="29"/>
      <c r="AS110" s="3" t="s">
        <v>129</v>
      </c>
      <c r="AT110" s="5">
        <v>13070969148.34</v>
      </c>
      <c r="AU110" s="29" t="str">
        <f>YEAR(CurrentMtgRatesDataTable871112131417[[#This Row],[asofdate]])&amp;"-"&amp;MONTH(CurrentMtgRatesDataTable871112131417[[#This Row],[asofdate]])</f>
        <v>2012-2</v>
      </c>
      <c r="AV110" s="29">
        <f>CurrentMtgRatesDataTable871112131417[[#This Row],[SeriesNumValue]]</f>
        <v>13070969148.34</v>
      </c>
      <c r="AW110" s="29">
        <f>VLOOKUP(CurrentMtgRatesDataTable871112131417[[#This Row],[asofdate]],AG:AH,2,0)</f>
        <v>8000834000</v>
      </c>
      <c r="AX110" s="25">
        <f>IF(VLOOKUP(CurrentMtgRatesDataTable871112131417[[#This Row],[asofdate]],AK:AL,2,0)&lt;&gt;0,VLOOKUP(CurrentMtgRatesDataTable871112131417[[#This Row],[asofdate]],AK:AL,2,0),AX109)</f>
        <v>2569710000</v>
      </c>
      <c r="AY110" s="25">
        <f>VLOOKUP(CurrentMtgRatesDataTable871112131417[[#This Row],[asofdate]],AO:AP,2,0)</f>
        <v>23641513148.34</v>
      </c>
    </row>
    <row r="111" spans="2:51" s="4" customFormat="1">
      <c r="B111" s="3" t="s">
        <v>130</v>
      </c>
      <c r="C111" s="21">
        <v>4.9470745177948798E-2</v>
      </c>
      <c r="D111" s="26">
        <f>((CurrentMtgRatesDataTable8711[[#This Row],[SeriesNumValue]]-$C$1)/$C$1+1)*100</f>
        <v>329.80496785299198</v>
      </c>
      <c r="E111" s="26"/>
      <c r="G111" s="3" t="s">
        <v>65</v>
      </c>
      <c r="H111" s="21">
        <v>9.04030528968605E-2</v>
      </c>
      <c r="I111" s="21" t="str">
        <f>YEAR(CurrentMtgRatesDataTable871112[[#This Row],[asofdate]])&amp;"-"&amp;MONTH(CurrentMtgRatesDataTable871112[[#This Row],[asofdate]])</f>
        <v>2006-10</v>
      </c>
      <c r="J111" s="40">
        <f>VLOOKUP(CurrentMtgRatesDataTable871112[[#This Row],[asofdate]],Q:AE,15,0)*100</f>
        <v>8.5057477663318455</v>
      </c>
      <c r="K111" s="40">
        <f>VLOOKUP(CurrentMtgRatesDataTable871112[[#This Row],[asofdate]],Q:AE,4,0)*100</f>
        <v>1.8174335500528001</v>
      </c>
      <c r="L111" s="40">
        <f>VLOOKUP(CurrentMtgRatesDataTable871112[[#This Row],[asofdate]],Q:AE,5,0)*100</f>
        <v>11.1287570299785</v>
      </c>
      <c r="M111" s="40">
        <f>VLOOKUP(CurrentMtgRatesDataTable871112[[#This Row],[asofdate]],Q:AE,6,0)*100</f>
        <v>9.0403052896860494</v>
      </c>
      <c r="N111" s="40">
        <f>VLOOKUP(CurrentMtgRatesDataTable871112[[#This Row],[asofdate]],Q:AF,16,0)*100</f>
        <v>12.866125717568586</v>
      </c>
      <c r="Q111" s="3" t="s">
        <v>130</v>
      </c>
      <c r="R111" s="21">
        <v>1.3368199117739499E-2</v>
      </c>
      <c r="S111" s="29" t="str">
        <f>YEAR(CurrentMtgRatesDataTable8711121314[[#This Row],[asofdate]])&amp;"-"&amp;MONTH(CurrentMtgRatesDataTable8711121314[[#This Row],[asofdate]])</f>
        <v>2012-3</v>
      </c>
      <c r="T111" s="37">
        <f>CurrentMtgRatesDataTable8711121314[[#This Row],[SeriesNumValue]]</f>
        <v>1.3368199117739499E-2</v>
      </c>
      <c r="U111" s="37">
        <f>VLOOKUP(CurrentMtgRatesDataTable8711121314[[#This Row],[asofdate]],B:D,2,0)</f>
        <v>4.9470745177948798E-2</v>
      </c>
      <c r="V111" s="37">
        <f>IF(VLOOKUP(CurrentMtgRatesDataTable8711121314[[#This Row],[asofdate]],G:H,2,0)&lt;&gt;0,VLOOKUP(CurrentMtgRatesDataTable8711121314[[#This Row],[asofdate]],G:H,2,0),V110)</f>
        <v>4.6752001158217198E-2</v>
      </c>
      <c r="W111" s="37">
        <f>CurrentMtgRatesDataTable8711121314[[#This Row],[FHA]]+0.5*CurrentMtgRatesDataTable8711121314[[#This Row],[Conventional]]</f>
        <v>5.6154844736818546E-2</v>
      </c>
      <c r="X111" s="37">
        <f>2*CurrentMtgRatesDataTable8711121314[[#This Row],[FHA]]</f>
        <v>9.8941490355897596E-2</v>
      </c>
      <c r="Y111" s="19">
        <f>VLOOKUP(YEAR(CurrentMtgRatesDataTable8711121314[[#This Row],[asofdate]]),OriginationVolume!$A:$N,8,FALSE)</f>
        <v>0.69267822736030826</v>
      </c>
      <c r="Z111" s="19">
        <f>VLOOKUP(YEAR(CurrentMtgRatesDataTable8711121314[[#This Row],[asofdate]]),OriginationVolume!$A:$N,9,FALSE)</f>
        <v>4.6965317919075142E-2</v>
      </c>
      <c r="AA111" s="19">
        <f>VLOOKUP(YEAR(CurrentMtgRatesDataTable8711121314[[#This Row],[asofdate]]),OriginationVolume!$A:$N,10,FALSE)</f>
        <v>0.14089595375722544</v>
      </c>
      <c r="AB111" s="19">
        <f>VLOOKUP(YEAR(CurrentMtgRatesDataTable8711121314[[#This Row],[asofdate]]),OriginationVolume!$A:$N,11,FALSE)</f>
        <v>0.10838150289017341</v>
      </c>
      <c r="AC111" s="19">
        <f>VLOOKUP(YEAR(CurrentMtgRatesDataTable8711121314[[#This Row],[asofdate]]),OriginationVolume!$A:$N,12,FALSE)</f>
        <v>9.1522157996146436E-3</v>
      </c>
      <c r="AD111" s="19">
        <f>VLOOKUP(YEAR(CurrentMtgRatesDataTable8711121314[[#This Row],[asofdate]]),OriginationVolume!$A:$N,13,FALSE)</f>
        <v>1.9267822736030828E-3</v>
      </c>
      <c r="AE11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2.0579256368834356E-2</v>
      </c>
      <c r="AF11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1.802642263271988E-2</v>
      </c>
      <c r="AG111" s="3" t="s">
        <v>130</v>
      </c>
      <c r="AH111" s="5">
        <v>5986718000</v>
      </c>
      <c r="AI111" s="26"/>
      <c r="AK111" s="3" t="s">
        <v>130</v>
      </c>
      <c r="AL111" s="5">
        <v>1778382000</v>
      </c>
      <c r="AM111" s="26"/>
      <c r="AO111" s="3" t="s">
        <v>130</v>
      </c>
      <c r="AP111" s="5">
        <v>17503960845.209999</v>
      </c>
      <c r="AQ111" s="29"/>
      <c r="AS111" s="3" t="s">
        <v>130</v>
      </c>
      <c r="AT111" s="5">
        <v>9738860845.2099991</v>
      </c>
      <c r="AU111" s="29" t="str">
        <f>YEAR(CurrentMtgRatesDataTable871112131417[[#This Row],[asofdate]])&amp;"-"&amp;MONTH(CurrentMtgRatesDataTable871112131417[[#This Row],[asofdate]])</f>
        <v>2012-3</v>
      </c>
      <c r="AV111" s="29">
        <f>CurrentMtgRatesDataTable871112131417[[#This Row],[SeriesNumValue]]</f>
        <v>9738860845.2099991</v>
      </c>
      <c r="AW111" s="29">
        <f>VLOOKUP(CurrentMtgRatesDataTable871112131417[[#This Row],[asofdate]],AG:AH,2,0)</f>
        <v>5986718000</v>
      </c>
      <c r="AX111" s="25">
        <f>IF(VLOOKUP(CurrentMtgRatesDataTable871112131417[[#This Row],[asofdate]],AK:AL,2,0)&lt;&gt;0,VLOOKUP(CurrentMtgRatesDataTable871112131417[[#This Row],[asofdate]],AK:AL,2,0),AX110)</f>
        <v>1778382000</v>
      </c>
      <c r="AY111" s="25">
        <f>VLOOKUP(CurrentMtgRatesDataTable871112131417[[#This Row],[asofdate]],AO:AP,2,0)</f>
        <v>17503960845.209999</v>
      </c>
    </row>
    <row r="112" spans="2:51" s="4" customFormat="1">
      <c r="B112" s="3" t="s">
        <v>131</v>
      </c>
      <c r="C112" s="21">
        <v>4.8345406248694399E-2</v>
      </c>
      <c r="D112" s="26">
        <f>((CurrentMtgRatesDataTable8711[[#This Row],[SeriesNumValue]]-$C$1)/$C$1+1)*100</f>
        <v>322.30270832462935</v>
      </c>
      <c r="E112" s="26"/>
      <c r="G112" s="3" t="s">
        <v>64</v>
      </c>
      <c r="H112" s="21">
        <v>0</v>
      </c>
      <c r="I112" s="21" t="str">
        <f>YEAR(CurrentMtgRatesDataTable871112[[#This Row],[asofdate]])&amp;"-"&amp;MONTH(CurrentMtgRatesDataTable871112[[#This Row],[asofdate]])</f>
        <v>2006-9</v>
      </c>
      <c r="J112" s="40">
        <f>VLOOKUP(CurrentMtgRatesDataTable871112[[#This Row],[asofdate]],Q:AE,15,0)*100</f>
        <v>8.0946532951435621</v>
      </c>
      <c r="K112" s="40">
        <f>VLOOKUP(CurrentMtgRatesDataTable871112[[#This Row],[asofdate]],Q:AE,4,0)*100</f>
        <v>1.6294352826003</v>
      </c>
      <c r="L112" s="40">
        <f>VLOOKUP(CurrentMtgRatesDataTable871112[[#This Row],[asofdate]],Q:AE,5,0)*100</f>
        <v>10.6959828331922</v>
      </c>
      <c r="M112" s="40">
        <f>VLOOKUP(CurrentMtgRatesDataTable871112[[#This Row],[asofdate]],Q:AE,6,0)*100</f>
        <v>8.2438738787264398</v>
      </c>
      <c r="N112" s="40">
        <f>VLOOKUP(CurrentMtgRatesDataTable871112[[#This Row],[asofdate]],Q:AF,16,0)*100</f>
        <v>12.311884138699815</v>
      </c>
      <c r="Q112" s="3" t="s">
        <v>131</v>
      </c>
      <c r="R112" s="21">
        <v>1.3247374772760801E-2</v>
      </c>
      <c r="S112" s="29" t="str">
        <f>YEAR(CurrentMtgRatesDataTable8711121314[[#This Row],[asofdate]])&amp;"-"&amp;MONTH(CurrentMtgRatesDataTable8711121314[[#This Row],[asofdate]])</f>
        <v>2012-4</v>
      </c>
      <c r="T112" s="37">
        <f>CurrentMtgRatesDataTable8711121314[[#This Row],[SeriesNumValue]]</f>
        <v>1.3247374772760801E-2</v>
      </c>
      <c r="U112" s="37">
        <f>VLOOKUP(CurrentMtgRatesDataTable8711121314[[#This Row],[asofdate]],B:D,2,0)</f>
        <v>4.8345406248694399E-2</v>
      </c>
      <c r="V112" s="37">
        <f>IF(VLOOKUP(CurrentMtgRatesDataTable8711121314[[#This Row],[asofdate]],G:H,2,0)&lt;&gt;0,VLOOKUP(CurrentMtgRatesDataTable8711121314[[#This Row],[asofdate]],G:H,2,0),V111)</f>
        <v>4.5729186390120899E-2</v>
      </c>
      <c r="W112" s="37">
        <f>CurrentMtgRatesDataTable8711121314[[#This Row],[FHA]]+0.5*CurrentMtgRatesDataTable8711121314[[#This Row],[Conventional]]</f>
        <v>5.4969093635074802E-2</v>
      </c>
      <c r="X112" s="37">
        <f>2*CurrentMtgRatesDataTable8711121314[[#This Row],[FHA]]</f>
        <v>9.6690812497388798E-2</v>
      </c>
      <c r="Y112" s="19">
        <f>VLOOKUP(YEAR(CurrentMtgRatesDataTable8711121314[[#This Row],[asofdate]]),OriginationVolume!$A:$N,8,FALSE)</f>
        <v>0.69267822736030826</v>
      </c>
      <c r="Z112" s="19">
        <f>VLOOKUP(YEAR(CurrentMtgRatesDataTable8711121314[[#This Row],[asofdate]]),OriginationVolume!$A:$N,9,FALSE)</f>
        <v>4.6965317919075142E-2</v>
      </c>
      <c r="AA112" s="19">
        <f>VLOOKUP(YEAR(CurrentMtgRatesDataTable8711121314[[#This Row],[asofdate]]),OriginationVolume!$A:$N,10,FALSE)</f>
        <v>0.14089595375722544</v>
      </c>
      <c r="AB112" s="19">
        <f>VLOOKUP(YEAR(CurrentMtgRatesDataTable8711121314[[#This Row],[asofdate]]),OriginationVolume!$A:$N,11,FALSE)</f>
        <v>0.10838150289017341</v>
      </c>
      <c r="AC112" s="19">
        <f>VLOOKUP(YEAR(CurrentMtgRatesDataTable8711121314[[#This Row],[asofdate]]),OriginationVolume!$A:$N,12,FALSE)</f>
        <v>9.1522157996146436E-3</v>
      </c>
      <c r="AD112" s="19">
        <f>VLOOKUP(YEAR(CurrentMtgRatesDataTable8711121314[[#This Row],[asofdate]]),OriginationVolume!$A:$N,13,FALSE)</f>
        <v>1.9267822736030828E-3</v>
      </c>
      <c r="AE11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2.0260687512975474E-2</v>
      </c>
      <c r="AF11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1.778965868115789E-2</v>
      </c>
      <c r="AG112" s="3" t="s">
        <v>131</v>
      </c>
      <c r="AH112" s="5">
        <v>6802506000</v>
      </c>
      <c r="AI112" s="26"/>
      <c r="AK112" s="3" t="s">
        <v>131</v>
      </c>
      <c r="AL112" s="5">
        <v>2129724000</v>
      </c>
      <c r="AM112" s="26"/>
      <c r="AO112" s="3" t="s">
        <v>131</v>
      </c>
      <c r="AP112" s="5">
        <v>19871923589.490002</v>
      </c>
      <c r="AQ112" s="29"/>
      <c r="AS112" s="3" t="s">
        <v>131</v>
      </c>
      <c r="AT112" s="5">
        <v>10939693589.49</v>
      </c>
      <c r="AU112" s="29" t="str">
        <f>YEAR(CurrentMtgRatesDataTable871112131417[[#This Row],[asofdate]])&amp;"-"&amp;MONTH(CurrentMtgRatesDataTable871112131417[[#This Row],[asofdate]])</f>
        <v>2012-4</v>
      </c>
      <c r="AV112" s="29">
        <f>CurrentMtgRatesDataTable871112131417[[#This Row],[SeriesNumValue]]</f>
        <v>10939693589.49</v>
      </c>
      <c r="AW112" s="29">
        <f>VLOOKUP(CurrentMtgRatesDataTable871112131417[[#This Row],[asofdate]],AG:AH,2,0)</f>
        <v>6802506000</v>
      </c>
      <c r="AX112" s="25">
        <f>IF(VLOOKUP(CurrentMtgRatesDataTable871112131417[[#This Row],[asofdate]],AK:AL,2,0)&lt;&gt;0,VLOOKUP(CurrentMtgRatesDataTable871112131417[[#This Row],[asofdate]],AK:AL,2,0),AX111)</f>
        <v>2129724000</v>
      </c>
      <c r="AY112" s="25">
        <f>VLOOKUP(CurrentMtgRatesDataTable871112131417[[#This Row],[asofdate]],AO:AP,2,0)</f>
        <v>19871923589.490002</v>
      </c>
    </row>
    <row r="113" spans="2:51" s="4" customFormat="1">
      <c r="B113" s="3" t="s">
        <v>4</v>
      </c>
      <c r="C113" s="21">
        <v>4.7200576073014297E-2</v>
      </c>
      <c r="D113" s="26">
        <f>((CurrentMtgRatesDataTable8711[[#This Row],[SeriesNumValue]]-$C$1)/$C$1+1)*100</f>
        <v>314.67050715342867</v>
      </c>
      <c r="E113" s="26"/>
      <c r="G113" s="3" t="s">
        <v>63</v>
      </c>
      <c r="H113" s="21">
        <v>8.2438738787264404E-2</v>
      </c>
      <c r="I113" s="21" t="str">
        <f>YEAR(CurrentMtgRatesDataTable871112[[#This Row],[asofdate]])&amp;"-"&amp;MONTH(CurrentMtgRatesDataTable871112[[#This Row],[asofdate]])</f>
        <v>2006-8</v>
      </c>
      <c r="J113" s="40">
        <f>VLOOKUP(CurrentMtgRatesDataTable871112[[#This Row],[asofdate]],Q:AE,15,0)*100</f>
        <v>7.4226439630776593</v>
      </c>
      <c r="K113" s="40">
        <f>VLOOKUP(CurrentMtgRatesDataTable871112[[#This Row],[asofdate]],Q:AE,4,0)*100</f>
        <v>1.56066320797501</v>
      </c>
      <c r="L113" s="40">
        <f>VLOOKUP(CurrentMtgRatesDataTable871112[[#This Row],[asofdate]],Q:AE,5,0)*100</f>
        <v>9.7328657053947207</v>
      </c>
      <c r="M113" s="40">
        <f>VLOOKUP(CurrentMtgRatesDataTable871112[[#This Row],[asofdate]],Q:AE,6,0)*100</f>
        <v>8.2438738787264398</v>
      </c>
      <c r="N113" s="40">
        <f>VLOOKUP(CurrentMtgRatesDataTable871112[[#This Row],[asofdate]],Q:AF,16,0)*100</f>
        <v>11.239078452739568</v>
      </c>
      <c r="Q113" s="3" t="s">
        <v>4</v>
      </c>
      <c r="R113" s="21">
        <v>1.28225727158472E-2</v>
      </c>
      <c r="S113" s="29" t="str">
        <f>YEAR(CurrentMtgRatesDataTable8711121314[[#This Row],[asofdate]])&amp;"-"&amp;MONTH(CurrentMtgRatesDataTable8711121314[[#This Row],[asofdate]])</f>
        <v>2012-5</v>
      </c>
      <c r="T113" s="37">
        <f>CurrentMtgRatesDataTable8711121314[[#This Row],[SeriesNumValue]]</f>
        <v>1.28225727158472E-2</v>
      </c>
      <c r="U113" s="37">
        <f>VLOOKUP(CurrentMtgRatesDataTable8711121314[[#This Row],[asofdate]],B:D,2,0)</f>
        <v>4.7200576073014297E-2</v>
      </c>
      <c r="V113" s="37">
        <f>IF(VLOOKUP(CurrentMtgRatesDataTable8711121314[[#This Row],[asofdate]],G:H,2,0)&lt;&gt;0,VLOOKUP(CurrentMtgRatesDataTable8711121314[[#This Row],[asofdate]],G:H,2,0),V112)</f>
        <v>4.3987919201613497E-2</v>
      </c>
      <c r="W113" s="37">
        <f>CurrentMtgRatesDataTable8711121314[[#This Row],[FHA]]+0.5*CurrentMtgRatesDataTable8711121314[[#This Row],[Conventional]]</f>
        <v>5.36118624309379E-2</v>
      </c>
      <c r="X113" s="37">
        <f>2*CurrentMtgRatesDataTable8711121314[[#This Row],[FHA]]</f>
        <v>9.4401152146028594E-2</v>
      </c>
      <c r="Y113" s="19">
        <f>VLOOKUP(YEAR(CurrentMtgRatesDataTable8711121314[[#This Row],[asofdate]]),OriginationVolume!$A:$N,8,FALSE)</f>
        <v>0.69267822736030826</v>
      </c>
      <c r="Z113" s="19">
        <f>VLOOKUP(YEAR(CurrentMtgRatesDataTable8711121314[[#This Row],[asofdate]]),OriginationVolume!$A:$N,9,FALSE)</f>
        <v>4.6965317919075142E-2</v>
      </c>
      <c r="AA113" s="19">
        <f>VLOOKUP(YEAR(CurrentMtgRatesDataTable8711121314[[#This Row],[asofdate]]),OriginationVolume!$A:$N,10,FALSE)</f>
        <v>0.14089595375722544</v>
      </c>
      <c r="AB113" s="19">
        <f>VLOOKUP(YEAR(CurrentMtgRatesDataTable8711121314[[#This Row],[asofdate]]),OriginationVolume!$A:$N,11,FALSE)</f>
        <v>0.10838150289017341</v>
      </c>
      <c r="AC113" s="19">
        <f>VLOOKUP(YEAR(CurrentMtgRatesDataTable8711121314[[#This Row],[asofdate]]),OriginationVolume!$A:$N,12,FALSE)</f>
        <v>9.1522157996146436E-3</v>
      </c>
      <c r="AD113" s="19">
        <f>VLOOKUP(YEAR(CurrentMtgRatesDataTable8711121314[[#This Row],[asofdate]]),OriginationVolume!$A:$N,13,FALSE)</f>
        <v>1.9267822736030828E-3</v>
      </c>
      <c r="AE11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1.9660481235423802E-2</v>
      </c>
      <c r="AF11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1.7263342160635301E-2</v>
      </c>
      <c r="AG113" s="3" t="s">
        <v>4</v>
      </c>
      <c r="AH113" s="5">
        <v>9101987000</v>
      </c>
      <c r="AI113" s="26"/>
      <c r="AK113" s="3" t="s">
        <v>4</v>
      </c>
      <c r="AL113" s="5">
        <v>2746106000</v>
      </c>
      <c r="AM113" s="26"/>
      <c r="AO113" s="3" t="s">
        <v>4</v>
      </c>
      <c r="AP113" s="5">
        <v>26497760667.029999</v>
      </c>
      <c r="AQ113" s="29"/>
      <c r="AS113" s="3" t="s">
        <v>4</v>
      </c>
      <c r="AT113" s="5">
        <v>14649667667.030001</v>
      </c>
      <c r="AU113" s="29" t="str">
        <f>YEAR(CurrentMtgRatesDataTable871112131417[[#This Row],[asofdate]])&amp;"-"&amp;MONTH(CurrentMtgRatesDataTable871112131417[[#This Row],[asofdate]])</f>
        <v>2012-5</v>
      </c>
      <c r="AV113" s="29">
        <f>CurrentMtgRatesDataTable871112131417[[#This Row],[SeriesNumValue]]</f>
        <v>14649667667.030001</v>
      </c>
      <c r="AW113" s="29">
        <f>VLOOKUP(CurrentMtgRatesDataTable871112131417[[#This Row],[asofdate]],AG:AH,2,0)</f>
        <v>9101987000</v>
      </c>
      <c r="AX113" s="25">
        <f>IF(VLOOKUP(CurrentMtgRatesDataTable871112131417[[#This Row],[asofdate]],AK:AL,2,0)&lt;&gt;0,VLOOKUP(CurrentMtgRatesDataTable871112131417[[#This Row],[asofdate]],AK:AL,2,0),AX112)</f>
        <v>2746106000</v>
      </c>
      <c r="AY113" s="25">
        <f>VLOOKUP(CurrentMtgRatesDataTable871112131417[[#This Row],[asofdate]],AO:AP,2,0)</f>
        <v>26497760667.029999</v>
      </c>
    </row>
    <row r="114" spans="2:51" s="4" customFormat="1">
      <c r="B114" s="3" t="s">
        <v>12</v>
      </c>
      <c r="C114" s="21">
        <v>4.87455541273265E-2</v>
      </c>
      <c r="D114" s="26">
        <f>((CurrentMtgRatesDataTable8711[[#This Row],[SeriesNumValue]]-$C$1)/$C$1+1)*100</f>
        <v>324.97036084884337</v>
      </c>
      <c r="E114" s="26"/>
      <c r="G114" s="3" t="s">
        <v>62</v>
      </c>
      <c r="H114" s="21">
        <v>7.1097707040510896E-2</v>
      </c>
      <c r="I114" s="21" t="str">
        <f>YEAR(CurrentMtgRatesDataTable871112[[#This Row],[asofdate]])&amp;"-"&amp;MONTH(CurrentMtgRatesDataTable871112[[#This Row],[asofdate]])</f>
        <v>2006-7</v>
      </c>
      <c r="J114" s="40">
        <f>VLOOKUP(CurrentMtgRatesDataTable871112[[#This Row],[asofdate]],Q:AE,15,0)*100</f>
        <v>7.249289793060254</v>
      </c>
      <c r="K114" s="40">
        <f>VLOOKUP(CurrentMtgRatesDataTable871112[[#This Row],[asofdate]],Q:AE,4,0)*100</f>
        <v>1.5780549034031699</v>
      </c>
      <c r="L114" s="40">
        <f>VLOOKUP(CurrentMtgRatesDataTable871112[[#This Row],[asofdate]],Q:AE,5,0)*100</f>
        <v>9.4627360659875492</v>
      </c>
      <c r="M114" s="40">
        <f>VLOOKUP(CurrentMtgRatesDataTable871112[[#This Row],[asofdate]],Q:AE,6,0)*100</f>
        <v>7.1097707040510896</v>
      </c>
      <c r="N114" s="40">
        <f>VLOOKUP(CurrentMtgRatesDataTable871112[[#This Row],[asofdate]],Q:AF,16,0)*100</f>
        <v>10.955037189117729</v>
      </c>
      <c r="Q114" s="3" t="s">
        <v>12</v>
      </c>
      <c r="R114" s="21">
        <v>1.34595905180787E-2</v>
      </c>
      <c r="S114" s="29" t="str">
        <f>YEAR(CurrentMtgRatesDataTable8711121314[[#This Row],[asofdate]])&amp;"-"&amp;MONTH(CurrentMtgRatesDataTable8711121314[[#This Row],[asofdate]])</f>
        <v>2012-6</v>
      </c>
      <c r="T114" s="37">
        <f>CurrentMtgRatesDataTable8711121314[[#This Row],[SeriesNumValue]]</f>
        <v>1.34595905180787E-2</v>
      </c>
      <c r="U114" s="37">
        <f>VLOOKUP(CurrentMtgRatesDataTable8711121314[[#This Row],[asofdate]],B:D,2,0)</f>
        <v>4.87455541273265E-2</v>
      </c>
      <c r="V114" s="37">
        <f>IF(VLOOKUP(CurrentMtgRatesDataTable8711121314[[#This Row],[asofdate]],G:H,2,0)&lt;&gt;0,VLOOKUP(CurrentMtgRatesDataTable8711121314[[#This Row],[asofdate]],G:H,2,0),V113)</f>
        <v>4.4928326738978099E-2</v>
      </c>
      <c r="W114" s="37">
        <f>CurrentMtgRatesDataTable8711121314[[#This Row],[FHA]]+0.5*CurrentMtgRatesDataTable8711121314[[#This Row],[Conventional]]</f>
        <v>5.5475349386365849E-2</v>
      </c>
      <c r="X114" s="37">
        <f>2*CurrentMtgRatesDataTable8711121314[[#This Row],[FHA]]</f>
        <v>9.7491108254653E-2</v>
      </c>
      <c r="Y114" s="19">
        <f>VLOOKUP(YEAR(CurrentMtgRatesDataTable8711121314[[#This Row],[asofdate]]),OriginationVolume!$A:$N,8,FALSE)</f>
        <v>0.69267822736030826</v>
      </c>
      <c r="Z114" s="19">
        <f>VLOOKUP(YEAR(CurrentMtgRatesDataTable8711121314[[#This Row],[asofdate]]),OriginationVolume!$A:$N,9,FALSE)</f>
        <v>4.6965317919075142E-2</v>
      </c>
      <c r="AA114" s="19">
        <f>VLOOKUP(YEAR(CurrentMtgRatesDataTable8711121314[[#This Row],[asofdate]]),OriginationVolume!$A:$N,10,FALSE)</f>
        <v>0.14089595375722544</v>
      </c>
      <c r="AB114" s="19">
        <f>VLOOKUP(YEAR(CurrentMtgRatesDataTable8711121314[[#This Row],[asofdate]]),OriginationVolume!$A:$N,11,FALSE)</f>
        <v>0.10838150289017341</v>
      </c>
      <c r="AC114" s="19">
        <f>VLOOKUP(YEAR(CurrentMtgRatesDataTable8711121314[[#This Row],[asofdate]]),OriginationVolume!$A:$N,12,FALSE)</f>
        <v>9.1522157996146436E-3</v>
      </c>
      <c r="AD114" s="19">
        <f>VLOOKUP(YEAR(CurrentMtgRatesDataTable8711121314[[#This Row],[asofdate]]),OriginationVolume!$A:$N,13,FALSE)</f>
        <v>1.9267822736030828E-3</v>
      </c>
      <c r="AE11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2.0455626947118406E-2</v>
      </c>
      <c r="AF11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1.8033886846480933E-2</v>
      </c>
      <c r="AG114" s="3" t="s">
        <v>12</v>
      </c>
      <c r="AH114" s="5">
        <v>9457697000</v>
      </c>
      <c r="AI114" s="26"/>
      <c r="AK114" s="3" t="s">
        <v>12</v>
      </c>
      <c r="AL114" s="5">
        <v>2848847000</v>
      </c>
      <c r="AM114" s="26"/>
      <c r="AO114" s="3" t="s">
        <v>12</v>
      </c>
      <c r="AP114" s="5">
        <v>28552816390.639999</v>
      </c>
      <c r="AQ114" s="29"/>
      <c r="AS114" s="3" t="s">
        <v>12</v>
      </c>
      <c r="AT114" s="5">
        <v>16246272390.639999</v>
      </c>
      <c r="AU114" s="29" t="str">
        <f>YEAR(CurrentMtgRatesDataTable871112131417[[#This Row],[asofdate]])&amp;"-"&amp;MONTH(CurrentMtgRatesDataTable871112131417[[#This Row],[asofdate]])</f>
        <v>2012-6</v>
      </c>
      <c r="AV114" s="29">
        <f>CurrentMtgRatesDataTable871112131417[[#This Row],[SeriesNumValue]]</f>
        <v>16246272390.639999</v>
      </c>
      <c r="AW114" s="29">
        <f>VLOOKUP(CurrentMtgRatesDataTable871112131417[[#This Row],[asofdate]],AG:AH,2,0)</f>
        <v>9457697000</v>
      </c>
      <c r="AX114" s="25">
        <f>IF(VLOOKUP(CurrentMtgRatesDataTable871112131417[[#This Row],[asofdate]],AK:AL,2,0)&lt;&gt;0,VLOOKUP(CurrentMtgRatesDataTable871112131417[[#This Row],[asofdate]],AK:AL,2,0),AX113)</f>
        <v>2848847000</v>
      </c>
      <c r="AY114" s="25">
        <f>VLOOKUP(CurrentMtgRatesDataTable871112131417[[#This Row],[asofdate]],AO:AP,2,0)</f>
        <v>28552816390.639999</v>
      </c>
    </row>
    <row r="115" spans="2:51" s="4" customFormat="1">
      <c r="B115" s="3" t="s">
        <v>132</v>
      </c>
      <c r="C115" s="21">
        <v>5.01526295017918E-2</v>
      </c>
      <c r="D115" s="26">
        <f>((CurrentMtgRatesDataTable8711[[#This Row],[SeriesNumValue]]-$C$1)/$C$1+1)*100</f>
        <v>334.35086334527864</v>
      </c>
      <c r="E115" s="26"/>
      <c r="G115" s="3" t="s">
        <v>61</v>
      </c>
      <c r="H115" s="21">
        <v>7.3721687246315296E-2</v>
      </c>
      <c r="I115" s="21" t="str">
        <f>YEAR(CurrentMtgRatesDataTable871112[[#This Row],[asofdate]])&amp;"-"&amp;MONTH(CurrentMtgRatesDataTable871112[[#This Row],[asofdate]])</f>
        <v>2006-6</v>
      </c>
      <c r="J115" s="40">
        <f>VLOOKUP(CurrentMtgRatesDataTable871112[[#This Row],[asofdate]],Q:AE,15,0)*100</f>
        <v>6.7826279994879419</v>
      </c>
      <c r="K115" s="40">
        <f>VLOOKUP(CurrentMtgRatesDataTable871112[[#This Row],[asofdate]],Q:AE,4,0)*100</f>
        <v>1.5543224129000599</v>
      </c>
      <c r="L115" s="40">
        <f>VLOOKUP(CurrentMtgRatesDataTable871112[[#This Row],[asofdate]],Q:AE,5,0)*100</f>
        <v>8.7665901172641689</v>
      </c>
      <c r="M115" s="40">
        <f>VLOOKUP(CurrentMtgRatesDataTable871112[[#This Row],[asofdate]],Q:AE,6,0)*100</f>
        <v>7.3721687246315293</v>
      </c>
      <c r="N115" s="40">
        <f>VLOOKUP(CurrentMtgRatesDataTable871112[[#This Row],[asofdate]],Q:AF,16,0)*100</f>
        <v>10.191542857023455</v>
      </c>
      <c r="Q115" s="3" t="s">
        <v>132</v>
      </c>
      <c r="R115" s="21">
        <v>1.38760274451609E-2</v>
      </c>
      <c r="S115" s="29" t="str">
        <f>YEAR(CurrentMtgRatesDataTable8711121314[[#This Row],[asofdate]])&amp;"-"&amp;MONTH(CurrentMtgRatesDataTable8711121314[[#This Row],[asofdate]])</f>
        <v>2012-7</v>
      </c>
      <c r="T115" s="37">
        <f>CurrentMtgRatesDataTable8711121314[[#This Row],[SeriesNumValue]]</f>
        <v>1.38760274451609E-2</v>
      </c>
      <c r="U115" s="37">
        <f>VLOOKUP(CurrentMtgRatesDataTable8711121314[[#This Row],[asofdate]],B:D,2,0)</f>
        <v>5.01526295017918E-2</v>
      </c>
      <c r="V115" s="37">
        <f>IF(VLOOKUP(CurrentMtgRatesDataTable8711121314[[#This Row],[asofdate]],G:H,2,0)&lt;&gt;0,VLOOKUP(CurrentMtgRatesDataTable8711121314[[#This Row],[asofdate]],G:H,2,0),V114)</f>
        <v>4.52225899073396E-2</v>
      </c>
      <c r="W115" s="37">
        <f>CurrentMtgRatesDataTable8711121314[[#This Row],[FHA]]+0.5*CurrentMtgRatesDataTable8711121314[[#This Row],[Conventional]]</f>
        <v>5.7090643224372253E-2</v>
      </c>
      <c r="X115" s="37">
        <f>2*CurrentMtgRatesDataTable8711121314[[#This Row],[FHA]]</f>
        <v>0.1003052590035836</v>
      </c>
      <c r="Y115" s="19">
        <f>VLOOKUP(YEAR(CurrentMtgRatesDataTable8711121314[[#This Row],[asofdate]]),OriginationVolume!$A:$N,8,FALSE)</f>
        <v>0.69267822736030826</v>
      </c>
      <c r="Z115" s="19">
        <f>VLOOKUP(YEAR(CurrentMtgRatesDataTable8711121314[[#This Row],[asofdate]]),OriginationVolume!$A:$N,9,FALSE)</f>
        <v>4.6965317919075142E-2</v>
      </c>
      <c r="AA115" s="19">
        <f>VLOOKUP(YEAR(CurrentMtgRatesDataTable8711121314[[#This Row],[asofdate]]),OriginationVolume!$A:$N,10,FALSE)</f>
        <v>0.14089595375722544</v>
      </c>
      <c r="AB115" s="19">
        <f>VLOOKUP(YEAR(CurrentMtgRatesDataTable8711121314[[#This Row],[asofdate]]),OriginationVolume!$A:$N,11,FALSE)</f>
        <v>0.10838150289017341</v>
      </c>
      <c r="AC115" s="19">
        <f>VLOOKUP(YEAR(CurrentMtgRatesDataTable8711121314[[#This Row],[asofdate]]),OriginationVolume!$A:$N,12,FALSE)</f>
        <v>9.1522157996146436E-3</v>
      </c>
      <c r="AD115" s="19">
        <f>VLOOKUP(YEAR(CurrentMtgRatesDataTable8711121314[[#This Row],[asofdate]]),OriginationVolume!$A:$N,13,FALSE)</f>
        <v>1.9267822736030828E-3</v>
      </c>
      <c r="AE11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2.1021494963304289E-2</v>
      </c>
      <c r="AF11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1.8580844485639555E-2</v>
      </c>
      <c r="AG115" s="3" t="s">
        <v>132</v>
      </c>
      <c r="AH115" s="5">
        <v>10628814000</v>
      </c>
      <c r="AI115" s="26"/>
      <c r="AK115" s="3" t="s">
        <v>132</v>
      </c>
      <c r="AL115" s="5">
        <v>3569092000</v>
      </c>
      <c r="AM115" s="26"/>
      <c r="AO115" s="3" t="s">
        <v>132</v>
      </c>
      <c r="AP115" s="5">
        <v>33983864651.150002</v>
      </c>
      <c r="AQ115" s="29"/>
      <c r="AS115" s="3" t="s">
        <v>132</v>
      </c>
      <c r="AT115" s="5">
        <v>19785958651.150002</v>
      </c>
      <c r="AU115" s="29" t="str">
        <f>YEAR(CurrentMtgRatesDataTable871112131417[[#This Row],[asofdate]])&amp;"-"&amp;MONTH(CurrentMtgRatesDataTable871112131417[[#This Row],[asofdate]])</f>
        <v>2012-7</v>
      </c>
      <c r="AV115" s="29">
        <f>CurrentMtgRatesDataTable871112131417[[#This Row],[SeriesNumValue]]</f>
        <v>19785958651.150002</v>
      </c>
      <c r="AW115" s="29">
        <f>VLOOKUP(CurrentMtgRatesDataTable871112131417[[#This Row],[asofdate]],AG:AH,2,0)</f>
        <v>10628814000</v>
      </c>
      <c r="AX115" s="25">
        <f>IF(VLOOKUP(CurrentMtgRatesDataTable871112131417[[#This Row],[asofdate]],AK:AL,2,0)&lt;&gt;0,VLOOKUP(CurrentMtgRatesDataTable871112131417[[#This Row],[asofdate]],AK:AL,2,0),AX114)</f>
        <v>3569092000</v>
      </c>
      <c r="AY115" s="25">
        <f>VLOOKUP(CurrentMtgRatesDataTable871112131417[[#This Row],[asofdate]],AO:AP,2,0)</f>
        <v>33983864651.150002</v>
      </c>
    </row>
    <row r="116" spans="2:51" s="4" customFormat="1">
      <c r="B116" s="3" t="s">
        <v>1</v>
      </c>
      <c r="C116" s="21">
        <v>5.0920901691329901E-2</v>
      </c>
      <c r="D116" s="26">
        <f>((CurrentMtgRatesDataTable8711[[#This Row],[SeriesNumValue]]-$C$1)/$C$1+1)*100</f>
        <v>339.47267794219937</v>
      </c>
      <c r="E116" s="26"/>
      <c r="G116" s="3" t="s">
        <v>60</v>
      </c>
      <c r="H116" s="21">
        <v>8.5117661602461606E-2</v>
      </c>
      <c r="I116" s="21" t="str">
        <f>YEAR(CurrentMtgRatesDataTable871112[[#This Row],[asofdate]])&amp;"-"&amp;MONTH(CurrentMtgRatesDataTable871112[[#This Row],[asofdate]])</f>
        <v>2006-5</v>
      </c>
      <c r="J116" s="40">
        <f>VLOOKUP(CurrentMtgRatesDataTable871112[[#This Row],[asofdate]],Q:AE,15,0)*100</f>
        <v>7.0282402898341587</v>
      </c>
      <c r="K116" s="40">
        <f>VLOOKUP(CurrentMtgRatesDataTable871112[[#This Row],[asofdate]],Q:AE,4,0)*100</f>
        <v>1.5849977078417201</v>
      </c>
      <c r="L116" s="40">
        <f>VLOOKUP(CurrentMtgRatesDataTable871112[[#This Row],[asofdate]],Q:AE,5,0)*100</f>
        <v>9.0992959299858498</v>
      </c>
      <c r="M116" s="40">
        <f>VLOOKUP(CurrentMtgRatesDataTable871112[[#This Row],[asofdate]],Q:AE,6,0)*100</f>
        <v>8.511766160246161</v>
      </c>
      <c r="N116" s="40">
        <f>VLOOKUP(CurrentMtgRatesDataTable871112[[#This Row],[asofdate]],Q:AF,16,0)*100</f>
        <v>10.565318871155224</v>
      </c>
      <c r="Q116" s="3" t="s">
        <v>1</v>
      </c>
      <c r="R116" s="21">
        <v>1.4000643367963099E-2</v>
      </c>
      <c r="S116" s="29" t="str">
        <f>YEAR(CurrentMtgRatesDataTable8711121314[[#This Row],[asofdate]])&amp;"-"&amp;MONTH(CurrentMtgRatesDataTable8711121314[[#This Row],[asofdate]])</f>
        <v>2012-8</v>
      </c>
      <c r="T116" s="37">
        <f>CurrentMtgRatesDataTable8711121314[[#This Row],[SeriesNumValue]]</f>
        <v>1.4000643367963099E-2</v>
      </c>
      <c r="U116" s="37">
        <f>VLOOKUP(CurrentMtgRatesDataTable8711121314[[#This Row],[asofdate]],B:D,2,0)</f>
        <v>5.0920901691329901E-2</v>
      </c>
      <c r="V116" s="37">
        <f>IF(VLOOKUP(CurrentMtgRatesDataTable8711121314[[#This Row],[asofdate]],G:H,2,0)&lt;&gt;0,VLOOKUP(CurrentMtgRatesDataTable8711121314[[#This Row],[asofdate]],G:H,2,0),V115)</f>
        <v>4.48731934408561E-2</v>
      </c>
      <c r="W116" s="37">
        <f>CurrentMtgRatesDataTable8711121314[[#This Row],[FHA]]+0.5*CurrentMtgRatesDataTable8711121314[[#This Row],[Conventional]]</f>
        <v>5.7921223375311449E-2</v>
      </c>
      <c r="X116" s="37">
        <f>2*CurrentMtgRatesDataTable8711121314[[#This Row],[FHA]]</f>
        <v>0.1018418033826598</v>
      </c>
      <c r="Y116" s="19">
        <f>VLOOKUP(YEAR(CurrentMtgRatesDataTable8711121314[[#This Row],[asofdate]]),OriginationVolume!$A:$N,8,FALSE)</f>
        <v>0.69267822736030826</v>
      </c>
      <c r="Z116" s="19">
        <f>VLOOKUP(YEAR(CurrentMtgRatesDataTable8711121314[[#This Row],[asofdate]]),OriginationVolume!$A:$N,9,FALSE)</f>
        <v>4.6965317919075142E-2</v>
      </c>
      <c r="AA116" s="19">
        <f>VLOOKUP(YEAR(CurrentMtgRatesDataTable8711121314[[#This Row],[asofdate]]),OriginationVolume!$A:$N,10,FALSE)</f>
        <v>0.14089595375722544</v>
      </c>
      <c r="AB116" s="19">
        <f>VLOOKUP(YEAR(CurrentMtgRatesDataTable8711121314[[#This Row],[asofdate]]),OriginationVolume!$A:$N,11,FALSE)</f>
        <v>0.10838150289017341</v>
      </c>
      <c r="AC116" s="19">
        <f>VLOOKUP(YEAR(CurrentMtgRatesDataTable8711121314[[#This Row],[asofdate]]),OriginationVolume!$A:$N,12,FALSE)</f>
        <v>9.1522157996146436E-3</v>
      </c>
      <c r="AD116" s="19">
        <f>VLOOKUP(YEAR(CurrentMtgRatesDataTable8711121314[[#This Row],[asofdate]]),OriginationVolume!$A:$N,13,FALSE)</f>
        <v>1.9267822736030828E-3</v>
      </c>
      <c r="AE11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2.1223718922823539E-2</v>
      </c>
      <c r="AF11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1.8782319417150216E-2</v>
      </c>
      <c r="AG116" s="3" t="s">
        <v>1</v>
      </c>
      <c r="AH116" s="5">
        <v>10625133000</v>
      </c>
      <c r="AI116" s="26"/>
      <c r="AK116" s="3" t="s">
        <v>1</v>
      </c>
      <c r="AL116" s="5">
        <v>4002029000</v>
      </c>
      <c r="AM116" s="26"/>
      <c r="AO116" s="3" t="s">
        <v>1</v>
      </c>
      <c r="AP116" s="5">
        <v>36673421394.889999</v>
      </c>
      <c r="AQ116" s="29"/>
      <c r="AS116" s="3" t="s">
        <v>1</v>
      </c>
      <c r="AT116" s="5">
        <v>22046259394.889999</v>
      </c>
      <c r="AU116" s="29" t="str">
        <f>YEAR(CurrentMtgRatesDataTable871112131417[[#This Row],[asofdate]])&amp;"-"&amp;MONTH(CurrentMtgRatesDataTable871112131417[[#This Row],[asofdate]])</f>
        <v>2012-8</v>
      </c>
      <c r="AV116" s="29">
        <f>CurrentMtgRatesDataTable871112131417[[#This Row],[SeriesNumValue]]</f>
        <v>22046259394.889999</v>
      </c>
      <c r="AW116" s="29">
        <f>VLOOKUP(CurrentMtgRatesDataTable871112131417[[#This Row],[asofdate]],AG:AH,2,0)</f>
        <v>10625133000</v>
      </c>
      <c r="AX116" s="25">
        <f>IF(VLOOKUP(CurrentMtgRatesDataTable871112131417[[#This Row],[asofdate]],AK:AL,2,0)&lt;&gt;0,VLOOKUP(CurrentMtgRatesDataTable871112131417[[#This Row],[asofdate]],AK:AL,2,0),AX115)</f>
        <v>4002029000</v>
      </c>
      <c r="AY116" s="25">
        <f>VLOOKUP(CurrentMtgRatesDataTable871112131417[[#This Row],[asofdate]],AO:AP,2,0)</f>
        <v>36673421394.889999</v>
      </c>
    </row>
    <row r="117" spans="2:51" s="4" customFormat="1">
      <c r="B117" s="3" t="s">
        <v>133</v>
      </c>
      <c r="C117" s="21">
        <v>5.1164146729042799E-2</v>
      </c>
      <c r="D117" s="26">
        <f>((CurrentMtgRatesDataTable8711[[#This Row],[SeriesNumValue]]-$C$1)/$C$1+1)*100</f>
        <v>341.09431152695203</v>
      </c>
      <c r="E117" s="26"/>
      <c r="G117" s="3" t="s">
        <v>59</v>
      </c>
      <c r="H117" s="21">
        <v>7.5604220137534706E-2</v>
      </c>
      <c r="I117" s="21" t="str">
        <f>YEAR(CurrentMtgRatesDataTable871112[[#This Row],[asofdate]])&amp;"-"&amp;MONTH(CurrentMtgRatesDataTable871112[[#This Row],[asofdate]])</f>
        <v>2006-4</v>
      </c>
      <c r="J117" s="40">
        <f>VLOOKUP(CurrentMtgRatesDataTable871112[[#This Row],[asofdate]],Q:AE,15,0)*100</f>
        <v>6.9950487608818293</v>
      </c>
      <c r="K117" s="40">
        <f>VLOOKUP(CurrentMtgRatesDataTable871112[[#This Row],[asofdate]],Q:AE,4,0)*100</f>
        <v>1.61760308831148</v>
      </c>
      <c r="L117" s="40">
        <f>VLOOKUP(CurrentMtgRatesDataTable871112[[#This Row],[asofdate]],Q:AE,5,0)*100</f>
        <v>9.0269691219839903</v>
      </c>
      <c r="M117" s="40">
        <f>VLOOKUP(CurrentMtgRatesDataTable871112[[#This Row],[asofdate]],Q:AE,6,0)*100</f>
        <v>7.5604220137534703</v>
      </c>
      <c r="N117" s="40">
        <f>VLOOKUP(CurrentMtgRatesDataTable871112[[#This Row],[asofdate]],Q:AF,16,0)*100</f>
        <v>10.502108577855534</v>
      </c>
      <c r="Q117" s="3" t="s">
        <v>133</v>
      </c>
      <c r="R117" s="21">
        <v>1.4333792880612499E-2</v>
      </c>
      <c r="S117" s="29" t="str">
        <f>YEAR(CurrentMtgRatesDataTable8711121314[[#This Row],[asofdate]])&amp;"-"&amp;MONTH(CurrentMtgRatesDataTable8711121314[[#This Row],[asofdate]])</f>
        <v>2012-9</v>
      </c>
      <c r="T117" s="37">
        <f>CurrentMtgRatesDataTable8711121314[[#This Row],[SeriesNumValue]]</f>
        <v>1.4333792880612499E-2</v>
      </c>
      <c r="U117" s="37">
        <f>VLOOKUP(CurrentMtgRatesDataTable8711121314[[#This Row],[asofdate]],B:D,2,0)</f>
        <v>5.1164146729042799E-2</v>
      </c>
      <c r="V117" s="37">
        <f>IF(VLOOKUP(CurrentMtgRatesDataTable8711121314[[#This Row],[asofdate]],G:H,2,0)&lt;&gt;0,VLOOKUP(CurrentMtgRatesDataTable8711121314[[#This Row],[asofdate]],G:H,2,0),V116)</f>
        <v>4.5942757786631101E-2</v>
      </c>
      <c r="W117" s="37">
        <f>CurrentMtgRatesDataTable8711121314[[#This Row],[FHA]]+0.5*CurrentMtgRatesDataTable8711121314[[#This Row],[Conventional]]</f>
        <v>5.8331043169349048E-2</v>
      </c>
      <c r="X117" s="37">
        <f>2*CurrentMtgRatesDataTable8711121314[[#This Row],[FHA]]</f>
        <v>0.1023282934580856</v>
      </c>
      <c r="Y117" s="19">
        <f>VLOOKUP(YEAR(CurrentMtgRatesDataTable8711121314[[#This Row],[asofdate]]),OriginationVolume!$A:$N,8,FALSE)</f>
        <v>0.69267822736030826</v>
      </c>
      <c r="Z117" s="19">
        <f>VLOOKUP(YEAR(CurrentMtgRatesDataTable8711121314[[#This Row],[asofdate]]),OriginationVolume!$A:$N,9,FALSE)</f>
        <v>4.6965317919075142E-2</v>
      </c>
      <c r="AA117" s="19">
        <f>VLOOKUP(YEAR(CurrentMtgRatesDataTable8711121314[[#This Row],[asofdate]]),OriginationVolume!$A:$N,10,FALSE)</f>
        <v>0.14089595375722544</v>
      </c>
      <c r="AB117" s="19">
        <f>VLOOKUP(YEAR(CurrentMtgRatesDataTable8711121314[[#This Row],[asofdate]]),OriginationVolume!$A:$N,11,FALSE)</f>
        <v>0.10838150289017341</v>
      </c>
      <c r="AC117" s="19">
        <f>VLOOKUP(YEAR(CurrentMtgRatesDataTable8711121314[[#This Row],[asofdate]]),OriginationVolume!$A:$N,12,FALSE)</f>
        <v>9.1522157996146436E-3</v>
      </c>
      <c r="AD117" s="19">
        <f>VLOOKUP(YEAR(CurrentMtgRatesDataTable8711121314[[#This Row],[asofdate]]),OriginationVolume!$A:$N,13,FALSE)</f>
        <v>1.9267822736030828E-3</v>
      </c>
      <c r="AE11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2.1579784372326646E-2</v>
      </c>
      <c r="AF11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1.9123816097531398E-2</v>
      </c>
      <c r="AG117" s="3" t="s">
        <v>133</v>
      </c>
      <c r="AH117" s="5">
        <v>10227130000</v>
      </c>
      <c r="AI117" s="26"/>
      <c r="AK117" s="3" t="s">
        <v>133</v>
      </c>
      <c r="AL117" s="5">
        <v>3998582000</v>
      </c>
      <c r="AM117" s="26"/>
      <c r="AO117" s="3" t="s">
        <v>133</v>
      </c>
      <c r="AP117" s="5">
        <v>34780704202.900002</v>
      </c>
      <c r="AQ117" s="29"/>
      <c r="AS117" s="3" t="s">
        <v>133</v>
      </c>
      <c r="AT117" s="5">
        <v>20554992202.900002</v>
      </c>
      <c r="AU117" s="29" t="str">
        <f>YEAR(CurrentMtgRatesDataTable871112131417[[#This Row],[asofdate]])&amp;"-"&amp;MONTH(CurrentMtgRatesDataTable871112131417[[#This Row],[asofdate]])</f>
        <v>2012-9</v>
      </c>
      <c r="AV117" s="29">
        <f>CurrentMtgRatesDataTable871112131417[[#This Row],[SeriesNumValue]]</f>
        <v>20554992202.900002</v>
      </c>
      <c r="AW117" s="29">
        <f>VLOOKUP(CurrentMtgRatesDataTable871112131417[[#This Row],[asofdate]],AG:AH,2,0)</f>
        <v>10227130000</v>
      </c>
      <c r="AX117" s="25">
        <f>IF(VLOOKUP(CurrentMtgRatesDataTable871112131417[[#This Row],[asofdate]],AK:AL,2,0)&lt;&gt;0,VLOOKUP(CurrentMtgRatesDataTable871112131417[[#This Row],[asofdate]],AK:AL,2,0),AX116)</f>
        <v>3998582000</v>
      </c>
      <c r="AY117" s="25">
        <f>VLOOKUP(CurrentMtgRatesDataTable871112131417[[#This Row],[asofdate]],AO:AP,2,0)</f>
        <v>34780704202.900002</v>
      </c>
    </row>
    <row r="118" spans="2:51" s="4" customFormat="1">
      <c r="B118" s="3" t="s">
        <v>9</v>
      </c>
      <c r="C118" s="21">
        <v>4.8689499032941203E-2</v>
      </c>
      <c r="D118" s="26">
        <f>((CurrentMtgRatesDataTable8711[[#This Row],[SeriesNumValue]]-$C$1)/$C$1+1)*100</f>
        <v>324.596660219608</v>
      </c>
      <c r="E118" s="26"/>
      <c r="G118" s="3" t="s">
        <v>58</v>
      </c>
      <c r="H118" s="21">
        <v>7.29966124505744E-2</v>
      </c>
      <c r="I118" s="21" t="str">
        <f>YEAR(CurrentMtgRatesDataTable871112[[#This Row],[asofdate]])&amp;"-"&amp;MONTH(CurrentMtgRatesDataTable871112[[#This Row],[asofdate]])</f>
        <v>2006-3</v>
      </c>
      <c r="J118" s="40">
        <f>VLOOKUP(CurrentMtgRatesDataTable871112[[#This Row],[asofdate]],Q:AE,15,0)*100</f>
        <v>7.1400750723630253</v>
      </c>
      <c r="K118" s="40">
        <f>VLOOKUP(CurrentMtgRatesDataTable871112[[#This Row],[asofdate]],Q:AE,4,0)*100</f>
        <v>1.66970776946643</v>
      </c>
      <c r="L118" s="40">
        <f>VLOOKUP(CurrentMtgRatesDataTable871112[[#This Row],[asofdate]],Q:AE,5,0)*100</f>
        <v>9.2004736353106207</v>
      </c>
      <c r="M118" s="40">
        <f>VLOOKUP(CurrentMtgRatesDataTable871112[[#This Row],[asofdate]],Q:AE,6,0)*100</f>
        <v>7.2996612450574396</v>
      </c>
      <c r="N118" s="40">
        <f>VLOOKUP(CurrentMtgRatesDataTable871112[[#This Row],[asofdate]],Q:AF,16,0)*100</f>
        <v>10.713621013333896</v>
      </c>
      <c r="Q118" s="3" t="s">
        <v>9</v>
      </c>
      <c r="R118" s="21">
        <v>1.36711529187892E-2</v>
      </c>
      <c r="S118" s="29" t="str">
        <f>YEAR(CurrentMtgRatesDataTable8711121314[[#This Row],[asofdate]])&amp;"-"&amp;MONTH(CurrentMtgRatesDataTable8711121314[[#This Row],[asofdate]])</f>
        <v>2012-10</v>
      </c>
      <c r="T118" s="37">
        <f>CurrentMtgRatesDataTable8711121314[[#This Row],[SeriesNumValue]]</f>
        <v>1.36711529187892E-2</v>
      </c>
      <c r="U118" s="37">
        <f>VLOOKUP(CurrentMtgRatesDataTable8711121314[[#This Row],[asofdate]],B:D,2,0)</f>
        <v>4.8689499032941203E-2</v>
      </c>
      <c r="V118" s="37">
        <f>IF(VLOOKUP(CurrentMtgRatesDataTable8711121314[[#This Row],[asofdate]],G:H,2,0)&lt;&gt;0,VLOOKUP(CurrentMtgRatesDataTable8711121314[[#This Row],[asofdate]],G:H,2,0),V117)</f>
        <v>4.3904772572709201E-2</v>
      </c>
      <c r="W118" s="37">
        <f>CurrentMtgRatesDataTable8711121314[[#This Row],[FHA]]+0.5*CurrentMtgRatesDataTable8711121314[[#This Row],[Conventional]]</f>
        <v>5.5525075492335804E-2</v>
      </c>
      <c r="X118" s="37">
        <f>2*CurrentMtgRatesDataTable8711121314[[#This Row],[FHA]]</f>
        <v>9.7378998065882405E-2</v>
      </c>
      <c r="Y118" s="19">
        <f>VLOOKUP(YEAR(CurrentMtgRatesDataTable8711121314[[#This Row],[asofdate]]),OriginationVolume!$A:$N,8,FALSE)</f>
        <v>0.69267822736030826</v>
      </c>
      <c r="Z118" s="19">
        <f>VLOOKUP(YEAR(CurrentMtgRatesDataTable8711121314[[#This Row],[asofdate]]),OriginationVolume!$A:$N,9,FALSE)</f>
        <v>4.6965317919075142E-2</v>
      </c>
      <c r="AA118" s="19">
        <f>VLOOKUP(YEAR(CurrentMtgRatesDataTable8711121314[[#This Row],[asofdate]]),OriginationVolume!$A:$N,10,FALSE)</f>
        <v>0.14089595375722544</v>
      </c>
      <c r="AB118" s="19">
        <f>VLOOKUP(YEAR(CurrentMtgRatesDataTable8711121314[[#This Row],[asofdate]]),OriginationVolume!$A:$N,11,FALSE)</f>
        <v>0.10838150289017341</v>
      </c>
      <c r="AC118" s="19">
        <f>VLOOKUP(YEAR(CurrentMtgRatesDataTable8711121314[[#This Row],[asofdate]]),OriginationVolume!$A:$N,12,FALSE)</f>
        <v>9.1522157996146436E-3</v>
      </c>
      <c r="AD118" s="19">
        <f>VLOOKUP(YEAR(CurrentMtgRatesDataTable8711121314[[#This Row],[asofdate]]),OriginationVolume!$A:$N,13,FALSE)</f>
        <v>1.9267822736030828E-3</v>
      </c>
      <c r="AE11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2.0569370676078419E-2</v>
      </c>
      <c r="AF11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1.822782997316726E-2</v>
      </c>
      <c r="AG118" s="3" t="s">
        <v>9</v>
      </c>
      <c r="AH118" s="5">
        <v>10905972000</v>
      </c>
      <c r="AI118" s="26"/>
      <c r="AK118" s="3" t="s">
        <v>9</v>
      </c>
      <c r="AL118" s="5">
        <v>4291042000</v>
      </c>
      <c r="AM118" s="26"/>
      <c r="AO118" s="3" t="s">
        <v>9</v>
      </c>
      <c r="AP118" s="5">
        <v>36532079130.620003</v>
      </c>
      <c r="AQ118" s="29"/>
      <c r="AS118" s="3" t="s">
        <v>9</v>
      </c>
      <c r="AT118" s="5">
        <v>21335065130.619999</v>
      </c>
      <c r="AU118" s="29" t="str">
        <f>YEAR(CurrentMtgRatesDataTable871112131417[[#This Row],[asofdate]])&amp;"-"&amp;MONTH(CurrentMtgRatesDataTable871112131417[[#This Row],[asofdate]])</f>
        <v>2012-10</v>
      </c>
      <c r="AV118" s="29">
        <f>CurrentMtgRatesDataTable871112131417[[#This Row],[SeriesNumValue]]</f>
        <v>21335065130.619999</v>
      </c>
      <c r="AW118" s="29">
        <f>VLOOKUP(CurrentMtgRatesDataTable871112131417[[#This Row],[asofdate]],AG:AH,2,0)</f>
        <v>10905972000</v>
      </c>
      <c r="AX118" s="25">
        <f>IF(VLOOKUP(CurrentMtgRatesDataTable871112131417[[#This Row],[asofdate]],AK:AL,2,0)&lt;&gt;0,VLOOKUP(CurrentMtgRatesDataTable871112131417[[#This Row],[asofdate]],AK:AL,2,0),AX117)</f>
        <v>4291042000</v>
      </c>
      <c r="AY118" s="25">
        <f>VLOOKUP(CurrentMtgRatesDataTable871112131417[[#This Row],[asofdate]],AO:AP,2,0)</f>
        <v>36532079130.620003</v>
      </c>
    </row>
    <row r="119" spans="2:51" s="4" customFormat="1">
      <c r="B119" s="3" t="s">
        <v>17</v>
      </c>
      <c r="C119" s="21">
        <v>5.0126620688003297E-2</v>
      </c>
      <c r="D119" s="26">
        <f>((CurrentMtgRatesDataTable8711[[#This Row],[SeriesNumValue]]-$C$1)/$C$1+1)*100</f>
        <v>334.17747125335529</v>
      </c>
      <c r="E119" s="26"/>
      <c r="G119" s="3" t="s">
        <v>57</v>
      </c>
      <c r="H119" s="21">
        <v>7.3484219548732604E-2</v>
      </c>
      <c r="I119" s="21" t="str">
        <f>YEAR(CurrentMtgRatesDataTable871112[[#This Row],[asofdate]])&amp;"-"&amp;MONTH(CurrentMtgRatesDataTable871112[[#This Row],[asofdate]])</f>
        <v>2006-2</v>
      </c>
      <c r="J119" s="40">
        <f>VLOOKUP(CurrentMtgRatesDataTable871112[[#This Row],[asofdate]],Q:AE,15,0)*100</f>
        <v>6.9233859787566239</v>
      </c>
      <c r="K119" s="40">
        <f>VLOOKUP(CurrentMtgRatesDataTable871112[[#This Row],[asofdate]],Q:AE,4,0)*100</f>
        <v>1.6058691183526201</v>
      </c>
      <c r="L119" s="40">
        <f>VLOOKUP(CurrentMtgRatesDataTable871112[[#This Row],[asofdate]],Q:AE,5,0)*100</f>
        <v>8.9312436018572594</v>
      </c>
      <c r="M119" s="40">
        <f>VLOOKUP(CurrentMtgRatesDataTable871112[[#This Row],[asofdate]],Q:AE,6,0)*100</f>
        <v>7.3484219548732606</v>
      </c>
      <c r="N119" s="40">
        <f>VLOOKUP(CurrentMtgRatesDataTable871112[[#This Row],[asofdate]],Q:AF,16,0)*100</f>
        <v>10.393230245575271</v>
      </c>
      <c r="Q119" s="3" t="s">
        <v>17</v>
      </c>
      <c r="R119" s="21">
        <v>1.43868581919379E-2</v>
      </c>
      <c r="S119" s="29" t="str">
        <f>YEAR(CurrentMtgRatesDataTable8711121314[[#This Row],[asofdate]])&amp;"-"&amp;MONTH(CurrentMtgRatesDataTable8711121314[[#This Row],[asofdate]])</f>
        <v>2012-11</v>
      </c>
      <c r="T119" s="37">
        <f>CurrentMtgRatesDataTable8711121314[[#This Row],[SeriesNumValue]]</f>
        <v>1.43868581919379E-2</v>
      </c>
      <c r="U119" s="37">
        <f>VLOOKUP(CurrentMtgRatesDataTable8711121314[[#This Row],[asofdate]],B:D,2,0)</f>
        <v>5.0126620688003297E-2</v>
      </c>
      <c r="V119" s="37">
        <f>IF(VLOOKUP(CurrentMtgRatesDataTable8711121314[[#This Row],[asofdate]],G:H,2,0)&lt;&gt;0,VLOOKUP(CurrentMtgRatesDataTable8711121314[[#This Row],[asofdate]],G:H,2,0),V118)</f>
        <v>4.4982903840556802E-2</v>
      </c>
      <c r="W119" s="37">
        <f>CurrentMtgRatesDataTable8711121314[[#This Row],[FHA]]+0.5*CurrentMtgRatesDataTable8711121314[[#This Row],[Conventional]]</f>
        <v>5.7320049783972246E-2</v>
      </c>
      <c r="X119" s="37">
        <f>2*CurrentMtgRatesDataTable8711121314[[#This Row],[FHA]]</f>
        <v>0.10025324137600659</v>
      </c>
      <c r="Y119" s="19">
        <f>VLOOKUP(YEAR(CurrentMtgRatesDataTable8711121314[[#This Row],[asofdate]]),OriginationVolume!$A:$N,8,FALSE)</f>
        <v>0.69267822736030826</v>
      </c>
      <c r="Z119" s="19">
        <f>VLOOKUP(YEAR(CurrentMtgRatesDataTable8711121314[[#This Row],[asofdate]]),OriginationVolume!$A:$N,9,FALSE)</f>
        <v>4.6965317919075142E-2</v>
      </c>
      <c r="AA119" s="19">
        <f>VLOOKUP(YEAR(CurrentMtgRatesDataTable8711121314[[#This Row],[asofdate]]),OriginationVolume!$A:$N,10,FALSE)</f>
        <v>0.14089595375722544</v>
      </c>
      <c r="AB119" s="19">
        <f>VLOOKUP(YEAR(CurrentMtgRatesDataTable8711121314[[#This Row],[asofdate]]),OriginationVolume!$A:$N,11,FALSE)</f>
        <v>0.10838150289017341</v>
      </c>
      <c r="AC119" s="19">
        <f>VLOOKUP(YEAR(CurrentMtgRatesDataTable8711121314[[#This Row],[asofdate]]),OriginationVolume!$A:$N,12,FALSE)</f>
        <v>9.1522157996146436E-3</v>
      </c>
      <c r="AD119" s="19">
        <f>VLOOKUP(YEAR(CurrentMtgRatesDataTable8711121314[[#This Row],[asofdate]]),OriginationVolume!$A:$N,13,FALSE)</f>
        <v>1.9267822736030828E-3</v>
      </c>
      <c r="AE11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2.1417778786265645E-2</v>
      </c>
      <c r="AF11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1.9061036308812607E-2</v>
      </c>
      <c r="AG119" s="3" t="s">
        <v>17</v>
      </c>
      <c r="AH119" s="5">
        <v>9366610000</v>
      </c>
      <c r="AI119" s="26"/>
      <c r="AK119" s="3" t="s">
        <v>17</v>
      </c>
      <c r="AL119" s="5">
        <v>3638477000</v>
      </c>
      <c r="AM119" s="26"/>
      <c r="AO119" s="3" t="s">
        <v>17</v>
      </c>
      <c r="AP119" s="5">
        <v>31660314796.400002</v>
      </c>
      <c r="AQ119" s="29"/>
      <c r="AS119" s="3" t="s">
        <v>17</v>
      </c>
      <c r="AT119" s="5">
        <v>18655227796.400002</v>
      </c>
      <c r="AU119" s="29" t="str">
        <f>YEAR(CurrentMtgRatesDataTable871112131417[[#This Row],[asofdate]])&amp;"-"&amp;MONTH(CurrentMtgRatesDataTable871112131417[[#This Row],[asofdate]])</f>
        <v>2012-11</v>
      </c>
      <c r="AV119" s="29">
        <f>CurrentMtgRatesDataTable871112131417[[#This Row],[SeriesNumValue]]</f>
        <v>18655227796.400002</v>
      </c>
      <c r="AW119" s="29">
        <f>VLOOKUP(CurrentMtgRatesDataTable871112131417[[#This Row],[asofdate]],AG:AH,2,0)</f>
        <v>9366610000</v>
      </c>
      <c r="AX119" s="25">
        <f>IF(VLOOKUP(CurrentMtgRatesDataTable871112131417[[#This Row],[asofdate]],AK:AL,2,0)&lt;&gt;0,VLOOKUP(CurrentMtgRatesDataTable871112131417[[#This Row],[asofdate]],AK:AL,2,0),AX118)</f>
        <v>3638477000</v>
      </c>
      <c r="AY119" s="25">
        <f>VLOOKUP(CurrentMtgRatesDataTable871112131417[[#This Row],[asofdate]],AO:AP,2,0)</f>
        <v>31660314796.400002</v>
      </c>
    </row>
    <row r="120" spans="2:51" s="4" customFormat="1">
      <c r="B120" s="3" t="s">
        <v>134</v>
      </c>
      <c r="C120" s="21">
        <v>5.01747604460736E-2</v>
      </c>
      <c r="D120" s="26">
        <f>((CurrentMtgRatesDataTable8711[[#This Row],[SeriesNumValue]]-$C$1)/$C$1+1)*100</f>
        <v>334.498402973824</v>
      </c>
      <c r="E120" s="26"/>
      <c r="G120" s="3" t="s">
        <v>56</v>
      </c>
      <c r="H120" s="21">
        <v>6.7199163700533596E-2</v>
      </c>
      <c r="I120" s="21" t="str">
        <f>YEAR(CurrentMtgRatesDataTable871112[[#This Row],[asofdate]])&amp;"-"&amp;MONTH(CurrentMtgRatesDataTable871112[[#This Row],[asofdate]])</f>
        <v>2006-1</v>
      </c>
      <c r="J120" s="40">
        <f>VLOOKUP(CurrentMtgRatesDataTable871112[[#This Row],[asofdate]],Q:AE,15,0)*100</f>
        <v>6.6894357498660826</v>
      </c>
      <c r="K120" s="40">
        <f>VLOOKUP(CurrentMtgRatesDataTable871112[[#This Row],[asofdate]],Q:AE,4,0)*100</f>
        <v>1.48319347805053</v>
      </c>
      <c r="L120" s="40">
        <f>VLOOKUP(CurrentMtgRatesDataTable871112[[#This Row],[asofdate]],Q:AE,5,0)*100</f>
        <v>8.7028492327789504</v>
      </c>
      <c r="M120" s="40">
        <f>VLOOKUP(CurrentMtgRatesDataTable871112[[#This Row],[asofdate]],Q:AE,6,0)*100</f>
        <v>6.71991637005336</v>
      </c>
      <c r="N120" s="40">
        <f>VLOOKUP(CurrentMtgRatesDataTable871112[[#This Row],[asofdate]],Q:AF,16,0)*100</f>
        <v>10.089952930757217</v>
      </c>
      <c r="Q120" s="3" t="s">
        <v>134</v>
      </c>
      <c r="R120" s="21">
        <v>1.44275123819479E-2</v>
      </c>
      <c r="S120" s="29" t="str">
        <f>YEAR(CurrentMtgRatesDataTable8711121314[[#This Row],[asofdate]])&amp;"-"&amp;MONTH(CurrentMtgRatesDataTable8711121314[[#This Row],[asofdate]])</f>
        <v>2012-12</v>
      </c>
      <c r="T120" s="37">
        <f>CurrentMtgRatesDataTable8711121314[[#This Row],[SeriesNumValue]]</f>
        <v>1.44275123819479E-2</v>
      </c>
      <c r="U120" s="37">
        <f>VLOOKUP(CurrentMtgRatesDataTable8711121314[[#This Row],[asofdate]],B:D,2,0)</f>
        <v>5.01747604460736E-2</v>
      </c>
      <c r="V120" s="37">
        <f>IF(VLOOKUP(CurrentMtgRatesDataTable8711121314[[#This Row],[asofdate]],G:H,2,0)&lt;&gt;0,VLOOKUP(CurrentMtgRatesDataTable8711121314[[#This Row],[asofdate]],G:H,2,0),V119)</f>
        <v>4.4889553215802097E-2</v>
      </c>
      <c r="W120" s="37">
        <f>CurrentMtgRatesDataTable8711121314[[#This Row],[FHA]]+0.5*CurrentMtgRatesDataTable8711121314[[#This Row],[Conventional]]</f>
        <v>5.7388516637047554E-2</v>
      </c>
      <c r="X120" s="37">
        <f>2*CurrentMtgRatesDataTable8711121314[[#This Row],[FHA]]</f>
        <v>0.1003495208921472</v>
      </c>
      <c r="Y120" s="19">
        <f>VLOOKUP(YEAR(CurrentMtgRatesDataTable8711121314[[#This Row],[asofdate]]),OriginationVolume!$A:$N,8,FALSE)</f>
        <v>0.69267822736030826</v>
      </c>
      <c r="Z120" s="19">
        <f>VLOOKUP(YEAR(CurrentMtgRatesDataTable8711121314[[#This Row],[asofdate]]),OriginationVolume!$A:$N,9,FALSE)</f>
        <v>4.6965317919075142E-2</v>
      </c>
      <c r="AA120" s="19">
        <f>VLOOKUP(YEAR(CurrentMtgRatesDataTable8711121314[[#This Row],[asofdate]]),OriginationVolume!$A:$N,10,FALSE)</f>
        <v>0.14089595375722544</v>
      </c>
      <c r="AB120" s="19">
        <f>VLOOKUP(YEAR(CurrentMtgRatesDataTable8711121314[[#This Row],[asofdate]]),OriginationVolume!$A:$N,11,FALSE)</f>
        <v>0.10838150289017341</v>
      </c>
      <c r="AC120" s="19">
        <f>VLOOKUP(YEAR(CurrentMtgRatesDataTable8711121314[[#This Row],[asofdate]]),OriginationVolume!$A:$N,12,FALSE)</f>
        <v>9.1522157996146436E-3</v>
      </c>
      <c r="AD120" s="19">
        <f>VLOOKUP(YEAR(CurrentMtgRatesDataTable8711121314[[#This Row],[asofdate]]),OriginationVolume!$A:$N,13,FALSE)</f>
        <v>1.9267822736030828E-3</v>
      </c>
      <c r="AE12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2.1453555809185492E-2</v>
      </c>
      <c r="AF12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1.9104718490366008E-2</v>
      </c>
      <c r="AG120" s="3" t="s">
        <v>134</v>
      </c>
      <c r="AH120" s="5">
        <v>9589008000</v>
      </c>
      <c r="AI120" s="26"/>
      <c r="AK120" s="3" t="s">
        <v>134</v>
      </c>
      <c r="AL120" s="5">
        <v>3805829000</v>
      </c>
      <c r="AM120" s="26"/>
      <c r="AO120" s="3" t="s">
        <v>134</v>
      </c>
      <c r="AP120" s="5">
        <v>32504840877.98</v>
      </c>
      <c r="AQ120" s="29"/>
      <c r="AS120" s="3" t="s">
        <v>134</v>
      </c>
      <c r="AT120" s="5">
        <v>19110003877.98</v>
      </c>
      <c r="AU120" s="29" t="str">
        <f>YEAR(CurrentMtgRatesDataTable871112131417[[#This Row],[asofdate]])&amp;"-"&amp;MONTH(CurrentMtgRatesDataTable871112131417[[#This Row],[asofdate]])</f>
        <v>2012-12</v>
      </c>
      <c r="AV120" s="29">
        <f>CurrentMtgRatesDataTable871112131417[[#This Row],[SeriesNumValue]]</f>
        <v>19110003877.98</v>
      </c>
      <c r="AW120" s="29">
        <f>VLOOKUP(CurrentMtgRatesDataTable871112131417[[#This Row],[asofdate]],AG:AH,2,0)</f>
        <v>9589008000</v>
      </c>
      <c r="AX120" s="25">
        <f>IF(VLOOKUP(CurrentMtgRatesDataTable871112131417[[#This Row],[asofdate]],AK:AL,2,0)&lt;&gt;0,VLOOKUP(CurrentMtgRatesDataTable871112131417[[#This Row],[asofdate]],AK:AL,2,0),AX119)</f>
        <v>3805829000</v>
      </c>
      <c r="AY120" s="25">
        <f>VLOOKUP(CurrentMtgRatesDataTable871112131417[[#This Row],[asofdate]],AO:AP,2,0)</f>
        <v>32504840877.98</v>
      </c>
    </row>
    <row r="121" spans="2:51" s="4" customFormat="1">
      <c r="B121" s="3" t="s">
        <v>135</v>
      </c>
      <c r="C121" s="21">
        <v>4.9156981992146E-2</v>
      </c>
      <c r="D121" s="26">
        <f>((CurrentMtgRatesDataTable8711[[#This Row],[SeriesNumValue]]-$C$1)/$C$1+1)*100</f>
        <v>327.71321328097332</v>
      </c>
      <c r="E121" s="26"/>
      <c r="G121" s="3" t="s">
        <v>55</v>
      </c>
      <c r="H121" s="21">
        <v>7.8070969779932997E-2</v>
      </c>
      <c r="I121" s="21" t="str">
        <f>YEAR(CurrentMtgRatesDataTable871112[[#This Row],[asofdate]])&amp;"-"&amp;MONTH(CurrentMtgRatesDataTable871112[[#This Row],[asofdate]])</f>
        <v>2005-12</v>
      </c>
      <c r="J121" s="40">
        <f>VLOOKUP(CurrentMtgRatesDataTable871112[[#This Row],[asofdate]],Q:AE,15,0)*100</f>
        <v>6.2007270623867567</v>
      </c>
      <c r="K121" s="40">
        <f>VLOOKUP(CurrentMtgRatesDataTable871112[[#This Row],[asofdate]],Q:AE,4,0)*100</f>
        <v>1.6050678316362099</v>
      </c>
      <c r="L121" s="40">
        <f>VLOOKUP(CurrentMtgRatesDataTable871112[[#This Row],[asofdate]],Q:AE,5,0)*100</f>
        <v>8.2108794617635805</v>
      </c>
      <c r="M121" s="40">
        <f>VLOOKUP(CurrentMtgRatesDataTable871112[[#This Row],[asofdate]],Q:AE,6,0)*100</f>
        <v>7.8070969779933002</v>
      </c>
      <c r="N121" s="40">
        <f>VLOOKUP(CurrentMtgRatesDataTable871112[[#This Row],[asofdate]],Q:AF,16,0)*100</f>
        <v>9.2721175077575584</v>
      </c>
      <c r="Q121" s="3" t="s">
        <v>135</v>
      </c>
      <c r="R121" s="21">
        <v>1.4271463873293099E-2</v>
      </c>
      <c r="S121" s="29" t="str">
        <f>YEAR(CurrentMtgRatesDataTable8711121314[[#This Row],[asofdate]])&amp;"-"&amp;MONTH(CurrentMtgRatesDataTable8711121314[[#This Row],[asofdate]])</f>
        <v>2013-1</v>
      </c>
      <c r="T121" s="37">
        <f>CurrentMtgRatesDataTable8711121314[[#This Row],[SeriesNumValue]]</f>
        <v>1.4271463873293099E-2</v>
      </c>
      <c r="U121" s="37">
        <f>VLOOKUP(CurrentMtgRatesDataTable8711121314[[#This Row],[asofdate]],B:D,2,0)</f>
        <v>4.9156981992146E-2</v>
      </c>
      <c r="V121" s="37">
        <f>IF(VLOOKUP(CurrentMtgRatesDataTable8711121314[[#This Row],[asofdate]],G:H,2,0)&lt;&gt;0,VLOOKUP(CurrentMtgRatesDataTable8711121314[[#This Row],[asofdate]],G:H,2,0),V120)</f>
        <v>4.39098469008933E-2</v>
      </c>
      <c r="W121" s="37">
        <f>CurrentMtgRatesDataTable8711121314[[#This Row],[FHA]]+0.5*CurrentMtgRatesDataTable8711121314[[#This Row],[Conventional]]</f>
        <v>5.6292713928792551E-2</v>
      </c>
      <c r="X121" s="37">
        <f>2*CurrentMtgRatesDataTable8711121314[[#This Row],[FHA]]</f>
        <v>9.8313963984291999E-2</v>
      </c>
      <c r="Y121" s="19">
        <f>VLOOKUP(YEAR(CurrentMtgRatesDataTable8711121314[[#This Row],[asofdate]]),OriginationVolume!$A:$N,8,FALSE)</f>
        <v>0.64153005464480872</v>
      </c>
      <c r="Z121" s="19">
        <f>VLOOKUP(YEAR(CurrentMtgRatesDataTable8711121314[[#This Row],[asofdate]]),OriginationVolume!$A:$N,9,FALSE)</f>
        <v>0.05</v>
      </c>
      <c r="AA121" s="19">
        <f>VLOOKUP(YEAR(CurrentMtgRatesDataTable8711121314[[#This Row],[asofdate]]),OriginationVolume!$A:$N,10,FALSE)</f>
        <v>0.15</v>
      </c>
      <c r="AB121" s="19">
        <f>VLOOKUP(YEAR(CurrentMtgRatesDataTable8711121314[[#This Row],[asofdate]]),OriginationVolume!$A:$N,11,FALSE)</f>
        <v>0.14863387978142076</v>
      </c>
      <c r="AC121" s="19">
        <f>VLOOKUP(YEAR(CurrentMtgRatesDataTable8711121314[[#This Row],[asofdate]]),OriginationVolume!$A:$N,12,FALSE)</f>
        <v>7.6502732240437158E-3</v>
      </c>
      <c r="AD121" s="19">
        <f>VLOOKUP(YEAR(CurrentMtgRatesDataTable8711121314[[#This Row],[asofdate]]),OriginationVolume!$A:$N,13,FALSE)</f>
        <v>2.185792349726776E-3</v>
      </c>
      <c r="AE12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2.149138424043601E-2</v>
      </c>
      <c r="AF12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1.7459282843020646E-2</v>
      </c>
      <c r="AG121" s="3" t="s">
        <v>135</v>
      </c>
      <c r="AH121" s="5">
        <v>9109521000</v>
      </c>
      <c r="AI121" s="26"/>
      <c r="AK121" s="3" t="s">
        <v>135</v>
      </c>
      <c r="AL121" s="5">
        <v>3642429000</v>
      </c>
      <c r="AM121" s="26"/>
      <c r="AO121" s="3" t="s">
        <v>135</v>
      </c>
      <c r="AP121" s="5">
        <v>30640581342.310001</v>
      </c>
      <c r="AQ121" s="29"/>
      <c r="AS121" s="3" t="s">
        <v>135</v>
      </c>
      <c r="AT121" s="5">
        <v>17888631342.310001</v>
      </c>
      <c r="AU121" s="29" t="str">
        <f>YEAR(CurrentMtgRatesDataTable871112131417[[#This Row],[asofdate]])&amp;"-"&amp;MONTH(CurrentMtgRatesDataTable871112131417[[#This Row],[asofdate]])</f>
        <v>2013-1</v>
      </c>
      <c r="AV121" s="29">
        <f>CurrentMtgRatesDataTable871112131417[[#This Row],[SeriesNumValue]]</f>
        <v>17888631342.310001</v>
      </c>
      <c r="AW121" s="29">
        <f>VLOOKUP(CurrentMtgRatesDataTable871112131417[[#This Row],[asofdate]],AG:AH,2,0)</f>
        <v>9109521000</v>
      </c>
      <c r="AX121" s="25">
        <f>IF(VLOOKUP(CurrentMtgRatesDataTable871112131417[[#This Row],[asofdate]],AK:AL,2,0)&lt;&gt;0,VLOOKUP(CurrentMtgRatesDataTable871112131417[[#This Row],[asofdate]],AK:AL,2,0),AX120)</f>
        <v>3642429000</v>
      </c>
      <c r="AY121" s="25">
        <f>VLOOKUP(CurrentMtgRatesDataTable871112131417[[#This Row],[asofdate]],AO:AP,2,0)</f>
        <v>30640581342.310001</v>
      </c>
    </row>
    <row r="122" spans="2:51" s="4" customFormat="1">
      <c r="B122" s="3" t="s">
        <v>13</v>
      </c>
      <c r="C122" s="21">
        <v>4.83999856771603E-2</v>
      </c>
      <c r="D122" s="26">
        <f>((CurrentMtgRatesDataTable8711[[#This Row],[SeriesNumValue]]-$C$1)/$C$1+1)*100</f>
        <v>322.66657118106872</v>
      </c>
      <c r="E122" s="26"/>
      <c r="G122" s="3" t="s">
        <v>54</v>
      </c>
      <c r="H122" s="21">
        <v>7.1121707446048593E-2</v>
      </c>
      <c r="I122" s="21" t="str">
        <f>YEAR(CurrentMtgRatesDataTable871112[[#This Row],[asofdate]])&amp;"-"&amp;MONTH(CurrentMtgRatesDataTable871112[[#This Row],[asofdate]])</f>
        <v>2005-11</v>
      </c>
      <c r="J122" s="40">
        <f>VLOOKUP(CurrentMtgRatesDataTable871112[[#This Row],[asofdate]],Q:AE,15,0)*100</f>
        <v>6.9979153666283285</v>
      </c>
      <c r="K122" s="40">
        <f>VLOOKUP(CurrentMtgRatesDataTable871112[[#This Row],[asofdate]],Q:AE,4,0)*100</f>
        <v>1.8669000371853501</v>
      </c>
      <c r="L122" s="40">
        <f>VLOOKUP(CurrentMtgRatesDataTable871112[[#This Row],[asofdate]],Q:AE,5,0)*100</f>
        <v>9.2285525328509799</v>
      </c>
      <c r="M122" s="40">
        <f>VLOOKUP(CurrentMtgRatesDataTable871112[[#This Row],[asofdate]],Q:AE,6,0)*100</f>
        <v>7.1121707446048594</v>
      </c>
      <c r="N122" s="40">
        <f>VLOOKUP(CurrentMtgRatesDataTable871112[[#This Row],[asofdate]],Q:AF,16,0)*100</f>
        <v>10.451672797973311</v>
      </c>
      <c r="Q122" s="3" t="s">
        <v>13</v>
      </c>
      <c r="R122" s="21">
        <v>1.4186851428333201E-2</v>
      </c>
      <c r="S122" s="29" t="str">
        <f>YEAR(CurrentMtgRatesDataTable8711121314[[#This Row],[asofdate]])&amp;"-"&amp;MONTH(CurrentMtgRatesDataTable8711121314[[#This Row],[asofdate]])</f>
        <v>2013-2</v>
      </c>
      <c r="T122" s="37">
        <f>CurrentMtgRatesDataTable8711121314[[#This Row],[SeriesNumValue]]</f>
        <v>1.4186851428333201E-2</v>
      </c>
      <c r="U122" s="37">
        <f>VLOOKUP(CurrentMtgRatesDataTable8711121314[[#This Row],[asofdate]],B:D,2,0)</f>
        <v>4.83999856771603E-2</v>
      </c>
      <c r="V122" s="37">
        <f>IF(VLOOKUP(CurrentMtgRatesDataTable8711121314[[#This Row],[asofdate]],G:H,2,0)&lt;&gt;0,VLOOKUP(CurrentMtgRatesDataTable8711121314[[#This Row],[asofdate]],G:H,2,0),V121)</f>
        <v>4.4121631138438998E-2</v>
      </c>
      <c r="W122" s="37">
        <f>CurrentMtgRatesDataTable8711121314[[#This Row],[FHA]]+0.5*CurrentMtgRatesDataTable8711121314[[#This Row],[Conventional]]</f>
        <v>5.5493411391326901E-2</v>
      </c>
      <c r="X122" s="37">
        <f>2*CurrentMtgRatesDataTable8711121314[[#This Row],[FHA]]</f>
        <v>9.6799971354320599E-2</v>
      </c>
      <c r="Y122" s="19">
        <f>VLOOKUP(YEAR(CurrentMtgRatesDataTable8711121314[[#This Row],[asofdate]]),OriginationVolume!$A:$N,8,FALSE)</f>
        <v>0.64153005464480872</v>
      </c>
      <c r="Z122" s="19">
        <f>VLOOKUP(YEAR(CurrentMtgRatesDataTable8711121314[[#This Row],[asofdate]]),OriginationVolume!$A:$N,9,FALSE)</f>
        <v>0.05</v>
      </c>
      <c r="AA122" s="19">
        <f>VLOOKUP(YEAR(CurrentMtgRatesDataTable8711121314[[#This Row],[asofdate]]),OriginationVolume!$A:$N,10,FALSE)</f>
        <v>0.15</v>
      </c>
      <c r="AB122" s="19">
        <f>VLOOKUP(YEAR(CurrentMtgRatesDataTable8711121314[[#This Row],[asofdate]]),OriginationVolume!$A:$N,11,FALSE)</f>
        <v>0.14863387978142076</v>
      </c>
      <c r="AC122" s="19">
        <f>VLOOKUP(YEAR(CurrentMtgRatesDataTable8711121314[[#This Row],[asofdate]]),OriginationVolume!$A:$N,12,FALSE)</f>
        <v>7.6502732240437158E-3</v>
      </c>
      <c r="AD122" s="19">
        <f>VLOOKUP(YEAR(CurrentMtgRatesDataTable8711121314[[#This Row],[asofdate]]),OriginationVolume!$A:$N,13,FALSE)</f>
        <v>2.185792349726776E-3</v>
      </c>
      <c r="AE12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2.131214214634608E-2</v>
      </c>
      <c r="AF12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1.7320452528974104E-2</v>
      </c>
      <c r="AG122" s="3" t="s">
        <v>13</v>
      </c>
      <c r="AH122" s="5">
        <v>8934122000</v>
      </c>
      <c r="AI122" s="26"/>
      <c r="AK122" s="3" t="s">
        <v>13</v>
      </c>
      <c r="AL122" s="5">
        <v>3681776000</v>
      </c>
      <c r="AM122" s="26"/>
      <c r="AO122" s="3" t="s">
        <v>13</v>
      </c>
      <c r="AP122" s="5">
        <v>30895488742.830002</v>
      </c>
      <c r="AQ122" s="29"/>
      <c r="AS122" s="3" t="s">
        <v>13</v>
      </c>
      <c r="AT122" s="5">
        <v>18279590742.830002</v>
      </c>
      <c r="AU122" s="29" t="str">
        <f>YEAR(CurrentMtgRatesDataTable871112131417[[#This Row],[asofdate]])&amp;"-"&amp;MONTH(CurrentMtgRatesDataTable871112131417[[#This Row],[asofdate]])</f>
        <v>2013-2</v>
      </c>
      <c r="AV122" s="29">
        <f>CurrentMtgRatesDataTable871112131417[[#This Row],[SeriesNumValue]]</f>
        <v>18279590742.830002</v>
      </c>
      <c r="AW122" s="29">
        <f>VLOOKUP(CurrentMtgRatesDataTable871112131417[[#This Row],[asofdate]],AG:AH,2,0)</f>
        <v>8934122000</v>
      </c>
      <c r="AX122" s="25">
        <f>IF(VLOOKUP(CurrentMtgRatesDataTable871112131417[[#This Row],[asofdate]],AK:AL,2,0)&lt;&gt;0,VLOOKUP(CurrentMtgRatesDataTable871112131417[[#This Row],[asofdate]],AK:AL,2,0),AX121)</f>
        <v>3681776000</v>
      </c>
      <c r="AY122" s="25">
        <f>VLOOKUP(CurrentMtgRatesDataTable871112131417[[#This Row],[asofdate]],AO:AP,2,0)</f>
        <v>30895488742.830002</v>
      </c>
    </row>
    <row r="123" spans="2:51" s="4" customFormat="1">
      <c r="B123" s="3" t="s">
        <v>14</v>
      </c>
      <c r="C123" s="21">
        <v>4.8162877188679197E-2</v>
      </c>
      <c r="D123" s="26">
        <f>((CurrentMtgRatesDataTable8711[[#This Row],[SeriesNumValue]]-$C$1)/$C$1+1)*100</f>
        <v>321.08584792452797</v>
      </c>
      <c r="E123" s="26"/>
      <c r="G123" s="3" t="s">
        <v>53</v>
      </c>
      <c r="H123" s="21">
        <v>7.7491922918333095E-2</v>
      </c>
      <c r="I123" s="21" t="str">
        <f>YEAR(CurrentMtgRatesDataTable871112[[#This Row],[asofdate]])&amp;"-"&amp;MONTH(CurrentMtgRatesDataTable871112[[#This Row],[asofdate]])</f>
        <v>2005-10</v>
      </c>
      <c r="J123" s="40">
        <f>VLOOKUP(CurrentMtgRatesDataTable871112[[#This Row],[asofdate]],Q:AE,15,0)*100</f>
        <v>6.891697690155782</v>
      </c>
      <c r="K123" s="40">
        <f>VLOOKUP(CurrentMtgRatesDataTable871112[[#This Row],[asofdate]],Q:AE,4,0)*100</f>
        <v>1.8906432407664899</v>
      </c>
      <c r="L123" s="40">
        <f>VLOOKUP(CurrentMtgRatesDataTable871112[[#This Row],[asofdate]],Q:AE,5,0)*100</f>
        <v>9.021844073281251</v>
      </c>
      <c r="M123" s="40">
        <f>VLOOKUP(CurrentMtgRatesDataTable871112[[#This Row],[asofdate]],Q:AE,6,0)*100</f>
        <v>7.7491922918333094</v>
      </c>
      <c r="N123" s="40">
        <f>VLOOKUP(CurrentMtgRatesDataTable871112[[#This Row],[asofdate]],Q:AF,16,0)*100</f>
        <v>10.249202985670456</v>
      </c>
      <c r="Q123" s="3" t="s">
        <v>14</v>
      </c>
      <c r="R123" s="21">
        <v>1.4205148918397199E-2</v>
      </c>
      <c r="S123" s="29" t="str">
        <f>YEAR(CurrentMtgRatesDataTable8711121314[[#This Row],[asofdate]])&amp;"-"&amp;MONTH(CurrentMtgRatesDataTable8711121314[[#This Row],[asofdate]])</f>
        <v>2013-3</v>
      </c>
      <c r="T123" s="37">
        <f>CurrentMtgRatesDataTable8711121314[[#This Row],[SeriesNumValue]]</f>
        <v>1.4205148918397199E-2</v>
      </c>
      <c r="U123" s="37">
        <f>VLOOKUP(CurrentMtgRatesDataTable8711121314[[#This Row],[asofdate]],B:D,2,0)</f>
        <v>4.8162877188679197E-2</v>
      </c>
      <c r="V123" s="37">
        <f>IF(VLOOKUP(CurrentMtgRatesDataTable8711121314[[#This Row],[asofdate]],G:H,2,0)&lt;&gt;0,VLOOKUP(CurrentMtgRatesDataTable8711121314[[#This Row],[asofdate]],G:H,2,0),V122)</f>
        <v>4.3393988731490002E-2</v>
      </c>
      <c r="W123" s="37">
        <f>CurrentMtgRatesDataTable8711121314[[#This Row],[FHA]]+0.5*CurrentMtgRatesDataTable8711121314[[#This Row],[Conventional]]</f>
        <v>5.52654516478778E-2</v>
      </c>
      <c r="X123" s="37">
        <f>2*CurrentMtgRatesDataTable8711121314[[#This Row],[FHA]]</f>
        <v>9.6325754377358394E-2</v>
      </c>
      <c r="Y123" s="19">
        <f>VLOOKUP(YEAR(CurrentMtgRatesDataTable8711121314[[#This Row],[asofdate]]),OriginationVolume!$A:$N,8,FALSE)</f>
        <v>0.64153005464480872</v>
      </c>
      <c r="Z123" s="19">
        <f>VLOOKUP(YEAR(CurrentMtgRatesDataTable8711121314[[#This Row],[asofdate]]),OriginationVolume!$A:$N,9,FALSE)</f>
        <v>0.05</v>
      </c>
      <c r="AA123" s="19">
        <f>VLOOKUP(YEAR(CurrentMtgRatesDataTable8711121314[[#This Row],[asofdate]]),OriginationVolume!$A:$N,10,FALSE)</f>
        <v>0.15</v>
      </c>
      <c r="AB123" s="19">
        <f>VLOOKUP(YEAR(CurrentMtgRatesDataTable8711121314[[#This Row],[asofdate]]),OriginationVolume!$A:$N,11,FALSE)</f>
        <v>0.14863387978142076</v>
      </c>
      <c r="AC123" s="19">
        <f>VLOOKUP(YEAR(CurrentMtgRatesDataTable8711121314[[#This Row],[asofdate]]),OriginationVolume!$A:$N,12,FALSE)</f>
        <v>7.6502732240437158E-3</v>
      </c>
      <c r="AD123" s="19">
        <f>VLOOKUP(YEAR(CurrentMtgRatesDataTable8711121314[[#This Row],[asofdate]]),OriginationVolume!$A:$N,13,FALSE)</f>
        <v>2.185792349726776E-3</v>
      </c>
      <c r="AE12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2.125187127530374E-2</v>
      </c>
      <c r="AF12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1.7320068435806073E-2</v>
      </c>
      <c r="AG123" s="3" t="s">
        <v>14</v>
      </c>
      <c r="AH123" s="5">
        <v>7294344000</v>
      </c>
      <c r="AI123" s="26"/>
      <c r="AK123" s="3" t="s">
        <v>14</v>
      </c>
      <c r="AL123" s="5">
        <v>2847845000</v>
      </c>
      <c r="AM123" s="26"/>
      <c r="AO123" s="3" t="s">
        <v>14</v>
      </c>
      <c r="AP123" s="5">
        <v>24189070034.529999</v>
      </c>
      <c r="AQ123" s="29"/>
      <c r="AS123" s="3" t="s">
        <v>14</v>
      </c>
      <c r="AT123" s="5">
        <v>14046881034.530001</v>
      </c>
      <c r="AU123" s="29" t="str">
        <f>YEAR(CurrentMtgRatesDataTable871112131417[[#This Row],[asofdate]])&amp;"-"&amp;MONTH(CurrentMtgRatesDataTable871112131417[[#This Row],[asofdate]])</f>
        <v>2013-3</v>
      </c>
      <c r="AV123" s="29">
        <f>CurrentMtgRatesDataTable871112131417[[#This Row],[SeriesNumValue]]</f>
        <v>14046881034.530001</v>
      </c>
      <c r="AW123" s="29">
        <f>VLOOKUP(CurrentMtgRatesDataTable871112131417[[#This Row],[asofdate]],AG:AH,2,0)</f>
        <v>7294344000</v>
      </c>
      <c r="AX123" s="25">
        <f>IF(VLOOKUP(CurrentMtgRatesDataTable871112131417[[#This Row],[asofdate]],AK:AL,2,0)&lt;&gt;0,VLOOKUP(CurrentMtgRatesDataTable871112131417[[#This Row],[asofdate]],AK:AL,2,0),AX122)</f>
        <v>2847845000</v>
      </c>
      <c r="AY123" s="25">
        <f>VLOOKUP(CurrentMtgRatesDataTable871112131417[[#This Row],[asofdate]],AO:AP,2,0)</f>
        <v>24189070034.529999</v>
      </c>
    </row>
    <row r="124" spans="2:51" s="4" customFormat="1">
      <c r="B124" s="3" t="s">
        <v>10</v>
      </c>
      <c r="C124" s="21">
        <v>4.7048443962686003E-2</v>
      </c>
      <c r="D124" s="26">
        <f>((CurrentMtgRatesDataTable8711[[#This Row],[SeriesNumValue]]-$C$1)/$C$1+1)*100</f>
        <v>313.65629308457335</v>
      </c>
      <c r="E124" s="26"/>
      <c r="G124" s="3" t="s">
        <v>52</v>
      </c>
      <c r="H124" s="21">
        <v>7.3908989895033E-2</v>
      </c>
      <c r="I124" s="21" t="str">
        <f>YEAR(CurrentMtgRatesDataTable871112[[#This Row],[asofdate]])&amp;"-"&amp;MONTH(CurrentMtgRatesDataTable871112[[#This Row],[asofdate]])</f>
        <v>2005-9</v>
      </c>
      <c r="J124" s="40">
        <f>VLOOKUP(CurrentMtgRatesDataTable871112[[#This Row],[asofdate]],Q:AE,15,0)*100</f>
        <v>6.5521134037947872</v>
      </c>
      <c r="K124" s="40">
        <f>VLOOKUP(CurrentMtgRatesDataTable871112[[#This Row],[asofdate]],Q:AE,4,0)*100</f>
        <v>1.8331825804747002</v>
      </c>
      <c r="L124" s="40">
        <f>VLOOKUP(CurrentMtgRatesDataTable871112[[#This Row],[asofdate]],Q:AE,5,0)*100</f>
        <v>8.5380791907585394</v>
      </c>
      <c r="M124" s="40">
        <f>VLOOKUP(CurrentMtgRatesDataTable871112[[#This Row],[asofdate]],Q:AE,6,0)*100</f>
        <v>7.3908989895032997</v>
      </c>
      <c r="N124" s="40">
        <f>VLOOKUP(CurrentMtgRatesDataTable871112[[#This Row],[asofdate]],Q:AF,16,0)*100</f>
        <v>9.7208176775220263</v>
      </c>
      <c r="Q124" s="3" t="s">
        <v>10</v>
      </c>
      <c r="R124" s="21">
        <v>1.40763601235394E-2</v>
      </c>
      <c r="S124" s="29" t="str">
        <f>YEAR(CurrentMtgRatesDataTable8711121314[[#This Row],[asofdate]])&amp;"-"&amp;MONTH(CurrentMtgRatesDataTable8711121314[[#This Row],[asofdate]])</f>
        <v>2013-4</v>
      </c>
      <c r="T124" s="37">
        <f>CurrentMtgRatesDataTable8711121314[[#This Row],[SeriesNumValue]]</f>
        <v>1.40763601235394E-2</v>
      </c>
      <c r="U124" s="37">
        <f>VLOOKUP(CurrentMtgRatesDataTable8711121314[[#This Row],[asofdate]],B:D,2,0)</f>
        <v>4.7048443962686003E-2</v>
      </c>
      <c r="V124" s="37">
        <f>IF(VLOOKUP(CurrentMtgRatesDataTable8711121314[[#This Row],[asofdate]],G:H,2,0)&lt;&gt;0,VLOOKUP(CurrentMtgRatesDataTable8711121314[[#This Row],[asofdate]],G:H,2,0),V123)</f>
        <v>4.2668851038634797E-2</v>
      </c>
      <c r="W124" s="37">
        <f>CurrentMtgRatesDataTable8711121314[[#This Row],[FHA]]+0.5*CurrentMtgRatesDataTable8711121314[[#This Row],[Conventional]]</f>
        <v>5.4086624024455701E-2</v>
      </c>
      <c r="X124" s="37">
        <f>2*CurrentMtgRatesDataTable8711121314[[#This Row],[FHA]]</f>
        <v>9.4096887925372005E-2</v>
      </c>
      <c r="Y124" s="19">
        <f>VLOOKUP(YEAR(CurrentMtgRatesDataTable8711121314[[#This Row],[asofdate]]),OriginationVolume!$A:$N,8,FALSE)</f>
        <v>0.64153005464480872</v>
      </c>
      <c r="Z124" s="19">
        <f>VLOOKUP(YEAR(CurrentMtgRatesDataTable8711121314[[#This Row],[asofdate]]),OriginationVolume!$A:$N,9,FALSE)</f>
        <v>0.05</v>
      </c>
      <c r="AA124" s="19">
        <f>VLOOKUP(YEAR(CurrentMtgRatesDataTable8711121314[[#This Row],[asofdate]]),OriginationVolume!$A:$N,10,FALSE)</f>
        <v>0.15</v>
      </c>
      <c r="AB124" s="19">
        <f>VLOOKUP(YEAR(CurrentMtgRatesDataTable8711121314[[#This Row],[asofdate]]),OriginationVolume!$A:$N,11,FALSE)</f>
        <v>0.14863387978142076</v>
      </c>
      <c r="AC124" s="19">
        <f>VLOOKUP(YEAR(CurrentMtgRatesDataTable8711121314[[#This Row],[asofdate]]),OriginationVolume!$A:$N,12,FALSE)</f>
        <v>7.6502732240437158E-3</v>
      </c>
      <c r="AD124" s="19">
        <f>VLOOKUP(YEAR(CurrentMtgRatesDataTable8711121314[[#This Row],[asofdate]]),OriginationVolume!$A:$N,13,FALSE)</f>
        <v>2.185792349726776E-3</v>
      </c>
      <c r="AE12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2.0932794953264607E-2</v>
      </c>
      <c r="AF12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1.7111621522919257E-2</v>
      </c>
      <c r="AG124" s="3" t="s">
        <v>10</v>
      </c>
      <c r="AH124" s="5">
        <v>7200749000</v>
      </c>
      <c r="AI124" s="26"/>
      <c r="AK124" s="3" t="s">
        <v>10</v>
      </c>
      <c r="AL124" s="5">
        <v>2986035000</v>
      </c>
      <c r="AM124" s="26"/>
      <c r="AO124" s="3" t="s">
        <v>10</v>
      </c>
      <c r="AP124" s="5">
        <v>24826686214.599998</v>
      </c>
      <c r="AQ124" s="29"/>
      <c r="AS124" s="3" t="s">
        <v>10</v>
      </c>
      <c r="AT124" s="5">
        <v>14639902214.6</v>
      </c>
      <c r="AU124" s="29" t="str">
        <f>YEAR(CurrentMtgRatesDataTable871112131417[[#This Row],[asofdate]])&amp;"-"&amp;MONTH(CurrentMtgRatesDataTable871112131417[[#This Row],[asofdate]])</f>
        <v>2013-4</v>
      </c>
      <c r="AV124" s="29">
        <f>CurrentMtgRatesDataTable871112131417[[#This Row],[SeriesNumValue]]</f>
        <v>14639902214.6</v>
      </c>
      <c r="AW124" s="29">
        <f>VLOOKUP(CurrentMtgRatesDataTable871112131417[[#This Row],[asofdate]],AG:AH,2,0)</f>
        <v>7200749000</v>
      </c>
      <c r="AX124" s="25">
        <f>IF(VLOOKUP(CurrentMtgRatesDataTable871112131417[[#This Row],[asofdate]],AK:AL,2,0)&lt;&gt;0,VLOOKUP(CurrentMtgRatesDataTable871112131417[[#This Row],[asofdate]],AK:AL,2,0),AX123)</f>
        <v>2986035000</v>
      </c>
      <c r="AY124" s="25">
        <f>VLOOKUP(CurrentMtgRatesDataTable871112131417[[#This Row],[asofdate]],AO:AP,2,0)</f>
        <v>24826686214.599998</v>
      </c>
    </row>
    <row r="125" spans="2:51" s="4" customFormat="1">
      <c r="B125" s="3" t="s">
        <v>2</v>
      </c>
      <c r="C125" s="21">
        <v>4.8564626706116498E-2</v>
      </c>
      <c r="D125" s="26">
        <f>((CurrentMtgRatesDataTable8711[[#This Row],[SeriesNumValue]]-$C$1)/$C$1+1)*100</f>
        <v>323.7641780407767</v>
      </c>
      <c r="E125" s="26"/>
      <c r="G125" s="3" t="s">
        <v>51</v>
      </c>
      <c r="H125" s="21">
        <v>8.0042668586271001E-2</v>
      </c>
      <c r="I125" s="21" t="str">
        <f>YEAR(CurrentMtgRatesDataTable871112[[#This Row],[asofdate]])&amp;"-"&amp;MONTH(CurrentMtgRatesDataTable871112[[#This Row],[asofdate]])</f>
        <v>2005-8</v>
      </c>
      <c r="J125" s="40">
        <f>VLOOKUP(CurrentMtgRatesDataTable871112[[#This Row],[asofdate]],Q:AE,15,0)*100</f>
        <v>7.3037050406460065</v>
      </c>
      <c r="K125" s="40">
        <f>VLOOKUP(CurrentMtgRatesDataTable871112[[#This Row],[asofdate]],Q:AE,4,0)*100</f>
        <v>1.9632918587673898</v>
      </c>
      <c r="L125" s="40">
        <f>VLOOKUP(CurrentMtgRatesDataTable871112[[#This Row],[asofdate]],Q:AE,5,0)*100</f>
        <v>9.6079655045307604</v>
      </c>
      <c r="M125" s="40">
        <f>VLOOKUP(CurrentMtgRatesDataTable871112[[#This Row],[asofdate]],Q:AE,6,0)*100</f>
        <v>8.0042668586270995</v>
      </c>
      <c r="N125" s="40">
        <f>VLOOKUP(CurrentMtgRatesDataTable871112[[#This Row],[asofdate]],Q:AF,16,0)*100</f>
        <v>10.890847990506893</v>
      </c>
      <c r="Q125" s="3" t="s">
        <v>2</v>
      </c>
      <c r="R125" s="21">
        <v>1.4536398607508799E-2</v>
      </c>
      <c r="S125" s="29" t="str">
        <f>YEAR(CurrentMtgRatesDataTable8711121314[[#This Row],[asofdate]])&amp;"-"&amp;MONTH(CurrentMtgRatesDataTable8711121314[[#This Row],[asofdate]])</f>
        <v>2013-5</v>
      </c>
      <c r="T125" s="37">
        <f>CurrentMtgRatesDataTable8711121314[[#This Row],[SeriesNumValue]]</f>
        <v>1.4536398607508799E-2</v>
      </c>
      <c r="U125" s="37">
        <f>VLOOKUP(CurrentMtgRatesDataTable8711121314[[#This Row],[asofdate]],B:D,2,0)</f>
        <v>4.8564626706116498E-2</v>
      </c>
      <c r="V125" s="37">
        <f>IF(VLOOKUP(CurrentMtgRatesDataTable8711121314[[#This Row],[asofdate]],G:H,2,0)&lt;&gt;0,VLOOKUP(CurrentMtgRatesDataTable8711121314[[#This Row],[asofdate]],G:H,2,0),V124)</f>
        <v>4.2284506095958602E-2</v>
      </c>
      <c r="W125" s="37">
        <f>CurrentMtgRatesDataTable8711121314[[#This Row],[FHA]]+0.5*CurrentMtgRatesDataTable8711121314[[#This Row],[Conventional]]</f>
        <v>5.5832826009870898E-2</v>
      </c>
      <c r="X125" s="37">
        <f>2*CurrentMtgRatesDataTable8711121314[[#This Row],[FHA]]</f>
        <v>9.7129253412232996E-2</v>
      </c>
      <c r="Y125" s="19">
        <f>VLOOKUP(YEAR(CurrentMtgRatesDataTable8711121314[[#This Row],[asofdate]]),OriginationVolume!$A:$N,8,FALSE)</f>
        <v>0.64153005464480872</v>
      </c>
      <c r="Z125" s="19">
        <f>VLOOKUP(YEAR(CurrentMtgRatesDataTable8711121314[[#This Row],[asofdate]]),OriginationVolume!$A:$N,9,FALSE)</f>
        <v>0.05</v>
      </c>
      <c r="AA125" s="19">
        <f>VLOOKUP(YEAR(CurrentMtgRatesDataTable8711121314[[#This Row],[asofdate]]),OriginationVolume!$A:$N,10,FALSE)</f>
        <v>0.15</v>
      </c>
      <c r="AB125" s="19">
        <f>VLOOKUP(YEAR(CurrentMtgRatesDataTable8711121314[[#This Row],[asofdate]]),OriginationVolume!$A:$N,11,FALSE)</f>
        <v>0.14863387978142076</v>
      </c>
      <c r="AC125" s="19">
        <f>VLOOKUP(YEAR(CurrentMtgRatesDataTable8711121314[[#This Row],[asofdate]]),OriginationVolume!$A:$N,12,FALSE)</f>
        <v>7.6502732240437158E-3</v>
      </c>
      <c r="AD125" s="19">
        <f>VLOOKUP(YEAR(CurrentMtgRatesDataTable8711121314[[#This Row],[asofdate]]),OriginationVolume!$A:$N,13,FALSE)</f>
        <v>2.185792349726776E-3</v>
      </c>
      <c r="AE12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2.1524497979701664E-2</v>
      </c>
      <c r="AF12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1.7669231031136271E-2</v>
      </c>
      <c r="AG125" s="3" t="s">
        <v>2</v>
      </c>
      <c r="AH125" s="5">
        <v>9446655000</v>
      </c>
      <c r="AI125" s="26"/>
      <c r="AK125" s="3" t="s">
        <v>2</v>
      </c>
      <c r="AL125" s="5">
        <v>3923858000</v>
      </c>
      <c r="AM125" s="26"/>
      <c r="AO125" s="3" t="s">
        <v>2</v>
      </c>
      <c r="AP125" s="5">
        <v>33624158715.84</v>
      </c>
      <c r="AQ125" s="29"/>
      <c r="AS125" s="3" t="s">
        <v>2</v>
      </c>
      <c r="AT125" s="5">
        <v>20253645715.84</v>
      </c>
      <c r="AU125" s="29" t="str">
        <f>YEAR(CurrentMtgRatesDataTable871112131417[[#This Row],[asofdate]])&amp;"-"&amp;MONTH(CurrentMtgRatesDataTable871112131417[[#This Row],[asofdate]])</f>
        <v>2013-5</v>
      </c>
      <c r="AV125" s="29">
        <f>CurrentMtgRatesDataTable871112131417[[#This Row],[SeriesNumValue]]</f>
        <v>20253645715.84</v>
      </c>
      <c r="AW125" s="29">
        <f>VLOOKUP(CurrentMtgRatesDataTable871112131417[[#This Row],[asofdate]],AG:AH,2,0)</f>
        <v>9446655000</v>
      </c>
      <c r="AX125" s="25">
        <f>IF(VLOOKUP(CurrentMtgRatesDataTable871112131417[[#This Row],[asofdate]],AK:AL,2,0)&lt;&gt;0,VLOOKUP(CurrentMtgRatesDataTable871112131417[[#This Row],[asofdate]],AK:AL,2,0),AX124)</f>
        <v>3923858000</v>
      </c>
      <c r="AY125" s="25">
        <f>VLOOKUP(CurrentMtgRatesDataTable871112131417[[#This Row],[asofdate]],AO:AP,2,0)</f>
        <v>33624158715.84</v>
      </c>
    </row>
    <row r="126" spans="2:51" s="4" customFormat="1">
      <c r="B126" s="3" t="s">
        <v>136</v>
      </c>
      <c r="C126" s="21">
        <v>5.0915054900666903E-2</v>
      </c>
      <c r="D126" s="26">
        <f>((CurrentMtgRatesDataTable8711[[#This Row],[SeriesNumValue]]-$C$1)/$C$1+1)*100</f>
        <v>339.43369933777939</v>
      </c>
      <c r="E126" s="26"/>
      <c r="G126" s="3" t="s">
        <v>50</v>
      </c>
      <c r="H126" s="21">
        <v>8.0514821186880595E-2</v>
      </c>
      <c r="I126" s="21" t="str">
        <f>YEAR(CurrentMtgRatesDataTable871112[[#This Row],[asofdate]])&amp;"-"&amp;MONTH(CurrentMtgRatesDataTable871112[[#This Row],[asofdate]])</f>
        <v>2005-7</v>
      </c>
      <c r="J126" s="40">
        <f>VLOOKUP(CurrentMtgRatesDataTable871112[[#This Row],[asofdate]],Q:AE,15,0)*100</f>
        <v>7.1730721595611309</v>
      </c>
      <c r="K126" s="40">
        <f>VLOOKUP(CurrentMtgRatesDataTable871112[[#This Row],[asofdate]],Q:AE,4,0)*100</f>
        <v>2.1131997562814897</v>
      </c>
      <c r="L126" s="40">
        <f>VLOOKUP(CurrentMtgRatesDataTable871112[[#This Row],[asofdate]],Q:AE,5,0)*100</f>
        <v>9.23195045820305</v>
      </c>
      <c r="M126" s="40">
        <f>VLOOKUP(CurrentMtgRatesDataTable871112[[#This Row],[asofdate]],Q:AE,6,0)*100</f>
        <v>8.0514821186880603</v>
      </c>
      <c r="N126" s="40">
        <f>VLOOKUP(CurrentMtgRatesDataTable871112[[#This Row],[asofdate]],Q:AF,16,0)*100</f>
        <v>10.574038769298353</v>
      </c>
      <c r="Q126" s="3" t="s">
        <v>136</v>
      </c>
      <c r="R126" s="21">
        <v>1.5513831385549501E-2</v>
      </c>
      <c r="S126" s="29" t="str">
        <f>YEAR(CurrentMtgRatesDataTable8711121314[[#This Row],[asofdate]])&amp;"-"&amp;MONTH(CurrentMtgRatesDataTable8711121314[[#This Row],[asofdate]])</f>
        <v>2013-6</v>
      </c>
      <c r="T126" s="37">
        <f>CurrentMtgRatesDataTable8711121314[[#This Row],[SeriesNumValue]]</f>
        <v>1.5513831385549501E-2</v>
      </c>
      <c r="U126" s="37">
        <f>VLOOKUP(CurrentMtgRatesDataTable8711121314[[#This Row],[asofdate]],B:D,2,0)</f>
        <v>5.0915054900666903E-2</v>
      </c>
      <c r="V126" s="37">
        <f>IF(VLOOKUP(CurrentMtgRatesDataTable8711121314[[#This Row],[asofdate]],G:H,2,0)&lt;&gt;0,VLOOKUP(CurrentMtgRatesDataTable8711121314[[#This Row],[asofdate]],G:H,2,0),V125)</f>
        <v>4.3999613211472499E-2</v>
      </c>
      <c r="W126" s="37">
        <f>CurrentMtgRatesDataTable8711121314[[#This Row],[FHA]]+0.5*CurrentMtgRatesDataTable8711121314[[#This Row],[Conventional]]</f>
        <v>5.8671970593441654E-2</v>
      </c>
      <c r="X126" s="37">
        <f>2*CurrentMtgRatesDataTable8711121314[[#This Row],[FHA]]</f>
        <v>0.10183010980133381</v>
      </c>
      <c r="Y126" s="19">
        <f>VLOOKUP(YEAR(CurrentMtgRatesDataTable8711121314[[#This Row],[asofdate]]),OriginationVolume!$A:$N,8,FALSE)</f>
        <v>0.64153005464480872</v>
      </c>
      <c r="Z126" s="19">
        <f>VLOOKUP(YEAR(CurrentMtgRatesDataTable8711121314[[#This Row],[asofdate]]),OriginationVolume!$A:$N,9,FALSE)</f>
        <v>0.05</v>
      </c>
      <c r="AA126" s="19">
        <f>VLOOKUP(YEAR(CurrentMtgRatesDataTable8711121314[[#This Row],[asofdate]]),OriginationVolume!$A:$N,10,FALSE)</f>
        <v>0.15</v>
      </c>
      <c r="AB126" s="19">
        <f>VLOOKUP(YEAR(CurrentMtgRatesDataTable8711121314[[#This Row],[asofdate]]),OriginationVolume!$A:$N,11,FALSE)</f>
        <v>0.14863387978142076</v>
      </c>
      <c r="AC126" s="19">
        <f>VLOOKUP(YEAR(CurrentMtgRatesDataTable8711121314[[#This Row],[asofdate]]),OriginationVolume!$A:$N,12,FALSE)</f>
        <v>7.6502732240437158E-3</v>
      </c>
      <c r="AD126" s="19">
        <f>VLOOKUP(YEAR(CurrentMtgRatesDataTable8711121314[[#This Row],[asofdate]]),OriginationVolume!$A:$N,13,FALSE)</f>
        <v>2.185792349726776E-3</v>
      </c>
      <c r="AE12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2.2767145021913057E-2</v>
      </c>
      <c r="AF12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1.8787897118562012E-2</v>
      </c>
      <c r="AG126" s="3" t="s">
        <v>136</v>
      </c>
      <c r="AH126" s="5">
        <v>10361546000</v>
      </c>
      <c r="AI126" s="26"/>
      <c r="AK126" s="3" t="s">
        <v>136</v>
      </c>
      <c r="AL126" s="5">
        <v>4269305000</v>
      </c>
      <c r="AM126" s="26"/>
      <c r="AO126" s="3" t="s">
        <v>136</v>
      </c>
      <c r="AP126" s="5">
        <v>37565043769.32</v>
      </c>
      <c r="AQ126" s="29"/>
      <c r="AS126" s="3" t="s">
        <v>136</v>
      </c>
      <c r="AT126" s="5">
        <v>22934192769.32</v>
      </c>
      <c r="AU126" s="29" t="str">
        <f>YEAR(CurrentMtgRatesDataTable871112131417[[#This Row],[asofdate]])&amp;"-"&amp;MONTH(CurrentMtgRatesDataTable871112131417[[#This Row],[asofdate]])</f>
        <v>2013-6</v>
      </c>
      <c r="AV126" s="29">
        <f>CurrentMtgRatesDataTable871112131417[[#This Row],[SeriesNumValue]]</f>
        <v>22934192769.32</v>
      </c>
      <c r="AW126" s="29">
        <f>VLOOKUP(CurrentMtgRatesDataTable871112131417[[#This Row],[asofdate]],AG:AH,2,0)</f>
        <v>10361546000</v>
      </c>
      <c r="AX126" s="25">
        <f>IF(VLOOKUP(CurrentMtgRatesDataTable871112131417[[#This Row],[asofdate]],AK:AL,2,0)&lt;&gt;0,VLOOKUP(CurrentMtgRatesDataTable871112131417[[#This Row],[asofdate]],AK:AL,2,0),AX125)</f>
        <v>4269305000</v>
      </c>
      <c r="AY126" s="25">
        <f>VLOOKUP(CurrentMtgRatesDataTable871112131417[[#This Row],[asofdate]],AO:AP,2,0)</f>
        <v>37565043769.32</v>
      </c>
    </row>
    <row r="127" spans="2:51" s="4" customFormat="1">
      <c r="B127" s="3" t="s">
        <v>5</v>
      </c>
      <c r="C127" s="21">
        <v>4.8400476857025899E-2</v>
      </c>
      <c r="D127" s="26">
        <f>((CurrentMtgRatesDataTable8711[[#This Row],[SeriesNumValue]]-$C$1)/$C$1+1)*100</f>
        <v>322.66984571350599</v>
      </c>
      <c r="E127" s="26"/>
      <c r="G127" s="3" t="s">
        <v>49</v>
      </c>
      <c r="H127" s="21">
        <v>7.2760553043788298E-2</v>
      </c>
      <c r="I127" s="21" t="str">
        <f>YEAR(CurrentMtgRatesDataTable871112[[#This Row],[asofdate]])&amp;"-"&amp;MONTH(CurrentMtgRatesDataTable871112[[#This Row],[asofdate]])</f>
        <v>2005-6</v>
      </c>
      <c r="J127" s="40">
        <f>VLOOKUP(CurrentMtgRatesDataTable871112[[#This Row],[asofdate]],Q:AE,15,0)*100</f>
        <v>7.0052396687908969</v>
      </c>
      <c r="K127" s="40">
        <f>VLOOKUP(CurrentMtgRatesDataTable871112[[#This Row],[asofdate]],Q:AE,4,0)*100</f>
        <v>2.06615727477848</v>
      </c>
      <c r="L127" s="40">
        <f>VLOOKUP(CurrentMtgRatesDataTable871112[[#This Row],[asofdate]],Q:AE,5,0)*100</f>
        <v>9.0211093283241297</v>
      </c>
      <c r="M127" s="40">
        <f>VLOOKUP(CurrentMtgRatesDataTable871112[[#This Row],[asofdate]],Q:AE,6,0)*100</f>
        <v>7.2760553043788301</v>
      </c>
      <c r="N127" s="40">
        <f>VLOOKUP(CurrentMtgRatesDataTable871112[[#This Row],[asofdate]],Q:AF,16,0)*100</f>
        <v>10.333135069206334</v>
      </c>
      <c r="Q127" s="3" t="s">
        <v>5</v>
      </c>
      <c r="R127" s="21">
        <v>1.4664753361722E-2</v>
      </c>
      <c r="S127" s="29" t="str">
        <f>YEAR(CurrentMtgRatesDataTable8711121314[[#This Row],[asofdate]])&amp;"-"&amp;MONTH(CurrentMtgRatesDataTable8711121314[[#This Row],[asofdate]])</f>
        <v>2013-7</v>
      </c>
      <c r="T127" s="37">
        <f>CurrentMtgRatesDataTable8711121314[[#This Row],[SeriesNumValue]]</f>
        <v>1.4664753361722E-2</v>
      </c>
      <c r="U127" s="37">
        <f>VLOOKUP(CurrentMtgRatesDataTable8711121314[[#This Row],[asofdate]],B:D,2,0)</f>
        <v>4.8400476857025899E-2</v>
      </c>
      <c r="V127" s="37">
        <f>IF(VLOOKUP(CurrentMtgRatesDataTable8711121314[[#This Row],[asofdate]],G:H,2,0)&lt;&gt;0,VLOOKUP(CurrentMtgRatesDataTable8711121314[[#This Row],[asofdate]],G:H,2,0),V126)</f>
        <v>4.0382987212321503E-2</v>
      </c>
      <c r="W127" s="37">
        <f>CurrentMtgRatesDataTable8711121314[[#This Row],[FHA]]+0.5*CurrentMtgRatesDataTable8711121314[[#This Row],[Conventional]]</f>
        <v>5.5732853537886901E-2</v>
      </c>
      <c r="X127" s="37">
        <f>2*CurrentMtgRatesDataTable8711121314[[#This Row],[FHA]]</f>
        <v>9.6800953714051799E-2</v>
      </c>
      <c r="Y127" s="19">
        <f>VLOOKUP(YEAR(CurrentMtgRatesDataTable8711121314[[#This Row],[asofdate]]),OriginationVolume!$A:$N,8,FALSE)</f>
        <v>0.64153005464480872</v>
      </c>
      <c r="Z127" s="19">
        <f>VLOOKUP(YEAR(CurrentMtgRatesDataTable8711121314[[#This Row],[asofdate]]),OriginationVolume!$A:$N,9,FALSE)</f>
        <v>0.05</v>
      </c>
      <c r="AA127" s="19">
        <f>VLOOKUP(YEAR(CurrentMtgRatesDataTable8711121314[[#This Row],[asofdate]]),OriginationVolume!$A:$N,10,FALSE)</f>
        <v>0.15</v>
      </c>
      <c r="AB127" s="19">
        <f>VLOOKUP(YEAR(CurrentMtgRatesDataTable8711121314[[#This Row],[asofdate]]),OriginationVolume!$A:$N,11,FALSE)</f>
        <v>0.14863387978142076</v>
      </c>
      <c r="AC127" s="19">
        <f>VLOOKUP(YEAR(CurrentMtgRatesDataTable8711121314[[#This Row],[asofdate]]),OriginationVolume!$A:$N,12,FALSE)</f>
        <v>7.6502732240437158E-3</v>
      </c>
      <c r="AD127" s="19">
        <f>VLOOKUP(YEAR(CurrentMtgRatesDataTable8711121314[[#This Row],[asofdate]]),OriginationVolume!$A:$N,13,FALSE)</f>
        <v>2.185792349726776E-3</v>
      </c>
      <c r="AE12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2.1504738444053366E-2</v>
      </c>
      <c r="AF12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1.7780264409568994E-2</v>
      </c>
      <c r="AG127" s="3" t="s">
        <v>5</v>
      </c>
      <c r="AH127" s="5">
        <v>11097451000</v>
      </c>
      <c r="AI127" s="26"/>
      <c r="AK127" s="3" t="s">
        <v>5</v>
      </c>
      <c r="AL127" s="5">
        <v>5171751000</v>
      </c>
      <c r="AM127" s="26"/>
      <c r="AO127" s="3" t="s">
        <v>5</v>
      </c>
      <c r="AP127" s="5">
        <v>44312165499.870003</v>
      </c>
      <c r="AQ127" s="29"/>
      <c r="AS127" s="3" t="s">
        <v>5</v>
      </c>
      <c r="AT127" s="5">
        <v>28042963499.869999</v>
      </c>
      <c r="AU127" s="29" t="str">
        <f>YEAR(CurrentMtgRatesDataTable871112131417[[#This Row],[asofdate]])&amp;"-"&amp;MONTH(CurrentMtgRatesDataTable871112131417[[#This Row],[asofdate]])</f>
        <v>2013-7</v>
      </c>
      <c r="AV127" s="29">
        <f>CurrentMtgRatesDataTable871112131417[[#This Row],[SeriesNumValue]]</f>
        <v>28042963499.869999</v>
      </c>
      <c r="AW127" s="29">
        <f>VLOOKUP(CurrentMtgRatesDataTable871112131417[[#This Row],[asofdate]],AG:AH,2,0)</f>
        <v>11097451000</v>
      </c>
      <c r="AX127" s="25">
        <f>IF(VLOOKUP(CurrentMtgRatesDataTable871112131417[[#This Row],[asofdate]],AK:AL,2,0)&lt;&gt;0,VLOOKUP(CurrentMtgRatesDataTable871112131417[[#This Row],[asofdate]],AK:AL,2,0),AX126)</f>
        <v>5171751000</v>
      </c>
      <c r="AY127" s="25">
        <f>VLOOKUP(CurrentMtgRatesDataTable871112131417[[#This Row],[asofdate]],AO:AP,2,0)</f>
        <v>44312165499.870003</v>
      </c>
    </row>
    <row r="128" spans="2:51" s="4" customFormat="1">
      <c r="B128" s="3" t="s">
        <v>18</v>
      </c>
      <c r="C128" s="21">
        <v>4.3075210687433897E-2</v>
      </c>
      <c r="D128" s="26">
        <f>((CurrentMtgRatesDataTable8711[[#This Row],[SeriesNumValue]]-$C$1)/$C$1+1)*100</f>
        <v>287.16807124955932</v>
      </c>
      <c r="E128" s="26"/>
      <c r="G128" s="3" t="s">
        <v>48</v>
      </c>
      <c r="H128" s="21">
        <v>6.8831034977123506E-2</v>
      </c>
      <c r="I128" s="21" t="str">
        <f>YEAR(CurrentMtgRatesDataTable871112[[#This Row],[asofdate]])&amp;"-"&amp;MONTH(CurrentMtgRatesDataTable871112[[#This Row],[asofdate]])</f>
        <v>2005-5</v>
      </c>
      <c r="J128" s="40">
        <f>VLOOKUP(CurrentMtgRatesDataTable871112[[#This Row],[asofdate]],Q:AE,15,0)*100</f>
        <v>6.3239020249356788</v>
      </c>
      <c r="K128" s="40">
        <f>VLOOKUP(CurrentMtgRatesDataTable871112[[#This Row],[asofdate]],Q:AE,4,0)*100</f>
        <v>1.81575663955303</v>
      </c>
      <c r="L128" s="40">
        <f>VLOOKUP(CurrentMtgRatesDataTable871112[[#This Row],[asofdate]],Q:AE,5,0)*100</f>
        <v>8.1934200099123196</v>
      </c>
      <c r="M128" s="40">
        <f>VLOOKUP(CurrentMtgRatesDataTable871112[[#This Row],[asofdate]],Q:AE,6,0)*100</f>
        <v>6.8831034977123506</v>
      </c>
      <c r="N128" s="40">
        <f>VLOOKUP(CurrentMtgRatesDataTable871112[[#This Row],[asofdate]],Q:AF,16,0)*100</f>
        <v>9.3557140712491318</v>
      </c>
      <c r="Q128" s="3" t="s">
        <v>18</v>
      </c>
      <c r="R128" s="21">
        <v>1.28803683488304E-2</v>
      </c>
      <c r="S128" s="29" t="str">
        <f>YEAR(CurrentMtgRatesDataTable8711121314[[#This Row],[asofdate]])&amp;"-"&amp;MONTH(CurrentMtgRatesDataTable8711121314[[#This Row],[asofdate]])</f>
        <v>2013-8</v>
      </c>
      <c r="T128" s="37">
        <f>CurrentMtgRatesDataTable8711121314[[#This Row],[SeriesNumValue]]</f>
        <v>1.28803683488304E-2</v>
      </c>
      <c r="U128" s="37">
        <f>VLOOKUP(CurrentMtgRatesDataTable8711121314[[#This Row],[asofdate]],B:D,2,0)</f>
        <v>4.3075210687433897E-2</v>
      </c>
      <c r="V128" s="37">
        <f>IF(VLOOKUP(CurrentMtgRatesDataTable8711121314[[#This Row],[asofdate]],G:H,2,0)&lt;&gt;0,VLOOKUP(CurrentMtgRatesDataTable8711121314[[#This Row],[asofdate]],G:H,2,0),V127)</f>
        <v>3.4542716001929402E-2</v>
      </c>
      <c r="W128" s="37">
        <f>CurrentMtgRatesDataTable8711121314[[#This Row],[FHA]]+0.5*CurrentMtgRatesDataTable8711121314[[#This Row],[Conventional]]</f>
        <v>4.9515394861849096E-2</v>
      </c>
      <c r="X128" s="37">
        <f>2*CurrentMtgRatesDataTable8711121314[[#This Row],[FHA]]</f>
        <v>8.6150421374867794E-2</v>
      </c>
      <c r="Y128" s="19">
        <f>VLOOKUP(YEAR(CurrentMtgRatesDataTable8711121314[[#This Row],[asofdate]]),OriginationVolume!$A:$N,8,FALSE)</f>
        <v>0.64153005464480872</v>
      </c>
      <c r="Z128" s="19">
        <f>VLOOKUP(YEAR(CurrentMtgRatesDataTable8711121314[[#This Row],[asofdate]]),OriginationVolume!$A:$N,9,FALSE)</f>
        <v>0.05</v>
      </c>
      <c r="AA128" s="19">
        <f>VLOOKUP(YEAR(CurrentMtgRatesDataTable8711121314[[#This Row],[asofdate]]),OriginationVolume!$A:$N,10,FALSE)</f>
        <v>0.15</v>
      </c>
      <c r="AB128" s="19">
        <f>VLOOKUP(YEAR(CurrentMtgRatesDataTable8711121314[[#This Row],[asofdate]]),OriginationVolume!$A:$N,11,FALSE)</f>
        <v>0.14863387978142076</v>
      </c>
      <c r="AC128" s="19">
        <f>VLOOKUP(YEAR(CurrentMtgRatesDataTable8711121314[[#This Row],[asofdate]]),OriginationVolume!$A:$N,12,FALSE)</f>
        <v>7.6502732240437158E-3</v>
      </c>
      <c r="AD128" s="19">
        <f>VLOOKUP(YEAR(CurrentMtgRatesDataTable8711121314[[#This Row],[asofdate]]),OriginationVolume!$A:$N,13,FALSE)</f>
        <v>2.185792349726776E-3</v>
      </c>
      <c r="AE12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1.8933133166038937E-2</v>
      </c>
      <c r="AF12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1.5659577256714578E-2</v>
      </c>
      <c r="AG128" s="3" t="s">
        <v>18</v>
      </c>
      <c r="AH128" s="5">
        <v>10991380000</v>
      </c>
      <c r="AI128" s="26"/>
      <c r="AK128" s="3" t="s">
        <v>18</v>
      </c>
      <c r="AL128" s="5">
        <v>5603397000</v>
      </c>
      <c r="AM128" s="26"/>
      <c r="AO128" s="3" t="s">
        <v>18</v>
      </c>
      <c r="AP128" s="5">
        <v>46605442149.639999</v>
      </c>
      <c r="AQ128" s="29"/>
      <c r="AS128" s="3" t="s">
        <v>18</v>
      </c>
      <c r="AT128" s="5">
        <v>30010665149.639999</v>
      </c>
      <c r="AU128" s="29" t="str">
        <f>YEAR(CurrentMtgRatesDataTable871112131417[[#This Row],[asofdate]])&amp;"-"&amp;MONTH(CurrentMtgRatesDataTable871112131417[[#This Row],[asofdate]])</f>
        <v>2013-8</v>
      </c>
      <c r="AV128" s="29">
        <f>CurrentMtgRatesDataTable871112131417[[#This Row],[SeriesNumValue]]</f>
        <v>30010665149.639999</v>
      </c>
      <c r="AW128" s="29">
        <f>VLOOKUP(CurrentMtgRatesDataTable871112131417[[#This Row],[asofdate]],AG:AH,2,0)</f>
        <v>10991380000</v>
      </c>
      <c r="AX128" s="25">
        <f>IF(VLOOKUP(CurrentMtgRatesDataTable871112131417[[#This Row],[asofdate]],AK:AL,2,0)&lt;&gt;0,VLOOKUP(CurrentMtgRatesDataTable871112131417[[#This Row],[asofdate]],AK:AL,2,0),AX127)</f>
        <v>5603397000</v>
      </c>
      <c r="AY128" s="25">
        <f>VLOOKUP(CurrentMtgRatesDataTable871112131417[[#This Row],[asofdate]],AO:AP,2,0)</f>
        <v>46605442149.639999</v>
      </c>
    </row>
    <row r="129" spans="2:51" s="4" customFormat="1">
      <c r="B129" s="3" t="s">
        <v>137</v>
      </c>
      <c r="C129" s="21">
        <v>4.59432838113287E-2</v>
      </c>
      <c r="D129" s="26">
        <f>((CurrentMtgRatesDataTable8711[[#This Row],[SeriesNumValue]]-$C$1)/$C$1+1)*100</f>
        <v>306.28855874219136</v>
      </c>
      <c r="E129" s="26"/>
      <c r="G129" s="3" t="s">
        <v>47</v>
      </c>
      <c r="H129" s="21">
        <v>7.1507871154995101E-2</v>
      </c>
      <c r="I129" s="21" t="str">
        <f>YEAR(CurrentMtgRatesDataTable871112[[#This Row],[asofdate]])&amp;"-"&amp;MONTH(CurrentMtgRatesDataTable871112[[#This Row],[asofdate]])</f>
        <v>2005-4</v>
      </c>
      <c r="J129" s="40">
        <f>VLOOKUP(CurrentMtgRatesDataTable871112[[#This Row],[asofdate]],Q:AE,15,0)*100</f>
        <v>7.0995979062495289</v>
      </c>
      <c r="K129" s="40">
        <f>VLOOKUP(CurrentMtgRatesDataTable871112[[#This Row],[asofdate]],Q:AE,4,0)*100</f>
        <v>1.9984193341813401</v>
      </c>
      <c r="L129" s="40">
        <f>VLOOKUP(CurrentMtgRatesDataTable871112[[#This Row],[asofdate]],Q:AE,5,0)*100</f>
        <v>9.2497341698870308</v>
      </c>
      <c r="M129" s="40">
        <f>VLOOKUP(CurrentMtgRatesDataTable871112[[#This Row],[asofdate]],Q:AE,6,0)*100</f>
        <v>7.1507871154995097</v>
      </c>
      <c r="N129" s="40">
        <f>VLOOKUP(CurrentMtgRatesDataTable871112[[#This Row],[asofdate]],Q:AF,16,0)*100</f>
        <v>10.537057391043605</v>
      </c>
      <c r="Q129" s="3" t="s">
        <v>137</v>
      </c>
      <c r="R129" s="21">
        <v>1.3852929718571799E-2</v>
      </c>
      <c r="S129" s="29" t="str">
        <f>YEAR(CurrentMtgRatesDataTable8711121314[[#This Row],[asofdate]])&amp;"-"&amp;MONTH(CurrentMtgRatesDataTable8711121314[[#This Row],[asofdate]])</f>
        <v>2013-9</v>
      </c>
      <c r="T129" s="37">
        <f>CurrentMtgRatesDataTable8711121314[[#This Row],[SeriesNumValue]]</f>
        <v>1.3852929718571799E-2</v>
      </c>
      <c r="U129" s="37">
        <f>VLOOKUP(CurrentMtgRatesDataTable8711121314[[#This Row],[asofdate]],B:D,2,0)</f>
        <v>4.59432838113287E-2</v>
      </c>
      <c r="V129" s="37">
        <f>IF(VLOOKUP(CurrentMtgRatesDataTable8711121314[[#This Row],[asofdate]],G:H,2,0)&lt;&gt;0,VLOOKUP(CurrentMtgRatesDataTable8711121314[[#This Row],[asofdate]],G:H,2,0),V128)</f>
        <v>3.6128492494755901E-2</v>
      </c>
      <c r="W129" s="37">
        <f>CurrentMtgRatesDataTable8711121314[[#This Row],[FHA]]+0.5*CurrentMtgRatesDataTable8711121314[[#This Row],[Conventional]]</f>
        <v>5.28697486706146E-2</v>
      </c>
      <c r="X129" s="37">
        <f>2*CurrentMtgRatesDataTable8711121314[[#This Row],[FHA]]</f>
        <v>9.18865676226574E-2</v>
      </c>
      <c r="Y129" s="19">
        <f>VLOOKUP(YEAR(CurrentMtgRatesDataTable8711121314[[#This Row],[asofdate]]),OriginationVolume!$A:$N,8,FALSE)</f>
        <v>0.64153005464480872</v>
      </c>
      <c r="Z129" s="19">
        <f>VLOOKUP(YEAR(CurrentMtgRatesDataTable8711121314[[#This Row],[asofdate]]),OriginationVolume!$A:$N,9,FALSE)</f>
        <v>0.05</v>
      </c>
      <c r="AA129" s="19">
        <f>VLOOKUP(YEAR(CurrentMtgRatesDataTable8711121314[[#This Row],[asofdate]]),OriginationVolume!$A:$N,10,FALSE)</f>
        <v>0.15</v>
      </c>
      <c r="AB129" s="19">
        <f>VLOOKUP(YEAR(CurrentMtgRatesDataTable8711121314[[#This Row],[asofdate]]),OriginationVolume!$A:$N,11,FALSE)</f>
        <v>0.14863387978142076</v>
      </c>
      <c r="AC129" s="19">
        <f>VLOOKUP(YEAR(CurrentMtgRatesDataTable8711121314[[#This Row],[asofdate]]),OriginationVolume!$A:$N,12,FALSE)</f>
        <v>7.6502732240437158E-3</v>
      </c>
      <c r="AD129" s="19">
        <f>VLOOKUP(YEAR(CurrentMtgRatesDataTable8711121314[[#This Row],[asofdate]]),OriginationVolume!$A:$N,13,FALSE)</f>
        <v>2.185792349726776E-3</v>
      </c>
      <c r="AE12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2.0249315625362811E-2</v>
      </c>
      <c r="AF12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1.6812826328726774E-2</v>
      </c>
      <c r="AG129" s="3" t="s">
        <v>137</v>
      </c>
      <c r="AH129" s="5">
        <v>10661815000</v>
      </c>
      <c r="AI129" s="26"/>
      <c r="AK129" s="3" t="s">
        <v>137</v>
      </c>
      <c r="AL129" s="5">
        <v>5775907000</v>
      </c>
      <c r="AM129" s="26"/>
      <c r="AO129" s="3" t="s">
        <v>137</v>
      </c>
      <c r="AP129" s="5">
        <v>46218367857.099998</v>
      </c>
      <c r="AQ129" s="29"/>
      <c r="AS129" s="3" t="s">
        <v>137</v>
      </c>
      <c r="AT129" s="5">
        <v>29780645857.099998</v>
      </c>
      <c r="AU129" s="29" t="str">
        <f>YEAR(CurrentMtgRatesDataTable871112131417[[#This Row],[asofdate]])&amp;"-"&amp;MONTH(CurrentMtgRatesDataTable871112131417[[#This Row],[asofdate]])</f>
        <v>2013-9</v>
      </c>
      <c r="AV129" s="29">
        <f>CurrentMtgRatesDataTable871112131417[[#This Row],[SeriesNumValue]]</f>
        <v>29780645857.099998</v>
      </c>
      <c r="AW129" s="29">
        <f>VLOOKUP(CurrentMtgRatesDataTable871112131417[[#This Row],[asofdate]],AG:AH,2,0)</f>
        <v>10661815000</v>
      </c>
      <c r="AX129" s="25">
        <f>IF(VLOOKUP(CurrentMtgRatesDataTable871112131417[[#This Row],[asofdate]],AK:AL,2,0)&lt;&gt;0,VLOOKUP(CurrentMtgRatesDataTable871112131417[[#This Row],[asofdate]],AK:AL,2,0),AX128)</f>
        <v>5775907000</v>
      </c>
      <c r="AY129" s="25">
        <f>VLOOKUP(CurrentMtgRatesDataTable871112131417[[#This Row],[asofdate]],AO:AP,2,0)</f>
        <v>46218367857.099998</v>
      </c>
    </row>
    <row r="130" spans="2:51" s="4" customFormat="1">
      <c r="B130" s="3" t="s">
        <v>6</v>
      </c>
      <c r="C130" s="21">
        <v>5.0301606990154298E-2</v>
      </c>
      <c r="D130" s="26">
        <f>((CurrentMtgRatesDataTable8711[[#This Row],[SeriesNumValue]]-$C$1)/$C$1+1)*100</f>
        <v>335.34404660102865</v>
      </c>
      <c r="E130" s="26"/>
      <c r="G130" s="3" t="s">
        <v>46</v>
      </c>
      <c r="H130" s="21">
        <v>7.3859808783187805E-2</v>
      </c>
      <c r="I130" s="21" t="str">
        <f>YEAR(CurrentMtgRatesDataTable871112[[#This Row],[asofdate]])&amp;"-"&amp;MONTH(CurrentMtgRatesDataTable871112[[#This Row],[asofdate]])</f>
        <v>2005-3</v>
      </c>
      <c r="J130" s="40">
        <f>VLOOKUP(CurrentMtgRatesDataTable871112[[#This Row],[asofdate]],Q:AE,15,0)*100</f>
        <v>7.0670176314332558</v>
      </c>
      <c r="K130" s="40">
        <f>VLOOKUP(CurrentMtgRatesDataTable871112[[#This Row],[asofdate]],Q:AE,4,0)*100</f>
        <v>2.0417926363663503</v>
      </c>
      <c r="L130" s="40">
        <f>VLOOKUP(CurrentMtgRatesDataTable871112[[#This Row],[asofdate]],Q:AE,5,0)*100</f>
        <v>9.1464698836870095</v>
      </c>
      <c r="M130" s="40">
        <f>VLOOKUP(CurrentMtgRatesDataTable871112[[#This Row],[asofdate]],Q:AE,6,0)*100</f>
        <v>7.3859808783187804</v>
      </c>
      <c r="N130" s="40">
        <f>VLOOKUP(CurrentMtgRatesDataTable871112[[#This Row],[asofdate]],Q:AF,16,0)*100</f>
        <v>10.451116389871906</v>
      </c>
      <c r="Q130" s="3" t="s">
        <v>6</v>
      </c>
      <c r="R130" s="21">
        <v>1.51215279764365E-2</v>
      </c>
      <c r="S130" s="29" t="str">
        <f>YEAR(CurrentMtgRatesDataTable8711121314[[#This Row],[asofdate]])&amp;"-"&amp;MONTH(CurrentMtgRatesDataTable8711121314[[#This Row],[asofdate]])</f>
        <v>2013-10</v>
      </c>
      <c r="T130" s="37">
        <f>CurrentMtgRatesDataTable8711121314[[#This Row],[SeriesNumValue]]</f>
        <v>1.51215279764365E-2</v>
      </c>
      <c r="U130" s="37">
        <f>VLOOKUP(CurrentMtgRatesDataTable8711121314[[#This Row],[asofdate]],B:D,2,0)</f>
        <v>5.0301606990154298E-2</v>
      </c>
      <c r="V130" s="37">
        <f>IF(VLOOKUP(CurrentMtgRatesDataTable8711121314[[#This Row],[asofdate]],G:H,2,0)&lt;&gt;0,VLOOKUP(CurrentMtgRatesDataTable8711121314[[#This Row],[asofdate]],G:H,2,0),V129)</f>
        <v>3.97317518471954E-2</v>
      </c>
      <c r="W130" s="37">
        <f>CurrentMtgRatesDataTable8711121314[[#This Row],[FHA]]+0.5*CurrentMtgRatesDataTable8711121314[[#This Row],[Conventional]]</f>
        <v>5.7862370978372546E-2</v>
      </c>
      <c r="X130" s="37">
        <f>2*CurrentMtgRatesDataTable8711121314[[#This Row],[FHA]]</f>
        <v>0.1006032139803086</v>
      </c>
      <c r="Y130" s="19">
        <f>VLOOKUP(YEAR(CurrentMtgRatesDataTable8711121314[[#This Row],[asofdate]]),OriginationVolume!$A:$N,8,FALSE)</f>
        <v>0.64153005464480872</v>
      </c>
      <c r="Z130" s="19">
        <f>VLOOKUP(YEAR(CurrentMtgRatesDataTable8711121314[[#This Row],[asofdate]]),OriginationVolume!$A:$N,9,FALSE)</f>
        <v>0.05</v>
      </c>
      <c r="AA130" s="19">
        <f>VLOOKUP(YEAR(CurrentMtgRatesDataTable8711121314[[#This Row],[asofdate]]),OriginationVolume!$A:$N,10,FALSE)</f>
        <v>0.15</v>
      </c>
      <c r="AB130" s="19">
        <f>VLOOKUP(YEAR(CurrentMtgRatesDataTable8711121314[[#This Row],[asofdate]]),OriginationVolume!$A:$N,11,FALSE)</f>
        <v>0.14863387978142076</v>
      </c>
      <c r="AC130" s="19">
        <f>VLOOKUP(YEAR(CurrentMtgRatesDataTable8711121314[[#This Row],[asofdate]]),OriginationVolume!$A:$N,12,FALSE)</f>
        <v>7.6502732240437158E-3</v>
      </c>
      <c r="AD130" s="19">
        <f>VLOOKUP(YEAR(CurrentMtgRatesDataTable8711121314[[#This Row],[asofdate]]),OriginationVolume!$A:$N,13,FALSE)</f>
        <v>2.185792349726776E-3</v>
      </c>
      <c r="AE13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2.2142875364131891E-2</v>
      </c>
      <c r="AF13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1.8363936755893717E-2</v>
      </c>
      <c r="AG130" s="3" t="s">
        <v>6</v>
      </c>
      <c r="AH130" s="5">
        <v>10036843000</v>
      </c>
      <c r="AI130" s="26"/>
      <c r="AK130" s="3" t="s">
        <v>6</v>
      </c>
      <c r="AL130" s="5">
        <v>5564810000</v>
      </c>
      <c r="AM130" s="26"/>
      <c r="AO130" s="3" t="s">
        <v>6</v>
      </c>
      <c r="AP130" s="5">
        <v>44316539758.709999</v>
      </c>
      <c r="AQ130" s="29"/>
      <c r="AS130" s="3" t="s">
        <v>6</v>
      </c>
      <c r="AT130" s="5">
        <v>28714886758.709999</v>
      </c>
      <c r="AU130" s="29" t="str">
        <f>YEAR(CurrentMtgRatesDataTable871112131417[[#This Row],[asofdate]])&amp;"-"&amp;MONTH(CurrentMtgRatesDataTable871112131417[[#This Row],[asofdate]])</f>
        <v>2013-10</v>
      </c>
      <c r="AV130" s="29">
        <f>CurrentMtgRatesDataTable871112131417[[#This Row],[SeriesNumValue]]</f>
        <v>28714886758.709999</v>
      </c>
      <c r="AW130" s="29">
        <f>VLOOKUP(CurrentMtgRatesDataTable871112131417[[#This Row],[asofdate]],AG:AH,2,0)</f>
        <v>10036843000</v>
      </c>
      <c r="AX130" s="25">
        <f>IF(VLOOKUP(CurrentMtgRatesDataTable871112131417[[#This Row],[asofdate]],AK:AL,2,0)&lt;&gt;0,VLOOKUP(CurrentMtgRatesDataTable871112131417[[#This Row],[asofdate]],AK:AL,2,0),AX129)</f>
        <v>5564810000</v>
      </c>
      <c r="AY130" s="25">
        <f>VLOOKUP(CurrentMtgRatesDataTable871112131417[[#This Row],[asofdate]],AO:AP,2,0)</f>
        <v>44316539758.709999</v>
      </c>
    </row>
    <row r="131" spans="2:51" s="4" customFormat="1">
      <c r="B131" s="3" t="s">
        <v>15</v>
      </c>
      <c r="C131" s="21">
        <v>5.28326536481473E-2</v>
      </c>
      <c r="D131" s="26">
        <f>((CurrentMtgRatesDataTable8711[[#This Row],[SeriesNumValue]]-$C$1)/$C$1+1)*100</f>
        <v>352.21769098764872</v>
      </c>
      <c r="E131" s="26"/>
      <c r="G131" s="3" t="s">
        <v>45</v>
      </c>
      <c r="H131" s="21">
        <v>7.5038770054298307E-2</v>
      </c>
      <c r="I131" s="21" t="str">
        <f>YEAR(CurrentMtgRatesDataTable871112[[#This Row],[asofdate]])&amp;"-"&amp;MONTH(CurrentMtgRatesDataTable871112[[#This Row],[asofdate]])</f>
        <v>2005-2</v>
      </c>
      <c r="J131" s="40">
        <f>VLOOKUP(CurrentMtgRatesDataTable871112[[#This Row],[asofdate]],Q:AE,15,0)*100</f>
        <v>7.1048383944692972</v>
      </c>
      <c r="K131" s="40">
        <f>VLOOKUP(CurrentMtgRatesDataTable871112[[#This Row],[asofdate]],Q:AE,4,0)*100</f>
        <v>2.06593586272166</v>
      </c>
      <c r="L131" s="40">
        <f>VLOOKUP(CurrentMtgRatesDataTable871112[[#This Row],[asofdate]],Q:AE,5,0)*100</f>
        <v>9.1799771417411904</v>
      </c>
      <c r="M131" s="40">
        <f>VLOOKUP(CurrentMtgRatesDataTable871112[[#This Row],[asofdate]],Q:AE,6,0)*100</f>
        <v>7.5038770054298309</v>
      </c>
      <c r="N131" s="40">
        <f>VLOOKUP(CurrentMtgRatesDataTable871112[[#This Row],[asofdate]],Q:AF,16,0)*100</f>
        <v>10.497443807432763</v>
      </c>
      <c r="Q131" s="3" t="s">
        <v>15</v>
      </c>
      <c r="R131" s="21">
        <v>1.5960902616382399E-2</v>
      </c>
      <c r="S131" s="29" t="str">
        <f>YEAR(CurrentMtgRatesDataTable8711121314[[#This Row],[asofdate]])&amp;"-"&amp;MONTH(CurrentMtgRatesDataTable8711121314[[#This Row],[asofdate]])</f>
        <v>2013-11</v>
      </c>
      <c r="T131" s="37">
        <f>CurrentMtgRatesDataTable8711121314[[#This Row],[SeriesNumValue]]</f>
        <v>1.5960902616382399E-2</v>
      </c>
      <c r="U131" s="37">
        <f>VLOOKUP(CurrentMtgRatesDataTable8711121314[[#This Row],[asofdate]],B:D,2,0)</f>
        <v>5.28326536481473E-2</v>
      </c>
      <c r="V131" s="37">
        <f>IF(VLOOKUP(CurrentMtgRatesDataTable8711121314[[#This Row],[asofdate]],G:H,2,0)&lt;&gt;0,VLOOKUP(CurrentMtgRatesDataTable8711121314[[#This Row],[asofdate]],G:H,2,0),V130)</f>
        <v>4.2534373017318799E-2</v>
      </c>
      <c r="W131" s="37">
        <f>CurrentMtgRatesDataTable8711121314[[#This Row],[FHA]]+0.5*CurrentMtgRatesDataTable8711121314[[#This Row],[Conventional]]</f>
        <v>6.0813104956338501E-2</v>
      </c>
      <c r="X131" s="37">
        <f>2*CurrentMtgRatesDataTable8711121314[[#This Row],[FHA]]</f>
        <v>0.1056653072962946</v>
      </c>
      <c r="Y131" s="19">
        <f>VLOOKUP(YEAR(CurrentMtgRatesDataTable8711121314[[#This Row],[asofdate]]),OriginationVolume!$A:$N,8,FALSE)</f>
        <v>0.64153005464480872</v>
      </c>
      <c r="Z131" s="19">
        <f>VLOOKUP(YEAR(CurrentMtgRatesDataTable8711121314[[#This Row],[asofdate]]),OriginationVolume!$A:$N,9,FALSE)</f>
        <v>0.05</v>
      </c>
      <c r="AA131" s="19">
        <f>VLOOKUP(YEAR(CurrentMtgRatesDataTable8711121314[[#This Row],[asofdate]]),OriginationVolume!$A:$N,10,FALSE)</f>
        <v>0.15</v>
      </c>
      <c r="AB131" s="19">
        <f>VLOOKUP(YEAR(CurrentMtgRatesDataTable8711121314[[#This Row],[asofdate]]),OriginationVolume!$A:$N,11,FALSE)</f>
        <v>0.14863387978142076</v>
      </c>
      <c r="AC131" s="19">
        <f>VLOOKUP(YEAR(CurrentMtgRatesDataTable8711121314[[#This Row],[asofdate]]),OriginationVolume!$A:$N,12,FALSE)</f>
        <v>7.6502732240437158E-3</v>
      </c>
      <c r="AD131" s="19">
        <f>VLOOKUP(YEAR(CurrentMtgRatesDataTable8711121314[[#This Row],[asofdate]]),OriginationVolume!$A:$N,13,FALSE)</f>
        <v>2.185792349726776E-3</v>
      </c>
      <c r="AE13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2.3359545595280855E-2</v>
      </c>
      <c r="AF13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1.9363483483551488E-2</v>
      </c>
      <c r="AG131" s="3" t="s">
        <v>15</v>
      </c>
      <c r="AH131" s="5">
        <v>8699123000</v>
      </c>
      <c r="AI131" s="26"/>
      <c r="AK131" s="3" t="s">
        <v>15</v>
      </c>
      <c r="AL131" s="5">
        <v>4691710000</v>
      </c>
      <c r="AM131" s="26"/>
      <c r="AO131" s="3" t="s">
        <v>15</v>
      </c>
      <c r="AP131" s="5">
        <v>37258942631.82</v>
      </c>
      <c r="AQ131" s="29"/>
      <c r="AS131" s="3" t="s">
        <v>15</v>
      </c>
      <c r="AT131" s="5">
        <v>23868109631.82</v>
      </c>
      <c r="AU131" s="29" t="str">
        <f>YEAR(CurrentMtgRatesDataTable871112131417[[#This Row],[asofdate]])&amp;"-"&amp;MONTH(CurrentMtgRatesDataTable871112131417[[#This Row],[asofdate]])</f>
        <v>2013-11</v>
      </c>
      <c r="AV131" s="29">
        <f>CurrentMtgRatesDataTable871112131417[[#This Row],[SeriesNumValue]]</f>
        <v>23868109631.82</v>
      </c>
      <c r="AW131" s="29">
        <f>VLOOKUP(CurrentMtgRatesDataTable871112131417[[#This Row],[asofdate]],AG:AH,2,0)</f>
        <v>8699123000</v>
      </c>
      <c r="AX131" s="25">
        <f>IF(VLOOKUP(CurrentMtgRatesDataTable871112131417[[#This Row],[asofdate]],AK:AL,2,0)&lt;&gt;0,VLOOKUP(CurrentMtgRatesDataTable871112131417[[#This Row],[asofdate]],AK:AL,2,0),AX130)</f>
        <v>4691710000</v>
      </c>
      <c r="AY131" s="25">
        <f>VLOOKUP(CurrentMtgRatesDataTable871112131417[[#This Row],[asofdate]],AO:AP,2,0)</f>
        <v>37258942631.82</v>
      </c>
    </row>
    <row r="132" spans="2:51" s="4" customFormat="1">
      <c r="B132" s="3" t="s">
        <v>138</v>
      </c>
      <c r="C132" s="21">
        <v>5.8020706017923598E-2</v>
      </c>
      <c r="D132" s="26">
        <f>((CurrentMtgRatesDataTable8711[[#This Row],[SeriesNumValue]]-$C$1)/$C$1+1)*100</f>
        <v>386.80470678615734</v>
      </c>
      <c r="E132" s="26"/>
      <c r="G132" s="3" t="s">
        <v>44</v>
      </c>
      <c r="H132" s="21">
        <v>7.5690097036033105E-2</v>
      </c>
      <c r="I132" s="21" t="str">
        <f>YEAR(CurrentMtgRatesDataTable871112[[#This Row],[asofdate]])&amp;"-"&amp;MONTH(CurrentMtgRatesDataTable871112[[#This Row],[asofdate]])</f>
        <v>2005-1</v>
      </c>
      <c r="J132" s="40">
        <f>VLOOKUP(CurrentMtgRatesDataTable871112[[#This Row],[asofdate]],Q:AE,15,0)*100</f>
        <v>7.3173643514217286</v>
      </c>
      <c r="K132" s="40">
        <f>VLOOKUP(CurrentMtgRatesDataTable871112[[#This Row],[asofdate]],Q:AE,4,0)*100</f>
        <v>2.0971242312383698</v>
      </c>
      <c r="L132" s="40">
        <f>VLOOKUP(CurrentMtgRatesDataTable871112[[#This Row],[asofdate]],Q:AE,5,0)*100</f>
        <v>9.4900478598202103</v>
      </c>
      <c r="M132" s="40">
        <f>VLOOKUP(CurrentMtgRatesDataTable871112[[#This Row],[asofdate]],Q:AE,6,0)*100</f>
        <v>7.5690097036033102</v>
      </c>
      <c r="N132" s="40">
        <f>VLOOKUP(CurrentMtgRatesDataTable871112[[#This Row],[asofdate]],Q:AF,16,0)*100</f>
        <v>10.833392017300383</v>
      </c>
      <c r="Q132" s="3" t="s">
        <v>138</v>
      </c>
      <c r="R132" s="21">
        <v>1.7515607394978299E-2</v>
      </c>
      <c r="S132" s="29" t="str">
        <f>YEAR(CurrentMtgRatesDataTable8711121314[[#This Row],[asofdate]])&amp;"-"&amp;MONTH(CurrentMtgRatesDataTable8711121314[[#This Row],[asofdate]])</f>
        <v>2013-12</v>
      </c>
      <c r="T132" s="37">
        <f>CurrentMtgRatesDataTable8711121314[[#This Row],[SeriesNumValue]]</f>
        <v>1.7515607394978299E-2</v>
      </c>
      <c r="U132" s="37">
        <f>VLOOKUP(CurrentMtgRatesDataTable8711121314[[#This Row],[asofdate]],B:D,2,0)</f>
        <v>5.8020706017923598E-2</v>
      </c>
      <c r="V132" s="37">
        <f>IF(VLOOKUP(CurrentMtgRatesDataTable8711121314[[#This Row],[asofdate]],G:H,2,0)&lt;&gt;0,VLOOKUP(CurrentMtgRatesDataTable8711121314[[#This Row],[asofdate]],G:H,2,0),V131)</f>
        <v>4.6547078626505201E-2</v>
      </c>
      <c r="W132" s="37">
        <f>CurrentMtgRatesDataTable8711121314[[#This Row],[FHA]]+0.5*CurrentMtgRatesDataTable8711121314[[#This Row],[Conventional]]</f>
        <v>6.6778509715412743E-2</v>
      </c>
      <c r="X132" s="37">
        <f>2*CurrentMtgRatesDataTable8711121314[[#This Row],[FHA]]</f>
        <v>0.1160414120358472</v>
      </c>
      <c r="Y132" s="19">
        <f>VLOOKUP(YEAR(CurrentMtgRatesDataTable8711121314[[#This Row],[asofdate]]),OriginationVolume!$A:$N,8,FALSE)</f>
        <v>0.64153005464480872</v>
      </c>
      <c r="Z132" s="19">
        <f>VLOOKUP(YEAR(CurrentMtgRatesDataTable8711121314[[#This Row],[asofdate]]),OriginationVolume!$A:$N,9,FALSE)</f>
        <v>0.05</v>
      </c>
      <c r="AA132" s="19">
        <f>VLOOKUP(YEAR(CurrentMtgRatesDataTable8711121314[[#This Row],[asofdate]]),OriginationVolume!$A:$N,10,FALSE)</f>
        <v>0.15</v>
      </c>
      <c r="AB132" s="19">
        <f>VLOOKUP(YEAR(CurrentMtgRatesDataTable8711121314[[#This Row],[asofdate]]),OriginationVolume!$A:$N,11,FALSE)</f>
        <v>0.14863387978142076</v>
      </c>
      <c r="AC132" s="19">
        <f>VLOOKUP(YEAR(CurrentMtgRatesDataTable8711121314[[#This Row],[asofdate]]),OriginationVolume!$A:$N,12,FALSE)</f>
        <v>7.6502732240437158E-3</v>
      </c>
      <c r="AD132" s="19">
        <f>VLOOKUP(YEAR(CurrentMtgRatesDataTable8711121314[[#This Row],[asofdate]]),OriginationVolume!$A:$N,13,FALSE)</f>
        <v>2.185792349726776E-3</v>
      </c>
      <c r="AE13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2.5635177362591827E-2</v>
      </c>
      <c r="AF13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2.1252793088252637E-2</v>
      </c>
      <c r="AG132" s="3" t="s">
        <v>138</v>
      </c>
      <c r="AH132" s="5">
        <v>8631008000</v>
      </c>
      <c r="AI132" s="26"/>
      <c r="AK132" s="3" t="s">
        <v>138</v>
      </c>
      <c r="AL132" s="5">
        <v>4587111000</v>
      </c>
      <c r="AM132" s="26"/>
      <c r="AO132" s="3" t="s">
        <v>138</v>
      </c>
      <c r="AP132" s="5">
        <v>36403153126.440002</v>
      </c>
      <c r="AQ132" s="29"/>
      <c r="AS132" s="3" t="s">
        <v>138</v>
      </c>
      <c r="AT132" s="5">
        <v>23185034126.439999</v>
      </c>
      <c r="AU132" s="29" t="str">
        <f>YEAR(CurrentMtgRatesDataTable871112131417[[#This Row],[asofdate]])&amp;"-"&amp;MONTH(CurrentMtgRatesDataTable871112131417[[#This Row],[asofdate]])</f>
        <v>2013-12</v>
      </c>
      <c r="AV132" s="29">
        <f>CurrentMtgRatesDataTable871112131417[[#This Row],[SeriesNumValue]]</f>
        <v>23185034126.439999</v>
      </c>
      <c r="AW132" s="29">
        <f>VLOOKUP(CurrentMtgRatesDataTable871112131417[[#This Row],[asofdate]],AG:AH,2,0)</f>
        <v>8631008000</v>
      </c>
      <c r="AX132" s="25">
        <f>IF(VLOOKUP(CurrentMtgRatesDataTable871112131417[[#This Row],[asofdate]],AK:AL,2,0)&lt;&gt;0,VLOOKUP(CurrentMtgRatesDataTable871112131417[[#This Row],[asofdate]],AK:AL,2,0),AX131)</f>
        <v>4587111000</v>
      </c>
      <c r="AY132" s="25">
        <f>VLOOKUP(CurrentMtgRatesDataTable871112131417[[#This Row],[asofdate]],AO:AP,2,0)</f>
        <v>36403153126.440002</v>
      </c>
    </row>
    <row r="133" spans="2:51" s="4" customFormat="1">
      <c r="B133" s="3" t="s">
        <v>139</v>
      </c>
      <c r="C133" s="21">
        <v>5.3732575289805497E-2</v>
      </c>
      <c r="D133" s="26">
        <f>((CurrentMtgRatesDataTable8711[[#This Row],[SeriesNumValue]]-$C$1)/$C$1+1)*100</f>
        <v>358.21716859870332</v>
      </c>
      <c r="E133" s="26"/>
      <c r="G133" s="3" t="s">
        <v>43</v>
      </c>
      <c r="H133" s="21">
        <v>7.2886696269449006E-2</v>
      </c>
      <c r="I133" s="21" t="str">
        <f>YEAR(CurrentMtgRatesDataTable871112[[#This Row],[asofdate]])&amp;"-"&amp;MONTH(CurrentMtgRatesDataTable871112[[#This Row],[asofdate]])</f>
        <v>2004-12</v>
      </c>
      <c r="J133" s="40">
        <f>VLOOKUP(CurrentMtgRatesDataTable871112[[#This Row],[asofdate]],Q:AE,15,0)*100</f>
        <v>6.4912991546668657</v>
      </c>
      <c r="K133" s="40">
        <f>VLOOKUP(CurrentMtgRatesDataTable871112[[#This Row],[asofdate]],Q:AE,4,0)*100</f>
        <v>2.1090668706571498</v>
      </c>
      <c r="L133" s="40">
        <f>VLOOKUP(CurrentMtgRatesDataTable871112[[#This Row],[asofdate]],Q:AE,5,0)*100</f>
        <v>9.2820204237606401</v>
      </c>
      <c r="M133" s="40">
        <f>VLOOKUP(CurrentMtgRatesDataTable871112[[#This Row],[asofdate]],Q:AE,6,0)*100</f>
        <v>7.2886696269449009</v>
      </c>
      <c r="N133" s="40">
        <f>VLOOKUP(CurrentMtgRatesDataTable871112[[#This Row],[asofdate]],Q:AF,16,0)*100</f>
        <v>10.501764441186245</v>
      </c>
      <c r="Q133" s="3" t="s">
        <v>139</v>
      </c>
      <c r="R133" s="21">
        <v>1.6092987998410201E-2</v>
      </c>
      <c r="S133" s="29" t="str">
        <f>YEAR(CurrentMtgRatesDataTable8711121314[[#This Row],[asofdate]])&amp;"-"&amp;MONTH(CurrentMtgRatesDataTable8711121314[[#This Row],[asofdate]])</f>
        <v>2014-1</v>
      </c>
      <c r="T133" s="37">
        <f>CurrentMtgRatesDataTable8711121314[[#This Row],[SeriesNumValue]]</f>
        <v>1.6092987998410201E-2</v>
      </c>
      <c r="U133" s="37">
        <f>VLOOKUP(CurrentMtgRatesDataTable8711121314[[#This Row],[asofdate]],B:D,2,0)</f>
        <v>5.3732575289805497E-2</v>
      </c>
      <c r="V133" s="37">
        <f>IF(VLOOKUP(CurrentMtgRatesDataTable8711121314[[#This Row],[asofdate]],G:H,2,0)&lt;&gt;0,VLOOKUP(CurrentMtgRatesDataTable8711121314[[#This Row],[asofdate]],G:H,2,0),V132)</f>
        <v>4.33860973163313E-2</v>
      </c>
      <c r="W133" s="37">
        <f>CurrentMtgRatesDataTable8711121314[[#This Row],[FHA]]+0.5*CurrentMtgRatesDataTable8711121314[[#This Row],[Conventional]]</f>
        <v>6.1779069289010599E-2</v>
      </c>
      <c r="X133" s="37">
        <f>2*CurrentMtgRatesDataTable8711121314[[#This Row],[FHA]]</f>
        <v>0.10746515057961099</v>
      </c>
      <c r="Y133" s="19">
        <f>VLOOKUP(YEAR(CurrentMtgRatesDataTable8711121314[[#This Row],[asofdate]]),OriginationVolume!$A:$N,8,FALSE)</f>
        <v>0.55517536355859709</v>
      </c>
      <c r="Z133" s="19">
        <f>VLOOKUP(YEAR(CurrentMtgRatesDataTable8711121314[[#This Row],[asofdate]]),OriginationVolume!$A:$N,9,FALSE)</f>
        <v>5.9238665526090674E-2</v>
      </c>
      <c r="AA133" s="19">
        <f>VLOOKUP(YEAR(CurrentMtgRatesDataTable8711121314[[#This Row],[asofdate]]),OriginationVolume!$A:$N,10,FALSE)</f>
        <v>0.17771599657827203</v>
      </c>
      <c r="AB133" s="19">
        <f>VLOOKUP(YEAR(CurrentMtgRatesDataTable8711121314[[#This Row],[asofdate]]),OriginationVolume!$A:$N,11,FALSE)</f>
        <v>0.20102651839178784</v>
      </c>
      <c r="AC133" s="19">
        <f>VLOOKUP(YEAR(CurrentMtgRatesDataTable8711121314[[#This Row],[asofdate]]),OriginationVolume!$A:$N,12,FALSE)</f>
        <v>3.4217279726261761E-3</v>
      </c>
      <c r="AD133" s="19">
        <f>VLOOKUP(YEAR(CurrentMtgRatesDataTable8711121314[[#This Row],[asofdate]]),OriginationVolume!$A:$N,13,FALSE)</f>
        <v>3.4217279726261761E-3</v>
      </c>
      <c r="AE13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2.4867928165681903E-2</v>
      </c>
      <c r="AF13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1.8349090778192936E-2</v>
      </c>
      <c r="AG133" s="3" t="s">
        <v>139</v>
      </c>
      <c r="AH133" s="5">
        <v>7490924000</v>
      </c>
      <c r="AI133" s="26"/>
      <c r="AK133" s="3" t="s">
        <v>139</v>
      </c>
      <c r="AL133" s="5">
        <v>4016989000</v>
      </c>
      <c r="AM133" s="26"/>
      <c r="AO133" s="3" t="s">
        <v>139</v>
      </c>
      <c r="AP133" s="5">
        <v>31415157431.299999</v>
      </c>
      <c r="AQ133" s="29"/>
      <c r="AS133" s="3" t="s">
        <v>139</v>
      </c>
      <c r="AT133" s="5">
        <v>19907244431.299999</v>
      </c>
      <c r="AU133" s="29" t="str">
        <f>YEAR(CurrentMtgRatesDataTable871112131417[[#This Row],[asofdate]])&amp;"-"&amp;MONTH(CurrentMtgRatesDataTable871112131417[[#This Row],[asofdate]])</f>
        <v>2014-1</v>
      </c>
      <c r="AV133" s="29">
        <f>CurrentMtgRatesDataTable871112131417[[#This Row],[SeriesNumValue]]</f>
        <v>19907244431.299999</v>
      </c>
      <c r="AW133" s="29">
        <f>VLOOKUP(CurrentMtgRatesDataTable871112131417[[#This Row],[asofdate]],AG:AH,2,0)</f>
        <v>7490924000</v>
      </c>
      <c r="AX133" s="25">
        <f>IF(VLOOKUP(CurrentMtgRatesDataTable871112131417[[#This Row],[asofdate]],AK:AL,2,0)&lt;&gt;0,VLOOKUP(CurrentMtgRatesDataTable871112131417[[#This Row],[asofdate]],AK:AL,2,0),AX132)</f>
        <v>4016989000</v>
      </c>
      <c r="AY133" s="25">
        <f>VLOOKUP(CurrentMtgRatesDataTable871112131417[[#This Row],[asofdate]],AO:AP,2,0)</f>
        <v>31415157431.299999</v>
      </c>
    </row>
    <row r="134" spans="2:51" s="4" customFormat="1">
      <c r="B134" s="3" t="s">
        <v>140</v>
      </c>
      <c r="C134" s="21">
        <v>5.0638509422985097E-2</v>
      </c>
      <c r="D134" s="26">
        <f>((CurrentMtgRatesDataTable8711[[#This Row],[SeriesNumValue]]-$C$1)/$C$1+1)*100</f>
        <v>337.59006281990065</v>
      </c>
      <c r="E134" s="26"/>
      <c r="G134" s="3" t="s">
        <v>42</v>
      </c>
      <c r="H134" s="21">
        <v>8.7159265808458106E-2</v>
      </c>
      <c r="I134" s="21" t="str">
        <f>YEAR(CurrentMtgRatesDataTable871112[[#This Row],[asofdate]])&amp;"-"&amp;MONTH(CurrentMtgRatesDataTable871112[[#This Row],[asofdate]])</f>
        <v>2004-11</v>
      </c>
      <c r="J134" s="40">
        <f>VLOOKUP(CurrentMtgRatesDataTable871112[[#This Row],[asofdate]],Q:AE,15,0)*100</f>
        <v>6.8501793013342986</v>
      </c>
      <c r="K134" s="40">
        <f>VLOOKUP(CurrentMtgRatesDataTable871112[[#This Row],[asofdate]],Q:AE,4,0)*100</f>
        <v>2.1779564208262401</v>
      </c>
      <c r="L134" s="40">
        <f>VLOOKUP(CurrentMtgRatesDataTable871112[[#This Row],[asofdate]],Q:AE,5,0)*100</f>
        <v>9.8333062406187999</v>
      </c>
      <c r="M134" s="40">
        <f>VLOOKUP(CurrentMtgRatesDataTable871112[[#This Row],[asofdate]],Q:AE,6,0)*100</f>
        <v>8.7159265808458102</v>
      </c>
      <c r="N134" s="40">
        <f>VLOOKUP(CurrentMtgRatesDataTable871112[[#This Row],[asofdate]],Q:AF,16,0)*100</f>
        <v>11.09787336730111</v>
      </c>
      <c r="Q134" s="3" t="s">
        <v>140</v>
      </c>
      <c r="R134" s="21">
        <v>1.5423133326643799E-2</v>
      </c>
      <c r="S134" s="29" t="str">
        <f>YEAR(CurrentMtgRatesDataTable8711121314[[#This Row],[asofdate]])&amp;"-"&amp;MONTH(CurrentMtgRatesDataTable8711121314[[#This Row],[asofdate]])</f>
        <v>2014-2</v>
      </c>
      <c r="T134" s="37">
        <f>CurrentMtgRatesDataTable8711121314[[#This Row],[SeriesNumValue]]</f>
        <v>1.5423133326643799E-2</v>
      </c>
      <c r="U134" s="37">
        <f>VLOOKUP(CurrentMtgRatesDataTable8711121314[[#This Row],[asofdate]],B:D,2,0)</f>
        <v>5.0638509422985097E-2</v>
      </c>
      <c r="V134" s="37">
        <f>IF(VLOOKUP(CurrentMtgRatesDataTable8711121314[[#This Row],[asofdate]],G:H,2,0)&lt;&gt;0,VLOOKUP(CurrentMtgRatesDataTable8711121314[[#This Row],[asofdate]],G:H,2,0),V133)</f>
        <v>3.9774229888142401E-2</v>
      </c>
      <c r="W134" s="37">
        <f>CurrentMtgRatesDataTable8711121314[[#This Row],[FHA]]+0.5*CurrentMtgRatesDataTable8711121314[[#This Row],[Conventional]]</f>
        <v>5.8350076086306997E-2</v>
      </c>
      <c r="X134" s="37">
        <f>2*CurrentMtgRatesDataTable8711121314[[#This Row],[FHA]]</f>
        <v>0.10127701884597019</v>
      </c>
      <c r="Y134" s="19">
        <f>VLOOKUP(YEAR(CurrentMtgRatesDataTable8711121314[[#This Row],[asofdate]]),OriginationVolume!$A:$N,8,FALSE)</f>
        <v>0.55517536355859709</v>
      </c>
      <c r="Z134" s="19">
        <f>VLOOKUP(YEAR(CurrentMtgRatesDataTable8711121314[[#This Row],[asofdate]]),OriginationVolume!$A:$N,9,FALSE)</f>
        <v>5.9238665526090674E-2</v>
      </c>
      <c r="AA134" s="19">
        <f>VLOOKUP(YEAR(CurrentMtgRatesDataTable8711121314[[#This Row],[asofdate]]),OriginationVolume!$A:$N,10,FALSE)</f>
        <v>0.17771599657827203</v>
      </c>
      <c r="AB134" s="19">
        <f>VLOOKUP(YEAR(CurrentMtgRatesDataTable8711121314[[#This Row],[asofdate]]),OriginationVolume!$A:$N,11,FALSE)</f>
        <v>0.20102651839178784</v>
      </c>
      <c r="AC134" s="19">
        <f>VLOOKUP(YEAR(CurrentMtgRatesDataTable8711121314[[#This Row],[asofdate]]),OriginationVolume!$A:$N,12,FALSE)</f>
        <v>3.4217279726261761E-3</v>
      </c>
      <c r="AD134" s="19">
        <f>VLOOKUP(YEAR(CurrentMtgRatesDataTable8711121314[[#This Row],[asofdate]]),OriginationVolume!$A:$N,13,FALSE)</f>
        <v>3.4217279726261761E-3</v>
      </c>
      <c r="AE13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2.3564648411344088E-2</v>
      </c>
      <c r="AF13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1.7542982351812349E-2</v>
      </c>
      <c r="AG134" s="3" t="s">
        <v>140</v>
      </c>
      <c r="AH134" s="5">
        <v>7633351000</v>
      </c>
      <c r="AI134" s="26"/>
      <c r="AK134" s="3" t="s">
        <v>140</v>
      </c>
      <c r="AL134" s="5">
        <v>4349519000</v>
      </c>
      <c r="AM134" s="26"/>
      <c r="AO134" s="3" t="s">
        <v>140</v>
      </c>
      <c r="AP134" s="5">
        <v>32524796703.040001</v>
      </c>
      <c r="AQ134" s="29"/>
      <c r="AS134" s="3" t="s">
        <v>140</v>
      </c>
      <c r="AT134" s="5">
        <v>20541926703.040001</v>
      </c>
      <c r="AU134" s="29" t="str">
        <f>YEAR(CurrentMtgRatesDataTable871112131417[[#This Row],[asofdate]])&amp;"-"&amp;MONTH(CurrentMtgRatesDataTable871112131417[[#This Row],[asofdate]])</f>
        <v>2014-2</v>
      </c>
      <c r="AV134" s="29">
        <f>CurrentMtgRatesDataTable871112131417[[#This Row],[SeriesNumValue]]</f>
        <v>20541926703.040001</v>
      </c>
      <c r="AW134" s="29">
        <f>VLOOKUP(CurrentMtgRatesDataTable871112131417[[#This Row],[asofdate]],AG:AH,2,0)</f>
        <v>7633351000</v>
      </c>
      <c r="AX134" s="25">
        <f>IF(VLOOKUP(CurrentMtgRatesDataTable871112131417[[#This Row],[asofdate]],AK:AL,2,0)&lt;&gt;0,VLOOKUP(CurrentMtgRatesDataTable871112131417[[#This Row],[asofdate]],AK:AL,2,0),AX133)</f>
        <v>4349519000</v>
      </c>
      <c r="AY134" s="25">
        <f>VLOOKUP(CurrentMtgRatesDataTable871112131417[[#This Row],[asofdate]],AO:AP,2,0)</f>
        <v>32524796703.040001</v>
      </c>
    </row>
    <row r="135" spans="2:51" s="4" customFormat="1">
      <c r="B135" s="3" t="s">
        <v>141</v>
      </c>
      <c r="C135" s="21">
        <v>5.3963745614458901E-2</v>
      </c>
      <c r="D135" s="26">
        <f>((CurrentMtgRatesDataTable8711[[#This Row],[SeriesNumValue]]-$C$1)/$C$1+1)*100</f>
        <v>359.75830409639269</v>
      </c>
      <c r="E135" s="26"/>
      <c r="G135" s="3" t="s">
        <v>41</v>
      </c>
      <c r="H135" s="21">
        <v>8.1387626202597499E-2</v>
      </c>
      <c r="I135" s="21" t="str">
        <f>YEAR(CurrentMtgRatesDataTable871112[[#This Row],[asofdate]])&amp;"-"&amp;MONTH(CurrentMtgRatesDataTable871112[[#This Row],[asofdate]])</f>
        <v>2004-10</v>
      </c>
      <c r="J135" s="40">
        <f>VLOOKUP(CurrentMtgRatesDataTable871112[[#This Row],[asofdate]],Q:AE,15,0)*100</f>
        <v>6.6777724424054679</v>
      </c>
      <c r="K135" s="40">
        <f>VLOOKUP(CurrentMtgRatesDataTable871112[[#This Row],[asofdate]],Q:AE,4,0)*100</f>
        <v>2.2386004002467601</v>
      </c>
      <c r="L135" s="40">
        <f>VLOOKUP(CurrentMtgRatesDataTable871112[[#This Row],[asofdate]],Q:AE,5,0)*100</f>
        <v>9.4413817020581892</v>
      </c>
      <c r="M135" s="40">
        <f>VLOOKUP(CurrentMtgRatesDataTable871112[[#This Row],[asofdate]],Q:AE,6,0)*100</f>
        <v>8.1387626202597492</v>
      </c>
      <c r="N135" s="40">
        <f>VLOOKUP(CurrentMtgRatesDataTable871112[[#This Row],[asofdate]],Q:AF,16,0)*100</f>
        <v>10.727791972501544</v>
      </c>
      <c r="Q135" s="3" t="s">
        <v>141</v>
      </c>
      <c r="R135" s="21">
        <v>1.64709134882766E-2</v>
      </c>
      <c r="S135" s="29" t="str">
        <f>YEAR(CurrentMtgRatesDataTable8711121314[[#This Row],[asofdate]])&amp;"-"&amp;MONTH(CurrentMtgRatesDataTable8711121314[[#This Row],[asofdate]])</f>
        <v>2014-3</v>
      </c>
      <c r="T135" s="37">
        <f>CurrentMtgRatesDataTable8711121314[[#This Row],[SeriesNumValue]]</f>
        <v>1.64709134882766E-2</v>
      </c>
      <c r="U135" s="37">
        <f>VLOOKUP(CurrentMtgRatesDataTable8711121314[[#This Row],[asofdate]],B:D,2,0)</f>
        <v>5.3963745614458901E-2</v>
      </c>
      <c r="V135" s="37">
        <f>IF(VLOOKUP(CurrentMtgRatesDataTable8711121314[[#This Row],[asofdate]],G:H,2,0)&lt;&gt;0,VLOOKUP(CurrentMtgRatesDataTable8711121314[[#This Row],[asofdate]],G:H,2,0),V134)</f>
        <v>4.1916679311245E-2</v>
      </c>
      <c r="W135" s="37">
        <f>CurrentMtgRatesDataTable8711121314[[#This Row],[FHA]]+0.5*CurrentMtgRatesDataTable8711121314[[#This Row],[Conventional]]</f>
        <v>6.2199202358597203E-2</v>
      </c>
      <c r="X135" s="37">
        <f>2*CurrentMtgRatesDataTable8711121314[[#This Row],[FHA]]</f>
        <v>0.1079274912289178</v>
      </c>
      <c r="Y135" s="19">
        <f>VLOOKUP(YEAR(CurrentMtgRatesDataTable8711121314[[#This Row],[asofdate]]),OriginationVolume!$A:$N,8,FALSE)</f>
        <v>0.55517536355859709</v>
      </c>
      <c r="Z135" s="19">
        <f>VLOOKUP(YEAR(CurrentMtgRatesDataTable8711121314[[#This Row],[asofdate]]),OriginationVolume!$A:$N,9,FALSE)</f>
        <v>5.9238665526090674E-2</v>
      </c>
      <c r="AA135" s="19">
        <f>VLOOKUP(YEAR(CurrentMtgRatesDataTable8711121314[[#This Row],[asofdate]]),OriginationVolume!$A:$N,10,FALSE)</f>
        <v>0.17771599657827203</v>
      </c>
      <c r="AB135" s="19">
        <f>VLOOKUP(YEAR(CurrentMtgRatesDataTable8711121314[[#This Row],[asofdate]]),OriginationVolume!$A:$N,11,FALSE)</f>
        <v>0.20102651839178784</v>
      </c>
      <c r="AC135" s="19">
        <f>VLOOKUP(YEAR(CurrentMtgRatesDataTable8711121314[[#This Row],[asofdate]]),OriginationVolume!$A:$N,12,FALSE)</f>
        <v>3.4217279726261761E-3</v>
      </c>
      <c r="AD135" s="19">
        <f>VLOOKUP(YEAR(CurrentMtgRatesDataTable8711121314[[#This Row],[asofdate]]),OriginationVolume!$A:$N,13,FALSE)</f>
        <v>3.4217279726261761E-3</v>
      </c>
      <c r="AE13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2.5110772020268714E-2</v>
      </c>
      <c r="AF13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1.8729100592983786E-2</v>
      </c>
      <c r="AG135" s="3" t="s">
        <v>141</v>
      </c>
      <c r="AH135" s="5">
        <v>5523702000</v>
      </c>
      <c r="AI135" s="26"/>
      <c r="AK135" s="3" t="s">
        <v>141</v>
      </c>
      <c r="AL135" s="5">
        <v>3098723000</v>
      </c>
      <c r="AM135" s="26"/>
      <c r="AO135" s="3" t="s">
        <v>141</v>
      </c>
      <c r="AP135" s="5">
        <v>22456066645.990002</v>
      </c>
      <c r="AQ135" s="29"/>
      <c r="AS135" s="3" t="s">
        <v>141</v>
      </c>
      <c r="AT135" s="5">
        <v>13833641645.99</v>
      </c>
      <c r="AU135" s="29" t="str">
        <f>YEAR(CurrentMtgRatesDataTable871112131417[[#This Row],[asofdate]])&amp;"-"&amp;MONTH(CurrentMtgRatesDataTable871112131417[[#This Row],[asofdate]])</f>
        <v>2014-3</v>
      </c>
      <c r="AV135" s="29">
        <f>CurrentMtgRatesDataTable871112131417[[#This Row],[SeriesNumValue]]</f>
        <v>13833641645.99</v>
      </c>
      <c r="AW135" s="29">
        <f>VLOOKUP(CurrentMtgRatesDataTable871112131417[[#This Row],[asofdate]],AG:AH,2,0)</f>
        <v>5523702000</v>
      </c>
      <c r="AX135" s="25">
        <f>IF(VLOOKUP(CurrentMtgRatesDataTable871112131417[[#This Row],[asofdate]],AK:AL,2,0)&lt;&gt;0,VLOOKUP(CurrentMtgRatesDataTable871112131417[[#This Row],[asofdate]],AK:AL,2,0),AX134)</f>
        <v>3098723000</v>
      </c>
      <c r="AY135" s="25">
        <f>VLOOKUP(CurrentMtgRatesDataTable871112131417[[#This Row],[asofdate]],AO:AP,2,0)</f>
        <v>22456066645.990002</v>
      </c>
    </row>
    <row r="136" spans="2:51" s="4" customFormat="1">
      <c r="B136" s="3" t="s">
        <v>7</v>
      </c>
      <c r="C136" s="21">
        <v>5.64173982878792E-2</v>
      </c>
      <c r="D136" s="26">
        <f>((CurrentMtgRatesDataTable8711[[#This Row],[SeriesNumValue]]-$C$1)/$C$1+1)*100</f>
        <v>376.11598858586132</v>
      </c>
      <c r="E136" s="26"/>
      <c r="G136" s="3" t="s">
        <v>40</v>
      </c>
      <c r="H136" s="21">
        <v>8.3094273500979796E-2</v>
      </c>
      <c r="I136" s="21" t="str">
        <f>YEAR(CurrentMtgRatesDataTable871112[[#This Row],[asofdate]])&amp;"-"&amp;MONTH(CurrentMtgRatesDataTable871112[[#This Row],[asofdate]])</f>
        <v>2004-9</v>
      </c>
      <c r="J136" s="40">
        <f>VLOOKUP(CurrentMtgRatesDataTable871112[[#This Row],[asofdate]],Q:AE,15,0)*100</f>
        <v>6.8894140053845367</v>
      </c>
      <c r="K136" s="40">
        <f>VLOOKUP(CurrentMtgRatesDataTable871112[[#This Row],[asofdate]],Q:AE,4,0)*100</f>
        <v>2.3047577050655299</v>
      </c>
      <c r="L136" s="40">
        <f>VLOOKUP(CurrentMtgRatesDataTable871112[[#This Row],[asofdate]],Q:AE,5,0)*100</f>
        <v>9.7491194732258002</v>
      </c>
      <c r="M136" s="40">
        <f>VLOOKUP(CurrentMtgRatesDataTable871112[[#This Row],[asofdate]],Q:AE,6,0)*100</f>
        <v>8.3094273500979803</v>
      </c>
      <c r="N136" s="40">
        <f>VLOOKUP(CurrentMtgRatesDataTable871112[[#This Row],[asofdate]],Q:AF,16,0)*100</f>
        <v>11.074123639427098</v>
      </c>
      <c r="Q136" s="3" t="s">
        <v>7</v>
      </c>
      <c r="R136" s="21">
        <v>1.73785950978117E-2</v>
      </c>
      <c r="S136" s="29" t="str">
        <f>YEAR(CurrentMtgRatesDataTable8711121314[[#This Row],[asofdate]])&amp;"-"&amp;MONTH(CurrentMtgRatesDataTable8711121314[[#This Row],[asofdate]])</f>
        <v>2014-4</v>
      </c>
      <c r="T136" s="37">
        <f>CurrentMtgRatesDataTable8711121314[[#This Row],[SeriesNumValue]]</f>
        <v>1.73785950978117E-2</v>
      </c>
      <c r="U136" s="37">
        <f>VLOOKUP(CurrentMtgRatesDataTable8711121314[[#This Row],[asofdate]],B:D,2,0)</f>
        <v>5.64173982878792E-2</v>
      </c>
      <c r="V136" s="37">
        <f>IF(VLOOKUP(CurrentMtgRatesDataTable8711121314[[#This Row],[asofdate]],G:H,2,0)&lt;&gt;0,VLOOKUP(CurrentMtgRatesDataTable8711121314[[#This Row],[asofdate]],G:H,2,0),V135)</f>
        <v>4.4487411594855697E-2</v>
      </c>
      <c r="W136" s="37">
        <f>CurrentMtgRatesDataTable8711121314[[#This Row],[FHA]]+0.5*CurrentMtgRatesDataTable8711121314[[#This Row],[Conventional]]</f>
        <v>6.510669583678505E-2</v>
      </c>
      <c r="X136" s="37">
        <f>2*CurrentMtgRatesDataTable8711121314[[#This Row],[FHA]]</f>
        <v>0.1128347965757584</v>
      </c>
      <c r="Y136" s="19">
        <f>VLOOKUP(YEAR(CurrentMtgRatesDataTable8711121314[[#This Row],[asofdate]]),OriginationVolume!$A:$N,8,FALSE)</f>
        <v>0.55517536355859709</v>
      </c>
      <c r="Z136" s="19">
        <f>VLOOKUP(YEAR(CurrentMtgRatesDataTable8711121314[[#This Row],[asofdate]]),OriginationVolume!$A:$N,9,FALSE)</f>
        <v>5.9238665526090674E-2</v>
      </c>
      <c r="AA136" s="19">
        <f>VLOOKUP(YEAR(CurrentMtgRatesDataTable8711121314[[#This Row],[asofdate]]),OriginationVolume!$A:$N,10,FALSE)</f>
        <v>0.17771599657827203</v>
      </c>
      <c r="AB136" s="19">
        <f>VLOOKUP(YEAR(CurrentMtgRatesDataTable8711121314[[#This Row],[asofdate]]),OriginationVolume!$A:$N,11,FALSE)</f>
        <v>0.20102651839178784</v>
      </c>
      <c r="AC136" s="19">
        <f>VLOOKUP(YEAR(CurrentMtgRatesDataTable8711121314[[#This Row],[asofdate]]),OriginationVolume!$A:$N,12,FALSE)</f>
        <v>3.4217279726261761E-3</v>
      </c>
      <c r="AD136" s="19">
        <f>VLOOKUP(YEAR(CurrentMtgRatesDataTable8711121314[[#This Row],[asofdate]]),OriginationVolume!$A:$N,13,FALSE)</f>
        <v>3.4217279726261761E-3</v>
      </c>
      <c r="AE13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2.6412242757370724E-2</v>
      </c>
      <c r="AF13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1.9735538344180754E-2</v>
      </c>
      <c r="AG136" s="3" t="s">
        <v>7</v>
      </c>
      <c r="AH136" s="5">
        <v>5599340000</v>
      </c>
      <c r="AI136" s="26"/>
      <c r="AK136" s="3" t="s">
        <v>7</v>
      </c>
      <c r="AL136" s="5">
        <v>3325977000</v>
      </c>
      <c r="AM136" s="26"/>
      <c r="AO136" s="3" t="s">
        <v>7</v>
      </c>
      <c r="AP136" s="5">
        <v>23623473762.130001</v>
      </c>
      <c r="AQ136" s="29"/>
      <c r="AS136" s="3" t="s">
        <v>7</v>
      </c>
      <c r="AT136" s="5">
        <v>14698156762.129999</v>
      </c>
      <c r="AU136" s="29" t="str">
        <f>YEAR(CurrentMtgRatesDataTable871112131417[[#This Row],[asofdate]])&amp;"-"&amp;MONTH(CurrentMtgRatesDataTable871112131417[[#This Row],[asofdate]])</f>
        <v>2014-4</v>
      </c>
      <c r="AV136" s="29">
        <f>CurrentMtgRatesDataTable871112131417[[#This Row],[SeriesNumValue]]</f>
        <v>14698156762.129999</v>
      </c>
      <c r="AW136" s="29">
        <f>VLOOKUP(CurrentMtgRatesDataTable871112131417[[#This Row],[asofdate]],AG:AH,2,0)</f>
        <v>5599340000</v>
      </c>
      <c r="AX136" s="25">
        <f>IF(VLOOKUP(CurrentMtgRatesDataTable871112131417[[#This Row],[asofdate]],AK:AL,2,0)&lt;&gt;0,VLOOKUP(CurrentMtgRatesDataTable871112131417[[#This Row],[asofdate]],AK:AL,2,0),AX135)</f>
        <v>3325977000</v>
      </c>
      <c r="AY136" s="25">
        <f>VLOOKUP(CurrentMtgRatesDataTable871112131417[[#This Row],[asofdate]],AO:AP,2,0)</f>
        <v>23623473762.130001</v>
      </c>
    </row>
    <row r="137" spans="2:51" s="4" customFormat="1">
      <c r="B137" s="3" t="s">
        <v>19</v>
      </c>
      <c r="C137" s="21">
        <v>5.6079401787069001E-2</v>
      </c>
      <c r="D137" s="26">
        <f>((CurrentMtgRatesDataTable8711[[#This Row],[SeriesNumValue]]-$C$1)/$C$1+1)*100</f>
        <v>373.86267858046</v>
      </c>
      <c r="E137" s="26"/>
      <c r="G137" s="3" t="s">
        <v>39</v>
      </c>
      <c r="H137" s="21">
        <v>6.6895577239321505E-2</v>
      </c>
      <c r="I137" s="21" t="str">
        <f>YEAR(CurrentMtgRatesDataTable871112[[#This Row],[asofdate]])&amp;"-"&amp;MONTH(CurrentMtgRatesDataTable871112[[#This Row],[asofdate]])</f>
        <v>2004-8</v>
      </c>
      <c r="J137" s="40">
        <f>VLOOKUP(CurrentMtgRatesDataTable871112[[#This Row],[asofdate]],Q:AE,15,0)*100</f>
        <v>6.3397998091754504</v>
      </c>
      <c r="K137" s="40">
        <f>VLOOKUP(CurrentMtgRatesDataTable871112[[#This Row],[asofdate]],Q:AE,4,0)*100</f>
        <v>2.0583368674609099</v>
      </c>
      <c r="L137" s="40">
        <f>VLOOKUP(CurrentMtgRatesDataTable871112[[#This Row],[asofdate]],Q:AE,5,0)*100</f>
        <v>9.0779477365927796</v>
      </c>
      <c r="M137" s="40">
        <f>VLOOKUP(CurrentMtgRatesDataTable871112[[#This Row],[asofdate]],Q:AE,6,0)*100</f>
        <v>6.6895577239321504</v>
      </c>
      <c r="N137" s="40">
        <f>VLOOKUP(CurrentMtgRatesDataTable871112[[#This Row],[asofdate]],Q:AF,16,0)*100</f>
        <v>10.268738244677898</v>
      </c>
      <c r="Q137" s="3" t="s">
        <v>19</v>
      </c>
      <c r="R137" s="21">
        <v>1.7042595501706601E-2</v>
      </c>
      <c r="S137" s="29" t="str">
        <f>YEAR(CurrentMtgRatesDataTable8711121314[[#This Row],[asofdate]])&amp;"-"&amp;MONTH(CurrentMtgRatesDataTable8711121314[[#This Row],[asofdate]])</f>
        <v>2014-5</v>
      </c>
      <c r="T137" s="37">
        <f>CurrentMtgRatesDataTable8711121314[[#This Row],[SeriesNumValue]]</f>
        <v>1.7042595501706601E-2</v>
      </c>
      <c r="U137" s="37">
        <f>VLOOKUP(CurrentMtgRatesDataTable8711121314[[#This Row],[asofdate]],B:D,2,0)</f>
        <v>5.6079401787069001E-2</v>
      </c>
      <c r="V137" s="37">
        <f>IF(VLOOKUP(CurrentMtgRatesDataTable8711121314[[#This Row],[asofdate]],G:H,2,0)&lt;&gt;0,VLOOKUP(CurrentMtgRatesDataTable8711121314[[#This Row],[asofdate]],G:H,2,0),V136)</f>
        <v>4.3190796110447502E-2</v>
      </c>
      <c r="W137" s="37">
        <f>CurrentMtgRatesDataTable8711121314[[#This Row],[FHA]]+0.5*CurrentMtgRatesDataTable8711121314[[#This Row],[Conventional]]</f>
        <v>6.4600699537922301E-2</v>
      </c>
      <c r="X137" s="37">
        <f>2*CurrentMtgRatesDataTable8711121314[[#This Row],[FHA]]</f>
        <v>0.112158803574138</v>
      </c>
      <c r="Y137" s="19">
        <f>VLOOKUP(YEAR(CurrentMtgRatesDataTable8711121314[[#This Row],[asofdate]]),OriginationVolume!$A:$N,8,FALSE)</f>
        <v>0.55517536355859709</v>
      </c>
      <c r="Z137" s="19">
        <f>VLOOKUP(YEAR(CurrentMtgRatesDataTable8711121314[[#This Row],[asofdate]]),OriginationVolume!$A:$N,9,FALSE)</f>
        <v>5.9238665526090674E-2</v>
      </c>
      <c r="AA137" s="19">
        <f>VLOOKUP(YEAR(CurrentMtgRatesDataTable8711121314[[#This Row],[asofdate]]),OriginationVolume!$A:$N,10,FALSE)</f>
        <v>0.17771599657827203</v>
      </c>
      <c r="AB137" s="19">
        <f>VLOOKUP(YEAR(CurrentMtgRatesDataTable8711121314[[#This Row],[asofdate]]),OriginationVolume!$A:$N,11,FALSE)</f>
        <v>0.20102651839178784</v>
      </c>
      <c r="AC137" s="19">
        <f>VLOOKUP(YEAR(CurrentMtgRatesDataTable8711121314[[#This Row],[asofdate]]),OriginationVolume!$A:$N,12,FALSE)</f>
        <v>3.4217279726261761E-3</v>
      </c>
      <c r="AD137" s="19">
        <f>VLOOKUP(YEAR(CurrentMtgRatesDataTable8711121314[[#This Row],[asofdate]]),OriginationVolume!$A:$N,13,FALSE)</f>
        <v>3.4217279726261761E-3</v>
      </c>
      <c r="AE13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2.601723762863041E-2</v>
      </c>
      <c r="AF13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1.9391143849174036E-2</v>
      </c>
      <c r="AG137" s="3" t="s">
        <v>19</v>
      </c>
      <c r="AH137" s="5">
        <v>7401653000</v>
      </c>
      <c r="AI137" s="26"/>
      <c r="AK137" s="3" t="s">
        <v>19</v>
      </c>
      <c r="AL137" s="5">
        <v>4375315000</v>
      </c>
      <c r="AM137" s="26"/>
      <c r="AO137" s="3" t="s">
        <v>19</v>
      </c>
      <c r="AP137" s="5">
        <v>31416513528.869999</v>
      </c>
      <c r="AQ137" s="29"/>
      <c r="AS137" s="3" t="s">
        <v>19</v>
      </c>
      <c r="AT137" s="5">
        <v>19639545528.869999</v>
      </c>
      <c r="AU137" s="29" t="str">
        <f>YEAR(CurrentMtgRatesDataTable871112131417[[#This Row],[asofdate]])&amp;"-"&amp;MONTH(CurrentMtgRatesDataTable871112131417[[#This Row],[asofdate]])</f>
        <v>2014-5</v>
      </c>
      <c r="AV137" s="29">
        <f>CurrentMtgRatesDataTable871112131417[[#This Row],[SeriesNumValue]]</f>
        <v>19639545528.869999</v>
      </c>
      <c r="AW137" s="29">
        <f>VLOOKUP(CurrentMtgRatesDataTable871112131417[[#This Row],[asofdate]],AG:AH,2,0)</f>
        <v>7401653000</v>
      </c>
      <c r="AX137" s="25">
        <f>IF(VLOOKUP(CurrentMtgRatesDataTable871112131417[[#This Row],[asofdate]],AK:AL,2,0)&lt;&gt;0,VLOOKUP(CurrentMtgRatesDataTable871112131417[[#This Row],[asofdate]],AK:AL,2,0),AX136)</f>
        <v>4375315000</v>
      </c>
      <c r="AY137" s="25">
        <f>VLOOKUP(CurrentMtgRatesDataTable871112131417[[#This Row],[asofdate]],AO:AP,2,0)</f>
        <v>31416513528.869999</v>
      </c>
    </row>
    <row r="138" spans="2:51" s="4" customFormat="1">
      <c r="B138" s="3" t="s">
        <v>142</v>
      </c>
      <c r="C138" s="21">
        <v>5.7150634619079502E-2</v>
      </c>
      <c r="D138" s="26">
        <f>((CurrentMtgRatesDataTable8711[[#This Row],[SeriesNumValue]]-$C$1)/$C$1+1)*100</f>
        <v>381.00423079386331</v>
      </c>
      <c r="E138" s="26"/>
      <c r="G138" s="3" t="s">
        <v>38</v>
      </c>
      <c r="H138" s="21">
        <v>6.5266934728069798E-2</v>
      </c>
      <c r="I138" s="21" t="str">
        <f>YEAR(CurrentMtgRatesDataTable871112[[#This Row],[asofdate]])&amp;"-"&amp;MONTH(CurrentMtgRatesDataTable871112[[#This Row],[asofdate]])</f>
        <v>2004-7</v>
      </c>
      <c r="J138" s="40">
        <f>VLOOKUP(CurrentMtgRatesDataTable871112[[#This Row],[asofdate]],Q:AE,15,0)*100</f>
        <v>5.4146619414905048</v>
      </c>
      <c r="K138" s="40">
        <f>VLOOKUP(CurrentMtgRatesDataTable871112[[#This Row],[asofdate]],Q:AE,4,0)*100</f>
        <v>1.71623636029434</v>
      </c>
      <c r="L138" s="40">
        <f>VLOOKUP(CurrentMtgRatesDataTable871112[[#This Row],[asofdate]],Q:AE,5,0)*100</f>
        <v>7.7886223139598698</v>
      </c>
      <c r="M138" s="40">
        <f>VLOOKUP(CurrentMtgRatesDataTable871112[[#This Row],[asofdate]],Q:AE,6,0)*100</f>
        <v>6.5266934728069801</v>
      </c>
      <c r="N138" s="40">
        <f>VLOOKUP(CurrentMtgRatesDataTable871112[[#This Row],[asofdate]],Q:AF,16,0)*100</f>
        <v>8.7859072437819936</v>
      </c>
      <c r="Q138" s="3" t="s">
        <v>142</v>
      </c>
      <c r="R138" s="21">
        <v>1.7496590906512201E-2</v>
      </c>
      <c r="S138" s="29" t="str">
        <f>YEAR(CurrentMtgRatesDataTable8711121314[[#This Row],[asofdate]])&amp;"-"&amp;MONTH(CurrentMtgRatesDataTable8711121314[[#This Row],[asofdate]])</f>
        <v>2014-6</v>
      </c>
      <c r="T138" s="37">
        <f>CurrentMtgRatesDataTable8711121314[[#This Row],[SeriesNumValue]]</f>
        <v>1.7496590906512201E-2</v>
      </c>
      <c r="U138" s="37">
        <f>VLOOKUP(CurrentMtgRatesDataTable8711121314[[#This Row],[asofdate]],B:D,2,0)</f>
        <v>5.7150634619079502E-2</v>
      </c>
      <c r="V138" s="37">
        <f>IF(VLOOKUP(CurrentMtgRatesDataTable8711121314[[#This Row],[asofdate]],G:H,2,0)&lt;&gt;0,VLOOKUP(CurrentMtgRatesDataTable8711121314[[#This Row],[asofdate]],G:H,2,0),V137)</f>
        <v>4.3374642953449401E-2</v>
      </c>
      <c r="W138" s="37">
        <f>CurrentMtgRatesDataTable8711121314[[#This Row],[FHA]]+0.5*CurrentMtgRatesDataTable8711121314[[#This Row],[Conventional]]</f>
        <v>6.5898930072335604E-2</v>
      </c>
      <c r="X138" s="37">
        <f>2*CurrentMtgRatesDataTable8711121314[[#This Row],[FHA]]</f>
        <v>0.114301269238159</v>
      </c>
      <c r="Y138" s="19">
        <f>VLOOKUP(YEAR(CurrentMtgRatesDataTable8711121314[[#This Row],[asofdate]]),OriginationVolume!$A:$N,8,FALSE)</f>
        <v>0.55517536355859709</v>
      </c>
      <c r="Z138" s="19">
        <f>VLOOKUP(YEAR(CurrentMtgRatesDataTable8711121314[[#This Row],[asofdate]]),OriginationVolume!$A:$N,9,FALSE)</f>
        <v>5.9238665526090674E-2</v>
      </c>
      <c r="AA138" s="19">
        <f>VLOOKUP(YEAR(CurrentMtgRatesDataTable8711121314[[#This Row],[asofdate]]),OriginationVolume!$A:$N,10,FALSE)</f>
        <v>0.17771599657827203</v>
      </c>
      <c r="AB138" s="19">
        <f>VLOOKUP(YEAR(CurrentMtgRatesDataTable8711121314[[#This Row],[asofdate]]),OriginationVolume!$A:$N,11,FALSE)</f>
        <v>0.20102651839178784</v>
      </c>
      <c r="AC138" s="19">
        <f>VLOOKUP(YEAR(CurrentMtgRatesDataTable8711121314[[#This Row],[asofdate]]),OriginationVolume!$A:$N,12,FALSE)</f>
        <v>3.4217279726261761E-3</v>
      </c>
      <c r="AD138" s="19">
        <f>VLOOKUP(YEAR(CurrentMtgRatesDataTable8711121314[[#This Row],[asofdate]]),OriginationVolume!$A:$N,13,FALSE)</f>
        <v>3.4217279726261761E-3</v>
      </c>
      <c r="AE13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2.6573588986517453E-2</v>
      </c>
      <c r="AF13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1.9886829877663971E-2</v>
      </c>
      <c r="AG138" s="3" t="s">
        <v>142</v>
      </c>
      <c r="AH138" s="5">
        <v>8406591000</v>
      </c>
      <c r="AI138" s="26"/>
      <c r="AK138" s="3" t="s">
        <v>142</v>
      </c>
      <c r="AL138" s="5">
        <v>4827460000</v>
      </c>
      <c r="AM138" s="26"/>
      <c r="AO138" s="3" t="s">
        <v>142</v>
      </c>
      <c r="AP138" s="5">
        <v>35087895001.290001</v>
      </c>
      <c r="AQ138" s="29"/>
      <c r="AS138" s="3" t="s">
        <v>142</v>
      </c>
      <c r="AT138" s="5">
        <v>21853844001.290001</v>
      </c>
      <c r="AU138" s="29" t="str">
        <f>YEAR(CurrentMtgRatesDataTable871112131417[[#This Row],[asofdate]])&amp;"-"&amp;MONTH(CurrentMtgRatesDataTable871112131417[[#This Row],[asofdate]])</f>
        <v>2014-6</v>
      </c>
      <c r="AV138" s="29">
        <f>CurrentMtgRatesDataTable871112131417[[#This Row],[SeriesNumValue]]</f>
        <v>21853844001.290001</v>
      </c>
      <c r="AW138" s="29">
        <f>VLOOKUP(CurrentMtgRatesDataTable871112131417[[#This Row],[asofdate]],AG:AH,2,0)</f>
        <v>8406591000</v>
      </c>
      <c r="AX138" s="25">
        <f>IF(VLOOKUP(CurrentMtgRatesDataTable871112131417[[#This Row],[asofdate]],AK:AL,2,0)&lt;&gt;0,VLOOKUP(CurrentMtgRatesDataTable871112131417[[#This Row],[asofdate]],AK:AL,2,0),AX137)</f>
        <v>4827460000</v>
      </c>
      <c r="AY138" s="25">
        <f>VLOOKUP(CurrentMtgRatesDataTable871112131417[[#This Row],[asofdate]],AO:AP,2,0)</f>
        <v>35087895001.290001</v>
      </c>
    </row>
    <row r="139" spans="2:51" s="4" customFormat="1">
      <c r="B139" s="3" t="s">
        <v>8</v>
      </c>
      <c r="C139" s="21">
        <v>6.0279482404130599E-2</v>
      </c>
      <c r="D139" s="26">
        <f>((CurrentMtgRatesDataTable8711[[#This Row],[SeriesNumValue]]-$C$1)/$C$1+1)*100</f>
        <v>401.86321602753736</v>
      </c>
      <c r="E139" s="26"/>
      <c r="G139" s="3" t="s">
        <v>37</v>
      </c>
      <c r="H139" s="21">
        <v>7.4392139597998494E-2</v>
      </c>
      <c r="I139" s="21" t="str">
        <f>YEAR(CurrentMtgRatesDataTable871112[[#This Row],[asofdate]])&amp;"-"&amp;MONTH(CurrentMtgRatesDataTable871112[[#This Row],[asofdate]])</f>
        <v>2004-6</v>
      </c>
      <c r="J139" s="40">
        <f>VLOOKUP(CurrentMtgRatesDataTable871112[[#This Row],[asofdate]],Q:AE,15,0)*100</f>
        <v>5.8028403379487923</v>
      </c>
      <c r="K139" s="40">
        <f>VLOOKUP(CurrentMtgRatesDataTable871112[[#This Row],[asofdate]],Q:AE,4,0)*100</f>
        <v>1.74296567987994</v>
      </c>
      <c r="L139" s="40">
        <f>VLOOKUP(CurrentMtgRatesDataTable871112[[#This Row],[asofdate]],Q:AE,5,0)*100</f>
        <v>8.4638727196081209</v>
      </c>
      <c r="M139" s="40">
        <f>VLOOKUP(CurrentMtgRatesDataTable871112[[#This Row],[asofdate]],Q:AE,6,0)*100</f>
        <v>7.439213959799849</v>
      </c>
      <c r="N139" s="40">
        <f>VLOOKUP(CurrentMtgRatesDataTable871112[[#This Row],[asofdate]],Q:AF,16,0)*100</f>
        <v>9.4878131876538756</v>
      </c>
      <c r="Q139" s="3" t="s">
        <v>8</v>
      </c>
      <c r="R139" s="21">
        <v>1.84803007349175E-2</v>
      </c>
      <c r="S139" s="29" t="str">
        <f>YEAR(CurrentMtgRatesDataTable8711121314[[#This Row],[asofdate]])&amp;"-"&amp;MONTH(CurrentMtgRatesDataTable8711121314[[#This Row],[asofdate]])</f>
        <v>2014-7</v>
      </c>
      <c r="T139" s="37">
        <f>CurrentMtgRatesDataTable8711121314[[#This Row],[SeriesNumValue]]</f>
        <v>1.84803007349175E-2</v>
      </c>
      <c r="U139" s="37">
        <f>VLOOKUP(CurrentMtgRatesDataTable8711121314[[#This Row],[asofdate]],B:D,2,0)</f>
        <v>6.0279482404130599E-2</v>
      </c>
      <c r="V139" s="37">
        <f>IF(VLOOKUP(CurrentMtgRatesDataTable8711121314[[#This Row],[asofdate]],G:H,2,0)&lt;&gt;0,VLOOKUP(CurrentMtgRatesDataTable8711121314[[#This Row],[asofdate]],G:H,2,0),V138)</f>
        <v>4.57339776962047E-2</v>
      </c>
      <c r="W139" s="37">
        <f>CurrentMtgRatesDataTable8711121314[[#This Row],[FHA]]+0.5*CurrentMtgRatesDataTable8711121314[[#This Row],[Conventional]]</f>
        <v>6.9519632771589346E-2</v>
      </c>
      <c r="X139" s="37">
        <f>2*CurrentMtgRatesDataTable8711121314[[#This Row],[FHA]]</f>
        <v>0.1205589648082612</v>
      </c>
      <c r="Y139" s="19">
        <f>VLOOKUP(YEAR(CurrentMtgRatesDataTable8711121314[[#This Row],[asofdate]]),OriginationVolume!$A:$N,8,FALSE)</f>
        <v>0.55517536355859709</v>
      </c>
      <c r="Z139" s="19">
        <f>VLOOKUP(YEAR(CurrentMtgRatesDataTable8711121314[[#This Row],[asofdate]]),OriginationVolume!$A:$N,9,FALSE)</f>
        <v>5.9238665526090674E-2</v>
      </c>
      <c r="AA139" s="19">
        <f>VLOOKUP(YEAR(CurrentMtgRatesDataTable8711121314[[#This Row],[asofdate]]),OriginationVolume!$A:$N,10,FALSE)</f>
        <v>0.17771599657827203</v>
      </c>
      <c r="AB139" s="19">
        <f>VLOOKUP(YEAR(CurrentMtgRatesDataTable8711121314[[#This Row],[asofdate]]),OriginationVolume!$A:$N,11,FALSE)</f>
        <v>0.20102651839178784</v>
      </c>
      <c r="AC139" s="19">
        <f>VLOOKUP(YEAR(CurrentMtgRatesDataTable8711121314[[#This Row],[asofdate]]),OriginationVolume!$A:$N,12,FALSE)</f>
        <v>3.4217279726261761E-3</v>
      </c>
      <c r="AD139" s="19">
        <f>VLOOKUP(YEAR(CurrentMtgRatesDataTable8711121314[[#This Row],[asofdate]]),OriginationVolume!$A:$N,13,FALSE)</f>
        <v>3.4217279726261761E-3</v>
      </c>
      <c r="AE13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2.8047083545685865E-2</v>
      </c>
      <c r="AF13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2.1000761576234626E-2</v>
      </c>
      <c r="AG139" s="3" t="s">
        <v>8</v>
      </c>
      <c r="AH139" s="5">
        <v>9332118000</v>
      </c>
      <c r="AI139" s="26"/>
      <c r="AK139" s="3" t="s">
        <v>8</v>
      </c>
      <c r="AL139" s="5">
        <v>5686986000</v>
      </c>
      <c r="AM139" s="26"/>
      <c r="AO139" s="3" t="s">
        <v>8</v>
      </c>
      <c r="AP139" s="5">
        <v>40789409119.690002</v>
      </c>
      <c r="AQ139" s="29"/>
      <c r="AS139" s="3" t="s">
        <v>8</v>
      </c>
      <c r="AT139" s="5">
        <v>25770305119.689999</v>
      </c>
      <c r="AU139" s="29" t="str">
        <f>YEAR(CurrentMtgRatesDataTable871112131417[[#This Row],[asofdate]])&amp;"-"&amp;MONTH(CurrentMtgRatesDataTable871112131417[[#This Row],[asofdate]])</f>
        <v>2014-7</v>
      </c>
      <c r="AV139" s="29">
        <f>CurrentMtgRatesDataTable871112131417[[#This Row],[SeriesNumValue]]</f>
        <v>25770305119.689999</v>
      </c>
      <c r="AW139" s="29">
        <f>VLOOKUP(CurrentMtgRatesDataTable871112131417[[#This Row],[asofdate]],AG:AH,2,0)</f>
        <v>9332118000</v>
      </c>
      <c r="AX139" s="25">
        <f>IF(VLOOKUP(CurrentMtgRatesDataTable871112131417[[#This Row],[asofdate]],AK:AL,2,0)&lt;&gt;0,VLOOKUP(CurrentMtgRatesDataTable871112131417[[#This Row],[asofdate]],AK:AL,2,0),AX138)</f>
        <v>5686986000</v>
      </c>
      <c r="AY139" s="25">
        <f>VLOOKUP(CurrentMtgRatesDataTable871112131417[[#This Row],[asofdate]],AO:AP,2,0)</f>
        <v>40789409119.690002</v>
      </c>
    </row>
    <row r="140" spans="2:51" s="4" customFormat="1">
      <c r="B140" s="3" t="s">
        <v>16</v>
      </c>
      <c r="C140" s="21">
        <v>5.9039886698822097E-2</v>
      </c>
      <c r="D140" s="26">
        <f>((CurrentMtgRatesDataTable8711[[#This Row],[SeriesNumValue]]-$C$1)/$C$1+1)*100</f>
        <v>393.59924465881397</v>
      </c>
      <c r="E140" s="26"/>
      <c r="G140" s="3" t="s">
        <v>36</v>
      </c>
      <c r="H140" s="21">
        <v>8.2929537204315798E-2</v>
      </c>
      <c r="I140" s="21" t="str">
        <f>YEAR(CurrentMtgRatesDataTable871112[[#This Row],[asofdate]])&amp;"-"&amp;MONTH(CurrentMtgRatesDataTable871112[[#This Row],[asofdate]])</f>
        <v>2004-5</v>
      </c>
      <c r="J140" s="40">
        <f>VLOOKUP(CurrentMtgRatesDataTable871112[[#This Row],[asofdate]],Q:AE,15,0)*100</f>
        <v>6.8868485407793179</v>
      </c>
      <c r="K140" s="40">
        <f>VLOOKUP(CurrentMtgRatesDataTable871112[[#This Row],[asofdate]],Q:AE,4,0)*100</f>
        <v>2.1497562705386799</v>
      </c>
      <c r="L140" s="40">
        <f>VLOOKUP(CurrentMtgRatesDataTable871112[[#This Row],[asofdate]],Q:AE,5,0)*100</f>
        <v>9.95040592173088</v>
      </c>
      <c r="M140" s="40">
        <f>VLOOKUP(CurrentMtgRatesDataTable871112[[#This Row],[asofdate]],Q:AE,6,0)*100</f>
        <v>8.29295372043158</v>
      </c>
      <c r="N140" s="40">
        <f>VLOOKUP(CurrentMtgRatesDataTable871112[[#This Row],[asofdate]],Q:AF,16,0)*100</f>
        <v>11.20350750652756</v>
      </c>
      <c r="Q140" s="3" t="s">
        <v>16</v>
      </c>
      <c r="R140" s="21">
        <v>1.7708516972218001E-2</v>
      </c>
      <c r="S140" s="29" t="str">
        <f>YEAR(CurrentMtgRatesDataTable8711121314[[#This Row],[asofdate]])&amp;"-"&amp;MONTH(CurrentMtgRatesDataTable8711121314[[#This Row],[asofdate]])</f>
        <v>2014-8</v>
      </c>
      <c r="T140" s="37">
        <f>CurrentMtgRatesDataTable8711121314[[#This Row],[SeriesNumValue]]</f>
        <v>1.7708516972218001E-2</v>
      </c>
      <c r="U140" s="37">
        <f>VLOOKUP(CurrentMtgRatesDataTable8711121314[[#This Row],[asofdate]],B:D,2,0)</f>
        <v>5.9039886698822097E-2</v>
      </c>
      <c r="V140" s="37">
        <f>IF(VLOOKUP(CurrentMtgRatesDataTable8711121314[[#This Row],[asofdate]],G:H,2,0)&lt;&gt;0,VLOOKUP(CurrentMtgRatesDataTable8711121314[[#This Row],[asofdate]],G:H,2,0),V139)</f>
        <v>4.34006018726504E-2</v>
      </c>
      <c r="W140" s="37">
        <f>CurrentMtgRatesDataTable8711121314[[#This Row],[FHA]]+0.5*CurrentMtgRatesDataTable8711121314[[#This Row],[Conventional]]</f>
        <v>6.7894145184931101E-2</v>
      </c>
      <c r="X140" s="37">
        <f>2*CurrentMtgRatesDataTable8711121314[[#This Row],[FHA]]</f>
        <v>0.11807977339764419</v>
      </c>
      <c r="Y140" s="19">
        <f>VLOOKUP(YEAR(CurrentMtgRatesDataTable8711121314[[#This Row],[asofdate]]),OriginationVolume!$A:$N,8,FALSE)</f>
        <v>0.55517536355859709</v>
      </c>
      <c r="Z140" s="19">
        <f>VLOOKUP(YEAR(CurrentMtgRatesDataTable8711121314[[#This Row],[asofdate]]),OriginationVolume!$A:$N,9,FALSE)</f>
        <v>5.9238665526090674E-2</v>
      </c>
      <c r="AA140" s="19">
        <f>VLOOKUP(YEAR(CurrentMtgRatesDataTable8711121314[[#This Row],[asofdate]]),OriginationVolume!$A:$N,10,FALSE)</f>
        <v>0.17771599657827203</v>
      </c>
      <c r="AB140" s="19">
        <f>VLOOKUP(YEAR(CurrentMtgRatesDataTable8711121314[[#This Row],[asofdate]]),OriginationVolume!$A:$N,11,FALSE)</f>
        <v>0.20102651839178784</v>
      </c>
      <c r="AC140" s="19">
        <f>VLOOKUP(YEAR(CurrentMtgRatesDataTable8711121314[[#This Row],[asofdate]]),OriginationVolume!$A:$N,12,FALSE)</f>
        <v>3.4217279726261761E-3</v>
      </c>
      <c r="AD140" s="19">
        <f>VLOOKUP(YEAR(CurrentMtgRatesDataTable8711121314[[#This Row],[asofdate]]),OriginationVolume!$A:$N,13,FALSE)</f>
        <v>3.4217279726261761E-3</v>
      </c>
      <c r="AE14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2.709089206084888E-2</v>
      </c>
      <c r="AF14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2.0186819600006303E-2</v>
      </c>
      <c r="AG140" s="3" t="s">
        <v>16</v>
      </c>
      <c r="AH140" s="5">
        <v>9988061000</v>
      </c>
      <c r="AI140" s="26"/>
      <c r="AK140" s="3" t="s">
        <v>16</v>
      </c>
      <c r="AL140" s="5">
        <v>6417534000</v>
      </c>
      <c r="AM140" s="26"/>
      <c r="AO140" s="3" t="s">
        <v>16</v>
      </c>
      <c r="AP140" s="5">
        <v>46031403352.970001</v>
      </c>
      <c r="AQ140" s="29"/>
      <c r="AS140" s="3" t="s">
        <v>16</v>
      </c>
      <c r="AT140" s="5">
        <v>29625808352.970001</v>
      </c>
      <c r="AU140" s="29" t="str">
        <f>YEAR(CurrentMtgRatesDataTable871112131417[[#This Row],[asofdate]])&amp;"-"&amp;MONTH(CurrentMtgRatesDataTable871112131417[[#This Row],[asofdate]])</f>
        <v>2014-8</v>
      </c>
      <c r="AV140" s="29">
        <f>CurrentMtgRatesDataTable871112131417[[#This Row],[SeriesNumValue]]</f>
        <v>29625808352.970001</v>
      </c>
      <c r="AW140" s="29">
        <f>VLOOKUP(CurrentMtgRatesDataTable871112131417[[#This Row],[asofdate]],AG:AH,2,0)</f>
        <v>9988061000</v>
      </c>
      <c r="AX140" s="25">
        <f>IF(VLOOKUP(CurrentMtgRatesDataTable871112131417[[#This Row],[asofdate]],AK:AL,2,0)&lt;&gt;0,VLOOKUP(CurrentMtgRatesDataTable871112131417[[#This Row],[asofdate]],AK:AL,2,0),AX139)</f>
        <v>6417534000</v>
      </c>
      <c r="AY140" s="25">
        <f>VLOOKUP(CurrentMtgRatesDataTable871112131417[[#This Row],[asofdate]],AO:AP,2,0)</f>
        <v>46031403352.970001</v>
      </c>
    </row>
    <row r="141" spans="2:51" s="4" customFormat="1">
      <c r="B141" s="3" t="s">
        <v>143</v>
      </c>
      <c r="C141" s="21">
        <v>5.9232734324811201E-2</v>
      </c>
      <c r="D141" s="26">
        <f>((CurrentMtgRatesDataTable8711[[#This Row],[SeriesNumValue]]-$C$1)/$C$1+1)*100</f>
        <v>394.88489549874134</v>
      </c>
      <c r="E141" s="26"/>
      <c r="G141" s="3" t="s">
        <v>35</v>
      </c>
      <c r="H141" s="21">
        <v>7.4150153276567904E-2</v>
      </c>
      <c r="I141" s="21" t="str">
        <f>YEAR(CurrentMtgRatesDataTable871112[[#This Row],[asofdate]])&amp;"-"&amp;MONTH(CurrentMtgRatesDataTable871112[[#This Row],[asofdate]])</f>
        <v>2004-4</v>
      </c>
      <c r="J141" s="40">
        <f>VLOOKUP(CurrentMtgRatesDataTable871112[[#This Row],[asofdate]],Q:AE,15,0)*100</f>
        <v>6.6291479375849045</v>
      </c>
      <c r="K141" s="40">
        <f>VLOOKUP(CurrentMtgRatesDataTable871112[[#This Row],[asofdate]],Q:AE,4,0)*100</f>
        <v>2.1443810366087699</v>
      </c>
      <c r="L141" s="40">
        <f>VLOOKUP(CurrentMtgRatesDataTable871112[[#This Row],[asofdate]],Q:AE,5,0)*100</f>
        <v>9.4924068582742205</v>
      </c>
      <c r="M141" s="40">
        <f>VLOOKUP(CurrentMtgRatesDataTable871112[[#This Row],[asofdate]],Q:AE,6,0)*100</f>
        <v>7.4150153276567901</v>
      </c>
      <c r="N141" s="40">
        <f>VLOOKUP(CurrentMtgRatesDataTable871112[[#This Row],[asofdate]],Q:AF,16,0)*100</f>
        <v>10.733678025975589</v>
      </c>
      <c r="Q141" s="3" t="s">
        <v>143</v>
      </c>
      <c r="R141" s="21">
        <v>1.7686077599562498E-2</v>
      </c>
      <c r="S141" s="29" t="str">
        <f>YEAR(CurrentMtgRatesDataTable8711121314[[#This Row],[asofdate]])&amp;"-"&amp;MONTH(CurrentMtgRatesDataTable8711121314[[#This Row],[asofdate]])</f>
        <v>2014-9</v>
      </c>
      <c r="T141" s="37">
        <f>CurrentMtgRatesDataTable8711121314[[#This Row],[SeriesNumValue]]</f>
        <v>1.7686077599562498E-2</v>
      </c>
      <c r="U141" s="37">
        <f>VLOOKUP(CurrentMtgRatesDataTable8711121314[[#This Row],[asofdate]],B:D,2,0)</f>
        <v>5.9232734324811201E-2</v>
      </c>
      <c r="V141" s="37">
        <f>IF(VLOOKUP(CurrentMtgRatesDataTable8711121314[[#This Row],[asofdate]],G:H,2,0)&lt;&gt;0,VLOOKUP(CurrentMtgRatesDataTable8711121314[[#This Row],[asofdate]],G:H,2,0),V140)</f>
        <v>4.3732377941726401E-2</v>
      </c>
      <c r="W141" s="37">
        <f>CurrentMtgRatesDataTable8711121314[[#This Row],[FHA]]+0.5*CurrentMtgRatesDataTable8711121314[[#This Row],[Conventional]]</f>
        <v>6.8075773124592454E-2</v>
      </c>
      <c r="X141" s="37">
        <f>2*CurrentMtgRatesDataTable8711121314[[#This Row],[FHA]]</f>
        <v>0.1184654686496224</v>
      </c>
      <c r="Y141" s="19">
        <f>VLOOKUP(YEAR(CurrentMtgRatesDataTable8711121314[[#This Row],[asofdate]]),OriginationVolume!$A:$N,8,FALSE)</f>
        <v>0.55517536355859709</v>
      </c>
      <c r="Z141" s="19">
        <f>VLOOKUP(YEAR(CurrentMtgRatesDataTable8711121314[[#This Row],[asofdate]]),OriginationVolume!$A:$N,9,FALSE)</f>
        <v>5.9238665526090674E-2</v>
      </c>
      <c r="AA141" s="19">
        <f>VLOOKUP(YEAR(CurrentMtgRatesDataTable8711121314[[#This Row],[asofdate]]),OriginationVolume!$A:$N,10,FALSE)</f>
        <v>0.17771599657827203</v>
      </c>
      <c r="AB141" s="19">
        <f>VLOOKUP(YEAR(CurrentMtgRatesDataTable8711121314[[#This Row],[asofdate]]),OriginationVolume!$A:$N,11,FALSE)</f>
        <v>0.20102651839178784</v>
      </c>
      <c r="AC141" s="19">
        <f>VLOOKUP(YEAR(CurrentMtgRatesDataTable8711121314[[#This Row],[asofdate]]),OriginationVolume!$A:$N,12,FALSE)</f>
        <v>3.4217279726261761E-3</v>
      </c>
      <c r="AD141" s="19">
        <f>VLOOKUP(YEAR(CurrentMtgRatesDataTable8711121314[[#This Row],[asofdate]]),OriginationVolume!$A:$N,13,FALSE)</f>
        <v>3.4217279726261761E-3</v>
      </c>
      <c r="AE14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2.7129790670277321E-2</v>
      </c>
      <c r="AF14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2.0174457625489899E-2</v>
      </c>
      <c r="AG141" s="3" t="s">
        <v>143</v>
      </c>
      <c r="AH141" s="5">
        <v>10033277000</v>
      </c>
      <c r="AI141" s="26"/>
      <c r="AK141" s="3" t="s">
        <v>143</v>
      </c>
      <c r="AL141" s="5">
        <v>6356926000</v>
      </c>
      <c r="AM141" s="26"/>
      <c r="AO141" s="3" t="s">
        <v>143</v>
      </c>
      <c r="AP141" s="5">
        <v>45574789343.559998</v>
      </c>
      <c r="AQ141" s="29"/>
      <c r="AS141" s="3" t="s">
        <v>143</v>
      </c>
      <c r="AT141" s="5">
        <v>29184586343.560001</v>
      </c>
      <c r="AU141" s="29" t="str">
        <f>YEAR(CurrentMtgRatesDataTable871112131417[[#This Row],[asofdate]])&amp;"-"&amp;MONTH(CurrentMtgRatesDataTable871112131417[[#This Row],[asofdate]])</f>
        <v>2014-9</v>
      </c>
      <c r="AV141" s="29">
        <f>CurrentMtgRatesDataTable871112131417[[#This Row],[SeriesNumValue]]</f>
        <v>29184586343.560001</v>
      </c>
      <c r="AW141" s="29">
        <f>VLOOKUP(CurrentMtgRatesDataTable871112131417[[#This Row],[asofdate]],AG:AH,2,0)</f>
        <v>10033277000</v>
      </c>
      <c r="AX141" s="25">
        <f>IF(VLOOKUP(CurrentMtgRatesDataTable871112131417[[#This Row],[asofdate]],AK:AL,2,0)&lt;&gt;0,VLOOKUP(CurrentMtgRatesDataTable871112131417[[#This Row],[asofdate]],AK:AL,2,0),AX140)</f>
        <v>6356926000</v>
      </c>
      <c r="AY141" s="25">
        <f>VLOOKUP(CurrentMtgRatesDataTable871112131417[[#This Row],[asofdate]],AO:AP,2,0)</f>
        <v>45574789343.559998</v>
      </c>
    </row>
    <row r="142" spans="2:51" s="4" customFormat="1">
      <c r="B142" s="3" t="s">
        <v>3</v>
      </c>
      <c r="C142" s="21">
        <v>6.0455601405621499E-2</v>
      </c>
      <c r="D142" s="26">
        <f>((CurrentMtgRatesDataTable8711[[#This Row],[SeriesNumValue]]-$C$1)/$C$1+1)*100</f>
        <v>403.03734270414333</v>
      </c>
      <c r="E142" s="26"/>
      <c r="G142" s="3" t="s">
        <v>34</v>
      </c>
      <c r="H142" s="21">
        <v>6.9937168914830303E-2</v>
      </c>
      <c r="I142" s="21" t="str">
        <f>YEAR(CurrentMtgRatesDataTable871112[[#This Row],[asofdate]])&amp;"-"&amp;MONTH(CurrentMtgRatesDataTable871112[[#This Row],[asofdate]])</f>
        <v>2004-3</v>
      </c>
      <c r="J142" s="40">
        <f>VLOOKUP(CurrentMtgRatesDataTable871112[[#This Row],[asofdate]],Q:AE,15,0)*100</f>
        <v>6.4090552101552287</v>
      </c>
      <c r="K142" s="40">
        <f>VLOOKUP(CurrentMtgRatesDataTable871112[[#This Row],[asofdate]],Q:AE,4,0)*100</f>
        <v>2.07158901827792</v>
      </c>
      <c r="L142" s="40">
        <f>VLOOKUP(CurrentMtgRatesDataTable871112[[#This Row],[asofdate]],Q:AE,5,0)*100</f>
        <v>9.1836813388869114</v>
      </c>
      <c r="M142" s="40">
        <f>VLOOKUP(CurrentMtgRatesDataTable871112[[#This Row],[asofdate]],Q:AE,6,0)*100</f>
        <v>6.9937168914830306</v>
      </c>
      <c r="N142" s="40">
        <f>VLOOKUP(CurrentMtgRatesDataTable871112[[#This Row],[asofdate]],Q:AF,16,0)*100</f>
        <v>10.383088033362174</v>
      </c>
      <c r="Q142" s="3" t="s">
        <v>3</v>
      </c>
      <c r="R142" s="21">
        <v>1.7911224377334799E-2</v>
      </c>
      <c r="S142" s="29" t="str">
        <f>YEAR(CurrentMtgRatesDataTable8711121314[[#This Row],[asofdate]])&amp;"-"&amp;MONTH(CurrentMtgRatesDataTable8711121314[[#This Row],[asofdate]])</f>
        <v>2014-10</v>
      </c>
      <c r="T142" s="37">
        <f>CurrentMtgRatesDataTable8711121314[[#This Row],[SeriesNumValue]]</f>
        <v>1.7911224377334799E-2</v>
      </c>
      <c r="U142" s="37">
        <f>VLOOKUP(CurrentMtgRatesDataTable8711121314[[#This Row],[asofdate]],B:D,2,0)</f>
        <v>6.0455601405621499E-2</v>
      </c>
      <c r="V142" s="37">
        <f>IF(VLOOKUP(CurrentMtgRatesDataTable8711121314[[#This Row],[asofdate]],G:H,2,0)&lt;&gt;0,VLOOKUP(CurrentMtgRatesDataTable8711121314[[#This Row],[asofdate]],G:H,2,0),V141)</f>
        <v>4.4866368406642501E-2</v>
      </c>
      <c r="W142" s="37">
        <f>CurrentMtgRatesDataTable8711121314[[#This Row],[FHA]]+0.5*CurrentMtgRatesDataTable8711121314[[#This Row],[Conventional]]</f>
        <v>6.9411213594288895E-2</v>
      </c>
      <c r="X142" s="37">
        <f>2*CurrentMtgRatesDataTable8711121314[[#This Row],[FHA]]</f>
        <v>0.120911202811243</v>
      </c>
      <c r="Y142" s="19">
        <f>VLOOKUP(YEAR(CurrentMtgRatesDataTable8711121314[[#This Row],[asofdate]]),OriginationVolume!$A:$N,8,FALSE)</f>
        <v>0.55517536355859709</v>
      </c>
      <c r="Z142" s="19">
        <f>VLOOKUP(YEAR(CurrentMtgRatesDataTable8711121314[[#This Row],[asofdate]]),OriginationVolume!$A:$N,9,FALSE)</f>
        <v>5.9238665526090674E-2</v>
      </c>
      <c r="AA142" s="19">
        <f>VLOOKUP(YEAR(CurrentMtgRatesDataTable8711121314[[#This Row],[asofdate]]),OriginationVolume!$A:$N,10,FALSE)</f>
        <v>0.17771599657827203</v>
      </c>
      <c r="AB142" s="19">
        <f>VLOOKUP(YEAR(CurrentMtgRatesDataTable8711121314[[#This Row],[asofdate]]),OriginationVolume!$A:$N,11,FALSE)</f>
        <v>0.20102651839178784</v>
      </c>
      <c r="AC142" s="19">
        <f>VLOOKUP(YEAR(CurrentMtgRatesDataTable8711121314[[#This Row],[asofdate]]),OriginationVolume!$A:$N,12,FALSE)</f>
        <v>3.4217279726261761E-3</v>
      </c>
      <c r="AD142" s="19">
        <f>VLOOKUP(YEAR(CurrentMtgRatesDataTable8711121314[[#This Row],[asofdate]]),OriginationVolume!$A:$N,13,FALSE)</f>
        <v>3.4217279726261761E-3</v>
      </c>
      <c r="AE14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2.7597484362159065E-2</v>
      </c>
      <c r="AF14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2.045443372138191E-2</v>
      </c>
      <c r="AG142" s="3" t="s">
        <v>3</v>
      </c>
      <c r="AH142" s="5">
        <v>9306528000</v>
      </c>
      <c r="AI142" s="26"/>
      <c r="AK142" s="3" t="s">
        <v>3</v>
      </c>
      <c r="AL142" s="5">
        <v>5964777000</v>
      </c>
      <c r="AM142" s="26"/>
      <c r="AO142" s="3" t="s">
        <v>3</v>
      </c>
      <c r="AP142" s="5">
        <v>42626835553.860001</v>
      </c>
      <c r="AQ142" s="29"/>
      <c r="AS142" s="3" t="s">
        <v>3</v>
      </c>
      <c r="AT142" s="5">
        <v>27355530553.860001</v>
      </c>
      <c r="AU142" s="29" t="str">
        <f>YEAR(CurrentMtgRatesDataTable871112131417[[#This Row],[asofdate]])&amp;"-"&amp;MONTH(CurrentMtgRatesDataTable871112131417[[#This Row],[asofdate]])</f>
        <v>2014-10</v>
      </c>
      <c r="AV142" s="29">
        <f>CurrentMtgRatesDataTable871112131417[[#This Row],[SeriesNumValue]]</f>
        <v>27355530553.860001</v>
      </c>
      <c r="AW142" s="29">
        <f>VLOOKUP(CurrentMtgRatesDataTable871112131417[[#This Row],[asofdate]],AG:AH,2,0)</f>
        <v>9306528000</v>
      </c>
      <c r="AX142" s="25">
        <f>IF(VLOOKUP(CurrentMtgRatesDataTable871112131417[[#This Row],[asofdate]],AK:AL,2,0)&lt;&gt;0,VLOOKUP(CurrentMtgRatesDataTable871112131417[[#This Row],[asofdate]],AK:AL,2,0),AX141)</f>
        <v>5964777000</v>
      </c>
      <c r="AY142" s="25">
        <f>VLOOKUP(CurrentMtgRatesDataTable871112131417[[#This Row],[asofdate]],AO:AP,2,0)</f>
        <v>42626835553.860001</v>
      </c>
    </row>
    <row r="143" spans="2:51" s="4" customFormat="1">
      <c r="B143" s="3" t="s">
        <v>144</v>
      </c>
      <c r="C143" s="21">
        <v>5.9874562188320497E-2</v>
      </c>
      <c r="D143" s="26">
        <f>((CurrentMtgRatesDataTable8711[[#This Row],[SeriesNumValue]]-$C$1)/$C$1+1)*100</f>
        <v>399.16374792213662</v>
      </c>
      <c r="E143" s="26"/>
      <c r="G143" s="3" t="s">
        <v>33</v>
      </c>
      <c r="H143" s="21">
        <v>7.5837312969968707E-2</v>
      </c>
      <c r="I143" s="21" t="str">
        <f>YEAR(CurrentMtgRatesDataTable871112[[#This Row],[asofdate]])&amp;"-"&amp;MONTH(CurrentMtgRatesDataTable871112[[#This Row],[asofdate]])</f>
        <v>2004-2</v>
      </c>
      <c r="J143" s="40">
        <f>VLOOKUP(CurrentMtgRatesDataTable871112[[#This Row],[asofdate]],Q:AE,15,0)*100</f>
        <v>6.2539623225121508</v>
      </c>
      <c r="K143" s="40">
        <f>VLOOKUP(CurrentMtgRatesDataTable871112[[#This Row],[asofdate]],Q:AE,4,0)*100</f>
        <v>2.0491921048682702</v>
      </c>
      <c r="L143" s="40">
        <f>VLOOKUP(CurrentMtgRatesDataTable871112[[#This Row],[asofdate]],Q:AE,5,0)*100</f>
        <v>8.9059484799799993</v>
      </c>
      <c r="M143" s="40">
        <f>VLOOKUP(CurrentMtgRatesDataTable871112[[#This Row],[asofdate]],Q:AE,6,0)*100</f>
        <v>7.5837312969968709</v>
      </c>
      <c r="N143" s="40">
        <f>VLOOKUP(CurrentMtgRatesDataTable871112[[#This Row],[asofdate]],Q:AF,16,0)*100</f>
        <v>10.088804621320676</v>
      </c>
      <c r="Q143" s="3" t="s">
        <v>144</v>
      </c>
      <c r="R143" s="21">
        <v>1.7995520073933E-2</v>
      </c>
      <c r="S143" s="29" t="str">
        <f>YEAR(CurrentMtgRatesDataTable8711121314[[#This Row],[asofdate]])&amp;"-"&amp;MONTH(CurrentMtgRatesDataTable8711121314[[#This Row],[asofdate]])</f>
        <v>2014-11</v>
      </c>
      <c r="T143" s="37">
        <f>CurrentMtgRatesDataTable8711121314[[#This Row],[SeriesNumValue]]</f>
        <v>1.7995520073933E-2</v>
      </c>
      <c r="U143" s="37">
        <f>VLOOKUP(CurrentMtgRatesDataTable8711121314[[#This Row],[asofdate]],B:D,2,0)</f>
        <v>5.9874562188320497E-2</v>
      </c>
      <c r="V143" s="37">
        <f>IF(VLOOKUP(CurrentMtgRatesDataTable8711121314[[#This Row],[asofdate]],G:H,2,0)&lt;&gt;0,VLOOKUP(CurrentMtgRatesDataTable8711121314[[#This Row],[asofdate]],G:H,2,0),V142)</f>
        <v>4.4860699739032402E-2</v>
      </c>
      <c r="W143" s="37">
        <f>CurrentMtgRatesDataTable8711121314[[#This Row],[FHA]]+0.5*CurrentMtgRatesDataTable8711121314[[#This Row],[Conventional]]</f>
        <v>6.8872322225286997E-2</v>
      </c>
      <c r="X143" s="37">
        <f>2*CurrentMtgRatesDataTable8711121314[[#This Row],[FHA]]</f>
        <v>0.11974912437664099</v>
      </c>
      <c r="Y143" s="19">
        <f>VLOOKUP(YEAR(CurrentMtgRatesDataTable8711121314[[#This Row],[asofdate]]),OriginationVolume!$A:$N,8,FALSE)</f>
        <v>0.55517536355859709</v>
      </c>
      <c r="Z143" s="19">
        <f>VLOOKUP(YEAR(CurrentMtgRatesDataTable8711121314[[#This Row],[asofdate]]),OriginationVolume!$A:$N,9,FALSE)</f>
        <v>5.9238665526090674E-2</v>
      </c>
      <c r="AA143" s="19">
        <f>VLOOKUP(YEAR(CurrentMtgRatesDataTable8711121314[[#This Row],[asofdate]]),OriginationVolume!$A:$N,10,FALSE)</f>
        <v>0.17771599657827203</v>
      </c>
      <c r="AB143" s="19">
        <f>VLOOKUP(YEAR(CurrentMtgRatesDataTable8711121314[[#This Row],[asofdate]]),OriginationVolume!$A:$N,11,FALSE)</f>
        <v>0.20102651839178784</v>
      </c>
      <c r="AC143" s="19">
        <f>VLOOKUP(YEAR(CurrentMtgRatesDataTable8711121314[[#This Row],[asofdate]]),OriginationVolume!$A:$N,12,FALSE)</f>
        <v>3.4217279726261761E-3</v>
      </c>
      <c r="AD143" s="19">
        <f>VLOOKUP(YEAR(CurrentMtgRatesDataTable8711121314[[#This Row],[asofdate]]),OriginationVolume!$A:$N,13,FALSE)</f>
        <v>3.4217279726261761E-3</v>
      </c>
      <c r="AE143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2.7551812902751119E-2</v>
      </c>
      <c r="AF143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2.0507954748073935E-2</v>
      </c>
      <c r="AG143" s="3" t="s">
        <v>144</v>
      </c>
      <c r="AH143" s="5">
        <v>8864973000</v>
      </c>
      <c r="AI143" s="26"/>
      <c r="AK143" s="3" t="s">
        <v>144</v>
      </c>
      <c r="AL143" s="5">
        <v>5607829000</v>
      </c>
      <c r="AM143" s="26"/>
      <c r="AO143" s="3" t="s">
        <v>144</v>
      </c>
      <c r="AP143" s="5">
        <v>39172729918.940002</v>
      </c>
      <c r="AQ143" s="29"/>
      <c r="AS143" s="3" t="s">
        <v>144</v>
      </c>
      <c r="AT143" s="5">
        <v>24699927918.939999</v>
      </c>
      <c r="AU143" s="29" t="str">
        <f>YEAR(CurrentMtgRatesDataTable871112131417[[#This Row],[asofdate]])&amp;"-"&amp;MONTH(CurrentMtgRatesDataTable871112131417[[#This Row],[asofdate]])</f>
        <v>2014-11</v>
      </c>
      <c r="AV143" s="29">
        <f>CurrentMtgRatesDataTable871112131417[[#This Row],[SeriesNumValue]]</f>
        <v>24699927918.939999</v>
      </c>
      <c r="AW143" s="29">
        <f>VLOOKUP(CurrentMtgRatesDataTable871112131417[[#This Row],[asofdate]],AG:AH,2,0)</f>
        <v>8864973000</v>
      </c>
      <c r="AX143" s="25">
        <f>IF(VLOOKUP(CurrentMtgRatesDataTable871112131417[[#This Row],[asofdate]],AK:AL,2,0)&lt;&gt;0,VLOOKUP(CurrentMtgRatesDataTable871112131417[[#This Row],[asofdate]],AK:AL,2,0),AX142)</f>
        <v>5607829000</v>
      </c>
      <c r="AY143" s="25">
        <f>VLOOKUP(CurrentMtgRatesDataTable871112131417[[#This Row],[asofdate]],AO:AP,2,0)</f>
        <v>39172729918.940002</v>
      </c>
    </row>
    <row r="144" spans="2:51" s="4" customFormat="1">
      <c r="B144" s="3" t="s">
        <v>11</v>
      </c>
      <c r="C144" s="21">
        <v>6.2400887079476899E-2</v>
      </c>
      <c r="D144" s="26">
        <f>((CurrentMtgRatesDataTable8711[[#This Row],[SeriesNumValue]]-$C$1)/$C$1+1)*100</f>
        <v>416.00591386317933</v>
      </c>
      <c r="E144" s="26"/>
      <c r="G144" s="3" t="s">
        <v>32</v>
      </c>
      <c r="H144" s="21">
        <v>7.3919928128802895E-2</v>
      </c>
      <c r="I144" s="21" t="str">
        <f>YEAR(CurrentMtgRatesDataTable871112[[#This Row],[asofdate]])&amp;"-"&amp;MONTH(CurrentMtgRatesDataTable871112[[#This Row],[asofdate]])</f>
        <v>2004-1</v>
      </c>
      <c r="J144" s="40">
        <f>VLOOKUP(CurrentMtgRatesDataTable871112[[#This Row],[asofdate]],Q:AE,15,0)*100</f>
        <v>6.4153048209471848</v>
      </c>
      <c r="K144" s="40">
        <f>VLOOKUP(CurrentMtgRatesDataTable871112[[#This Row],[asofdate]],Q:AE,4,0)*100</f>
        <v>2.1298711707815801</v>
      </c>
      <c r="L144" s="40">
        <f>VLOOKUP(CurrentMtgRatesDataTable871112[[#This Row],[asofdate]],Q:AE,5,0)*100</f>
        <v>9.1083275828594505</v>
      </c>
      <c r="M144" s="40">
        <f>VLOOKUP(CurrentMtgRatesDataTable871112[[#This Row],[asofdate]],Q:AE,6,0)*100</f>
        <v>7.3919928128802894</v>
      </c>
      <c r="N144" s="40">
        <f>VLOOKUP(CurrentMtgRatesDataTable871112[[#This Row],[asofdate]],Q:AF,16,0)*100</f>
        <v>10.334777063781738</v>
      </c>
      <c r="Q144" s="3" t="s">
        <v>11</v>
      </c>
      <c r="R144" s="21">
        <v>1.8702407855327199E-2</v>
      </c>
      <c r="S144" s="29" t="str">
        <f>YEAR(CurrentMtgRatesDataTable8711121314[[#This Row],[asofdate]])&amp;"-"&amp;MONTH(CurrentMtgRatesDataTable8711121314[[#This Row],[asofdate]])</f>
        <v>2014-12</v>
      </c>
      <c r="T144" s="37">
        <f>CurrentMtgRatesDataTable8711121314[[#This Row],[SeriesNumValue]]</f>
        <v>1.8702407855327199E-2</v>
      </c>
      <c r="U144" s="37">
        <f>VLOOKUP(CurrentMtgRatesDataTable8711121314[[#This Row],[asofdate]],B:D,2,0)</f>
        <v>6.2400887079476899E-2</v>
      </c>
      <c r="V144" s="37">
        <f>IF(VLOOKUP(CurrentMtgRatesDataTable8711121314[[#This Row],[asofdate]],G:H,2,0)&lt;&gt;0,VLOOKUP(CurrentMtgRatesDataTable8711121314[[#This Row],[asofdate]],G:H,2,0),V143)</f>
        <v>4.68738925155835E-2</v>
      </c>
      <c r="W144" s="37">
        <f>CurrentMtgRatesDataTable8711121314[[#This Row],[FHA]]+0.5*CurrentMtgRatesDataTable8711121314[[#This Row],[Conventional]]</f>
        <v>7.17520910071405E-2</v>
      </c>
      <c r="X144" s="37">
        <f>2*CurrentMtgRatesDataTable8711121314[[#This Row],[FHA]]</f>
        <v>0.1248017741589538</v>
      </c>
      <c r="Y144" s="19">
        <f>VLOOKUP(YEAR(CurrentMtgRatesDataTable8711121314[[#This Row],[asofdate]]),OriginationVolume!$A:$N,8,FALSE)</f>
        <v>0.55517536355859709</v>
      </c>
      <c r="Z144" s="19">
        <f>VLOOKUP(YEAR(CurrentMtgRatesDataTable8711121314[[#This Row],[asofdate]]),OriginationVolume!$A:$N,9,FALSE)</f>
        <v>5.9238665526090674E-2</v>
      </c>
      <c r="AA144" s="19">
        <f>VLOOKUP(YEAR(CurrentMtgRatesDataTable8711121314[[#This Row],[asofdate]]),OriginationVolume!$A:$N,10,FALSE)</f>
        <v>0.17771599657827203</v>
      </c>
      <c r="AB144" s="19">
        <f>VLOOKUP(YEAR(CurrentMtgRatesDataTable8711121314[[#This Row],[asofdate]]),OriginationVolume!$A:$N,11,FALSE)</f>
        <v>0.20102651839178784</v>
      </c>
      <c r="AC144" s="19">
        <f>VLOOKUP(YEAR(CurrentMtgRatesDataTable8711121314[[#This Row],[asofdate]]),OriginationVolume!$A:$N,12,FALSE)</f>
        <v>3.4217279726261761E-3</v>
      </c>
      <c r="AD144" s="19">
        <f>VLOOKUP(YEAR(CurrentMtgRatesDataTable8711121314[[#This Row],[asofdate]]),OriginationVolume!$A:$N,13,FALSE)</f>
        <v>3.4217279726261761E-3</v>
      </c>
      <c r="AE144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2.8681732551102741E-2</v>
      </c>
      <c r="AF144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2.1322145294922913E-2</v>
      </c>
      <c r="AG144" s="3" t="s">
        <v>11</v>
      </c>
      <c r="AH144" s="5">
        <v>8858380000</v>
      </c>
      <c r="AI144" s="26"/>
      <c r="AK144" s="3" t="s">
        <v>11</v>
      </c>
      <c r="AL144" s="5">
        <v>5486375000</v>
      </c>
      <c r="AM144" s="26"/>
      <c r="AO144" s="3" t="s">
        <v>11</v>
      </c>
      <c r="AP144" s="5">
        <v>38719282119.989998</v>
      </c>
      <c r="AQ144" s="29"/>
      <c r="AS144" s="3" t="s">
        <v>11</v>
      </c>
      <c r="AT144" s="5">
        <v>24374527119.990002</v>
      </c>
      <c r="AU144" s="29" t="str">
        <f>YEAR(CurrentMtgRatesDataTable871112131417[[#This Row],[asofdate]])&amp;"-"&amp;MONTH(CurrentMtgRatesDataTable871112131417[[#This Row],[asofdate]])</f>
        <v>2014-12</v>
      </c>
      <c r="AV144" s="29">
        <f>CurrentMtgRatesDataTable871112131417[[#This Row],[SeriesNumValue]]</f>
        <v>24374527119.990002</v>
      </c>
      <c r="AW144" s="29">
        <f>VLOOKUP(CurrentMtgRatesDataTable871112131417[[#This Row],[asofdate]],AG:AH,2,0)</f>
        <v>8858380000</v>
      </c>
      <c r="AX144" s="25">
        <f>IF(VLOOKUP(CurrentMtgRatesDataTable871112131417[[#This Row],[asofdate]],AK:AL,2,0)&lt;&gt;0,VLOOKUP(CurrentMtgRatesDataTable871112131417[[#This Row],[asofdate]],AK:AL,2,0),AX143)</f>
        <v>5486375000</v>
      </c>
      <c r="AY144" s="25">
        <f>VLOOKUP(CurrentMtgRatesDataTable871112131417[[#This Row],[asofdate]],AO:AP,2,0)</f>
        <v>38719282119.989998</v>
      </c>
    </row>
    <row r="145" spans="2:51" s="4" customFormat="1">
      <c r="B145" s="3" t="s">
        <v>145</v>
      </c>
      <c r="C145" s="21">
        <v>6.0841622906473401E-2</v>
      </c>
      <c r="D145" s="26">
        <f>((CurrentMtgRatesDataTable8711[[#This Row],[SeriesNumValue]]-$C$1)/$C$1+1)*100</f>
        <v>405.61081937648942</v>
      </c>
      <c r="E145" s="26"/>
      <c r="G145" s="3" t="s">
        <v>31</v>
      </c>
      <c r="H145" s="21">
        <v>7.7229764557536801E-2</v>
      </c>
      <c r="I145" s="21" t="str">
        <f>YEAR(CurrentMtgRatesDataTable871112[[#This Row],[asofdate]])&amp;"-"&amp;MONTH(CurrentMtgRatesDataTable871112[[#This Row],[asofdate]])</f>
        <v>2003-12</v>
      </c>
      <c r="J145" s="40">
        <f>VLOOKUP(CurrentMtgRatesDataTable871112[[#This Row],[asofdate]],Q:AE,15,0)*100</f>
        <v>4.0589816924945543</v>
      </c>
      <c r="K145" s="40">
        <f>VLOOKUP(CurrentMtgRatesDataTable871112[[#This Row],[asofdate]],Q:AE,4,0)*100</f>
        <v>2.17300558684245</v>
      </c>
      <c r="L145" s="40">
        <f>VLOOKUP(CurrentMtgRatesDataTable871112[[#This Row],[asofdate]],Q:AE,5,0)*100</f>
        <v>9.0167160769596997</v>
      </c>
      <c r="M145" s="40">
        <f>VLOOKUP(CurrentMtgRatesDataTable871112[[#This Row],[asofdate]],Q:AE,6,0)*100</f>
        <v>7.7229764557536802</v>
      </c>
      <c r="N145" s="40">
        <f>VLOOKUP(CurrentMtgRatesDataTable871112[[#This Row],[asofdate]],Q:AF,16,0)*100</f>
        <v>7.5230537829138608</v>
      </c>
      <c r="Q145" s="3" t="s">
        <v>145</v>
      </c>
      <c r="R145" s="21">
        <v>1.8273129064639401E-2</v>
      </c>
      <c r="S145" s="29" t="str">
        <f>YEAR(CurrentMtgRatesDataTable8711121314[[#This Row],[asofdate]])&amp;"-"&amp;MONTH(CurrentMtgRatesDataTable8711121314[[#This Row],[asofdate]])</f>
        <v>2015-1</v>
      </c>
      <c r="T145" s="37">
        <f>CurrentMtgRatesDataTable8711121314[[#This Row],[SeriesNumValue]]</f>
        <v>1.8273129064639401E-2</v>
      </c>
      <c r="U145" s="37">
        <f>VLOOKUP(CurrentMtgRatesDataTable8711121314[[#This Row],[asofdate]],B:D,2,0)</f>
        <v>6.0841622906473401E-2</v>
      </c>
      <c r="V145" s="37">
        <f>IF(VLOOKUP(CurrentMtgRatesDataTable8711121314[[#This Row],[asofdate]],G:H,2,0)&lt;&gt;0,VLOOKUP(CurrentMtgRatesDataTable8711121314[[#This Row],[asofdate]],G:H,2,0),V144)</f>
        <v>4.65732522111236E-2</v>
      </c>
      <c r="W145" s="37">
        <f>CurrentMtgRatesDataTable8711121314[[#This Row],[FHA]]+0.5*CurrentMtgRatesDataTable8711121314[[#This Row],[Conventional]]</f>
        <v>6.9978187438793096E-2</v>
      </c>
      <c r="X145" s="37">
        <f>2*CurrentMtgRatesDataTable8711121314[[#This Row],[FHA]]</f>
        <v>0.1216832458129468</v>
      </c>
      <c r="Y145" s="19">
        <f>VLOOKUP(YEAR(CurrentMtgRatesDataTable8711121314[[#This Row],[asofdate]]),OriginationVolume!$A:$N,8,FALSE)</f>
        <v>0.54906832298136643</v>
      </c>
      <c r="Z145" s="19">
        <f>VLOOKUP(YEAR(CurrentMtgRatesDataTable8711121314[[#This Row],[asofdate]]),OriginationVolume!$A:$N,9,FALSE)</f>
        <v>6.0869565217391307E-2</v>
      </c>
      <c r="AA145" s="19">
        <f>VLOOKUP(YEAR(CurrentMtgRatesDataTable8711121314[[#This Row],[asofdate]]),OriginationVolume!$A:$N,10,FALSE)</f>
        <v>0.18260869565217391</v>
      </c>
      <c r="AB145" s="19">
        <f>VLOOKUP(YEAR(CurrentMtgRatesDataTable8711121314[[#This Row],[asofdate]]),OriginationVolume!$A:$N,11,FALSE)</f>
        <v>0.20248447204968945</v>
      </c>
      <c r="AC145" s="19">
        <f>VLOOKUP(YEAR(CurrentMtgRatesDataTable8711121314[[#This Row],[asofdate]]),OriginationVolume!$A:$N,12,FALSE)</f>
        <v>2.4844720496894411E-3</v>
      </c>
      <c r="AD145" s="19">
        <f>VLOOKUP(YEAR(CurrentMtgRatesDataTable8711121314[[#This Row],[asofdate]]),OriginationVolume!$A:$N,13,FALSE)</f>
        <v>2.4844720496894411E-3</v>
      </c>
      <c r="AE145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2.8154501709573867E-2</v>
      </c>
      <c r="AF145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2.0130795832573069E-2</v>
      </c>
      <c r="AG145" s="3" t="s">
        <v>145</v>
      </c>
      <c r="AH145" s="5">
        <v>7407106000</v>
      </c>
      <c r="AI145" s="26"/>
      <c r="AK145" s="3" t="s">
        <v>145</v>
      </c>
      <c r="AL145" s="5">
        <v>4582030000</v>
      </c>
      <c r="AM145" s="26"/>
      <c r="AO145" s="3" t="s">
        <v>145</v>
      </c>
      <c r="AP145" s="5">
        <v>32344105601.049999</v>
      </c>
      <c r="AQ145" s="29"/>
      <c r="AS145" s="3" t="s">
        <v>145</v>
      </c>
      <c r="AT145" s="5">
        <v>20354969601.049999</v>
      </c>
      <c r="AU145" s="29" t="str">
        <f>YEAR(CurrentMtgRatesDataTable871112131417[[#This Row],[asofdate]])&amp;"-"&amp;MONTH(CurrentMtgRatesDataTable871112131417[[#This Row],[asofdate]])</f>
        <v>2015-1</v>
      </c>
      <c r="AV145" s="29">
        <f>CurrentMtgRatesDataTable871112131417[[#This Row],[SeriesNumValue]]</f>
        <v>20354969601.049999</v>
      </c>
      <c r="AW145" s="29">
        <f>VLOOKUP(CurrentMtgRatesDataTable871112131417[[#This Row],[asofdate]],AG:AH,2,0)</f>
        <v>7407106000</v>
      </c>
      <c r="AX145" s="25">
        <f>IF(VLOOKUP(CurrentMtgRatesDataTable871112131417[[#This Row],[asofdate]],AK:AL,2,0)&lt;&gt;0,VLOOKUP(CurrentMtgRatesDataTable871112131417[[#This Row],[asofdate]],AK:AL,2,0),AX144)</f>
        <v>4582030000</v>
      </c>
      <c r="AY145" s="25">
        <f>VLOOKUP(CurrentMtgRatesDataTable871112131417[[#This Row],[asofdate]],AO:AP,2,0)</f>
        <v>32344105601.049999</v>
      </c>
    </row>
    <row r="146" spans="2:51" s="4" customFormat="1">
      <c r="B146" s="3" t="s">
        <v>146</v>
      </c>
      <c r="C146" s="21">
        <v>6.2622998242086406E-2</v>
      </c>
      <c r="D146" s="26">
        <f>((CurrentMtgRatesDataTable8711[[#This Row],[SeriesNumValue]]-$C$1)/$C$1+1)*100</f>
        <v>417.48665494724276</v>
      </c>
      <c r="E146" s="26"/>
      <c r="G146" s="3" t="s">
        <v>30</v>
      </c>
      <c r="H146" s="21">
        <v>7.5610136798633196E-2</v>
      </c>
      <c r="I146" s="21" t="str">
        <f>YEAR(CurrentMtgRatesDataTable871112[[#This Row],[asofdate]])&amp;"-"&amp;MONTH(CurrentMtgRatesDataTable871112[[#This Row],[asofdate]])</f>
        <v>2003-11</v>
      </c>
      <c r="J146" s="40">
        <f>VLOOKUP(CurrentMtgRatesDataTable871112[[#This Row],[asofdate]],Q:AE,15,0)*100</f>
        <v>3.9481375215199468</v>
      </c>
      <c r="K146" s="40">
        <f>VLOOKUP(CurrentMtgRatesDataTable871112[[#This Row],[asofdate]],Q:AE,4,0)*100</f>
        <v>2.13580950330525</v>
      </c>
      <c r="L146" s="40">
        <f>VLOOKUP(CurrentMtgRatesDataTable871112[[#This Row],[asofdate]],Q:AE,5,0)*100</f>
        <v>8.6871460414936994</v>
      </c>
      <c r="M146" s="40">
        <f>VLOOKUP(CurrentMtgRatesDataTable871112[[#This Row],[asofdate]],Q:AE,6,0)*100</f>
        <v>7.5610136798633194</v>
      </c>
      <c r="N146" s="40">
        <f>VLOOKUP(CurrentMtgRatesDataTable871112[[#This Row],[asofdate]],Q:AF,16,0)*100</f>
        <v>7.2760631964516209</v>
      </c>
      <c r="Q146" s="3" t="s">
        <v>146</v>
      </c>
      <c r="R146" s="21">
        <v>1.8941540337179898E-2</v>
      </c>
      <c r="S146" s="29" t="str">
        <f>YEAR(CurrentMtgRatesDataTable8711121314[[#This Row],[asofdate]])&amp;"-"&amp;MONTH(CurrentMtgRatesDataTable8711121314[[#This Row],[asofdate]])</f>
        <v>2015-2</v>
      </c>
      <c r="T146" s="37">
        <f>CurrentMtgRatesDataTable8711121314[[#This Row],[SeriesNumValue]]</f>
        <v>1.8941540337179898E-2</v>
      </c>
      <c r="U146" s="37">
        <f>VLOOKUP(CurrentMtgRatesDataTable8711121314[[#This Row],[asofdate]],B:D,2,0)</f>
        <v>6.2622998242086406E-2</v>
      </c>
      <c r="V146" s="37">
        <f>IF(VLOOKUP(CurrentMtgRatesDataTable8711121314[[#This Row],[asofdate]],G:H,2,0)&lt;&gt;0,VLOOKUP(CurrentMtgRatesDataTable8711121314[[#This Row],[asofdate]],G:H,2,0),V145)</f>
        <v>4.7552411446694302E-2</v>
      </c>
      <c r="W146" s="37">
        <f>CurrentMtgRatesDataTable8711121314[[#This Row],[FHA]]+0.5*CurrentMtgRatesDataTable8711121314[[#This Row],[Conventional]]</f>
        <v>7.2093768410676357E-2</v>
      </c>
      <c r="X146" s="37">
        <f>2*CurrentMtgRatesDataTable8711121314[[#This Row],[FHA]]</f>
        <v>0.12524599648417281</v>
      </c>
      <c r="Y146" s="19">
        <f>VLOOKUP(YEAR(CurrentMtgRatesDataTable8711121314[[#This Row],[asofdate]]),OriginationVolume!$A:$N,8,FALSE)</f>
        <v>0.54906832298136643</v>
      </c>
      <c r="Z146" s="19">
        <f>VLOOKUP(YEAR(CurrentMtgRatesDataTable8711121314[[#This Row],[asofdate]]),OriginationVolume!$A:$N,9,FALSE)</f>
        <v>6.0869565217391307E-2</v>
      </c>
      <c r="AA146" s="19">
        <f>VLOOKUP(YEAR(CurrentMtgRatesDataTable8711121314[[#This Row],[asofdate]]),OriginationVolume!$A:$N,10,FALSE)</f>
        <v>0.18260869565217391</v>
      </c>
      <c r="AB146" s="19">
        <f>VLOOKUP(YEAR(CurrentMtgRatesDataTable8711121314[[#This Row],[asofdate]]),OriginationVolume!$A:$N,11,FALSE)</f>
        <v>0.20248447204968945</v>
      </c>
      <c r="AC146" s="19">
        <f>VLOOKUP(YEAR(CurrentMtgRatesDataTable8711121314[[#This Row],[asofdate]]),OriginationVolume!$A:$N,12,FALSE)</f>
        <v>2.4844720496894411E-3</v>
      </c>
      <c r="AD146" s="19">
        <f>VLOOKUP(YEAR(CurrentMtgRatesDataTable8711121314[[#This Row],[asofdate]]),OriginationVolume!$A:$N,13,FALSE)</f>
        <v>2.4844720496894411E-3</v>
      </c>
      <c r="AE146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2.9055851349389143E-2</v>
      </c>
      <c r="AF146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2.0851201226048038E-2</v>
      </c>
      <c r="AG146" s="3" t="s">
        <v>146</v>
      </c>
      <c r="AH146" s="5">
        <v>8367088000</v>
      </c>
      <c r="AI146" s="26"/>
      <c r="AK146" s="3" t="s">
        <v>146</v>
      </c>
      <c r="AL146" s="5">
        <v>5404946000</v>
      </c>
      <c r="AM146" s="26"/>
      <c r="AO146" s="3" t="s">
        <v>146</v>
      </c>
      <c r="AP146" s="5">
        <v>36532780903.989998</v>
      </c>
      <c r="AQ146" s="29"/>
      <c r="AS146" s="3" t="s">
        <v>146</v>
      </c>
      <c r="AT146" s="5">
        <v>22760746903.990002</v>
      </c>
      <c r="AU146" s="29" t="str">
        <f>YEAR(CurrentMtgRatesDataTable871112131417[[#This Row],[asofdate]])&amp;"-"&amp;MONTH(CurrentMtgRatesDataTable871112131417[[#This Row],[asofdate]])</f>
        <v>2015-2</v>
      </c>
      <c r="AV146" s="29">
        <f>CurrentMtgRatesDataTable871112131417[[#This Row],[SeriesNumValue]]</f>
        <v>22760746903.990002</v>
      </c>
      <c r="AW146" s="29">
        <f>VLOOKUP(CurrentMtgRatesDataTable871112131417[[#This Row],[asofdate]],AG:AH,2,0)</f>
        <v>8367088000</v>
      </c>
      <c r="AX146" s="25">
        <f>IF(VLOOKUP(CurrentMtgRatesDataTable871112131417[[#This Row],[asofdate]],AK:AL,2,0)&lt;&gt;0,VLOOKUP(CurrentMtgRatesDataTable871112131417[[#This Row],[asofdate]],AK:AL,2,0),AX145)</f>
        <v>5404946000</v>
      </c>
      <c r="AY146" s="25">
        <f>VLOOKUP(CurrentMtgRatesDataTable871112131417[[#This Row],[asofdate]],AO:AP,2,0)</f>
        <v>36532780903.989998</v>
      </c>
    </row>
    <row r="147" spans="2:51" s="4" customFormat="1">
      <c r="B147" s="3" t="s">
        <v>147</v>
      </c>
      <c r="C147" s="21">
        <v>6.6263717165098004E-2</v>
      </c>
      <c r="D147" s="26">
        <f>((CurrentMtgRatesDataTable8711[[#This Row],[SeriesNumValue]]-$C$1)/$C$1+1)*100</f>
        <v>441.75811443398663</v>
      </c>
      <c r="E147" s="26"/>
      <c r="G147" s="3" t="s">
        <v>29</v>
      </c>
      <c r="H147" s="21">
        <v>5.8551251558796702E-2</v>
      </c>
      <c r="I147" s="21" t="str">
        <f>YEAR(CurrentMtgRatesDataTable871112[[#This Row],[asofdate]])&amp;"-"&amp;MONTH(CurrentMtgRatesDataTable871112[[#This Row],[asofdate]])</f>
        <v>2003-10</v>
      </c>
      <c r="J147" s="40">
        <f>VLOOKUP(CurrentMtgRatesDataTable871112[[#This Row],[asofdate]],Q:AE,15,0)*100</f>
        <v>2.9962577215009851</v>
      </c>
      <c r="K147" s="40">
        <f>VLOOKUP(CurrentMtgRatesDataTable871112[[#This Row],[asofdate]],Q:AE,4,0)*100</f>
        <v>1.6414580040043301</v>
      </c>
      <c r="L147" s="40">
        <f>VLOOKUP(CurrentMtgRatesDataTable871112[[#This Row],[asofdate]],Q:AE,5,0)*100</f>
        <v>6.5107261740162503</v>
      </c>
      <c r="M147" s="40">
        <f>VLOOKUP(CurrentMtgRatesDataTable871112[[#This Row],[asofdate]],Q:AE,6,0)*100</f>
        <v>5.8551251558796702</v>
      </c>
      <c r="N147" s="40">
        <f>VLOOKUP(CurrentMtgRatesDataTable871112[[#This Row],[asofdate]],Q:AF,16,0)*100</f>
        <v>5.4801642300999571</v>
      </c>
      <c r="Q147" s="3" t="s">
        <v>147</v>
      </c>
      <c r="R147" s="21">
        <v>1.9426549529739E-2</v>
      </c>
      <c r="S147" s="29" t="str">
        <f>YEAR(CurrentMtgRatesDataTable8711121314[[#This Row],[asofdate]])&amp;"-"&amp;MONTH(CurrentMtgRatesDataTable8711121314[[#This Row],[asofdate]])</f>
        <v>2015-3</v>
      </c>
      <c r="T147" s="37">
        <f>CurrentMtgRatesDataTable8711121314[[#This Row],[SeriesNumValue]]</f>
        <v>1.9426549529739E-2</v>
      </c>
      <c r="U147" s="37">
        <f>VLOOKUP(CurrentMtgRatesDataTable8711121314[[#This Row],[asofdate]],B:D,2,0)</f>
        <v>6.6263717165098004E-2</v>
      </c>
      <c r="V147" s="37">
        <f>IF(VLOOKUP(CurrentMtgRatesDataTable8711121314[[#This Row],[asofdate]],G:H,2,0)&lt;&gt;0,VLOOKUP(CurrentMtgRatesDataTable8711121314[[#This Row],[asofdate]],G:H,2,0),V146)</f>
        <v>4.9418960876341803E-2</v>
      </c>
      <c r="W147" s="37">
        <f>CurrentMtgRatesDataTable8711121314[[#This Row],[FHA]]+0.5*CurrentMtgRatesDataTable8711121314[[#This Row],[Conventional]]</f>
        <v>7.59769919299675E-2</v>
      </c>
      <c r="X147" s="37">
        <f>2*CurrentMtgRatesDataTable8711121314[[#This Row],[FHA]]</f>
        <v>0.13252743433019601</v>
      </c>
      <c r="Y147" s="19">
        <f>VLOOKUP(YEAR(CurrentMtgRatesDataTable8711121314[[#This Row],[asofdate]]),OriginationVolume!$A:$N,8,FALSE)</f>
        <v>0.54906832298136643</v>
      </c>
      <c r="Z147" s="19">
        <f>VLOOKUP(YEAR(CurrentMtgRatesDataTable8711121314[[#This Row],[asofdate]]),OriginationVolume!$A:$N,9,FALSE)</f>
        <v>6.0869565217391307E-2</v>
      </c>
      <c r="AA147" s="19">
        <f>VLOOKUP(YEAR(CurrentMtgRatesDataTable8711121314[[#This Row],[asofdate]]),OriginationVolume!$A:$N,10,FALSE)</f>
        <v>0.18260869565217391</v>
      </c>
      <c r="AB147" s="19">
        <f>VLOOKUP(YEAR(CurrentMtgRatesDataTable8711121314[[#This Row],[asofdate]]),OriginationVolume!$A:$N,11,FALSE)</f>
        <v>0.20248447204968945</v>
      </c>
      <c r="AC147" s="19">
        <f>VLOOKUP(YEAR(CurrentMtgRatesDataTable8711121314[[#This Row],[asofdate]]),OriginationVolume!$A:$N,12,FALSE)</f>
        <v>2.4844720496894411E-3</v>
      </c>
      <c r="AD147" s="19">
        <f>VLOOKUP(YEAR(CurrentMtgRatesDataTable8711121314[[#This Row],[asofdate]]),OriginationVolume!$A:$N,13,FALSE)</f>
        <v>2.4844720496894411E-3</v>
      </c>
      <c r="AE147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3.0226542638785808E-2</v>
      </c>
      <c r="AF147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2.1458301951304094E-2</v>
      </c>
      <c r="AG147" s="3" t="s">
        <v>147</v>
      </c>
      <c r="AH147" s="5">
        <v>5462043000</v>
      </c>
      <c r="AI147" s="26"/>
      <c r="AK147" s="3" t="s">
        <v>147</v>
      </c>
      <c r="AL147" s="5">
        <v>3593740000</v>
      </c>
      <c r="AM147" s="26"/>
      <c r="AO147" s="3" t="s">
        <v>147</v>
      </c>
      <c r="AP147" s="5">
        <v>24933874986</v>
      </c>
      <c r="AQ147" s="29"/>
      <c r="AS147" s="3" t="s">
        <v>147</v>
      </c>
      <c r="AT147" s="5">
        <v>15878091986</v>
      </c>
      <c r="AU147" s="29" t="str">
        <f>YEAR(CurrentMtgRatesDataTable871112131417[[#This Row],[asofdate]])&amp;"-"&amp;MONTH(CurrentMtgRatesDataTable871112131417[[#This Row],[asofdate]])</f>
        <v>2015-3</v>
      </c>
      <c r="AV147" s="29">
        <f>CurrentMtgRatesDataTable871112131417[[#This Row],[SeriesNumValue]]</f>
        <v>15878091986</v>
      </c>
      <c r="AW147" s="29">
        <f>VLOOKUP(CurrentMtgRatesDataTable871112131417[[#This Row],[asofdate]],AG:AH,2,0)</f>
        <v>5462043000</v>
      </c>
      <c r="AX147" s="25">
        <f>IF(VLOOKUP(CurrentMtgRatesDataTable871112131417[[#This Row],[asofdate]],AK:AL,2,0)&lt;&gt;0,VLOOKUP(CurrentMtgRatesDataTable871112131417[[#This Row],[asofdate]],AK:AL,2,0),AX146)</f>
        <v>3593740000</v>
      </c>
      <c r="AY147" s="25">
        <f>VLOOKUP(CurrentMtgRatesDataTable871112131417[[#This Row],[asofdate]],AO:AP,2,0)</f>
        <v>24933874986</v>
      </c>
    </row>
    <row r="148" spans="2:51" s="4" customFormat="1">
      <c r="B148" s="3" t="s">
        <v>20</v>
      </c>
      <c r="C148" s="21">
        <v>6.1486236715359202E-2</v>
      </c>
      <c r="D148" s="26">
        <f>((CurrentMtgRatesDataTable8711[[#This Row],[SeriesNumValue]]-$C$1)/$C$1+1)*100</f>
        <v>409.90824476906135</v>
      </c>
      <c r="E148" s="26"/>
      <c r="G148" s="3" t="s">
        <v>28</v>
      </c>
      <c r="H148" s="21">
        <v>5.9572386776244698E-2</v>
      </c>
      <c r="I148" s="21" t="str">
        <f>YEAR(CurrentMtgRatesDataTable871112[[#This Row],[asofdate]])&amp;"-"&amp;MONTH(CurrentMtgRatesDataTable871112[[#This Row],[asofdate]])</f>
        <v>2003-9</v>
      </c>
      <c r="J148" s="40">
        <f>VLOOKUP(CurrentMtgRatesDataTable871112[[#This Row],[asofdate]],Q:AE,15,0)*100</f>
        <v>3.2763723841743921</v>
      </c>
      <c r="K148" s="40">
        <f>VLOOKUP(CurrentMtgRatesDataTable871112[[#This Row],[asofdate]],Q:AE,4,0)*100</f>
        <v>1.7642684597579599</v>
      </c>
      <c r="L148" s="40">
        <f>VLOOKUP(CurrentMtgRatesDataTable871112[[#This Row],[asofdate]],Q:AE,5,0)*100</f>
        <v>7.2586007866589597</v>
      </c>
      <c r="M148" s="40">
        <f>VLOOKUP(CurrentMtgRatesDataTable871112[[#This Row],[asofdate]],Q:AE,6,0)*100</f>
        <v>5.9572386776244697</v>
      </c>
      <c r="N148" s="40">
        <f>VLOOKUP(CurrentMtgRatesDataTable871112[[#This Row],[asofdate]],Q:AF,16,0)*100</f>
        <v>6.066095179882252</v>
      </c>
      <c r="Q148" s="3" t="s">
        <v>20</v>
      </c>
      <c r="R148" s="21">
        <v>1.7817477432637101E-2</v>
      </c>
      <c r="S148" s="29" t="str">
        <f>YEAR(CurrentMtgRatesDataTable8711121314[[#This Row],[asofdate]])&amp;"-"&amp;MONTH(CurrentMtgRatesDataTable8711121314[[#This Row],[asofdate]])</f>
        <v>2015-4</v>
      </c>
      <c r="T148" s="37">
        <f>CurrentMtgRatesDataTable8711121314[[#This Row],[SeriesNumValue]]</f>
        <v>1.7817477432637101E-2</v>
      </c>
      <c r="U148" s="37">
        <f>VLOOKUP(CurrentMtgRatesDataTable8711121314[[#This Row],[asofdate]],B:D,2,0)</f>
        <v>6.1486236715359202E-2</v>
      </c>
      <c r="V148" s="37">
        <f>IF(VLOOKUP(CurrentMtgRatesDataTable8711121314[[#This Row],[asofdate]],G:H,2,0)&lt;&gt;0,VLOOKUP(CurrentMtgRatesDataTable8711121314[[#This Row],[asofdate]],G:H,2,0),V147)</f>
        <v>4.7615630618715099E-2</v>
      </c>
      <c r="W148" s="37">
        <f>CurrentMtgRatesDataTable8711121314[[#This Row],[FHA]]+0.5*CurrentMtgRatesDataTable8711121314[[#This Row],[Conventional]]</f>
        <v>7.0394975431677748E-2</v>
      </c>
      <c r="X148" s="37">
        <f>2*CurrentMtgRatesDataTable8711121314[[#This Row],[FHA]]</f>
        <v>0.1229724734307184</v>
      </c>
      <c r="Y148" s="19">
        <f>VLOOKUP(YEAR(CurrentMtgRatesDataTable8711121314[[#This Row],[asofdate]]),OriginationVolume!$A:$N,8,FALSE)</f>
        <v>0.54906832298136643</v>
      </c>
      <c r="Z148" s="19">
        <f>VLOOKUP(YEAR(CurrentMtgRatesDataTable8711121314[[#This Row],[asofdate]]),OriginationVolume!$A:$N,9,FALSE)</f>
        <v>6.0869565217391307E-2</v>
      </c>
      <c r="AA148" s="19">
        <f>VLOOKUP(YEAR(CurrentMtgRatesDataTable8711121314[[#This Row],[asofdate]]),OriginationVolume!$A:$N,10,FALSE)</f>
        <v>0.18260869565217391</v>
      </c>
      <c r="AB148" s="19">
        <f>VLOOKUP(YEAR(CurrentMtgRatesDataTable8711121314[[#This Row],[asofdate]]),OriginationVolume!$A:$N,11,FALSE)</f>
        <v>0.20248447204968945</v>
      </c>
      <c r="AC148" s="19">
        <f>VLOOKUP(YEAR(CurrentMtgRatesDataTable8711121314[[#This Row],[asofdate]]),OriginationVolume!$A:$N,12,FALSE)</f>
        <v>2.4844720496894411E-3</v>
      </c>
      <c r="AD148" s="19">
        <f>VLOOKUP(YEAR(CurrentMtgRatesDataTable8711121314[[#This Row],[asofdate]]),OriginationVolume!$A:$N,13,FALSE)</f>
        <v>2.4844720496894411E-3</v>
      </c>
      <c r="AE148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2.799745520738519E-2</v>
      </c>
      <c r="AF148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1.9706489336794249E-2</v>
      </c>
      <c r="AG148" s="3" t="s">
        <v>20</v>
      </c>
      <c r="AH148" s="5">
        <v>7189366000</v>
      </c>
      <c r="AI148" s="26"/>
      <c r="AK148" s="3" t="s">
        <v>20</v>
      </c>
      <c r="AL148" s="5">
        <v>3934514000</v>
      </c>
      <c r="AM148" s="26"/>
      <c r="AO148" s="3" t="s">
        <v>20</v>
      </c>
      <c r="AP148" s="5">
        <v>28438741301.779999</v>
      </c>
      <c r="AQ148" s="29"/>
      <c r="AS148" s="3" t="s">
        <v>20</v>
      </c>
      <c r="AT148" s="5">
        <v>17314861301.779999</v>
      </c>
      <c r="AU148" s="29" t="str">
        <f>YEAR(CurrentMtgRatesDataTable871112131417[[#This Row],[asofdate]])&amp;"-"&amp;MONTH(CurrentMtgRatesDataTable871112131417[[#This Row],[asofdate]])</f>
        <v>2015-4</v>
      </c>
      <c r="AV148" s="29">
        <f>CurrentMtgRatesDataTable871112131417[[#This Row],[SeriesNumValue]]</f>
        <v>17314861301.779999</v>
      </c>
      <c r="AW148" s="29">
        <f>VLOOKUP(CurrentMtgRatesDataTable871112131417[[#This Row],[asofdate]],AG:AH,2,0)</f>
        <v>7189366000</v>
      </c>
      <c r="AX148" s="25">
        <f>IF(VLOOKUP(CurrentMtgRatesDataTable871112131417[[#This Row],[asofdate]],AK:AL,2,0)&lt;&gt;0,VLOOKUP(CurrentMtgRatesDataTable871112131417[[#This Row],[asofdate]],AK:AL,2,0),AX147)</f>
        <v>3934514000</v>
      </c>
      <c r="AY148" s="25">
        <f>VLOOKUP(CurrentMtgRatesDataTable871112131417[[#This Row],[asofdate]],AO:AP,2,0)</f>
        <v>28438741301.779999</v>
      </c>
    </row>
    <row r="149" spans="2:51" s="4" customFormat="1">
      <c r="B149" s="3" t="s">
        <v>21</v>
      </c>
      <c r="C149" s="21">
        <v>6.0306400919081203E-2</v>
      </c>
      <c r="D149" s="26">
        <f>((CurrentMtgRatesDataTable8711[[#This Row],[SeriesNumValue]]-$C$1)/$C$1+1)*100</f>
        <v>402.04267279387471</v>
      </c>
      <c r="E149" s="26"/>
      <c r="G149" s="3" t="s">
        <v>27</v>
      </c>
      <c r="H149" s="21">
        <v>7.2909944145716804E-2</v>
      </c>
      <c r="I149" s="21" t="str">
        <f>YEAR(CurrentMtgRatesDataTable871112[[#This Row],[asofdate]])&amp;"-"&amp;MONTH(CurrentMtgRatesDataTable871112[[#This Row],[asofdate]])</f>
        <v>2003-8</v>
      </c>
      <c r="J149" s="40">
        <f>VLOOKUP(CurrentMtgRatesDataTable871112[[#This Row],[asofdate]],Q:AE,15,0)*100</f>
        <v>4.1056198408077362</v>
      </c>
      <c r="K149" s="40">
        <f>VLOOKUP(CurrentMtgRatesDataTable871112[[#This Row],[asofdate]],Q:AE,4,0)*100</f>
        <v>2.1746038746394101</v>
      </c>
      <c r="L149" s="40">
        <f>VLOOKUP(CurrentMtgRatesDataTable871112[[#This Row],[asofdate]],Q:AE,5,0)*100</f>
        <v>9.2379201142605005</v>
      </c>
      <c r="M149" s="40">
        <f>VLOOKUP(CurrentMtgRatesDataTable871112[[#This Row],[asofdate]],Q:AE,6,0)*100</f>
        <v>7.2909944145716805</v>
      </c>
      <c r="N149" s="40">
        <f>VLOOKUP(CurrentMtgRatesDataTable871112[[#This Row],[asofdate]],Q:AF,16,0)*100</f>
        <v>7.6733462810922912</v>
      </c>
      <c r="Q149" s="3" t="s">
        <v>21</v>
      </c>
      <c r="R149" s="21">
        <v>1.75796444520223E-2</v>
      </c>
      <c r="S149" s="29" t="str">
        <f>YEAR(CurrentMtgRatesDataTable8711121314[[#This Row],[asofdate]])&amp;"-"&amp;MONTH(CurrentMtgRatesDataTable8711121314[[#This Row],[asofdate]])</f>
        <v>2015-5</v>
      </c>
      <c r="T149" s="37">
        <f>CurrentMtgRatesDataTable8711121314[[#This Row],[SeriesNumValue]]</f>
        <v>1.75796444520223E-2</v>
      </c>
      <c r="U149" s="37">
        <f>VLOOKUP(CurrentMtgRatesDataTable8711121314[[#This Row],[asofdate]],B:D,2,0)</f>
        <v>6.0306400919081203E-2</v>
      </c>
      <c r="V149" s="37">
        <f>IF(VLOOKUP(CurrentMtgRatesDataTable8711121314[[#This Row],[asofdate]],G:H,2,0)&lt;&gt;0,VLOOKUP(CurrentMtgRatesDataTable8711121314[[#This Row],[asofdate]],G:H,2,0),V148)</f>
        <v>4.77608855292758E-2</v>
      </c>
      <c r="W149" s="37">
        <f>CurrentMtgRatesDataTable8711121314[[#This Row],[FHA]]+0.5*CurrentMtgRatesDataTable8711121314[[#This Row],[Conventional]]</f>
        <v>6.9096223145092353E-2</v>
      </c>
      <c r="X149" s="37">
        <f>2*CurrentMtgRatesDataTable8711121314[[#This Row],[FHA]]</f>
        <v>0.12061280183816241</v>
      </c>
      <c r="Y149" s="19">
        <f>VLOOKUP(YEAR(CurrentMtgRatesDataTable8711121314[[#This Row],[asofdate]]),OriginationVolume!$A:$N,8,FALSE)</f>
        <v>0.54906832298136643</v>
      </c>
      <c r="Z149" s="19">
        <f>VLOOKUP(YEAR(CurrentMtgRatesDataTable8711121314[[#This Row],[asofdate]]),OriginationVolume!$A:$N,9,FALSE)</f>
        <v>6.0869565217391307E-2</v>
      </c>
      <c r="AA149" s="19">
        <f>VLOOKUP(YEAR(CurrentMtgRatesDataTable8711121314[[#This Row],[asofdate]]),OriginationVolume!$A:$N,10,FALSE)</f>
        <v>0.18260869565217391</v>
      </c>
      <c r="AB149" s="19">
        <f>VLOOKUP(YEAR(CurrentMtgRatesDataTable8711121314[[#This Row],[asofdate]]),OriginationVolume!$A:$N,11,FALSE)</f>
        <v>0.20248447204968945</v>
      </c>
      <c r="AC149" s="19">
        <f>VLOOKUP(YEAR(CurrentMtgRatesDataTable8711121314[[#This Row],[asofdate]]),OriginationVolume!$A:$N,12,FALSE)</f>
        <v>2.4844720496894411E-3</v>
      </c>
      <c r="AD149" s="19">
        <f>VLOOKUP(YEAR(CurrentMtgRatesDataTable8711121314[[#This Row],[asofdate]]),OriginationVolume!$A:$N,13,FALSE)</f>
        <v>2.4844720496894411E-3</v>
      </c>
      <c r="AE149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2.7603015241589379E-2</v>
      </c>
      <c r="AF149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1.9430539494887093E-2</v>
      </c>
      <c r="AG149" s="3" t="s">
        <v>21</v>
      </c>
      <c r="AH149" s="5">
        <v>11143471000</v>
      </c>
      <c r="AI149" s="26"/>
      <c r="AK149" s="3" t="s">
        <v>21</v>
      </c>
      <c r="AL149" s="5">
        <v>5496675000</v>
      </c>
      <c r="AM149" s="26"/>
      <c r="AO149" s="3" t="s">
        <v>21</v>
      </c>
      <c r="AP149" s="5">
        <v>41010466755.290001</v>
      </c>
      <c r="AQ149" s="29"/>
      <c r="AS149" s="3" t="s">
        <v>21</v>
      </c>
      <c r="AT149" s="5">
        <v>24370320755.290001</v>
      </c>
      <c r="AU149" s="29" t="str">
        <f>YEAR(CurrentMtgRatesDataTable871112131417[[#This Row],[asofdate]])&amp;"-"&amp;MONTH(CurrentMtgRatesDataTable871112131417[[#This Row],[asofdate]])</f>
        <v>2015-5</v>
      </c>
      <c r="AV149" s="29">
        <f>CurrentMtgRatesDataTable871112131417[[#This Row],[SeriesNumValue]]</f>
        <v>24370320755.290001</v>
      </c>
      <c r="AW149" s="29">
        <f>VLOOKUP(CurrentMtgRatesDataTable871112131417[[#This Row],[asofdate]],AG:AH,2,0)</f>
        <v>11143471000</v>
      </c>
      <c r="AX149" s="25">
        <f>IF(VLOOKUP(CurrentMtgRatesDataTable871112131417[[#This Row],[asofdate]],AK:AL,2,0)&lt;&gt;0,VLOOKUP(CurrentMtgRatesDataTable871112131417[[#This Row],[asofdate]],AK:AL,2,0),AX148)</f>
        <v>5496675000</v>
      </c>
      <c r="AY149" s="25">
        <f>VLOOKUP(CurrentMtgRatesDataTable871112131417[[#This Row],[asofdate]],AO:AP,2,0)</f>
        <v>41010466755.290001</v>
      </c>
    </row>
    <row r="150" spans="2:51" s="4" customFormat="1">
      <c r="B150" s="3" t="s">
        <v>22</v>
      </c>
      <c r="C150" s="21">
        <v>6.1448839793864403E-2</v>
      </c>
      <c r="D150" s="26">
        <f>((CurrentMtgRatesDataTable8711[[#This Row],[SeriesNumValue]]-$C$1)/$C$1+1)*100</f>
        <v>409.65893195909598</v>
      </c>
      <c r="E150" s="26"/>
      <c r="G150" s="3" t="s">
        <v>26</v>
      </c>
      <c r="H150" s="21">
        <v>7.5057002809456902E-2</v>
      </c>
      <c r="I150" s="21" t="str">
        <f>YEAR(CurrentMtgRatesDataTable871112[[#This Row],[asofdate]])&amp;"-"&amp;MONTH(CurrentMtgRatesDataTable871112[[#This Row],[asofdate]])</f>
        <v>2003-7</v>
      </c>
      <c r="J150" s="40">
        <f>VLOOKUP(CurrentMtgRatesDataTable871112[[#This Row],[asofdate]],Q:AE,15,0)*100</f>
        <v>4.1524729470152959</v>
      </c>
      <c r="K150" s="40">
        <f>VLOOKUP(CurrentMtgRatesDataTable871112[[#This Row],[asofdate]],Q:AE,4,0)*100</f>
        <v>2.2420538858130401</v>
      </c>
      <c r="L150" s="40">
        <f>VLOOKUP(CurrentMtgRatesDataTable871112[[#This Row],[asofdate]],Q:AE,5,0)*100</f>
        <v>9.1805440656946597</v>
      </c>
      <c r="M150" s="40">
        <f>VLOOKUP(CurrentMtgRatesDataTable871112[[#This Row],[asofdate]],Q:AE,6,0)*100</f>
        <v>7.5057002809456899</v>
      </c>
      <c r="N150" s="40">
        <f>VLOOKUP(CurrentMtgRatesDataTable871112[[#This Row],[asofdate]],Q:AF,16,0)*100</f>
        <v>7.6793357724787219</v>
      </c>
      <c r="Q150" s="3" t="s">
        <v>22</v>
      </c>
      <c r="R150" s="21">
        <v>1.8308992119838299E-2</v>
      </c>
      <c r="S150" s="29" t="str">
        <f>YEAR(CurrentMtgRatesDataTable8711121314[[#This Row],[asofdate]])&amp;"-"&amp;MONTH(CurrentMtgRatesDataTable8711121314[[#This Row],[asofdate]])</f>
        <v>2015-6</v>
      </c>
      <c r="T150" s="37">
        <f>CurrentMtgRatesDataTable8711121314[[#This Row],[SeriesNumValue]]</f>
        <v>1.8308992119838299E-2</v>
      </c>
      <c r="U150" s="37">
        <f>VLOOKUP(CurrentMtgRatesDataTable8711121314[[#This Row],[asofdate]],B:D,2,0)</f>
        <v>6.1448839793864403E-2</v>
      </c>
      <c r="V150" s="37">
        <f>IF(VLOOKUP(CurrentMtgRatesDataTable8711121314[[#This Row],[asofdate]],G:H,2,0)&lt;&gt;0,VLOOKUP(CurrentMtgRatesDataTable8711121314[[#This Row],[asofdate]],G:H,2,0),V149)</f>
        <v>4.8892254020369799E-2</v>
      </c>
      <c r="W150" s="37">
        <f>CurrentMtgRatesDataTable8711121314[[#This Row],[FHA]]+0.5*CurrentMtgRatesDataTable8711121314[[#This Row],[Conventional]]</f>
        <v>7.0603335853783547E-2</v>
      </c>
      <c r="X150" s="37">
        <f>2*CurrentMtgRatesDataTable8711121314[[#This Row],[FHA]]</f>
        <v>0.12289767958772881</v>
      </c>
      <c r="Y150" s="19">
        <f>VLOOKUP(YEAR(CurrentMtgRatesDataTable8711121314[[#This Row],[asofdate]]),OriginationVolume!$A:$N,8,FALSE)</f>
        <v>0.54906832298136643</v>
      </c>
      <c r="Z150" s="19">
        <f>VLOOKUP(YEAR(CurrentMtgRatesDataTable8711121314[[#This Row],[asofdate]]),OriginationVolume!$A:$N,9,FALSE)</f>
        <v>6.0869565217391307E-2</v>
      </c>
      <c r="AA150" s="19">
        <f>VLOOKUP(YEAR(CurrentMtgRatesDataTable8711121314[[#This Row],[asofdate]]),OriginationVolume!$A:$N,10,FALSE)</f>
        <v>0.18260869565217391</v>
      </c>
      <c r="AB150" s="19">
        <f>VLOOKUP(YEAR(CurrentMtgRatesDataTable8711121314[[#This Row],[asofdate]]),OriginationVolume!$A:$N,11,FALSE)</f>
        <v>0.20248447204968945</v>
      </c>
      <c r="AC150" s="19">
        <f>VLOOKUP(YEAR(CurrentMtgRatesDataTable8711121314[[#This Row],[asofdate]]),OriginationVolume!$A:$N,12,FALSE)</f>
        <v>2.4844720496894411E-3</v>
      </c>
      <c r="AD150" s="19">
        <f>VLOOKUP(YEAR(CurrentMtgRatesDataTable8711121314[[#This Row],[asofdate]]),OriginationVolume!$A:$N,13,FALSE)</f>
        <v>2.4844720496894411E-3</v>
      </c>
      <c r="AE150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2.8438064795132157E-2</v>
      </c>
      <c r="AF150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2.0187830816866273E-2</v>
      </c>
      <c r="AG150" s="3" t="s">
        <v>22</v>
      </c>
      <c r="AH150" s="5">
        <v>12438370000</v>
      </c>
      <c r="AI150" s="26"/>
      <c r="AK150" s="3" t="s">
        <v>22</v>
      </c>
      <c r="AL150" s="5">
        <v>5696623000</v>
      </c>
      <c r="AM150" s="26"/>
      <c r="AO150" s="3" t="s">
        <v>22</v>
      </c>
      <c r="AP150" s="5">
        <v>43960342880.019997</v>
      </c>
      <c r="AQ150" s="29"/>
      <c r="AS150" s="3" t="s">
        <v>22</v>
      </c>
      <c r="AT150" s="5">
        <v>25825349880.02</v>
      </c>
      <c r="AU150" s="29" t="str">
        <f>YEAR(CurrentMtgRatesDataTable871112131417[[#This Row],[asofdate]])&amp;"-"&amp;MONTH(CurrentMtgRatesDataTable871112131417[[#This Row],[asofdate]])</f>
        <v>2015-6</v>
      </c>
      <c r="AV150" s="29">
        <f>CurrentMtgRatesDataTable871112131417[[#This Row],[SeriesNumValue]]</f>
        <v>25825349880.02</v>
      </c>
      <c r="AW150" s="29">
        <f>VLOOKUP(CurrentMtgRatesDataTable871112131417[[#This Row],[asofdate]],AG:AH,2,0)</f>
        <v>12438370000</v>
      </c>
      <c r="AX150" s="25">
        <f>IF(VLOOKUP(CurrentMtgRatesDataTable871112131417[[#This Row],[asofdate]],AK:AL,2,0)&lt;&gt;0,VLOOKUP(CurrentMtgRatesDataTable871112131417[[#This Row],[asofdate]],AK:AL,2,0),AX149)</f>
        <v>5696623000</v>
      </c>
      <c r="AY150" s="25">
        <f>VLOOKUP(CurrentMtgRatesDataTable871112131417[[#This Row],[asofdate]],AO:AP,2,0)</f>
        <v>43960342880.019997</v>
      </c>
    </row>
    <row r="151" spans="2:51" s="4" customFormat="1">
      <c r="B151" s="23" t="s">
        <v>154</v>
      </c>
      <c r="C151" s="42">
        <v>5.5814197233407602E-2</v>
      </c>
      <c r="D151" s="43">
        <f>((CurrentMtgRatesDataTable8711[[#This Row],[SeriesNumValue]]-$C$1)/$C$1+1)*100</f>
        <v>372.09464822271735</v>
      </c>
      <c r="E151" s="27"/>
      <c r="G151" s="23" t="s">
        <v>25</v>
      </c>
      <c r="H151" s="42">
        <v>7.30825171843862E-2</v>
      </c>
      <c r="I151" s="44" t="str">
        <f>YEAR(CurrentMtgRatesDataTable871112[[#This Row],[asofdate]])&amp;"-"&amp;MONTH(CurrentMtgRatesDataTable871112[[#This Row],[asofdate]])</f>
        <v>2003-6</v>
      </c>
      <c r="J151" s="40">
        <f>VLOOKUP(CurrentMtgRatesDataTable871112[[#This Row],[asofdate]],Q:AE,15,0)*100</f>
        <v>3.860091605977324</v>
      </c>
      <c r="K151" s="40">
        <f>VLOOKUP(CurrentMtgRatesDataTable871112[[#This Row],[asofdate]],Q:AE,4,0)*100</f>
        <v>2.0777950043804698</v>
      </c>
      <c r="L151" s="40">
        <f>VLOOKUP(CurrentMtgRatesDataTable871112[[#This Row],[asofdate]],Q:AE,5,0)*100</f>
        <v>8.5363662487838798</v>
      </c>
      <c r="M151" s="40">
        <f>VLOOKUP(CurrentMtgRatesDataTable871112[[#This Row],[asofdate]],Q:AE,6,0)*100</f>
        <v>7.30825171843862</v>
      </c>
      <c r="N151" s="40">
        <f>VLOOKUP(CurrentMtgRatesDataTable871112[[#This Row],[asofdate]],Q:AF,16,0)*100</f>
        <v>7.1358959291158959</v>
      </c>
      <c r="Q151" s="23" t="s">
        <v>154</v>
      </c>
      <c r="R151" s="42">
        <v>1.67906224223657E-2</v>
      </c>
      <c r="S151" s="6" t="str">
        <f>YEAR(CurrentMtgRatesDataTable8711121314[[#This Row],[asofdate]])&amp;"-"&amp;MONTH(CurrentMtgRatesDataTable8711121314[[#This Row],[asofdate]])</f>
        <v>2015-7</v>
      </c>
      <c r="T151" s="19">
        <f>CurrentMtgRatesDataTable8711121314[[#This Row],[SeriesNumValue]]</f>
        <v>1.67906224223657E-2</v>
      </c>
      <c r="U151" s="19">
        <f>VLOOKUP(CurrentMtgRatesDataTable8711121314[[#This Row],[asofdate]],B:D,2,0)</f>
        <v>5.5814197233407602E-2</v>
      </c>
      <c r="V151" s="19">
        <f>IF(VLOOKUP(CurrentMtgRatesDataTable8711121314[[#This Row],[asofdate]],G:H,2,0)&lt;&gt;0,VLOOKUP(CurrentMtgRatesDataTable8711121314[[#This Row],[asofdate]],G:H,2,0),V150)</f>
        <v>4.4194488795020699E-2</v>
      </c>
      <c r="W151" s="19">
        <f>CurrentMtgRatesDataTable8711121314[[#This Row],[FHA]]+0.5*CurrentMtgRatesDataTable8711121314[[#This Row],[Conventional]]</f>
        <v>6.4209508444590446E-2</v>
      </c>
      <c r="X151" s="19">
        <f>2*CurrentMtgRatesDataTable8711121314[[#This Row],[FHA]]</f>
        <v>0.1116283944668152</v>
      </c>
      <c r="Y151" s="19">
        <f>VLOOKUP(YEAR(CurrentMtgRatesDataTable8711121314[[#This Row],[asofdate]]),OriginationVolume!$A:$N,8,FALSE)</f>
        <v>0.54906832298136643</v>
      </c>
      <c r="Z151" s="19">
        <f>VLOOKUP(YEAR(CurrentMtgRatesDataTable8711121314[[#This Row],[asofdate]]),OriginationVolume!$A:$N,9,FALSE)</f>
        <v>6.0869565217391307E-2</v>
      </c>
      <c r="AA151" s="19">
        <f>VLOOKUP(YEAR(CurrentMtgRatesDataTable8711121314[[#This Row],[asofdate]]),OriginationVolume!$A:$N,10,FALSE)</f>
        <v>0.18260869565217391</v>
      </c>
      <c r="AB151" s="19">
        <f>VLOOKUP(YEAR(CurrentMtgRatesDataTable8711121314[[#This Row],[asofdate]]),OriginationVolume!$A:$N,11,FALSE)</f>
        <v>0.20248447204968945</v>
      </c>
      <c r="AC151" s="19">
        <f>VLOOKUP(YEAR(CurrentMtgRatesDataTable8711121314[[#This Row],[asofdate]]),OriginationVolume!$A:$N,12,FALSE)</f>
        <v>2.4844720496894411E-3</v>
      </c>
      <c r="AD151" s="19">
        <f>VLOOKUP(YEAR(CurrentMtgRatesDataTable8711121314[[#This Row],[asofdate]]),OriginationVolume!$A:$N,13,FALSE)</f>
        <v>2.4844720496894411E-3</v>
      </c>
      <c r="AE151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2.5938160640522973E-2</v>
      </c>
      <c r="AF151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1.8494294974062398E-2</v>
      </c>
      <c r="AG151" s="23" t="s">
        <v>154</v>
      </c>
      <c r="AH151" s="24">
        <v>12190922000</v>
      </c>
      <c r="AI151" s="27"/>
      <c r="AK151" s="23" t="s">
        <v>154</v>
      </c>
      <c r="AL151" s="24">
        <v>6074207000</v>
      </c>
      <c r="AM151" s="27"/>
      <c r="AO151" s="23" t="s">
        <v>154</v>
      </c>
      <c r="AP151" s="24">
        <v>46474622381.669998</v>
      </c>
      <c r="AQ151" s="29"/>
      <c r="AS151" s="23" t="s">
        <v>154</v>
      </c>
      <c r="AT151" s="24">
        <v>28209493381.669998</v>
      </c>
      <c r="AU151" s="29" t="str">
        <f>YEAR(CurrentMtgRatesDataTable871112131417[[#This Row],[asofdate]])&amp;"-"&amp;MONTH(CurrentMtgRatesDataTable871112131417[[#This Row],[asofdate]])</f>
        <v>2015-7</v>
      </c>
      <c r="AV151" s="29">
        <f>CurrentMtgRatesDataTable871112131417[[#This Row],[SeriesNumValue]]</f>
        <v>28209493381.669998</v>
      </c>
      <c r="AW151" s="29">
        <f>VLOOKUP(CurrentMtgRatesDataTable871112131417[[#This Row],[asofdate]],AG:AH,2,0)</f>
        <v>12190922000</v>
      </c>
      <c r="AX151" s="25">
        <f>IF(VLOOKUP(CurrentMtgRatesDataTable871112131417[[#This Row],[asofdate]],AK:AL,2,0)&lt;&gt;0,VLOOKUP(CurrentMtgRatesDataTable871112131417[[#This Row],[asofdate]],AK:AL,2,0),AX150)</f>
        <v>6074207000</v>
      </c>
      <c r="AY151" s="25">
        <f>VLOOKUP(CurrentMtgRatesDataTable871112131417[[#This Row],[asofdate]],AO:AP,2,0)</f>
        <v>46474622381.669998</v>
      </c>
    </row>
    <row r="152" spans="2:51">
      <c r="B152" s="23" t="s">
        <v>188</v>
      </c>
      <c r="C152" s="42">
        <v>5.4443951953697202E-2</v>
      </c>
      <c r="D152" s="43">
        <f>((CurrentMtgRatesDataTable8711[[#This Row],[SeriesNumValue]]-$C$1)/$C$1+1)*100</f>
        <v>362.9596796913147</v>
      </c>
      <c r="G152" s="23" t="s">
        <v>24</v>
      </c>
      <c r="H152" s="42">
        <v>7.43698517370701E-2</v>
      </c>
      <c r="I152" s="44" t="str">
        <f>YEAR(CurrentMtgRatesDataTable871112[[#This Row],[asofdate]])&amp;"-"&amp;MONTH(CurrentMtgRatesDataTable871112[[#This Row],[asofdate]])</f>
        <v>2003-5</v>
      </c>
      <c r="J152" s="40">
        <f>VLOOKUP(CurrentMtgRatesDataTable871112[[#This Row],[asofdate]],Q:AE,15,0)*100</f>
        <v>4.1273186358991243</v>
      </c>
      <c r="K152" s="40">
        <f>VLOOKUP(CurrentMtgRatesDataTable871112[[#This Row],[asofdate]],Q:AE,4,0)*100</f>
        <v>2.1450741055419598</v>
      </c>
      <c r="L152" s="40">
        <f>VLOOKUP(CurrentMtgRatesDataTable871112[[#This Row],[asofdate]],Q:AE,5,0)*100</f>
        <v>9.428599559137151</v>
      </c>
      <c r="M152" s="40">
        <f>VLOOKUP(CurrentMtgRatesDataTable871112[[#This Row],[asofdate]],Q:AE,6,0)*100</f>
        <v>7.4369851737070096</v>
      </c>
      <c r="N152" s="40">
        <f>VLOOKUP(CurrentMtgRatesDataTable871112[[#This Row],[asofdate]],Q:AF,16,0)*100</f>
        <v>7.7824177103153094</v>
      </c>
      <c r="Q152" s="23" t="s">
        <v>188</v>
      </c>
      <c r="R152" s="42">
        <v>1.64579390935898E-2</v>
      </c>
      <c r="S152" s="6" t="str">
        <f>YEAR(CurrentMtgRatesDataTable8711121314[[#This Row],[asofdate]])&amp;"-"&amp;MONTH(CurrentMtgRatesDataTable8711121314[[#This Row],[asofdate]])</f>
        <v>2015-8</v>
      </c>
      <c r="T152" s="19">
        <f>CurrentMtgRatesDataTable8711121314[[#This Row],[SeriesNumValue]]</f>
        <v>1.64579390935898E-2</v>
      </c>
      <c r="U152" s="19">
        <f>VLOOKUP(CurrentMtgRatesDataTable8711121314[[#This Row],[asofdate]],B:D,2,0)</f>
        <v>5.4443951953697202E-2</v>
      </c>
      <c r="V152" s="19">
        <f>IF(VLOOKUP(CurrentMtgRatesDataTable8711121314[[#This Row],[asofdate]],G:H,2,0)&lt;&gt;0,VLOOKUP(CurrentMtgRatesDataTable8711121314[[#This Row],[asofdate]],G:H,2,0),V151)</f>
        <v>4.2568873743144303E-2</v>
      </c>
      <c r="W152" s="19">
        <f>CurrentMtgRatesDataTable8711121314[[#This Row],[FHA]]+0.5*CurrentMtgRatesDataTable8711121314[[#This Row],[Conventional]]</f>
        <v>6.2672921500492099E-2</v>
      </c>
      <c r="X152" s="19">
        <f>2*CurrentMtgRatesDataTable8711121314[[#This Row],[FHA]]</f>
        <v>0.1088879039073944</v>
      </c>
      <c r="Y152" s="19">
        <f>VLOOKUP(YEAR(CurrentMtgRatesDataTable8711121314[[#This Row],[asofdate]]),OriginationVolume!$A:$N,8,FALSE)</f>
        <v>0.54906832298136643</v>
      </c>
      <c r="Z152" s="19">
        <f>VLOOKUP(YEAR(CurrentMtgRatesDataTable8711121314[[#This Row],[asofdate]]),OriginationVolume!$A:$N,9,FALSE)</f>
        <v>6.0869565217391307E-2</v>
      </c>
      <c r="AA152" s="19">
        <f>VLOOKUP(YEAR(CurrentMtgRatesDataTable8711121314[[#This Row],[asofdate]]),OriginationVolume!$A:$N,10,FALSE)</f>
        <v>0.18260869565217391</v>
      </c>
      <c r="AB152" s="19">
        <f>VLOOKUP(YEAR(CurrentMtgRatesDataTable8711121314[[#This Row],[asofdate]]),OriginationVolume!$A:$N,11,FALSE)</f>
        <v>0.20248447204968945</v>
      </c>
      <c r="AC152" s="19">
        <f>VLOOKUP(YEAR(CurrentMtgRatesDataTable8711121314[[#This Row],[asofdate]]),OriginationVolume!$A:$N,12,FALSE)</f>
        <v>2.4844720496894411E-3</v>
      </c>
      <c r="AD152" s="19">
        <f>VLOOKUP(YEAR(CurrentMtgRatesDataTable8711121314[[#This Row],[asofdate]]),OriginationVolume!$A:$N,13,FALSE)</f>
        <v>2.4844720496894411E-3</v>
      </c>
      <c r="AE152" s="19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2.5328336090739333E-2</v>
      </c>
      <c r="AF152" s="19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1.8118357623179107E-2</v>
      </c>
    </row>
  </sheetData>
  <pageMargins left="0.7" right="0.7" top="0.75" bottom="0.75" header="0.3" footer="0.3"/>
  <pageSetup orientation="portrait" horizontalDpi="300" verticalDpi="30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5"/>
  <sheetViews>
    <sheetView workbookViewId="0">
      <selection activeCell="H33" sqref="H33"/>
    </sheetView>
  </sheetViews>
  <sheetFormatPr defaultRowHeight="15"/>
  <cols>
    <col min="1" max="1" width="9.28515625" bestFit="1" customWidth="1"/>
    <col min="2" max="2" width="12.85546875" bestFit="1" customWidth="1"/>
    <col min="3" max="3" width="9.42578125" bestFit="1" customWidth="1"/>
    <col min="4" max="4" width="8.28515625" bestFit="1" customWidth="1"/>
    <col min="5" max="5" width="7" bestFit="1" customWidth="1"/>
    <col min="6" max="6" width="11" bestFit="1" customWidth="1"/>
    <col min="7" max="7" width="7" bestFit="1" customWidth="1"/>
    <col min="8" max="8" width="16.140625" bestFit="1" customWidth="1"/>
    <col min="9" max="9" width="8.140625" bestFit="1" customWidth="1"/>
    <col min="11" max="11" width="11.42578125" bestFit="1" customWidth="1"/>
    <col min="12" max="12" width="10.140625" bestFit="1" customWidth="1"/>
    <col min="13" max="13" width="14.28515625" bestFit="1" customWidth="1"/>
  </cols>
  <sheetData>
    <row r="1" spans="1:14">
      <c r="H1" s="34">
        <v>1</v>
      </c>
      <c r="I1" s="34">
        <v>0.25</v>
      </c>
      <c r="J1" s="34">
        <v>0.75</v>
      </c>
      <c r="K1" s="34">
        <v>1</v>
      </c>
      <c r="L1" s="34">
        <v>1</v>
      </c>
      <c r="M1" s="34">
        <v>1</v>
      </c>
    </row>
    <row r="2" spans="1:14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</row>
    <row r="3" spans="1:14">
      <c r="A3" s="33" t="s">
        <v>167</v>
      </c>
      <c r="B3" s="30" t="s">
        <v>162</v>
      </c>
      <c r="C3" s="30" t="s">
        <v>161</v>
      </c>
      <c r="D3" s="30" t="s">
        <v>163</v>
      </c>
      <c r="E3" s="30" t="s">
        <v>164</v>
      </c>
      <c r="F3" s="30" t="s">
        <v>165</v>
      </c>
      <c r="G3" s="30" t="s">
        <v>166</v>
      </c>
      <c r="H3" s="30" t="s">
        <v>170</v>
      </c>
      <c r="I3" s="30" t="s">
        <v>168</v>
      </c>
      <c r="J3" s="30" t="s">
        <v>169</v>
      </c>
      <c r="K3" s="30" t="s">
        <v>171</v>
      </c>
      <c r="L3" s="30" t="s">
        <v>172</v>
      </c>
      <c r="M3" s="30" t="s">
        <v>173</v>
      </c>
      <c r="N3" s="30" t="s">
        <v>174</v>
      </c>
    </row>
    <row r="4" spans="1:14">
      <c r="A4">
        <v>1995</v>
      </c>
      <c r="B4" s="31">
        <v>315</v>
      </c>
      <c r="C4" s="31">
        <v>75</v>
      </c>
      <c r="D4" s="31">
        <v>135</v>
      </c>
      <c r="E4" s="31">
        <v>10</v>
      </c>
      <c r="F4" s="31">
        <v>60</v>
      </c>
      <c r="G4" s="32">
        <f>SUM(B4:F4)</f>
        <v>595</v>
      </c>
      <c r="H4" s="35">
        <f t="shared" ref="H4:H24" si="0">B4*H$1/$G4</f>
        <v>0.52941176470588236</v>
      </c>
      <c r="I4" s="35">
        <f t="shared" ref="I4:I24" si="1">C4*I$1/$G4</f>
        <v>3.1512605042016806E-2</v>
      </c>
      <c r="J4" s="35">
        <f t="shared" ref="J4:J24" si="2">C4*J$1/$G4</f>
        <v>9.4537815126050417E-2</v>
      </c>
      <c r="K4" s="35">
        <f t="shared" ref="K4:K24" si="3">D4*K$1/$G4</f>
        <v>0.22689075630252101</v>
      </c>
      <c r="L4" s="35">
        <f t="shared" ref="L4:L24" si="4">E4*L$1/$G4</f>
        <v>1.680672268907563E-2</v>
      </c>
      <c r="M4" s="35">
        <f t="shared" ref="M4:M24" si="5">F4*M$1/$G4</f>
        <v>0.10084033613445378</v>
      </c>
      <c r="N4" s="22">
        <f>SUM(H4:M4)</f>
        <v>1</v>
      </c>
    </row>
    <row r="5" spans="1:14">
      <c r="A5">
        <v>1996</v>
      </c>
      <c r="B5" s="31">
        <v>380</v>
      </c>
      <c r="C5" s="31">
        <v>105</v>
      </c>
      <c r="D5" s="31">
        <v>160</v>
      </c>
      <c r="E5" s="31">
        <v>20</v>
      </c>
      <c r="F5" s="31">
        <v>70</v>
      </c>
      <c r="G5" s="32">
        <f t="shared" ref="G5:G24" si="6">SUM(B5:F5)</f>
        <v>735</v>
      </c>
      <c r="H5" s="35">
        <f t="shared" si="0"/>
        <v>0.51700680272108845</v>
      </c>
      <c r="I5" s="35">
        <f t="shared" si="1"/>
        <v>3.5714285714285712E-2</v>
      </c>
      <c r="J5" s="35">
        <f t="shared" si="2"/>
        <v>0.10714285714285714</v>
      </c>
      <c r="K5" s="35">
        <f t="shared" si="3"/>
        <v>0.21768707482993196</v>
      </c>
      <c r="L5" s="35">
        <f t="shared" si="4"/>
        <v>2.7210884353741496E-2</v>
      </c>
      <c r="M5" s="35">
        <f t="shared" si="5"/>
        <v>9.5238095238095233E-2</v>
      </c>
      <c r="N5" s="22">
        <f t="shared" ref="N5:N24" si="7">SUM(H5:M5)</f>
        <v>1</v>
      </c>
    </row>
    <row r="6" spans="1:14">
      <c r="A6">
        <v>1997</v>
      </c>
      <c r="B6" s="31">
        <v>405</v>
      </c>
      <c r="C6" s="31">
        <v>100</v>
      </c>
      <c r="D6" s="31">
        <v>190</v>
      </c>
      <c r="E6" s="31">
        <v>25</v>
      </c>
      <c r="F6" s="31">
        <v>85</v>
      </c>
      <c r="G6" s="32">
        <f t="shared" si="6"/>
        <v>805</v>
      </c>
      <c r="H6" s="35">
        <f t="shared" si="0"/>
        <v>0.50310559006211175</v>
      </c>
      <c r="I6" s="35">
        <f t="shared" si="1"/>
        <v>3.1055900621118012E-2</v>
      </c>
      <c r="J6" s="35">
        <f t="shared" si="2"/>
        <v>9.3167701863354033E-2</v>
      </c>
      <c r="K6" s="35">
        <f t="shared" si="3"/>
        <v>0.2360248447204969</v>
      </c>
      <c r="L6" s="35">
        <f t="shared" si="4"/>
        <v>3.1055900621118012E-2</v>
      </c>
      <c r="M6" s="35">
        <f t="shared" si="5"/>
        <v>0.10559006211180125</v>
      </c>
      <c r="N6" s="22">
        <f t="shared" si="7"/>
        <v>0.99999999999999978</v>
      </c>
    </row>
    <row r="7" spans="1:14">
      <c r="A7">
        <v>1998</v>
      </c>
      <c r="B7" s="31">
        <v>705</v>
      </c>
      <c r="C7" s="31">
        <v>145</v>
      </c>
      <c r="D7" s="31">
        <v>355</v>
      </c>
      <c r="E7" s="31">
        <v>35</v>
      </c>
      <c r="F7" s="31">
        <v>135</v>
      </c>
      <c r="G7" s="32">
        <f t="shared" si="6"/>
        <v>1375</v>
      </c>
      <c r="H7" s="35">
        <f t="shared" si="0"/>
        <v>0.5127272727272727</v>
      </c>
      <c r="I7" s="35">
        <f t="shared" si="1"/>
        <v>2.6363636363636363E-2</v>
      </c>
      <c r="J7" s="35">
        <f t="shared" si="2"/>
        <v>7.9090909090909087E-2</v>
      </c>
      <c r="K7" s="35">
        <f t="shared" si="3"/>
        <v>0.25818181818181818</v>
      </c>
      <c r="L7" s="35">
        <f t="shared" si="4"/>
        <v>2.5454545454545455E-2</v>
      </c>
      <c r="M7" s="35">
        <f t="shared" si="5"/>
        <v>9.8181818181818176E-2</v>
      </c>
      <c r="N7" s="22">
        <f t="shared" si="7"/>
        <v>1</v>
      </c>
    </row>
    <row r="8" spans="1:14">
      <c r="A8">
        <v>1999</v>
      </c>
      <c r="B8" s="31">
        <v>595</v>
      </c>
      <c r="C8" s="31">
        <v>172</v>
      </c>
      <c r="D8" s="31">
        <v>315</v>
      </c>
      <c r="E8" s="31">
        <v>40</v>
      </c>
      <c r="F8" s="31">
        <v>130</v>
      </c>
      <c r="G8" s="32">
        <f t="shared" si="6"/>
        <v>1252</v>
      </c>
      <c r="H8" s="35">
        <f t="shared" si="0"/>
        <v>0.47523961661341851</v>
      </c>
      <c r="I8" s="35">
        <f t="shared" si="1"/>
        <v>3.4345047923322686E-2</v>
      </c>
      <c r="J8" s="35">
        <f t="shared" si="2"/>
        <v>0.10303514376996806</v>
      </c>
      <c r="K8" s="35">
        <f t="shared" si="3"/>
        <v>0.25159744408945689</v>
      </c>
      <c r="L8" s="35">
        <f t="shared" si="4"/>
        <v>3.1948881789137379E-2</v>
      </c>
      <c r="M8" s="35">
        <f t="shared" si="5"/>
        <v>0.10383386581469649</v>
      </c>
      <c r="N8" s="22">
        <f t="shared" si="7"/>
        <v>1</v>
      </c>
    </row>
    <row r="9" spans="1:14">
      <c r="A9">
        <v>2000</v>
      </c>
      <c r="B9" s="31">
        <v>495</v>
      </c>
      <c r="C9" s="31">
        <v>115</v>
      </c>
      <c r="D9" s="31">
        <v>260</v>
      </c>
      <c r="E9" s="31">
        <v>25</v>
      </c>
      <c r="F9" s="31">
        <v>100</v>
      </c>
      <c r="G9" s="32">
        <f t="shared" si="6"/>
        <v>995</v>
      </c>
      <c r="H9" s="35">
        <f t="shared" si="0"/>
        <v>0.49748743718592964</v>
      </c>
      <c r="I9" s="35">
        <f t="shared" si="1"/>
        <v>2.8894472361809045E-2</v>
      </c>
      <c r="J9" s="35">
        <f t="shared" si="2"/>
        <v>8.6683417085427136E-2</v>
      </c>
      <c r="K9" s="35">
        <f t="shared" si="3"/>
        <v>0.2613065326633166</v>
      </c>
      <c r="L9" s="35">
        <f t="shared" si="4"/>
        <v>2.5125628140703519E-2</v>
      </c>
      <c r="M9" s="35">
        <f t="shared" si="5"/>
        <v>0.10050251256281408</v>
      </c>
      <c r="N9" s="22">
        <f t="shared" si="7"/>
        <v>1</v>
      </c>
    </row>
    <row r="10" spans="1:14">
      <c r="A10">
        <v>2001</v>
      </c>
      <c r="B10" s="31">
        <v>1265</v>
      </c>
      <c r="C10" s="31">
        <v>175</v>
      </c>
      <c r="D10" s="31">
        <v>460</v>
      </c>
      <c r="E10" s="31">
        <v>40</v>
      </c>
      <c r="F10" s="31">
        <v>160</v>
      </c>
      <c r="G10" s="32">
        <f t="shared" si="6"/>
        <v>2100</v>
      </c>
      <c r="H10" s="35">
        <f t="shared" si="0"/>
        <v>0.60238095238095235</v>
      </c>
      <c r="I10" s="35">
        <f t="shared" si="1"/>
        <v>2.0833333333333332E-2</v>
      </c>
      <c r="J10" s="35">
        <f t="shared" si="2"/>
        <v>6.25E-2</v>
      </c>
      <c r="K10" s="35">
        <f t="shared" si="3"/>
        <v>0.21904761904761905</v>
      </c>
      <c r="L10" s="35">
        <f t="shared" si="4"/>
        <v>1.9047619047619049E-2</v>
      </c>
      <c r="M10" s="35">
        <f t="shared" si="5"/>
        <v>7.6190476190476197E-2</v>
      </c>
      <c r="N10" s="22">
        <f t="shared" si="7"/>
        <v>1</v>
      </c>
    </row>
    <row r="11" spans="1:14">
      <c r="A11">
        <v>2002</v>
      </c>
      <c r="B11" s="31">
        <v>1706</v>
      </c>
      <c r="C11" s="31">
        <v>176</v>
      </c>
      <c r="D11" s="31">
        <v>571</v>
      </c>
      <c r="E11" s="31">
        <v>67</v>
      </c>
      <c r="F11" s="31">
        <v>200</v>
      </c>
      <c r="G11" s="32">
        <f t="shared" si="6"/>
        <v>2720</v>
      </c>
      <c r="H11" s="35">
        <f t="shared" si="0"/>
        <v>0.62720588235294117</v>
      </c>
      <c r="I11" s="35">
        <f t="shared" si="1"/>
        <v>1.6176470588235296E-2</v>
      </c>
      <c r="J11" s="35">
        <f t="shared" si="2"/>
        <v>4.8529411764705883E-2</v>
      </c>
      <c r="K11" s="35">
        <f t="shared" si="3"/>
        <v>0.2099264705882353</v>
      </c>
      <c r="L11" s="35">
        <f t="shared" si="4"/>
        <v>2.463235294117647E-2</v>
      </c>
      <c r="M11" s="35">
        <f t="shared" si="5"/>
        <v>7.3529411764705885E-2</v>
      </c>
      <c r="N11" s="22">
        <f t="shared" si="7"/>
        <v>1.0000000000000002</v>
      </c>
    </row>
    <row r="12" spans="1:14">
      <c r="A12">
        <v>2003</v>
      </c>
      <c r="B12" s="31">
        <v>2460</v>
      </c>
      <c r="C12" s="31">
        <v>220</v>
      </c>
      <c r="D12" s="31">
        <v>650</v>
      </c>
      <c r="E12" s="31">
        <v>85</v>
      </c>
      <c r="F12" s="31">
        <v>310</v>
      </c>
      <c r="G12" s="32">
        <f t="shared" si="6"/>
        <v>3725</v>
      </c>
      <c r="H12" s="35">
        <f t="shared" si="0"/>
        <v>0.66040268456375839</v>
      </c>
      <c r="I12" s="35">
        <f t="shared" si="1"/>
        <v>1.4765100671140939E-2</v>
      </c>
      <c r="J12" s="35">
        <f t="shared" si="2"/>
        <v>4.429530201342282E-2</v>
      </c>
      <c r="K12" s="35">
        <f t="shared" si="3"/>
        <v>0.17449664429530201</v>
      </c>
      <c r="L12" s="35">
        <f t="shared" si="4"/>
        <v>2.2818791946308724E-2</v>
      </c>
      <c r="M12" s="35">
        <f t="shared" si="5"/>
        <v>8.3221476510067116E-2</v>
      </c>
      <c r="N12" s="22">
        <f t="shared" si="7"/>
        <v>1</v>
      </c>
    </row>
    <row r="13" spans="1:14">
      <c r="A13">
        <v>2004</v>
      </c>
      <c r="B13" s="31">
        <v>1210</v>
      </c>
      <c r="C13" s="31">
        <v>135</v>
      </c>
      <c r="D13" s="31">
        <v>515</v>
      </c>
      <c r="E13" s="31">
        <v>190</v>
      </c>
      <c r="F13" s="31">
        <v>540</v>
      </c>
      <c r="G13" s="32">
        <f t="shared" si="6"/>
        <v>2590</v>
      </c>
      <c r="H13" s="35">
        <f t="shared" si="0"/>
        <v>0.46718146718146719</v>
      </c>
      <c r="I13" s="35">
        <f t="shared" si="1"/>
        <v>1.3030888030888031E-2</v>
      </c>
      <c r="J13" s="35">
        <f t="shared" si="2"/>
        <v>3.9092664092664091E-2</v>
      </c>
      <c r="K13" s="35">
        <f t="shared" si="3"/>
        <v>0.19884169884169883</v>
      </c>
      <c r="L13" s="35">
        <f t="shared" si="4"/>
        <v>7.3359073359073365E-2</v>
      </c>
      <c r="M13" s="35">
        <f t="shared" si="5"/>
        <v>0.20849420849420849</v>
      </c>
      <c r="N13" s="22">
        <f t="shared" si="7"/>
        <v>0.99999999999999989</v>
      </c>
    </row>
    <row r="14" spans="1:14">
      <c r="A14">
        <v>2005</v>
      </c>
      <c r="B14" s="31">
        <v>1090</v>
      </c>
      <c r="C14" s="31">
        <v>90</v>
      </c>
      <c r="D14" s="31">
        <v>570</v>
      </c>
      <c r="E14" s="31">
        <v>380</v>
      </c>
      <c r="F14" s="31">
        <v>625</v>
      </c>
      <c r="G14" s="32">
        <f t="shared" si="6"/>
        <v>2755</v>
      </c>
      <c r="H14" s="35">
        <f t="shared" si="0"/>
        <v>0.39564428312159711</v>
      </c>
      <c r="I14" s="35">
        <f t="shared" si="1"/>
        <v>8.1669691470054439E-3</v>
      </c>
      <c r="J14" s="35">
        <f t="shared" si="2"/>
        <v>2.4500907441016333E-2</v>
      </c>
      <c r="K14" s="35">
        <f t="shared" si="3"/>
        <v>0.20689655172413793</v>
      </c>
      <c r="L14" s="35">
        <f t="shared" si="4"/>
        <v>0.13793103448275862</v>
      </c>
      <c r="M14" s="35">
        <f t="shared" si="5"/>
        <v>0.22686025408348456</v>
      </c>
      <c r="N14" s="22">
        <f t="shared" si="7"/>
        <v>1</v>
      </c>
    </row>
    <row r="15" spans="1:14">
      <c r="A15">
        <v>2006</v>
      </c>
      <c r="B15" s="31">
        <v>990</v>
      </c>
      <c r="C15" s="31">
        <v>80</v>
      </c>
      <c r="D15" s="31">
        <v>480</v>
      </c>
      <c r="E15" s="31">
        <v>400</v>
      </c>
      <c r="F15" s="31">
        <v>600</v>
      </c>
      <c r="G15" s="32">
        <f t="shared" si="6"/>
        <v>2550</v>
      </c>
      <c r="H15" s="35">
        <f t="shared" si="0"/>
        <v>0.38823529411764707</v>
      </c>
      <c r="I15" s="35">
        <f t="shared" si="1"/>
        <v>7.8431372549019607E-3</v>
      </c>
      <c r="J15" s="35">
        <f t="shared" si="2"/>
        <v>2.3529411764705882E-2</v>
      </c>
      <c r="K15" s="35">
        <f t="shared" si="3"/>
        <v>0.18823529411764706</v>
      </c>
      <c r="L15" s="35">
        <f t="shared" si="4"/>
        <v>0.15686274509803921</v>
      </c>
      <c r="M15" s="35">
        <f t="shared" si="5"/>
        <v>0.23529411764705882</v>
      </c>
      <c r="N15" s="22">
        <f t="shared" si="7"/>
        <v>1</v>
      </c>
    </row>
    <row r="16" spans="1:14">
      <c r="A16">
        <v>2007</v>
      </c>
      <c r="B16" s="31">
        <v>1151</v>
      </c>
      <c r="C16" s="31">
        <v>116</v>
      </c>
      <c r="D16" s="31">
        <v>348</v>
      </c>
      <c r="E16" s="31">
        <v>275</v>
      </c>
      <c r="F16" s="31">
        <v>191</v>
      </c>
      <c r="G16" s="32">
        <f t="shared" si="6"/>
        <v>2081</v>
      </c>
      <c r="H16" s="35">
        <f t="shared" si="0"/>
        <v>0.55309947140797688</v>
      </c>
      <c r="I16" s="35">
        <f t="shared" si="1"/>
        <v>1.3935607880826525E-2</v>
      </c>
      <c r="J16" s="35">
        <f t="shared" si="2"/>
        <v>4.1806823642479576E-2</v>
      </c>
      <c r="K16" s="35">
        <f t="shared" si="3"/>
        <v>0.16722729456991831</v>
      </c>
      <c r="L16" s="35">
        <f t="shared" si="4"/>
        <v>0.13214800576645844</v>
      </c>
      <c r="M16" s="35">
        <f t="shared" si="5"/>
        <v>9.1782796732340216E-2</v>
      </c>
      <c r="N16" s="22">
        <f t="shared" si="7"/>
        <v>1</v>
      </c>
    </row>
    <row r="17" spans="1:15">
      <c r="A17">
        <v>2008</v>
      </c>
      <c r="B17" s="31">
        <v>928</v>
      </c>
      <c r="C17" s="31">
        <v>293</v>
      </c>
      <c r="D17" s="31">
        <v>98</v>
      </c>
      <c r="E17" s="31">
        <v>42</v>
      </c>
      <c r="F17" s="31">
        <v>23</v>
      </c>
      <c r="G17" s="32">
        <f t="shared" si="6"/>
        <v>1384</v>
      </c>
      <c r="H17" s="35">
        <f t="shared" si="0"/>
        <v>0.67052023121387283</v>
      </c>
      <c r="I17" s="35">
        <f t="shared" si="1"/>
        <v>5.2926300578034685E-2</v>
      </c>
      <c r="J17" s="35">
        <f t="shared" si="2"/>
        <v>0.15877890173410406</v>
      </c>
      <c r="K17" s="35">
        <f t="shared" si="3"/>
        <v>7.0809248554913301E-2</v>
      </c>
      <c r="L17" s="35">
        <f t="shared" si="4"/>
        <v>3.0346820809248554E-2</v>
      </c>
      <c r="M17" s="35">
        <f t="shared" si="5"/>
        <v>1.6618497109826588E-2</v>
      </c>
      <c r="N17" s="22">
        <f t="shared" si="7"/>
        <v>1</v>
      </c>
    </row>
    <row r="18" spans="1:15">
      <c r="A18">
        <v>2009</v>
      </c>
      <c r="B18" s="31">
        <v>1201</v>
      </c>
      <c r="C18" s="31">
        <v>451</v>
      </c>
      <c r="D18" s="31">
        <f>97</f>
        <v>97</v>
      </c>
      <c r="E18" s="31">
        <v>6</v>
      </c>
      <c r="F18" s="31">
        <v>4</v>
      </c>
      <c r="G18" s="32">
        <f t="shared" si="6"/>
        <v>1759</v>
      </c>
      <c r="H18" s="35">
        <f t="shared" si="0"/>
        <v>0.68277430358158042</v>
      </c>
      <c r="I18" s="35">
        <f t="shared" si="1"/>
        <v>6.4098919840818641E-2</v>
      </c>
      <c r="J18" s="35">
        <f t="shared" si="2"/>
        <v>0.19229675952245595</v>
      </c>
      <c r="K18" s="35">
        <f t="shared" si="3"/>
        <v>5.5144968732234227E-2</v>
      </c>
      <c r="L18" s="35">
        <f t="shared" si="4"/>
        <v>3.4110289937464467E-3</v>
      </c>
      <c r="M18" s="35">
        <f t="shared" si="5"/>
        <v>2.2740193291642978E-3</v>
      </c>
      <c r="N18" s="22">
        <f t="shared" si="7"/>
        <v>0.99999999999999989</v>
      </c>
    </row>
    <row r="19" spans="1:15">
      <c r="A19">
        <v>2010</v>
      </c>
      <c r="B19" s="31">
        <f>1092</f>
        <v>1092</v>
      </c>
      <c r="C19" s="31">
        <v>377</v>
      </c>
      <c r="D19" s="31">
        <f>104</f>
        <v>104</v>
      </c>
      <c r="E19" s="31">
        <v>4</v>
      </c>
      <c r="F19" s="31">
        <v>4</v>
      </c>
      <c r="G19" s="32">
        <f t="shared" si="6"/>
        <v>1581</v>
      </c>
      <c r="H19" s="35">
        <f t="shared" si="0"/>
        <v>0.69070208728652749</v>
      </c>
      <c r="I19" s="35">
        <f t="shared" si="1"/>
        <v>5.9614168247944341E-2</v>
      </c>
      <c r="J19" s="35">
        <f t="shared" si="2"/>
        <v>0.17884250474383301</v>
      </c>
      <c r="K19" s="35">
        <f t="shared" si="3"/>
        <v>6.5781151170145477E-2</v>
      </c>
      <c r="L19" s="35">
        <f t="shared" si="4"/>
        <v>2.5300442757748261E-3</v>
      </c>
      <c r="M19" s="35">
        <f t="shared" si="5"/>
        <v>2.5300442757748261E-3</v>
      </c>
      <c r="N19" s="22">
        <f t="shared" si="7"/>
        <v>1</v>
      </c>
    </row>
    <row r="20" spans="1:15">
      <c r="A20">
        <v>2011</v>
      </c>
      <c r="B20" s="31">
        <f>963</f>
        <v>963</v>
      </c>
      <c r="C20" s="31">
        <v>294</v>
      </c>
      <c r="D20" s="31">
        <v>170</v>
      </c>
      <c r="E20" s="31">
        <v>14</v>
      </c>
      <c r="F20" s="31">
        <v>4</v>
      </c>
      <c r="G20" s="32">
        <f t="shared" si="6"/>
        <v>1445</v>
      </c>
      <c r="H20" s="35">
        <f t="shared" si="0"/>
        <v>0.66643598615916955</v>
      </c>
      <c r="I20" s="35">
        <f t="shared" si="1"/>
        <v>5.0865051903114189E-2</v>
      </c>
      <c r="J20" s="35">
        <f t="shared" si="2"/>
        <v>0.15259515570934257</v>
      </c>
      <c r="K20" s="35">
        <f t="shared" si="3"/>
        <v>0.11764705882352941</v>
      </c>
      <c r="L20" s="35">
        <f t="shared" si="4"/>
        <v>9.688581314878892E-3</v>
      </c>
      <c r="M20" s="35">
        <f t="shared" si="5"/>
        <v>2.7681660899653978E-3</v>
      </c>
      <c r="N20" s="22">
        <f t="shared" si="7"/>
        <v>1</v>
      </c>
    </row>
    <row r="21" spans="1:15">
      <c r="A21">
        <v>2012</v>
      </c>
      <c r="B21" s="31">
        <f>1438</f>
        <v>1438</v>
      </c>
      <c r="C21" s="31">
        <v>390</v>
      </c>
      <c r="D21" s="31">
        <v>225</v>
      </c>
      <c r="E21" s="31">
        <v>19</v>
      </c>
      <c r="F21" s="31">
        <v>4</v>
      </c>
      <c r="G21" s="32">
        <f t="shared" si="6"/>
        <v>2076</v>
      </c>
      <c r="H21" s="35">
        <f t="shared" si="0"/>
        <v>0.69267822736030826</v>
      </c>
      <c r="I21" s="35">
        <f t="shared" si="1"/>
        <v>4.6965317919075142E-2</v>
      </c>
      <c r="J21" s="35">
        <f t="shared" si="2"/>
        <v>0.14089595375722544</v>
      </c>
      <c r="K21" s="35">
        <f t="shared" si="3"/>
        <v>0.10838150289017341</v>
      </c>
      <c r="L21" s="35">
        <f t="shared" si="4"/>
        <v>9.1522157996146436E-3</v>
      </c>
      <c r="M21" s="35">
        <f t="shared" si="5"/>
        <v>1.9267822736030828E-3</v>
      </c>
      <c r="N21" s="22">
        <f t="shared" si="7"/>
        <v>1</v>
      </c>
    </row>
    <row r="22" spans="1:15">
      <c r="A22">
        <v>2013</v>
      </c>
      <c r="B22" s="31">
        <f>1174</f>
        <v>1174</v>
      </c>
      <c r="C22" s="31">
        <v>366</v>
      </c>
      <c r="D22" s="31">
        <v>272</v>
      </c>
      <c r="E22" s="31">
        <v>14</v>
      </c>
      <c r="F22" s="31">
        <v>4</v>
      </c>
      <c r="G22" s="32">
        <f t="shared" si="6"/>
        <v>1830</v>
      </c>
      <c r="H22" s="35">
        <f t="shared" si="0"/>
        <v>0.64153005464480872</v>
      </c>
      <c r="I22" s="35">
        <f t="shared" si="1"/>
        <v>0.05</v>
      </c>
      <c r="J22" s="35">
        <f t="shared" si="2"/>
        <v>0.15</v>
      </c>
      <c r="K22" s="35">
        <f t="shared" si="3"/>
        <v>0.14863387978142076</v>
      </c>
      <c r="L22" s="35">
        <f t="shared" si="4"/>
        <v>7.6502732240437158E-3</v>
      </c>
      <c r="M22" s="35">
        <f t="shared" si="5"/>
        <v>2.185792349726776E-3</v>
      </c>
      <c r="N22" s="22">
        <f t="shared" si="7"/>
        <v>1</v>
      </c>
    </row>
    <row r="23" spans="1:15">
      <c r="A23">
        <v>2014</v>
      </c>
      <c r="B23" s="30">
        <f>649</f>
        <v>649</v>
      </c>
      <c r="C23" s="31">
        <v>277</v>
      </c>
      <c r="D23" s="31">
        <f>235</f>
        <v>235</v>
      </c>
      <c r="E23" s="31">
        <v>4</v>
      </c>
      <c r="F23" s="31">
        <v>4</v>
      </c>
      <c r="G23" s="32">
        <f t="shared" si="6"/>
        <v>1169</v>
      </c>
      <c r="H23" s="35">
        <f t="shared" si="0"/>
        <v>0.55517536355859709</v>
      </c>
      <c r="I23" s="35">
        <f t="shared" si="1"/>
        <v>5.9238665526090674E-2</v>
      </c>
      <c r="J23" s="35">
        <f t="shared" si="2"/>
        <v>0.17771599657827203</v>
      </c>
      <c r="K23" s="35">
        <f t="shared" si="3"/>
        <v>0.20102651839178784</v>
      </c>
      <c r="L23" s="35">
        <f t="shared" si="4"/>
        <v>3.4217279726261761E-3</v>
      </c>
      <c r="M23" s="35">
        <f t="shared" si="5"/>
        <v>3.4217279726261761E-3</v>
      </c>
      <c r="N23" s="22">
        <f t="shared" si="7"/>
        <v>1</v>
      </c>
    </row>
    <row r="24" spans="1:15">
      <c r="A24">
        <v>2015</v>
      </c>
      <c r="B24" s="31">
        <f>442</f>
        <v>442</v>
      </c>
      <c r="C24" s="31">
        <v>196</v>
      </c>
      <c r="D24" s="31">
        <f>163</f>
        <v>163</v>
      </c>
      <c r="E24" s="31">
        <v>2</v>
      </c>
      <c r="F24" s="31">
        <v>2</v>
      </c>
      <c r="G24" s="32">
        <f t="shared" si="6"/>
        <v>805</v>
      </c>
      <c r="H24" s="35">
        <f t="shared" si="0"/>
        <v>0.54906832298136643</v>
      </c>
      <c r="I24" s="35">
        <f t="shared" si="1"/>
        <v>6.0869565217391307E-2</v>
      </c>
      <c r="J24" s="35">
        <f t="shared" si="2"/>
        <v>0.18260869565217391</v>
      </c>
      <c r="K24" s="35">
        <f t="shared" si="3"/>
        <v>0.20248447204968945</v>
      </c>
      <c r="L24" s="35">
        <f t="shared" si="4"/>
        <v>2.4844720496894411E-3</v>
      </c>
      <c r="M24" s="35">
        <f t="shared" si="5"/>
        <v>2.4844720496894411E-3</v>
      </c>
      <c r="N24" s="22">
        <f t="shared" si="7"/>
        <v>1</v>
      </c>
    </row>
    <row r="25" spans="1:15">
      <c r="A25">
        <v>2016</v>
      </c>
      <c r="B25" s="31">
        <f>442</f>
        <v>442</v>
      </c>
      <c r="C25" s="31">
        <v>196</v>
      </c>
      <c r="D25" s="31">
        <f>163</f>
        <v>163</v>
      </c>
      <c r="E25" s="31">
        <v>2</v>
      </c>
      <c r="F25" s="31">
        <v>2</v>
      </c>
      <c r="G25" s="32">
        <f t="shared" ref="G25" si="8">SUM(B25:F25)</f>
        <v>805</v>
      </c>
      <c r="H25" s="35">
        <f t="shared" ref="H25" si="9">B25*H$1/$G25</f>
        <v>0.54906832298136643</v>
      </c>
      <c r="I25" s="35">
        <f t="shared" ref="I25" si="10">C25*I$1/$G25</f>
        <v>6.0869565217391307E-2</v>
      </c>
      <c r="J25" s="35">
        <f t="shared" ref="J25" si="11">C25*J$1/$G25</f>
        <v>0.18260869565217391</v>
      </c>
      <c r="K25" s="35">
        <f t="shared" ref="K25" si="12">D25*K$1/$G25</f>
        <v>0.20248447204968945</v>
      </c>
      <c r="L25" s="35">
        <f t="shared" ref="L25" si="13">E25*L$1/$G25</f>
        <v>2.4844720496894411E-3</v>
      </c>
      <c r="M25" s="35">
        <f t="shared" ref="M25" si="14">F25*M$1/$G25</f>
        <v>2.4844720496894411E-3</v>
      </c>
      <c r="N25" s="22">
        <f t="shared" ref="N25" si="15">SUM(H25:M25)</f>
        <v>1</v>
      </c>
      <c r="O25" t="s">
        <v>185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8"/>
  <sheetViews>
    <sheetView workbookViewId="0">
      <selection activeCell="A64" sqref="A64"/>
    </sheetView>
  </sheetViews>
  <sheetFormatPr defaultRowHeight="15"/>
  <cols>
    <col min="1" max="1" width="12.5703125" bestFit="1" customWidth="1"/>
    <col min="3" max="3" width="20.140625" bestFit="1" customWidth="1"/>
  </cols>
  <sheetData>
    <row r="2" spans="1:3">
      <c r="A2" s="36" t="s">
        <v>175</v>
      </c>
      <c r="C2" s="36" t="s">
        <v>176</v>
      </c>
    </row>
    <row r="3" spans="1:3">
      <c r="A3" t="s">
        <v>155</v>
      </c>
      <c r="C3" t="s">
        <v>177</v>
      </c>
    </row>
    <row r="4" spans="1:3">
      <c r="A4" t="s">
        <v>156</v>
      </c>
      <c r="C4" t="s">
        <v>177</v>
      </c>
    </row>
    <row r="5" spans="1:3">
      <c r="A5" t="s">
        <v>162</v>
      </c>
      <c r="C5" t="s">
        <v>177</v>
      </c>
    </row>
    <row r="6" spans="1:3">
      <c r="A6" t="s">
        <v>163</v>
      </c>
      <c r="C6" t="s">
        <v>162</v>
      </c>
    </row>
    <row r="7" spans="1:3">
      <c r="A7" t="s">
        <v>164</v>
      </c>
      <c r="C7" t="s">
        <v>178</v>
      </c>
    </row>
    <row r="8" spans="1:3">
      <c r="A8" t="s">
        <v>165</v>
      </c>
      <c r="C8" t="s">
        <v>179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Time Series Query</vt:lpstr>
      <vt:lpstr>OriginationVolume</vt:lpstr>
      <vt:lpstr>Default Assumptions</vt:lpstr>
      <vt:lpstr>Report!Print_Area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2015-10-20T18:15:03Z</cp:lastPrinted>
  <dcterms:created xsi:type="dcterms:W3CDTF">2013-04-04T19:42:48Z</dcterms:created>
  <dcterms:modified xsi:type="dcterms:W3CDTF">2015-10-20T18:25:59Z</dcterms:modified>
</cp:coreProperties>
</file>