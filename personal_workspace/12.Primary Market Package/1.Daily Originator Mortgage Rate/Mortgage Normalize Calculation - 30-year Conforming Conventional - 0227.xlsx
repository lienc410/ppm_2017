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Wells - Conventional" sheetId="2" r:id="rId2"/>
    <sheet name="BoA - Conventional" sheetId="3" r:id="rId3"/>
    <sheet name="Chase - Conventional" sheetId="4" r:id="rId4"/>
    <sheet name="Quicken - Conventional" sheetId="5" r:id="rId5"/>
  </sheets>
  <definedNames>
    <definedName name="AIR">'BoA - Conventional'!$AIR$4</definedName>
    <definedName name="BOAIR">'BoA - Conventional'!$AIR$4</definedName>
    <definedName name="CAPR">'Wells - Conventional'!$C$5</definedName>
    <definedName name="CIR">'Wells - Conventional'!$C$4</definedName>
    <definedName name="CP">'Wells - Conventional'!$C$6</definedName>
    <definedName name="IR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I22" i="6" l="1"/>
  <c r="I21" i="6"/>
  <c r="I20" i="6"/>
  <c r="I19" i="6"/>
  <c r="I18" i="6"/>
  <c r="I9" i="6"/>
  <c r="I10" i="6"/>
  <c r="I11" i="6"/>
  <c r="I12" i="6"/>
  <c r="I8" i="6"/>
  <c r="F20" i="6" l="1"/>
  <c r="F19" i="6"/>
  <c r="F18" i="6"/>
  <c r="D20" i="6"/>
  <c r="D19" i="6"/>
  <c r="D18" i="6"/>
  <c r="D21" i="6"/>
  <c r="G21" i="6" s="1"/>
  <c r="H21" i="6" s="1"/>
  <c r="I6" i="5"/>
  <c r="I6" i="4"/>
  <c r="I6" i="3"/>
  <c r="I6" i="2"/>
  <c r="E11" i="6"/>
  <c r="E10" i="6"/>
  <c r="E9" i="6"/>
  <c r="E8" i="6"/>
  <c r="E12" i="6" l="1"/>
  <c r="G19" i="6"/>
  <c r="H19" i="6" s="1"/>
  <c r="G20" i="6"/>
  <c r="H20" i="6" s="1"/>
  <c r="G18" i="6"/>
  <c r="F22" i="6"/>
  <c r="D22" i="6"/>
  <c r="D11" i="6"/>
  <c r="D10" i="6"/>
  <c r="D9" i="6"/>
  <c r="D8" i="6"/>
  <c r="F5" i="5"/>
  <c r="F4" i="5"/>
  <c r="F6" i="5" s="1"/>
  <c r="F5" i="4"/>
  <c r="F4" i="4"/>
  <c r="F6" i="4" s="1"/>
  <c r="F5" i="3"/>
  <c r="F4" i="3"/>
  <c r="F6" i="3" s="1"/>
  <c r="F8" i="2"/>
  <c r="F6" i="2"/>
  <c r="F9" i="2" s="1"/>
  <c r="I4" i="2" s="1"/>
  <c r="G11" i="6" s="1"/>
  <c r="F4" i="2"/>
  <c r="F5" i="2" s="1"/>
  <c r="H11" i="6" l="1"/>
  <c r="H18" i="6"/>
  <c r="H22" i="6" s="1"/>
  <c r="G23" i="6"/>
  <c r="D12" i="6"/>
  <c r="F11" i="6"/>
  <c r="F7" i="3"/>
  <c r="F8" i="6" s="1"/>
  <c r="G22" i="6"/>
  <c r="F7" i="5"/>
  <c r="F7" i="4"/>
  <c r="I4" i="4" l="1"/>
  <c r="G9" i="6" s="1"/>
  <c r="H9" i="6" s="1"/>
  <c r="F9" i="6"/>
  <c r="I4" i="3"/>
  <c r="G8" i="6" s="1"/>
  <c r="I4" i="5"/>
  <c r="G10" i="6" s="1"/>
  <c r="F10" i="6"/>
  <c r="H8" i="6" l="1"/>
  <c r="G13" i="6"/>
  <c r="F12" i="6"/>
  <c r="H10" i="6"/>
  <c r="G12" i="6"/>
  <c r="H12" i="6" s="1"/>
</calcChain>
</file>

<file path=xl/sharedStrings.xml><?xml version="1.0" encoding="utf-8"?>
<sst xmlns="http://schemas.openxmlformats.org/spreadsheetml/2006/main" count="98" uniqueCount="38">
  <si>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</si>
  <si>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</si>
  <si>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</si>
  <si>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</si>
  <si>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</si>
  <si>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</si>
  <si>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</si>
  <si>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</si>
  <si>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</si>
  <si>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</si>
  <si>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</si>
  <si>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</si>
  <si>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</si>
  <si>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</si>
  <si>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</si>
  <si>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</si>
  <si>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</si>
  <si>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</si>
  <si>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</si>
  <si>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</si>
  <si>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</si>
  <si>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</si>
  <si>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</si>
  <si>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</si>
  <si>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</si>
  <si>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</si>
  <si>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</si>
  <si>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</si>
  <si>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</si>
  <si>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</si>
  <si>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</si>
  <si>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--</t>
  </si>
  <si>
    <t>Servicing Spread</t>
  </si>
  <si>
    <t>New Model</t>
  </si>
  <si>
    <t>Previous Model</t>
  </si>
  <si>
    <t>Nomalized Points</t>
  </si>
  <si>
    <t>Standard Deviation</t>
  </si>
  <si>
    <t>1D Change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</si>
</sst>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m/d;@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  <fill>
      <patternFill patternType="solid">
        <fgColor rgb="FFEBF1DE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98B"/>
      </left>
      <right style="thin">
        <color rgb="FF2E398B"/>
      </right>
      <top style="thin">
        <color rgb="FF2E398B"/>
      </top>
      <bottom style="thin">
        <color rgb="FF2E398B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6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</cellStyleXfs>
  <cellXfs count="52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0" fontId="128" fillId="52" borderId="42" xfId="0" applyFont="1" applyFill="1" applyBorder="1" applyAlignment="1">
      <alignment horizontal="center"/>
    </xf>
    <xf numFmtId="0" fontId="127" fillId="0" borderId="43" xfId="0" applyFont="1" applyFill="1" applyBorder="1" applyAlignment="1">
      <alignment horizontal="left"/>
    </xf>
    <xf numFmtId="0" fontId="127" fillId="0" borderId="45" xfId="0" applyFont="1" applyFill="1" applyBorder="1" applyAlignment="1">
      <alignment horizontal="left"/>
    </xf>
    <xf numFmtId="166" fontId="127" fillId="0" borderId="46" xfId="0" quotePrefix="1" applyNumberFormat="1" applyFont="1" applyFill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5" fontId="0" fillId="0" borderId="0" xfId="0" applyNumberFormat="1"/>
    <xf numFmtId="0" fontId="13" fillId="13" borderId="6" xfId="0" applyFont="1" applyFill="1" applyBorder="1" applyAlignment="1">
      <alignment horizontal="center"/>
    </xf>
    <xf numFmtId="165" fontId="4" fillId="0" borderId="47" xfId="1" applyNumberFormat="1" applyFont="1" applyBorder="1" applyAlignment="1">
      <alignment horizontal="center"/>
    </xf>
    <xf numFmtId="165" fontId="127" fillId="0" borderId="8" xfId="1" applyNumberFormat="1" applyFont="1" applyFill="1" applyBorder="1" applyAlignment="1">
      <alignment horizontal="center"/>
    </xf>
    <xf numFmtId="165" fontId="4" fillId="0" borderId="48" xfId="1" applyNumberFormat="1" applyFont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28" fillId="0" borderId="38" xfId="0" applyNumberFormat="1" applyFont="1" applyFill="1" applyBorder="1" applyAlignment="1">
      <alignment horizontal="center"/>
    </xf>
    <xf numFmtId="0" fontId="0" fillId="0" borderId="39" xfId="0" applyBorder="1"/>
    <xf numFmtId="2" fontId="4" fillId="0" borderId="47" xfId="1" applyNumberFormat="1" applyFont="1" applyBorder="1" applyAlignment="1">
      <alignment horizontal="center"/>
    </xf>
    <xf numFmtId="2" fontId="4" fillId="0" borderId="48" xfId="1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0" fontId="127" fillId="0" borderId="8" xfId="1" applyNumberFormat="1" applyFont="1" applyFill="1" applyBorder="1" applyAlignment="1">
      <alignment horizontal="center"/>
    </xf>
    <xf numFmtId="0" fontId="0" fillId="0" borderId="9" xfId="0" applyBorder="1"/>
    <xf numFmtId="196" fontId="128" fillId="53" borderId="3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</cellXfs>
  <cellStyles count="526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3"/>
  <sheetViews>
    <sheetView tabSelected="1" workbookViewId="0">
      <selection activeCell="M9" sqref="M9"/>
    </sheetView>
  </sheetViews>
  <sheetFormatPr defaultRowHeight="15"/>
  <cols>
    <col min="3" max="3" width="31.42578125" bestFit="1" customWidth="1"/>
    <col min="4" max="4" width="12.5703125" bestFit="1" customWidth="1"/>
    <col min="5" max="5" width="12.42578125" style="1" customWidth="1"/>
    <col min="6" max="6" width="14.85546875" bestFit="1" customWidth="1"/>
    <col min="7" max="7" width="12.5703125" bestFit="1" customWidth="1"/>
    <col min="8" max="8" width="14" bestFit="1" customWidth="1"/>
    <col min="9" max="9" width="13.7109375" bestFit="1" customWidth="1"/>
    <col min="10" max="10" width="12.140625" customWidth="1"/>
    <col min="12" max="12" width="25.42578125" customWidth="1"/>
  </cols>
  <sheetData>
    <row r="5" spans="3:14">
      <c r="C5" t="s">
        <v>33</v>
      </c>
    </row>
    <row r="6" spans="3:14">
      <c r="L6" s="1" t="s">
        <v>26</v>
      </c>
      <c r="M6" s="9"/>
    </row>
    <row r="7" spans="3:14">
      <c r="C7" s="5" t="s">
        <v>17</v>
      </c>
      <c r="D7" s="37" t="s">
        <v>22</v>
      </c>
      <c r="E7" s="4" t="s">
        <v>1</v>
      </c>
      <c r="F7" s="4" t="s">
        <v>35</v>
      </c>
      <c r="G7" s="4" t="s">
        <v>23</v>
      </c>
      <c r="H7" s="3" t="s">
        <v>32</v>
      </c>
      <c r="I7" s="4" t="s">
        <v>37</v>
      </c>
      <c r="J7" s="50">
        <v>42061</v>
      </c>
      <c r="L7" s="10" t="s">
        <v>27</v>
      </c>
      <c r="M7" s="10" t="s">
        <v>28</v>
      </c>
    </row>
    <row r="8" spans="3:14">
      <c r="C8" s="7" t="s">
        <v>18</v>
      </c>
      <c r="D8" s="38">
        <f>'BoA - Conventional'!C4</f>
        <v>3.875E-2</v>
      </c>
      <c r="E8" s="14">
        <f>'BoA - Conventional'!C5</f>
        <v>4.0570000000000002E-2</v>
      </c>
      <c r="F8" s="14">
        <f>'BoA - Conventional'!F7</f>
        <v>2.1780763918682111E-2</v>
      </c>
      <c r="G8" s="14">
        <f>'BoA - Conventional'!I4</f>
        <v>4.1695190979670525E-2</v>
      </c>
      <c r="H8" s="15">
        <f>G8-M$8</f>
        <v>1.4053251356982426E-2</v>
      </c>
      <c r="I8" s="45">
        <f>(G8-J8)*100*100</f>
        <v>3.8308202772477373</v>
      </c>
      <c r="J8" s="39">
        <v>4.1312108951945752E-2</v>
      </c>
      <c r="L8" s="11" t="s">
        <v>29</v>
      </c>
      <c r="M8" s="20">
        <v>2.76419396226881E-2</v>
      </c>
      <c r="N8" s="36"/>
    </row>
    <row r="9" spans="3:14">
      <c r="C9" s="7" t="s">
        <v>19</v>
      </c>
      <c r="D9" s="38">
        <f>'Chase - Conventional'!C4</f>
        <v>4.2500000000000003E-2</v>
      </c>
      <c r="E9" s="14">
        <f>'Chase - Conventional'!C5</f>
        <v>4.3130000000000002E-2</v>
      </c>
      <c r="F9" s="14">
        <f>'Chase - Conventional'!F7</f>
        <v>7.4554785520307698E-3</v>
      </c>
      <c r="G9" s="14">
        <f>'Chase - Conventional'!I4</f>
        <v>4.1863869638007693E-2</v>
      </c>
      <c r="H9" s="15">
        <f>G9-M$8</f>
        <v>1.4221930015319593E-2</v>
      </c>
      <c r="I9" s="45">
        <f t="shared" ref="I9:I12" si="0">(G9-J9)*100*100</f>
        <v>6.1517143491895965</v>
      </c>
      <c r="J9" s="39">
        <v>4.1248698203088734E-2</v>
      </c>
      <c r="L9" s="12" t="s">
        <v>30</v>
      </c>
      <c r="M9" s="13" t="s">
        <v>31</v>
      </c>
      <c r="N9" s="36"/>
    </row>
    <row r="10" spans="3:14">
      <c r="C10" s="7" t="s">
        <v>20</v>
      </c>
      <c r="D10" s="38">
        <f>'Quicken - Conventional'!C4</f>
        <v>3.7499999999999999E-2</v>
      </c>
      <c r="E10" s="14">
        <f>'Quicken - Conventional'!C5</f>
        <v>3.9870000000000003E-2</v>
      </c>
      <c r="F10" s="14">
        <f>'Quicken - Conventional'!F7</f>
        <v>2.8427741632272796E-2</v>
      </c>
      <c r="G10" s="14">
        <f>'Quicken - Conventional'!I4</f>
        <v>4.2106935408068195E-2</v>
      </c>
      <c r="H10" s="15">
        <f>G10-M$8</f>
        <v>1.4464995785380096E-2</v>
      </c>
      <c r="I10" s="45">
        <f t="shared" si="0"/>
        <v>3.2320471616267832</v>
      </c>
      <c r="J10" s="39">
        <v>4.1783730691905517E-2</v>
      </c>
      <c r="N10" s="36"/>
    </row>
    <row r="11" spans="3:14">
      <c r="C11" s="6" t="s">
        <v>21</v>
      </c>
      <c r="D11" s="40">
        <f>CIR</f>
        <v>0.04</v>
      </c>
      <c r="E11" s="16">
        <f>CAPR</f>
        <v>4.0579999999999998E-2</v>
      </c>
      <c r="F11" s="16">
        <f>'Wells - Conventional'!F9</f>
        <v>2.2007679845274464E-2</v>
      </c>
      <c r="G11" s="16">
        <f>'Wells - Conventional'!I4</f>
        <v>4.3001919961318615E-2</v>
      </c>
      <c r="H11" s="17">
        <f>G11-M$8</f>
        <v>1.5359980338630515E-2</v>
      </c>
      <c r="I11" s="46">
        <f t="shared" si="0"/>
        <v>6.4147676679671832</v>
      </c>
      <c r="J11" s="41">
        <v>4.2360443194521896E-2</v>
      </c>
      <c r="N11" s="36"/>
    </row>
    <row r="12" spans="3:14">
      <c r="C12" s="2" t="s">
        <v>24</v>
      </c>
      <c r="D12" s="42">
        <f>AVERAGE(D8:D11)</f>
        <v>3.9687500000000001E-2</v>
      </c>
      <c r="E12" s="18">
        <f>AVERAGE(E8:E11)</f>
        <v>4.1037499999999998E-2</v>
      </c>
      <c r="F12" s="18">
        <f t="shared" ref="F12:G12" si="1">AVERAGE(F8:F11)</f>
        <v>1.9917915987065035E-2</v>
      </c>
      <c r="G12" s="18">
        <f t="shared" si="1"/>
        <v>4.2166978996766254E-2</v>
      </c>
      <c r="H12" s="19">
        <f>G12-M$8</f>
        <v>1.4525039374078154E-2</v>
      </c>
      <c r="I12" s="47">
        <f t="shared" si="0"/>
        <v>4.907337364007808</v>
      </c>
      <c r="J12" s="43">
        <v>4.1676245260365473E-2</v>
      </c>
      <c r="N12" s="36"/>
    </row>
    <row r="13" spans="3:14">
      <c r="C13" s="2" t="s">
        <v>36</v>
      </c>
      <c r="D13" s="42"/>
      <c r="E13" s="18"/>
      <c r="F13" s="18"/>
      <c r="G13" s="18">
        <f t="shared" ref="G13" si="2">_xlfn.STDEV.P(G8:G11)</f>
        <v>5.0378340169003025E-4</v>
      </c>
      <c r="H13" s="19"/>
      <c r="I13" s="18"/>
      <c r="J13" s="44"/>
    </row>
    <row r="15" spans="3:14">
      <c r="C15" t="s">
        <v>34</v>
      </c>
    </row>
    <row r="17" spans="3:10">
      <c r="C17" s="5" t="s">
        <v>17</v>
      </c>
      <c r="D17" s="4" t="s">
        <v>22</v>
      </c>
      <c r="E17" s="4"/>
      <c r="F17" s="4" t="s">
        <v>8</v>
      </c>
      <c r="G17" s="4" t="s">
        <v>23</v>
      </c>
      <c r="H17" s="3" t="s">
        <v>32</v>
      </c>
      <c r="I17" s="4" t="s">
        <v>37</v>
      </c>
      <c r="J17" s="50">
        <v>42061</v>
      </c>
    </row>
    <row r="18" spans="3:10">
      <c r="C18" s="7" t="s">
        <v>18</v>
      </c>
      <c r="D18" s="14">
        <f>'BoA - Conventional'!C4</f>
        <v>3.875E-2</v>
      </c>
      <c r="E18" s="14"/>
      <c r="F18" s="14">
        <f>'BoA - Conventional'!C8</f>
        <v>8.9300000000000004E-3</v>
      </c>
      <c r="G18" s="14">
        <f>D18-(0.01-F18)/4</f>
        <v>3.8482500000000003E-2</v>
      </c>
      <c r="H18" s="15">
        <f>G18-M$8</f>
        <v>1.0840560377311903E-2</v>
      </c>
      <c r="I18" s="45">
        <f>(G18-J18)*100*100</f>
        <v>0</v>
      </c>
      <c r="J18" s="48">
        <v>3.8482500000000003E-2</v>
      </c>
    </row>
    <row r="19" spans="3:10">
      <c r="C19" s="7" t="s">
        <v>19</v>
      </c>
      <c r="D19" s="14">
        <f>'Chase - Conventional'!C4</f>
        <v>4.2500000000000003E-2</v>
      </c>
      <c r="E19" s="14"/>
      <c r="F19" s="14">
        <f>'Chase - Conventional'!C8</f>
        <v>7.4999999999999997E-3</v>
      </c>
      <c r="G19" s="14">
        <f t="shared" ref="G19:G21" si="3">D19-(0.01-F19)/4</f>
        <v>4.1875000000000002E-2</v>
      </c>
      <c r="H19" s="15">
        <f>G19-M$8</f>
        <v>1.4233060377311903E-2</v>
      </c>
      <c r="I19" s="45">
        <f t="shared" ref="I19:I22" si="4">(G19-J19)*100*100</f>
        <v>6.2500000000000053</v>
      </c>
      <c r="J19" s="48">
        <v>4.1250000000000002E-2</v>
      </c>
    </row>
    <row r="20" spans="3:10">
      <c r="C20" s="7" t="s">
        <v>20</v>
      </c>
      <c r="D20" s="14">
        <f>'Quicken - Conventional'!C4</f>
        <v>3.7499999999999999E-2</v>
      </c>
      <c r="E20" s="14"/>
      <c r="F20" s="14">
        <f>'Quicken - Conventional'!C8</f>
        <v>0.02</v>
      </c>
      <c r="G20" s="14">
        <f t="shared" si="3"/>
        <v>0.04</v>
      </c>
      <c r="H20" s="15">
        <f>G20-M$8</f>
        <v>1.2358060377311901E-2</v>
      </c>
      <c r="I20" s="45">
        <f t="shared" si="4"/>
        <v>3.1250000000000027</v>
      </c>
      <c r="J20" s="48">
        <v>3.9687500000000001E-2</v>
      </c>
    </row>
    <row r="21" spans="3:10">
      <c r="C21" s="6" t="s">
        <v>21</v>
      </c>
      <c r="D21" s="16">
        <f>CIR</f>
        <v>0.04</v>
      </c>
      <c r="E21" s="16"/>
      <c r="F21" s="16">
        <v>1.43E-2</v>
      </c>
      <c r="G21" s="14">
        <f t="shared" si="3"/>
        <v>4.1075E-2</v>
      </c>
      <c r="H21" s="15">
        <f>G21-M$8</f>
        <v>1.3433060377311901E-2</v>
      </c>
      <c r="I21" s="46">
        <f t="shared" si="4"/>
        <v>0</v>
      </c>
      <c r="J21" s="48">
        <v>4.1075E-2</v>
      </c>
    </row>
    <row r="22" spans="3:10">
      <c r="C22" s="2" t="s">
        <v>24</v>
      </c>
      <c r="D22" s="18">
        <f>AVERAGE(D18:D21)</f>
        <v>3.9687500000000001E-2</v>
      </c>
      <c r="E22" s="18"/>
      <c r="F22" s="18">
        <f t="shared" ref="F22:H22" si="5">AVERAGE(F18:F21)</f>
        <v>1.2682500000000001E-2</v>
      </c>
      <c r="G22" s="18">
        <f t="shared" si="5"/>
        <v>4.0358125000000002E-2</v>
      </c>
      <c r="H22" s="19">
        <f t="shared" si="5"/>
        <v>1.2716185377311902E-2</v>
      </c>
      <c r="I22" s="47">
        <f t="shared" si="4"/>
        <v>2.3437500000000195</v>
      </c>
      <c r="J22" s="43">
        <v>4.012375E-2</v>
      </c>
    </row>
    <row r="23" spans="3:10">
      <c r="C23" s="2" t="s">
        <v>36</v>
      </c>
      <c r="D23" s="18"/>
      <c r="E23" s="18"/>
      <c r="F23" s="18"/>
      <c r="G23" s="18">
        <f t="shared" ref="G23" si="6">_xlfn.STDEV.P(G18:G21)</f>
        <v>1.2709290093766052E-3</v>
      </c>
      <c r="H23" s="19"/>
      <c r="I23" s="49"/>
      <c r="J23" s="4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51" t="s">
        <v>4</v>
      </c>
      <c r="C2" s="51"/>
      <c r="D2" s="21"/>
      <c r="E2" s="51" t="s">
        <v>6</v>
      </c>
      <c r="F2" s="51"/>
      <c r="G2" s="8"/>
      <c r="H2" s="51" t="s">
        <v>13</v>
      </c>
      <c r="I2" s="51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22">
        <v>0.04</v>
      </c>
      <c r="D4" s="22"/>
      <c r="E4" s="23" t="s">
        <v>7</v>
      </c>
      <c r="F4" s="24">
        <f>((CIR/12*(1+CIR/12)^360)/((1+CIR/12)^360-1)*((1+CAPR/12)^360-1)/(CAPR/12*(1+CAPR/12)^360))*CP</f>
        <v>198606.46403094512</v>
      </c>
      <c r="G4" s="8"/>
      <c r="H4" s="25" t="s">
        <v>12</v>
      </c>
      <c r="I4" s="26">
        <f>CIR-(1%-F9)/4</f>
        <v>4.3001919961318615E-2</v>
      </c>
    </row>
    <row r="5" spans="2:9">
      <c r="B5" s="8" t="s">
        <v>1</v>
      </c>
      <c r="C5" s="22">
        <v>4.0579999999999998E-2</v>
      </c>
      <c r="D5" s="22"/>
      <c r="E5" s="27" t="s">
        <v>9</v>
      </c>
      <c r="F5" s="28">
        <f>1-F4/CP</f>
        <v>6.9676798452743549E-3</v>
      </c>
      <c r="G5" s="8"/>
      <c r="H5" s="8"/>
      <c r="I5" s="8"/>
    </row>
    <row r="6" spans="2:9">
      <c r="B6" s="8" t="s">
        <v>2</v>
      </c>
      <c r="C6" s="29">
        <v>200000</v>
      </c>
      <c r="D6" s="8"/>
      <c r="E6" s="22" t="s">
        <v>16</v>
      </c>
      <c r="F6" s="30">
        <f>1-((CIR/12*(1+CIR/12)^360)/((1+CIR/12)^360-1)*((1+CAPR/12)^360-1)/(CAPR/12*(1+CAPR/12)^360))</f>
        <v>6.9676798452744659E-3</v>
      </c>
      <c r="G6" s="8"/>
      <c r="H6" s="8" t="s">
        <v>25</v>
      </c>
      <c r="I6" s="30">
        <f>CIR-(0.01-(1-((CIR/12*(1+CIR/12)^360)/((1+CIR/12)^360-1)*((1+CAPR/12)^360-1)/(CAPR/12*(1+CAPR/12)^360)) + C7/CP))/4</f>
        <v>4.3001919961318615E-2</v>
      </c>
    </row>
    <row r="7" spans="2:9">
      <c r="B7" s="8" t="s">
        <v>5</v>
      </c>
      <c r="C7" s="29">
        <v>3008</v>
      </c>
      <c r="D7" s="29"/>
      <c r="E7" s="8"/>
      <c r="F7" s="8"/>
      <c r="G7" s="8"/>
      <c r="H7" s="8"/>
      <c r="I7" s="8"/>
    </row>
    <row r="8" spans="2:9">
      <c r="B8" s="23" t="s">
        <v>8</v>
      </c>
      <c r="C8" s="31" t="s">
        <v>3</v>
      </c>
      <c r="D8" s="32"/>
      <c r="E8" s="8" t="s">
        <v>10</v>
      </c>
      <c r="F8" s="30">
        <f>C7/CP</f>
        <v>1.504E-2</v>
      </c>
      <c r="G8" s="8"/>
      <c r="H8" s="8"/>
      <c r="I8" s="8"/>
    </row>
    <row r="9" spans="2:9">
      <c r="B9" s="8"/>
      <c r="C9" s="8"/>
      <c r="D9" s="8"/>
      <c r="E9" s="8" t="s">
        <v>11</v>
      </c>
      <c r="F9" s="33">
        <f>F6+F8</f>
        <v>2.2007679845274464E-2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3.875E-2</v>
      </c>
      <c r="D4" s="22"/>
      <c r="E4" s="22" t="s">
        <v>9</v>
      </c>
      <c r="F4" s="30">
        <f>1-((C4/12*(1+C4/12)^360)/((1+C4/12)^360-1)*((1+C5/12)^360-1)/(C5/12*(1+C5/12)^360))</f>
        <v>2.1780763918682111E-2</v>
      </c>
      <c r="H4" s="25" t="s">
        <v>12</v>
      </c>
      <c r="I4" s="26">
        <f>C4-(1%-F7)/4</f>
        <v>4.1695190979670525E-2</v>
      </c>
    </row>
    <row r="5" spans="2:9">
      <c r="B5" s="8" t="s">
        <v>1</v>
      </c>
      <c r="C5" s="30">
        <v>4.0570000000000002E-2</v>
      </c>
      <c r="D5" s="22"/>
      <c r="E5" s="23" t="s">
        <v>15</v>
      </c>
      <c r="F5" s="34">
        <f>C8</f>
        <v>8.9300000000000004E-3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1.2850763918682111E-2</v>
      </c>
      <c r="H6" s="8" t="s">
        <v>25</v>
      </c>
      <c r="I6" s="30">
        <f>C4-(0.01-(1-((C4/12*(1+C4/12)^360)/((1+C4/12)^360-1)*((1+C5/12)^360-1)/(C5/12*(1+C5/12)^360))))/4</f>
        <v>4.1695190979670525E-2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2.1780763918682111E-2</v>
      </c>
    </row>
    <row r="8" spans="2:9">
      <c r="B8" s="8" t="s">
        <v>8</v>
      </c>
      <c r="C8" s="28">
        <v>8.9300000000000004E-3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4.2500000000000003E-2</v>
      </c>
      <c r="D4" s="22"/>
      <c r="E4" s="22" t="s">
        <v>9</v>
      </c>
      <c r="F4" s="30">
        <f>1-((C4/12*(1+C4/12)^360)/((1+C4/12)^360-1)*((1+C5/12)^360-1)/(C5/12*(1+C5/12)^360))</f>
        <v>7.4554785520307698E-3</v>
      </c>
      <c r="H4" s="25" t="s">
        <v>12</v>
      </c>
      <c r="I4" s="26">
        <f>C4-(1%-F7)/4</f>
        <v>4.1863869638007693E-2</v>
      </c>
    </row>
    <row r="5" spans="2:9">
      <c r="B5" s="8" t="s">
        <v>1</v>
      </c>
      <c r="C5" s="30">
        <v>4.3130000000000002E-2</v>
      </c>
      <c r="D5" s="22"/>
      <c r="E5" s="23" t="s">
        <v>15</v>
      </c>
      <c r="F5" s="34">
        <f>C8</f>
        <v>7.4999999999999997E-3</v>
      </c>
    </row>
    <row r="6" spans="2:9">
      <c r="B6" s="8" t="s">
        <v>2</v>
      </c>
      <c r="C6" s="24">
        <v>215000</v>
      </c>
      <c r="E6" s="23" t="s">
        <v>10</v>
      </c>
      <c r="F6" s="28">
        <f>F4-C8</f>
        <v>-4.452144796922991E-5</v>
      </c>
      <c r="H6" s="8" t="s">
        <v>25</v>
      </c>
      <c r="I6" s="30">
        <f>C4-(0.01-(1-((C4/12*(1+C4/12)^360)/((1+C4/12)^360-1)*((1+C5/12)^360-1)/(C5/12*(1+C5/12)^360))))/4</f>
        <v>4.1863869638007693E-2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7.4554785520307698E-3</v>
      </c>
    </row>
    <row r="8" spans="2:9">
      <c r="B8" s="8" t="s">
        <v>8</v>
      </c>
      <c r="C8" s="28">
        <v>7.4999999999999997E-3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4" sqref="F4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3.7499999999999999E-2</v>
      </c>
      <c r="D4" s="22"/>
      <c r="E4" s="22" t="s">
        <v>9</v>
      </c>
      <c r="F4" s="30">
        <f>1-((C4/12*(1+C4/12)^360)/((1+C4/12)^360-1)*((1+C5/12)^360-1)/(C5/12*(1+C5/12)^360))</f>
        <v>2.8427741632272796E-2</v>
      </c>
      <c r="H4" s="25" t="s">
        <v>12</v>
      </c>
      <c r="I4" s="26">
        <f>C4-(1%-F7)/4</f>
        <v>4.2106935408068195E-2</v>
      </c>
    </row>
    <row r="5" spans="2:9">
      <c r="B5" s="8" t="s">
        <v>1</v>
      </c>
      <c r="C5" s="30">
        <v>3.9870000000000003E-2</v>
      </c>
      <c r="D5" s="22"/>
      <c r="E5" s="23" t="s">
        <v>15</v>
      </c>
      <c r="F5" s="34">
        <f>C8</f>
        <v>0.02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8.4277416322727956E-3</v>
      </c>
      <c r="H6" s="8" t="s">
        <v>25</v>
      </c>
      <c r="I6" s="30">
        <f>C4-(0.01-(1-((C4/12*(1+C4/12)^360)/((1+C4/12)^360-1)*((1+C5/12)^360-1)/(C5/12*(1+C5/12)^360))))/4</f>
        <v>4.2106935408068195E-2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2.8427741632272796E-2</v>
      </c>
    </row>
    <row r="8" spans="2:9">
      <c r="B8" s="8" t="s">
        <v>8</v>
      </c>
      <c r="C8" s="28">
        <v>0.02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Result</vt:lpstr>
      <vt:lpstr>Wells - Conventional</vt:lpstr>
      <vt:lpstr>BoA - Conventional</vt:lpstr>
      <vt:lpstr>Chase - Conventional</vt:lpstr>
      <vt:lpstr>Quicken - Conventional</vt:lpstr>
      <vt:lpstr>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2015-02-27T19:22:40Z</dcterms:modified>
</cp:coreProperties>
</file>