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0" yWindow="0" windowWidth="28365" windowHeight="17040"/>
  </bookViews>
  <sheets>
    <sheet name="Report" sheetId="6" r:id="rId1"/>
    <sheet name="Time Series Query" sheetId="18" r:id="rId2"/>
    <sheet name="Rates Summary" sheetId="19" r:id="rId3"/>
    <sheet name="Upload Result" sheetId="20" r:id="rId4"/>
    <sheet name="Input Data" sheetId="14" state="hidden" r:id="rId5"/>
    <sheet name="Historic Result" sheetId="16" r:id="rId6"/>
    <sheet name="BoA - Conventional" sheetId="3" r:id="rId7"/>
    <sheet name="Chase - Conventional" sheetId="4" r:id="rId8"/>
    <sheet name="Quicken - Conventional" sheetId="5" r:id="rId9"/>
    <sheet name="Wells - Conventional" sheetId="2" r:id="rId10"/>
    <sheet name="Wells - Jumbo conformin" sheetId="13" r:id="rId11"/>
    <sheet name="Wells - Jumbo Non-conforming" sheetId="12" r:id="rId12"/>
    <sheet name="Wells - FHA" sheetId="15" r:id="rId13"/>
  </sheets>
  <functionGroups builtInGroupCount="17"/>
  <externalReferences>
    <externalReference r:id="rId14"/>
  </externalReferences>
  <definedNames>
    <definedName name="AIR" localSheetId="12">#REF!</definedName>
    <definedName name="AIR" localSheetId="10">'Wells - Jumbo conformin'!$AIR$4</definedName>
    <definedName name="AIR" localSheetId="11">'Wells - Jumbo Non-conforming'!$AIR$4</definedName>
    <definedName name="AIR">'BoA - Conventional'!$AIR$4</definedName>
    <definedName name="BOAIR" localSheetId="12">#REF!</definedName>
    <definedName name="BOAIR" localSheetId="10">'Wells - Jumbo conformin'!$AIR$4</definedName>
    <definedName name="BOAIR" localSheetId="11">'Wells - Jumbo Non-conforming'!$AIR$4</definedName>
    <definedName name="BOAIR">'BoA - Conventional'!$AIR$4</definedName>
    <definedName name="CAPR" localSheetId="12">#REF!</definedName>
    <definedName name="CAPR">'Wells - Conventional'!$C$5</definedName>
    <definedName name="CIR" localSheetId="12">#REF!</definedName>
    <definedName name="CIR">'Wells - Conventional'!$C$4</definedName>
    <definedName name="CP" localSheetId="12">#REF!</definedName>
    <definedName name="CP">'Wells - Conventional'!$C$6</definedName>
    <definedName name="CurrentCloseDate">Report!$V$2</definedName>
    <definedName name="DatabaseEnv">Report!$V$1</definedName>
    <definedName name="IR" localSheetId="12">#REF!</definedName>
    <definedName name="IR" localSheetId="10">#REF!</definedName>
    <definedName name="IR" localSheetId="11">#REF!</definedName>
    <definedName name="IR">#REF!</definedName>
    <definedName name="MmExcelLinker_D5EFE7B8_A5AE_4CC6_B628_05FDC84CBEA4">Early Market [1]Data!$C$44:$C$44</definedName>
    <definedName name="OneDayBusDate">TimeSeriesDataTable34[Column1]</definedName>
    <definedName name="OneWeekBusDate">TimeSeriesDataTable3[Column1]</definedName>
    <definedName name="PDFReportName">Report!$V$3</definedName>
    <definedName name="_xlnm.Print_Area" localSheetId="0">Report!$B$1:$S$36</definedName>
    <definedName name="Query_from_Agency" localSheetId="1" hidden="1">'Time Series Query'!$A$6:$F$53</definedName>
    <definedName name="Query_from_Agency_1" localSheetId="1" hidden="1">'Time Series Query'!$P$1:$P$2</definedName>
    <definedName name="Query_from_Agency_2" localSheetId="1" hidden="1">'Time Series Query'!$H$1:$H$2</definedName>
    <definedName name="Query_from_Agency_3" localSheetId="1" hidden="1">'Time Series Query'!$I$6:$N$53</definedName>
    <definedName name="Query_from_Agency_4" localSheetId="1" hidden="1">'Time Series Query'!$Q$6:$V$7</definedName>
    <definedName name="Query_from_Agency_5" localSheetId="1" hidden="1">'Time Series Query'!$X$6:$Z$8</definedName>
    <definedName name="RatesList">'Upload Result'!$B$2:$E$30</definedName>
    <definedName name="SaveRatesToDB">Report!$X$1</definedName>
    <definedName name="WIR" localSheetId="12">#REF!</definedName>
    <definedName name="WIR">'Wells - Conventional'!$C$4</definedName>
  </definedNames>
  <calcPr calcId="145621"/>
  <pivotCaches>
    <pivotCache cacheId="560" r:id="rId15"/>
    <pivotCache cacheId="566" r:id="rId16"/>
    <pivotCache cacheId="572" r:id="rId17"/>
  </pivotCaches>
</workbook>
</file>

<file path=xl/calcChain.xml><?xml version="1.0" encoding="utf-8"?>
<calcChain xmlns="http://schemas.openxmlformats.org/spreadsheetml/2006/main">
  <c r="F14" i="16" l="1" a="1"/>
  <c r="F14" i="16" s="1"/>
  <c r="F12" i="16" a="1"/>
  <c r="F12" i="16" s="1"/>
  <c r="F10" i="16" a="1"/>
  <c r="F10" i="16" s="1"/>
  <c r="F6" i="16" a="1"/>
  <c r="F6" i="16" s="1"/>
  <c r="F7" i="16" a="1"/>
  <c r="F7" i="16" s="1"/>
  <c r="F8" i="16" a="1"/>
  <c r="F8" i="16" s="1"/>
  <c r="F5" i="16" a="1"/>
  <c r="F5" i="16" s="1"/>
  <c r="E14" i="16" a="1"/>
  <c r="E14" i="16" s="1"/>
  <c r="E12" i="16"/>
  <c r="E10" i="16" a="1"/>
  <c r="E10" i="16" s="1"/>
  <c r="D14" i="16" a="1"/>
  <c r="D14" i="16" s="1"/>
  <c r="D12" i="16" a="1"/>
  <c r="D12" i="16" s="1"/>
  <c r="D10" i="16" a="1"/>
  <c r="D10" i="16" s="1"/>
  <c r="C14" i="16" a="1"/>
  <c r="C14" i="16" s="1"/>
  <c r="C12" i="16" a="1"/>
  <c r="C12" i="16" s="1"/>
  <c r="C10" i="16" a="1"/>
  <c r="C10" i="16" s="1"/>
  <c r="E6" i="16"/>
  <c r="E7" i="16"/>
  <c r="E8" i="16"/>
  <c r="E5" i="16"/>
  <c r="D6" i="16" a="1"/>
  <c r="D6" i="16" s="1"/>
  <c r="D7" i="16" a="1"/>
  <c r="D7" i="16" s="1"/>
  <c r="D8" i="16" a="1"/>
  <c r="D8" i="16" s="1"/>
  <c r="D5" i="16" a="1"/>
  <c r="D5" i="16" s="1"/>
  <c r="C6" i="16" a="1"/>
  <c r="C6" i="16" s="1"/>
  <c r="C7" i="16" a="1"/>
  <c r="C7" i="16" s="1"/>
  <c r="C8" i="16" a="1"/>
  <c r="C8" i="16" s="1"/>
  <c r="C5" i="16" a="1"/>
  <c r="C5" i="16" s="1"/>
  <c r="Z13" i="18" l="1"/>
  <c r="D29" i="6" s="1"/>
  <c r="Z12" i="18"/>
  <c r="D28" i="6" s="1"/>
  <c r="E10" i="20" l="1"/>
  <c r="C7" i="15" a="1"/>
  <c r="C7" i="15" s="1"/>
  <c r="C6" i="15" a="1"/>
  <c r="C6" i="15" s="1"/>
  <c r="C5" i="15" a="1"/>
  <c r="C5" i="15" s="1"/>
  <c r="C4" i="15" a="1"/>
  <c r="C4" i="15" s="1"/>
  <c r="C7" i="12" a="1"/>
  <c r="C7" i="12" s="1"/>
  <c r="C6" i="12" a="1"/>
  <c r="C6" i="12" s="1"/>
  <c r="C5" i="12" a="1"/>
  <c r="C5" i="12" s="1"/>
  <c r="C4" i="12" a="1"/>
  <c r="C4" i="12" s="1"/>
  <c r="C7" i="13" a="1"/>
  <c r="C7" i="13" s="1"/>
  <c r="C6" i="13" a="1"/>
  <c r="C6" i="13" s="1"/>
  <c r="C5" i="13" a="1"/>
  <c r="C5" i="13" s="1"/>
  <c r="C4" i="13" a="1"/>
  <c r="C4" i="13" s="1"/>
  <c r="C7" i="2" a="1"/>
  <c r="C7" i="2" s="1"/>
  <c r="C6" i="2" a="1"/>
  <c r="C6" i="2" s="1"/>
  <c r="C5" i="2" a="1"/>
  <c r="C5" i="2" s="1"/>
  <c r="C4" i="2" a="1"/>
  <c r="C4" i="2" s="1"/>
  <c r="C8" i="5" a="1"/>
  <c r="C8" i="5" s="1"/>
  <c r="C5" i="5" a="1"/>
  <c r="C5" i="5" s="1"/>
  <c r="C4" i="5" a="1"/>
  <c r="C4" i="5" s="1"/>
  <c r="C8" i="4" l="1" a="1"/>
  <c r="C8" i="4" s="1"/>
  <c r="C5" i="4" a="1"/>
  <c r="C5" i="4" s="1"/>
  <c r="C4" i="4" a="1"/>
  <c r="C4" i="4" s="1"/>
  <c r="C8" i="3" a="1"/>
  <c r="C8" i="3" s="1"/>
  <c r="C5" i="3" a="1"/>
  <c r="C5" i="3" s="1"/>
  <c r="C4" i="3" a="1"/>
  <c r="C4" i="3" s="1"/>
  <c r="K5" i="3" a="1"/>
  <c r="K5" i="3" s="1"/>
  <c r="K4" i="3" a="1"/>
  <c r="K4" i="3" s="1"/>
  <c r="F5" i="14" l="1"/>
  <c r="F4" i="14"/>
  <c r="F3" i="14"/>
  <c r="F2" i="14"/>
  <c r="V3" i="6" l="1"/>
  <c r="Q22" i="6" l="1"/>
  <c r="N22" i="6"/>
  <c r="R22" i="6" l="1"/>
  <c r="E11" i="20"/>
  <c r="P22" i="6"/>
  <c r="O22" i="6" l="1"/>
  <c r="F9" i="15" l="1"/>
  <c r="F5" i="15"/>
  <c r="F4" i="15"/>
  <c r="F6" i="15" s="1"/>
  <c r="F7" i="15" l="1"/>
  <c r="I4" i="15" s="1"/>
  <c r="G20" i="6"/>
  <c r="D20" i="6"/>
  <c r="G18" i="6"/>
  <c r="D18" i="6"/>
  <c r="I6" i="12" l="1"/>
  <c r="I6" i="13"/>
  <c r="F6" i="13" l="1"/>
  <c r="K18" i="6" s="1"/>
  <c r="F4" i="13"/>
  <c r="F5" i="13" s="1"/>
  <c r="F6" i="12"/>
  <c r="K20" i="6" s="1"/>
  <c r="F4" i="12"/>
  <c r="F5" i="12" s="1"/>
  <c r="J20" i="6" s="1"/>
  <c r="F7" i="13" l="1"/>
  <c r="J18" i="6"/>
  <c r="F7" i="12"/>
  <c r="I4" i="12" l="1"/>
  <c r="M20" i="6" s="1"/>
  <c r="E14" i="20" s="1"/>
  <c r="L20" i="6"/>
  <c r="I4" i="13"/>
  <c r="M18" i="6" s="1"/>
  <c r="E12" i="20" s="1"/>
  <c r="L18" i="6"/>
  <c r="Q18" i="6" l="1"/>
  <c r="O18" i="6"/>
  <c r="O20" i="6"/>
  <c r="Q20" i="6"/>
  <c r="N18" i="6"/>
  <c r="E13" i="20" s="1"/>
  <c r="N20" i="6"/>
  <c r="E15" i="20" s="1"/>
  <c r="P20" i="6" l="1"/>
  <c r="R20" i="6"/>
  <c r="P18" i="6"/>
  <c r="R18" i="6"/>
  <c r="I6" i="5"/>
  <c r="I6" i="4"/>
  <c r="I6" i="3"/>
  <c r="I6" i="2"/>
  <c r="G15" i="6"/>
  <c r="G14" i="6"/>
  <c r="G13" i="6"/>
  <c r="G12" i="6"/>
  <c r="G16" i="6" l="1"/>
  <c r="D15" i="6"/>
  <c r="D14" i="6"/>
  <c r="D13" i="6"/>
  <c r="D12" i="6"/>
  <c r="F5" i="5"/>
  <c r="J14" i="6" s="1"/>
  <c r="F4" i="5"/>
  <c r="F6" i="5" s="1"/>
  <c r="K14" i="6" s="1"/>
  <c r="F5" i="4"/>
  <c r="F4" i="4"/>
  <c r="F6" i="4" s="1"/>
  <c r="F5" i="3"/>
  <c r="J12" i="6" s="1"/>
  <c r="F4" i="3"/>
  <c r="F6" i="3" s="1"/>
  <c r="K12" i="6" s="1"/>
  <c r="F8" i="2"/>
  <c r="K15" i="6" s="1"/>
  <c r="F6" i="2"/>
  <c r="F4" i="2"/>
  <c r="F5" i="2" s="1"/>
  <c r="K16" i="6" l="1"/>
  <c r="F9" i="2"/>
  <c r="I4" i="2" s="1"/>
  <c r="M15" i="6" s="1"/>
  <c r="E8" i="20" s="1"/>
  <c r="J15" i="6"/>
  <c r="J16" i="6" s="1"/>
  <c r="D16" i="6"/>
  <c r="F7" i="3"/>
  <c r="L12" i="6" s="1"/>
  <c r="F7" i="5"/>
  <c r="I4" i="5" s="1"/>
  <c r="F7" i="4"/>
  <c r="O15" i="6" l="1"/>
  <c r="Q15" i="6"/>
  <c r="L15" i="6"/>
  <c r="N15" i="6"/>
  <c r="E9" i="20" s="1"/>
  <c r="I4" i="4"/>
  <c r="M13" i="6" s="1"/>
  <c r="E4" i="20" s="1"/>
  <c r="L13" i="6"/>
  <c r="I4" i="3"/>
  <c r="M12" i="6" s="1"/>
  <c r="E2" i="20" s="1"/>
  <c r="M14" i="6"/>
  <c r="E6" i="20" s="1"/>
  <c r="L14" i="6"/>
  <c r="L16" i="6" l="1"/>
  <c r="O14" i="6"/>
  <c r="Q14" i="6"/>
  <c r="O12" i="6"/>
  <c r="Q12" i="6"/>
  <c r="Q13" i="6"/>
  <c r="O13" i="6"/>
  <c r="R15" i="6"/>
  <c r="P15" i="6"/>
  <c r="N13" i="6"/>
  <c r="E5" i="20" s="1"/>
  <c r="N12" i="6"/>
  <c r="E3" i="20" s="1"/>
  <c r="N14" i="6"/>
  <c r="E7" i="20" s="1"/>
  <c r="M16" i="6"/>
  <c r="O16" i="6" l="1"/>
  <c r="Q16" i="6"/>
  <c r="P12" i="6"/>
  <c r="R12" i="6"/>
  <c r="P14" i="6"/>
  <c r="R14" i="6"/>
  <c r="R13" i="6"/>
  <c r="P13" i="6"/>
  <c r="N16" i="6"/>
  <c r="P16" i="6" l="1"/>
  <c r="R16" i="6"/>
</calcChain>
</file>

<file path=xl/connections.xml><?xml version="1.0" encoding="utf-8"?>
<connections xmlns="http://schemas.openxmlformats.org/spreadsheetml/2006/main">
  <connection id="1" name="1DayBusDateQuery" type="1" refreshedVersion="4" savePassword="1" saveData="1">
    <dbPr connection="DSN=Cello SQL Server;UID=report;PWD=gm4SJDw4;APP=Microsoft Office 2010;WSID=CELLO-PC4;DATABASE=Cello" command="select dbo.GetNthBusinessDate('2015-03-04',-1)"/>
  </connection>
  <connection id="2" name="1DayMtgRatesQuery" type="1" refreshedVersion="4" savePassword="1" saveData="1">
    <dbPr connection="DSN=Cello SQL Server;UID=report;PWD=gm4SJDw4;APP=Microsoft Office 2010;WSID=CELLO-PC4;DATABASE=Cello" command="select TickerName,Source,SeriesType,Category,AsOfDate,SeriesNumValue from TimeSeriesMeta m, TimeSeries t where TickerName IN ('30YrConformingFHA','30YrConformingConventional','30YrJumboConforming','30YrJumboNonConforming') and m.timeseriesmetaId = t.timeseriesmetaId and outTime='2099-01-01' and Category='MTG' AND AsOfDate= '2015-03-03' order by TickerName,Source,SeriesType,AsOfDate"/>
  </connection>
  <connection id="3" name="1WeekBusDateQuery" type="1" refreshedVersion="4" savePassword="1" saveData="1">
    <dbPr connection="DSN=Cello SQL Server;UID=report;PWD=gm4SJDw4;APP=Microsoft Office 2010;WSID=CELLO-PC4;DATABASE=Cello" command="select dbo.GetNthBusinessDate('2015-03-04',-5)"/>
  </connection>
  <connection id="4" name="1WeekMtgRatesQuery" type="1" refreshedVersion="4" savePassword="1" saveData="1">
    <dbPr connection="DSN=Cello SQL Server;UID=report;PWD=gm4SJDw4;APP=Microsoft Office 2010;WSID=CELLO-PC4;DATABASE=Cello" command="select TickerName,Source,SeriesType,Category,AsOfDate,SeriesNumValue from TimeSeriesMeta m, TimeSeries t where TickerName IN ('30YrConformingFHA','30YrConformingConventional','30YrJumboConforming','30YrJumboNonConforming') and m.timeseriesmetaId = t.timeseriesmetaId and outTime='2099-01-01' and Category='MTG' AND AsOfDate= '2015-02-25' order by TickerName,Source,SeriesType,AsOfDate"/>
  </connection>
  <connection id="5" name="CurrentCouponQuery" type="1" refreshedVersion="4" savePassword="1" saveData="1">
    <dbPr connection="DSN=Cello SQL Server Dev;Description=Cello SQL Server Dev;UID=dev;PWD=ufmg71dkiw;APP=Microsoft Office 2010;WSID=CELLO-PC4;DATABASE=Cello0217" command="select d.AsOfDate, m.TickerName, d.SeriesNumValue_x000d__x000a_ from TimeSeriesMeta as m,TimeSeries as d_x000d__x000a_               where m.TimeSeriesMetaId = d.TimeSeriesMetaId_x000d__x000a_               and d.AsOfDate = '20150304'_x000d__x000a__x0009__x0009__x0009__x0009_and m.source = 'CELLO' _x000d__x000a__x0009__x0009__x0009__x0009_--and *m.TickerName like'GN_CMM_30%'_x000d__x000a__x0009__x0009__x0009__x0009_and m.category = 'MTG' _x000d__x000a__x0009__x0009__x0009__x0009_order by d.AsOfDate"/>
  </connection>
  <connection id="6" name="CurrentMtgRatesQuery" type="1" refreshedVersion="4" savePassword="1" saveData="1">
    <dbPr connection="DSN=Cello SQL Server;UID=report;PWD=gm4SJDw4;APP=Microsoft Office 2010;WSID=CELLO-PC4;DATABASE=Cello" command="select TickerName,Source,SeriesType,Category,AsOfDate,SeriesNumValue from TimeSeriesMeta m, TimeSeries t where TickerName IN ('30YrConformingFHA','30YrConformingConventional','30YrJumboConforming','30YrJumboNonConforming') and m.timeseriesmetaId = t.timeseriesmetaId and outTime='2099-01-01' and Category='MTG' AND AsOfDate= '2015-03-04' order by TickerName,Source,SeriesType,AsOfDate"/>
  </connection>
</connections>
</file>

<file path=xl/sharedStrings.xml><?xml version="1.0" encoding="utf-8"?>
<sst xmlns="http://schemas.openxmlformats.org/spreadsheetml/2006/main" count="856" uniqueCount="89">
  <si>
    <t>APR</t>
  </si>
  <si>
    <t>Loan Amount</t>
  </si>
  <si>
    <t>n/a</t>
  </si>
  <si>
    <t>Input</t>
  </si>
  <si>
    <t>Closing costs</t>
  </si>
  <si>
    <t>Intermediate Calculation</t>
  </si>
  <si>
    <t>Loan Amount for APR</t>
  </si>
  <si>
    <t>Points</t>
  </si>
  <si>
    <t>Points for APR</t>
  </si>
  <si>
    <t>Origination Points</t>
  </si>
  <si>
    <t>Total Points</t>
  </si>
  <si>
    <t>1-point rate</t>
  </si>
  <si>
    <t>Result</t>
  </si>
  <si>
    <t>No need to calculate numbers in the gray area</t>
  </si>
  <si>
    <t>Discount Point</t>
  </si>
  <si>
    <t>Points for APR(as Discount Points)</t>
  </si>
  <si>
    <t>30-year Conforming Conventional</t>
  </si>
  <si>
    <t>Bank of America</t>
  </si>
  <si>
    <t>Chase</t>
  </si>
  <si>
    <t>Quicken</t>
  </si>
  <si>
    <t>Wells Fargo</t>
  </si>
  <si>
    <t>Interest Rate</t>
  </si>
  <si>
    <t>1-Point Rate</t>
  </si>
  <si>
    <t>Average</t>
  </si>
  <si>
    <t>One formula for AA Software</t>
  </si>
  <si>
    <t>Current Coupon</t>
  </si>
  <si>
    <t>Type</t>
  </si>
  <si>
    <t>Rate</t>
  </si>
  <si>
    <t>FNMA 30-Year</t>
  </si>
  <si>
    <t>GNMA 30-Year</t>
  </si>
  <si>
    <t>Servicing Spread</t>
  </si>
  <si>
    <t>Discount Points</t>
  </si>
  <si>
    <t>Base Rate</t>
  </si>
  <si>
    <t>30-year Jumbo Conforming</t>
  </si>
  <si>
    <t>30-year Jumbo Non-Conforming</t>
  </si>
  <si>
    <t>30-year FHA</t>
  </si>
  <si>
    <t>UFMIP</t>
  </si>
  <si>
    <t>Ann. MIP</t>
  </si>
  <si>
    <t>Date</t>
  </si>
  <si>
    <t>OriginatorNAme</t>
  </si>
  <si>
    <t>RateType</t>
  </si>
  <si>
    <t xml:space="preserve">Points </t>
  </si>
  <si>
    <t>Closing Cost</t>
  </si>
  <si>
    <t>Upfront MIP</t>
  </si>
  <si>
    <t>Closing Costs</t>
  </si>
  <si>
    <t>1D</t>
  </si>
  <si>
    <t>1W</t>
  </si>
  <si>
    <t>1D Rate Chg (bps)</t>
  </si>
  <si>
    <t>Source</t>
  </si>
  <si>
    <t>TickerName</t>
  </si>
  <si>
    <t>SeriesType</t>
  </si>
  <si>
    <t>Category</t>
  </si>
  <si>
    <t>AsOfDate</t>
  </si>
  <si>
    <t>SeriesNumValue</t>
  </si>
  <si>
    <t>MTG</t>
  </si>
  <si>
    <t>30YrConformingConventional</t>
  </si>
  <si>
    <t>2015-03-03</t>
  </si>
  <si>
    <t>30YrConformingFHA</t>
  </si>
  <si>
    <t>30YrJumboConforming</t>
  </si>
  <si>
    <t>30YrJumboNonConforming</t>
  </si>
  <si>
    <t>Sum of SeriesNumValue</t>
  </si>
  <si>
    <t>Database Env</t>
  </si>
  <si>
    <t>As of Date</t>
  </si>
  <si>
    <t>Originator Mortgage Rates</t>
  </si>
  <si>
    <t>Column1</t>
  </si>
  <si>
    <t>1 Day</t>
  </si>
  <si>
    <t>1 Week Date</t>
  </si>
  <si>
    <t>1 Day Date</t>
  </si>
  <si>
    <t>Current Date</t>
  </si>
  <si>
    <t>1 Week</t>
  </si>
  <si>
    <t>Current RATES Summary</t>
  </si>
  <si>
    <t>1 Day RATES Summary</t>
  </si>
  <si>
    <t>1 Week RATES Summary</t>
  </si>
  <si>
    <t>Report Name</t>
  </si>
  <si>
    <t>(blank)</t>
  </si>
  <si>
    <t>1wk Rate Chg</t>
  </si>
  <si>
    <t>1wk SS Chg</t>
  </si>
  <si>
    <t>1D SS Chg</t>
  </si>
  <si>
    <t xml:space="preserve"> 30YrJumboConforming</t>
  </si>
  <si>
    <t>2.25 </t>
  </si>
  <si>
    <t>Closing cost</t>
  </si>
  <si>
    <t>1Point Rate</t>
  </si>
  <si>
    <t>2015-03-04</t>
  </si>
  <si>
    <t>GN_CMM_30Yr</t>
  </si>
  <si>
    <t>FN_CMM_30Yr</t>
  </si>
  <si>
    <t>Save Data to DB</t>
  </si>
  <si>
    <t>2015-02-25</t>
  </si>
  <si>
    <t>PROD</t>
  </si>
  <si>
    <t>Yes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</si>
</sst>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8">
    <numFmt numFmtId="5" formatCode="&quot;$&quot;#,##0_);\(&quot;$&quot;#,##0\)"/>
    <numFmt numFmtId="8" formatCode="&quot;$&quot;#,##0.00_);[Red]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&quot;$&quot;#,##0.00"/>
    <numFmt numFmtId="165" formatCode="0.000%"/>
    <numFmt numFmtId="166" formatCode="0.000"/>
    <numFmt numFmtId="167" formatCode="0.0"/>
    <numFmt numFmtId="168" formatCode="\£\ #,##0_);[Red]\(\£\ #,##0\)"/>
    <numFmt numFmtId="169" formatCode="\¥\ #,##0_);[Red]\(\¥\ #,##0\)"/>
    <numFmt numFmtId="170" formatCode="\•\ \ @"/>
    <numFmt numFmtId="171" formatCode="_(&quot;$&quot;* #,##0_);_(&quot;$&quot;* \(#,##0.0\);_(&quot;$&quot;* &quot;-&quot;??_);_(@_)"/>
    <numFmt numFmtId="172" formatCode="&quot;$&quot;#,##0.000"/>
    <numFmt numFmtId="173" formatCode="&quot;$&quot;#,##0.000000_);\(&quot;$&quot;#,##0.000000\)"/>
    <numFmt numFmtId="174" formatCode="#,##0.0_);[Red]\(&quot;$&quot;#,##0.0\)"/>
    <numFmt numFmtId="175" formatCode="0.000_)"/>
    <numFmt numFmtId="176" formatCode="\ \ _•\–\ \ \ \ @"/>
    <numFmt numFmtId="177" formatCode="0.00&quot;%&quot;"/>
    <numFmt numFmtId="178" formatCode="0&quot;%&quot;"/>
    <numFmt numFmtId="179" formatCode="mmmm\ d\,\ yyyy"/>
    <numFmt numFmtId="180" formatCode="0.0000000"/>
    <numFmt numFmtId="181" formatCode="_([$€-2]* #,##0.00_);_([$€-2]* \(#,##0.00\);_([$€-2]* &quot;-&quot;??_)"/>
    <numFmt numFmtId="182" formatCode="dd\-mmm\-yy\ hh:mm:ss"/>
    <numFmt numFmtId="183" formatCode="0.00_)"/>
    <numFmt numFmtId="184" formatCode="0.0#\%;\-0.0#\%"/>
    <numFmt numFmtId="185" formatCode="#,##0.0\ ;\(#,##0.0\)"/>
    <numFmt numFmtId="186" formatCode="#,##0\ \ \ ;\(#,##0\)\ \ "/>
    <numFmt numFmtId="187" formatCode="0.0000_)"/>
    <numFmt numFmtId="188" formatCode="0.000;\-0.000"/>
    <numFmt numFmtId="189" formatCode="0.00;\-0.00"/>
    <numFmt numFmtId="190" formatCode="#,##0.0_);\(#,##0.0\)"/>
    <numFmt numFmtId="191" formatCode="mm/dd/yy"/>
    <numFmt numFmtId="192" formatCode="#,###\ &quot;Months&quot;"/>
    <numFmt numFmtId="193" formatCode="##########.###"/>
    <numFmt numFmtId="194" formatCode="0.0#%"/>
    <numFmt numFmtId="195" formatCode="0.0;\-0.0"/>
    <numFmt numFmtId="196" formatCode="0.0%"/>
    <numFmt numFmtId="197" formatCode="_(* #,##0.000_);_(* \(#,##0.000\);_(* &quot;-&quot;??_);_(@_)"/>
  </numFmts>
  <fonts count="138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A7D00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sz val="10"/>
      <color theme="4"/>
      <name val="Calibri"/>
      <family val="2"/>
      <scheme val="minor"/>
    </font>
    <font>
      <sz val="10"/>
      <color theme="1" tint="0.499984740745262"/>
      <name val="Calibri"/>
      <family val="2"/>
      <scheme val="minor"/>
    </font>
    <font>
      <sz val="10"/>
      <color theme="6" tint="-0.24994659260841701"/>
      <name val="Calibri"/>
      <family val="2"/>
      <scheme val="minor"/>
    </font>
    <font>
      <sz val="10"/>
      <color theme="2" tint="-0.499984740745262"/>
      <name val="Calibri"/>
      <family val="2"/>
      <scheme val="minor"/>
    </font>
    <font>
      <sz val="11"/>
      <color theme="2" tint="-0.499984740745262"/>
      <name val="Calibri"/>
      <family val="2"/>
      <scheme val="minor"/>
    </font>
    <font>
      <sz val="11"/>
      <color theme="6" tint="-0.24994659260841701"/>
      <name val="Calibri"/>
      <family val="2"/>
      <scheme val="minor"/>
    </font>
    <font>
      <sz val="10"/>
      <color rgb="FFFA7D00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9"/>
      <color theme="1"/>
      <name val="Arial"/>
      <family val="2"/>
    </font>
    <font>
      <sz val="10"/>
      <name val="Arial"/>
      <family val="2"/>
    </font>
    <font>
      <sz val="12"/>
      <name val="Times New Roman"/>
      <family val="1"/>
    </font>
    <font>
      <sz val="10"/>
      <color indexed="8"/>
      <name val="Calibri"/>
      <family val="2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0"/>
      <color indexed="9"/>
      <name val="Calibri"/>
      <family val="2"/>
    </font>
    <font>
      <sz val="10"/>
      <color indexed="9"/>
      <name val="Arial"/>
      <family val="2"/>
    </font>
    <font>
      <sz val="11"/>
      <color indexed="9"/>
      <name val="Calibri"/>
      <family val="2"/>
    </font>
    <font>
      <sz val="10"/>
      <color indexed="20"/>
      <name val="Calibri"/>
      <family val="2"/>
    </font>
    <font>
      <sz val="10"/>
      <color indexed="10"/>
      <name val="Arial"/>
      <family val="2"/>
    </font>
    <font>
      <sz val="11"/>
      <color indexed="20"/>
      <name val="Calibri"/>
      <family val="2"/>
    </font>
    <font>
      <b/>
      <sz val="10"/>
      <color indexed="8"/>
      <name val="Arial"/>
      <family val="2"/>
    </font>
    <font>
      <sz val="8"/>
      <color indexed="12"/>
      <name val="Tms Rmn"/>
    </font>
    <font>
      <b/>
      <sz val="8"/>
      <color indexed="9"/>
      <name val="Arial"/>
      <family val="2"/>
    </font>
    <font>
      <b/>
      <sz val="9"/>
      <color indexed="12"/>
      <name val="Arial"/>
      <family val="2"/>
    </font>
    <font>
      <sz val="12"/>
      <name val="Tms Rmn"/>
    </font>
    <font>
      <b/>
      <sz val="12"/>
      <name val="Times New Roman"/>
      <family val="1"/>
    </font>
    <font>
      <sz val="9"/>
      <name val="Arial"/>
      <family val="2"/>
    </font>
    <font>
      <sz val="10"/>
      <name val="Century Schoolbook"/>
      <family val="1"/>
    </font>
    <font>
      <b/>
      <sz val="10"/>
      <color indexed="52"/>
      <name val="Calibri"/>
      <family val="2"/>
    </font>
    <font>
      <b/>
      <sz val="10"/>
      <color indexed="52"/>
      <name val="Arial"/>
      <family val="2"/>
    </font>
    <font>
      <b/>
      <sz val="11"/>
      <color indexed="52"/>
      <name val="Calibri"/>
      <family val="2"/>
    </font>
    <font>
      <sz val="11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b/>
      <sz val="10"/>
      <color indexed="9"/>
      <name val="Calibri"/>
      <family val="2"/>
    </font>
    <font>
      <b/>
      <sz val="10"/>
      <color indexed="9"/>
      <name val="Arial"/>
      <family val="2"/>
    </font>
    <font>
      <b/>
      <sz val="11"/>
      <color indexed="9"/>
      <name val="Calibri"/>
      <family val="2"/>
    </font>
    <font>
      <sz val="8"/>
      <name val="Arial"/>
      <family val="2"/>
    </font>
    <font>
      <sz val="11"/>
      <name val="Tms Rmn"/>
      <family val="1"/>
    </font>
    <font>
      <sz val="11"/>
      <name val="Tms Rmn"/>
    </font>
    <font>
      <sz val="10"/>
      <name val="Helv"/>
    </font>
    <font>
      <sz val="10"/>
      <name val="MS Serif"/>
      <family val="1"/>
    </font>
    <font>
      <b/>
      <sz val="8"/>
      <name val="Arial"/>
      <family val="2"/>
    </font>
    <font>
      <sz val="11"/>
      <color indexed="12"/>
      <name val="Book Antiqua"/>
      <family val="1"/>
    </font>
    <font>
      <sz val="10"/>
      <name val="Times New Roman"/>
      <family val="1"/>
    </font>
    <font>
      <b/>
      <sz val="10"/>
      <name val="Arial"/>
      <family val="2"/>
    </font>
    <font>
      <b/>
      <i/>
      <sz val="10"/>
      <name val="Arial"/>
      <family val="2"/>
    </font>
    <font>
      <sz val="10"/>
      <name val="MS Sans Serif"/>
      <family val="2"/>
    </font>
    <font>
      <sz val="10"/>
      <color indexed="16"/>
      <name val="MS Serif"/>
      <family val="1"/>
    </font>
    <font>
      <b/>
      <sz val="9.5"/>
      <color indexed="10"/>
      <name val="Arial"/>
      <family val="2"/>
    </font>
    <font>
      <i/>
      <sz val="10"/>
      <color indexed="23"/>
      <name val="Calibri"/>
      <family val="2"/>
    </font>
    <font>
      <i/>
      <sz val="10"/>
      <color indexed="23"/>
      <name val="Arial"/>
      <family val="2"/>
    </font>
    <font>
      <i/>
      <sz val="11"/>
      <color indexed="23"/>
      <name val="Calibri"/>
      <family val="2"/>
    </font>
    <font>
      <sz val="10"/>
      <color indexed="17"/>
      <name val="Calibri"/>
      <family val="2"/>
    </font>
    <font>
      <sz val="10"/>
      <color indexed="17"/>
      <name val="Arial"/>
      <family val="2"/>
    </font>
    <font>
      <sz val="11"/>
      <color indexed="17"/>
      <name val="Calibri"/>
      <family val="2"/>
    </font>
    <font>
      <b/>
      <sz val="9"/>
      <color indexed="23"/>
      <name val="Arial"/>
      <family val="2"/>
    </font>
    <font>
      <b/>
      <sz val="12"/>
      <name val="Arial"/>
      <family val="2"/>
    </font>
    <font>
      <b/>
      <sz val="11"/>
      <name val="Book Antiqua"/>
      <family val="1"/>
    </font>
    <font>
      <b/>
      <sz val="15"/>
      <color indexed="62"/>
      <name val="Calibri"/>
      <family val="2"/>
    </font>
    <font>
      <b/>
      <sz val="15"/>
      <color indexed="56"/>
      <name val="Arial"/>
      <family val="2"/>
    </font>
    <font>
      <b/>
      <sz val="10"/>
      <name val="Times New Roman"/>
      <family val="1"/>
    </font>
    <font>
      <b/>
      <sz val="18"/>
      <name val="Arial"/>
      <family val="2"/>
    </font>
    <font>
      <b/>
      <sz val="15"/>
      <color indexed="56"/>
      <name val="Calibri"/>
      <family val="2"/>
    </font>
    <font>
      <b/>
      <sz val="13"/>
      <color indexed="62"/>
      <name val="Calibri"/>
      <family val="2"/>
    </font>
    <font>
      <b/>
      <sz val="13"/>
      <color indexed="56"/>
      <name val="Arial"/>
      <family val="2"/>
    </font>
    <font>
      <b/>
      <sz val="13"/>
      <color indexed="56"/>
      <name val="Calibri"/>
      <family val="2"/>
    </font>
    <font>
      <b/>
      <sz val="11"/>
      <color indexed="62"/>
      <name val="Calibri"/>
      <family val="2"/>
    </font>
    <font>
      <b/>
      <sz val="11"/>
      <color indexed="56"/>
      <name val="Arial"/>
      <family val="2"/>
    </font>
    <font>
      <b/>
      <sz val="11"/>
      <color indexed="56"/>
      <name val="Calibri"/>
      <family val="2"/>
    </font>
    <font>
      <b/>
      <sz val="16"/>
      <color indexed="8"/>
      <name val="Arial"/>
      <family val="2"/>
    </font>
    <font>
      <u/>
      <sz val="9"/>
      <color theme="10"/>
      <name val="Arial"/>
      <family val="2"/>
    </font>
    <font>
      <sz val="10"/>
      <color indexed="12"/>
      <name val="MS Sans Serif"/>
      <family val="2"/>
    </font>
    <font>
      <sz val="10"/>
      <color indexed="56"/>
      <name val="Arial"/>
      <family val="2"/>
    </font>
    <font>
      <sz val="10"/>
      <color indexed="12"/>
      <name val="Arial"/>
      <family val="2"/>
    </font>
    <font>
      <b/>
      <sz val="10"/>
      <name val="Book Antiqua"/>
      <family val="1"/>
    </font>
    <font>
      <sz val="10"/>
      <color indexed="52"/>
      <name val="Calibri"/>
      <family val="2"/>
    </font>
    <font>
      <sz val="10"/>
      <color indexed="52"/>
      <name val="Arial"/>
      <family val="2"/>
    </font>
    <font>
      <sz val="11"/>
      <color indexed="52"/>
      <name val="Calibri"/>
      <family val="2"/>
    </font>
    <font>
      <sz val="10"/>
      <color indexed="60"/>
      <name val="Calibri"/>
      <family val="2"/>
    </font>
    <font>
      <sz val="10"/>
      <color indexed="60"/>
      <name val="Arial"/>
      <family val="2"/>
    </font>
    <font>
      <sz val="11"/>
      <color indexed="60"/>
      <name val="Calibri"/>
      <family val="2"/>
    </font>
    <font>
      <sz val="7"/>
      <name val="Small Fonts"/>
      <family val="2"/>
    </font>
    <font>
      <b/>
      <i/>
      <sz val="16"/>
      <name val="Helv"/>
    </font>
    <font>
      <b/>
      <sz val="11"/>
      <name val="Arial"/>
      <family val="2"/>
    </font>
    <font>
      <b/>
      <i/>
      <sz val="8"/>
      <name val="Book Antiqua"/>
      <family val="1"/>
    </font>
    <font>
      <sz val="10"/>
      <name val="Book Antiqua"/>
      <family val="1"/>
    </font>
    <font>
      <b/>
      <sz val="9"/>
      <color indexed="52"/>
      <name val="Arial"/>
      <family val="2"/>
    </font>
    <font>
      <b/>
      <sz val="10"/>
      <color indexed="63"/>
      <name val="Calibri"/>
      <family val="2"/>
    </font>
    <font>
      <b/>
      <sz val="10"/>
      <color indexed="63"/>
      <name val="Arial"/>
      <family val="2"/>
    </font>
    <font>
      <b/>
      <sz val="11"/>
      <color indexed="63"/>
      <name val="Calibri"/>
      <family val="2"/>
    </font>
    <font>
      <b/>
      <i/>
      <sz val="10"/>
      <color indexed="8"/>
      <name val="Arial"/>
      <family val="2"/>
    </font>
    <font>
      <b/>
      <sz val="11"/>
      <color indexed="21"/>
      <name val="Arial"/>
      <family val="2"/>
    </font>
    <font>
      <b/>
      <sz val="22"/>
      <color indexed="21"/>
      <name val="Times New Roman"/>
      <family val="1"/>
    </font>
    <font>
      <sz val="9"/>
      <name val="Times New Roman"/>
      <family val="1"/>
    </font>
    <font>
      <b/>
      <sz val="9"/>
      <name val="Arial"/>
      <family val="2"/>
    </font>
    <font>
      <b/>
      <sz val="10"/>
      <color indexed="8"/>
      <name val="Arial Narrow"/>
      <family val="2"/>
    </font>
    <font>
      <b/>
      <sz val="10"/>
      <name val="MS Sans Serif"/>
      <family val="2"/>
    </font>
    <font>
      <sz val="8"/>
      <name val="Helv"/>
    </font>
    <font>
      <b/>
      <sz val="14"/>
      <name val="Arial Narrow"/>
      <family val="2"/>
    </font>
    <font>
      <sz val="9"/>
      <color indexed="10"/>
      <name val="Arial"/>
      <family val="2"/>
    </font>
    <font>
      <sz val="9"/>
      <color indexed="8"/>
      <name val="Times New Roman"/>
      <family val="1"/>
    </font>
    <font>
      <b/>
      <sz val="8"/>
      <color indexed="12"/>
      <name val="Arial"/>
      <family val="2"/>
    </font>
    <font>
      <b/>
      <sz val="8"/>
      <color indexed="8"/>
      <name val="Helv"/>
    </font>
    <font>
      <b/>
      <i/>
      <sz val="9"/>
      <name val="Arial"/>
      <family val="2"/>
    </font>
    <font>
      <sz val="9"/>
      <color indexed="9"/>
      <name val="Arial"/>
      <family val="2"/>
    </font>
    <font>
      <b/>
      <u/>
      <sz val="8"/>
      <name val="Arial"/>
      <family val="2"/>
    </font>
    <font>
      <sz val="8"/>
      <name val="Book Antiqua"/>
      <family val="1"/>
    </font>
    <font>
      <sz val="10"/>
      <name val="Courier New"/>
      <family val="3"/>
    </font>
    <font>
      <sz val="10"/>
      <color indexed="12"/>
      <name val="Courier New"/>
      <family val="3"/>
    </font>
    <font>
      <b/>
      <u/>
      <sz val="9"/>
      <name val="Arial"/>
      <family val="2"/>
    </font>
    <font>
      <b/>
      <sz val="18"/>
      <color indexed="62"/>
      <name val="Cambria"/>
      <family val="2"/>
    </font>
    <font>
      <b/>
      <sz val="18"/>
      <color indexed="56"/>
      <name val="Cambria"/>
      <family val="2"/>
    </font>
    <font>
      <b/>
      <sz val="10"/>
      <color indexed="8"/>
      <name val="Calibri"/>
      <family val="2"/>
    </font>
    <font>
      <b/>
      <sz val="11"/>
      <color indexed="8"/>
      <name val="Calibri"/>
      <family val="2"/>
    </font>
    <font>
      <b/>
      <sz val="16"/>
      <color indexed="10"/>
      <name val="Arial"/>
      <family val="2"/>
    </font>
    <font>
      <sz val="10"/>
      <color indexed="10"/>
      <name val="Calibri"/>
      <family val="2"/>
    </font>
    <font>
      <sz val="10"/>
      <color indexed="53"/>
      <name val="Arial"/>
      <family val="2"/>
    </font>
    <font>
      <sz val="11"/>
      <color indexed="10"/>
      <name val="Calibri"/>
      <family val="2"/>
    </font>
    <font>
      <sz val="11"/>
      <color theme="5"/>
      <name val="Calibri"/>
      <family val="2"/>
      <scheme val="minor"/>
    </font>
    <font>
      <sz val="11"/>
      <color theme="7" tint="-0.24994659260841701"/>
      <name val="Calibri"/>
      <family val="2"/>
      <scheme val="minor"/>
    </font>
    <font>
      <sz val="10"/>
      <color rgb="FF000000"/>
      <name val="Calibri"/>
      <family val="2"/>
    </font>
    <font>
      <b/>
      <sz val="10"/>
      <color rgb="FF000000"/>
      <name val="Calibri"/>
      <family val="2"/>
    </font>
    <font>
      <sz val="10"/>
      <color rgb="FF222222"/>
      <name val="Arial"/>
      <family val="2"/>
    </font>
    <font>
      <b/>
      <sz val="11"/>
      <color theme="5" tint="-0.249977111117893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6"/>
      <color theme="0"/>
      <name val="Century Gothic"/>
      <family val="2"/>
    </font>
    <font>
      <b/>
      <sz val="11"/>
      <color rgb="FFAD275C"/>
      <name val="Calibri"/>
      <family val="2"/>
      <scheme val="minor"/>
    </font>
    <font>
      <b/>
      <sz val="18"/>
      <name val="Calibri"/>
      <family val="2"/>
      <scheme val="minor"/>
    </font>
    <font>
      <sz val="9"/>
      <name val="Calibri"/>
      <family val="2"/>
      <scheme val="minor"/>
    </font>
    <font>
      <b/>
      <sz val="10"/>
      <name val="Calibri"/>
      <family val="2"/>
      <scheme val="minor"/>
    </font>
  </fonts>
  <fills count="54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FFFCC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6F9FC"/>
        <bgColor indexed="64"/>
      </patternFill>
    </fill>
    <fill>
      <patternFill patternType="solid">
        <fgColor rgb="FFEFF3E5"/>
        <bgColor indexed="64"/>
      </patternFill>
    </fill>
    <fill>
      <patternFill patternType="solid">
        <fgColor rgb="FFF2F1EA"/>
        <bgColor indexed="64"/>
      </patternFill>
    </fill>
    <fill>
      <patternFill patternType="solid">
        <fgColor rgb="FFE5F4F7"/>
        <bgColor indexed="64"/>
      </patternFill>
    </fill>
    <fill>
      <patternFill patternType="solid">
        <fgColor rgb="FFF8F8F8"/>
        <bgColor indexed="64"/>
      </patternFill>
    </fill>
    <fill>
      <patternFill patternType="solid">
        <fgColor rgb="FFEFEBE4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indexed="47"/>
      </patternFill>
    </fill>
    <fill>
      <patternFill patternType="solid">
        <fgColor indexed="45"/>
      </patternFill>
    </fill>
    <fill>
      <patternFill patternType="solid">
        <fgColor indexed="26"/>
      </patternFill>
    </fill>
    <fill>
      <patternFill patternType="solid">
        <fgColor indexed="42"/>
      </patternFill>
    </fill>
    <fill>
      <patternFill patternType="solid">
        <fgColor indexed="9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13"/>
      </patternFill>
    </fill>
    <fill>
      <patternFill patternType="solid">
        <fgColor indexed="22"/>
      </patternFill>
    </fill>
    <fill>
      <patternFill patternType="solid">
        <fgColor indexed="40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41"/>
      </patternFill>
    </fill>
    <fill>
      <patternFill patternType="solid">
        <fgColor indexed="51"/>
      </patternFill>
    </fill>
    <fill>
      <patternFill patternType="solid">
        <fgColor indexed="49"/>
      </patternFill>
    </fill>
    <fill>
      <patternFill patternType="solid">
        <fgColor indexed="15"/>
      </patternFill>
    </fill>
    <fill>
      <patternFill patternType="solid">
        <fgColor indexed="30"/>
      </patternFill>
    </fill>
    <fill>
      <patternFill patternType="solid">
        <fgColor indexed="18"/>
      </patternFill>
    </fill>
    <fill>
      <patternFill patternType="solid">
        <fgColor indexed="36"/>
      </patternFill>
    </fill>
    <fill>
      <patternFill patternType="solid">
        <fgColor indexed="52"/>
      </patternFill>
    </fill>
    <fill>
      <patternFill patternType="solid">
        <fgColor indexed="54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19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3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3"/>
      </patternFill>
    </fill>
    <fill>
      <patternFill patternType="solid">
        <fgColor theme="2"/>
        <bgColor indexed="64"/>
      </patternFill>
    </fill>
    <fill>
      <patternFill patternType="solid">
        <fgColor indexed="55"/>
      </patternFill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21"/>
        <bgColor indexed="64"/>
      </patternFill>
    </fill>
    <fill>
      <patternFill patternType="solid">
        <fgColor indexed="8"/>
      </patternFill>
    </fill>
    <fill>
      <patternFill patternType="solid">
        <fgColor rgb="FFEFEBE4"/>
        <bgColor rgb="FF000000"/>
      </patternFill>
    </fill>
    <fill>
      <patternFill patternType="solid">
        <fgColor theme="4" tint="-0.499984740745262"/>
        <bgColor indexed="64"/>
      </patternFill>
    </fill>
  </fills>
  <borders count="64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hair">
        <color rgb="FF7F7F7F"/>
      </top>
      <bottom style="hair">
        <color rgb="FF7F7F7F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rgb="FF3F3F3F"/>
      </top>
      <bottom style="hair">
        <color rgb="FF3F3F3F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 style="thin">
        <color indexed="8"/>
      </right>
      <top style="thin">
        <color indexed="8"/>
      </top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54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thick">
        <color indexed="15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medium">
        <color indexed="15"/>
      </bottom>
      <diagonal/>
    </border>
    <border>
      <left/>
      <right/>
      <top/>
      <bottom style="medium">
        <color indexed="3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dotted">
        <color indexed="64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ck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 style="thin">
        <color indexed="54"/>
      </top>
      <bottom style="double">
        <color indexed="54"/>
      </bottom>
      <diagonal/>
    </border>
    <border>
      <left/>
      <right/>
      <top style="double">
        <color indexed="64"/>
      </top>
      <bottom/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rgb="FF2E398A"/>
      </right>
      <top/>
      <bottom/>
      <diagonal/>
    </border>
    <border>
      <left/>
      <right/>
      <top style="thin">
        <color indexed="64"/>
      </top>
      <bottom style="thin">
        <color rgb="FF2E398A"/>
      </bottom>
      <diagonal/>
    </border>
    <border>
      <left/>
      <right/>
      <top/>
      <bottom style="thin">
        <color rgb="FF2E398A"/>
      </bottom>
      <diagonal/>
    </border>
    <border>
      <left/>
      <right style="thin">
        <color rgb="FF2E398A"/>
      </right>
      <top/>
      <bottom style="thin">
        <color rgb="FF2E398A"/>
      </bottom>
      <diagonal/>
    </border>
    <border>
      <left style="thin">
        <color rgb="FF2E398A"/>
      </left>
      <right/>
      <top/>
      <bottom/>
      <diagonal/>
    </border>
    <border>
      <left style="thin">
        <color rgb="FF2E398A"/>
      </left>
      <right/>
      <top/>
      <bottom style="thin">
        <color indexed="64"/>
      </bottom>
      <diagonal/>
    </border>
    <border>
      <left style="thin">
        <color rgb="FF2E398A"/>
      </left>
      <right/>
      <top/>
      <bottom style="thin">
        <color rgb="FF2E398A"/>
      </bottom>
      <diagonal/>
    </border>
    <border>
      <left/>
      <right style="thin">
        <color rgb="FF2E398A"/>
      </right>
      <top/>
      <bottom style="thin">
        <color indexed="64"/>
      </bottom>
      <diagonal/>
    </border>
    <border>
      <left style="thin">
        <color rgb="FF2E398A"/>
      </left>
      <right/>
      <top style="thin">
        <color indexed="64"/>
      </top>
      <bottom style="thin">
        <color rgb="FF2E398A"/>
      </bottom>
      <diagonal/>
    </border>
    <border>
      <left/>
      <right style="thin">
        <color rgb="FF2E398A"/>
      </right>
      <top style="thin">
        <color indexed="64"/>
      </top>
      <bottom style="thin">
        <color rgb="FF2E398A"/>
      </bottom>
      <diagonal/>
    </border>
    <border>
      <left style="thin">
        <color rgb="FF2E398A"/>
      </left>
      <right/>
      <top style="thin">
        <color rgb="FF2E398A"/>
      </top>
      <bottom style="thin">
        <color rgb="FF2E398A"/>
      </bottom>
      <diagonal/>
    </border>
    <border>
      <left/>
      <right/>
      <top style="thin">
        <color rgb="FF2E398A"/>
      </top>
      <bottom style="thin">
        <color rgb="FF2E398A"/>
      </bottom>
      <diagonal/>
    </border>
    <border>
      <left/>
      <right style="thin">
        <color rgb="FF2E398A"/>
      </right>
      <top style="thin">
        <color rgb="FF2E398A"/>
      </top>
      <bottom style="thin">
        <color rgb="FF2E398A"/>
      </bottom>
      <diagonal/>
    </border>
    <border>
      <left style="thin">
        <color theme="4"/>
      </left>
      <right/>
      <top style="thin">
        <color theme="4"/>
      </top>
      <bottom/>
      <diagonal/>
    </border>
    <border>
      <left/>
      <right/>
      <top style="thin">
        <color theme="4"/>
      </top>
      <bottom/>
      <diagonal/>
    </border>
    <border>
      <left style="thin">
        <color rgb="FF2E398A"/>
      </left>
      <right style="thin">
        <color rgb="FF2E398A"/>
      </right>
      <top style="thin">
        <color rgb="FF2E398A"/>
      </top>
      <bottom style="thin">
        <color rgb="FF2E398A"/>
      </bottom>
      <diagonal/>
    </border>
    <border>
      <left style="thin">
        <color theme="4"/>
      </left>
      <right/>
      <top style="thin">
        <color theme="4"/>
      </top>
      <bottom style="thin">
        <color rgb="FF2E398A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theme="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theme="4"/>
      </top>
      <bottom/>
      <diagonal/>
    </border>
    <border>
      <left/>
      <right style="thin">
        <color indexed="64"/>
      </right>
      <top style="thin">
        <color theme="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528">
    <xf numFmtId="0" fontId="0" fillId="0" borderId="0"/>
    <xf numFmtId="9" fontId="2" fillId="0" borderId="0" applyFont="0" applyFill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6" fillId="6" borderId="3" applyNumberFormat="0"/>
    <xf numFmtId="0" fontId="7" fillId="7" borderId="4" applyNumberFormat="0"/>
    <xf numFmtId="14" fontId="8" fillId="6" borderId="5" applyNumberFormat="0" applyAlignment="0"/>
    <xf numFmtId="0" fontId="2" fillId="0" borderId="0"/>
    <xf numFmtId="0" fontId="2" fillId="0" borderId="0"/>
    <xf numFmtId="0" fontId="6" fillId="6" borderId="0"/>
    <xf numFmtId="0" fontId="6" fillId="3" borderId="2" applyNumberFormat="0" applyFont="0" applyAlignment="0" applyProtection="0"/>
    <xf numFmtId="0" fontId="6" fillId="8" borderId="6" applyBorder="0">
      <alignment horizontal="center" wrapText="1"/>
    </xf>
    <xf numFmtId="0" fontId="6" fillId="9" borderId="7" applyBorder="0">
      <alignment horizontal="center" wrapText="1"/>
    </xf>
    <xf numFmtId="0" fontId="5" fillId="10" borderId="7" applyBorder="0">
      <alignment horizontal="center" wrapText="1"/>
    </xf>
    <xf numFmtId="1" fontId="9" fillId="6" borderId="5"/>
    <xf numFmtId="0" fontId="10" fillId="6" borderId="4" applyNumberFormat="0" applyAlignment="0"/>
    <xf numFmtId="0" fontId="11" fillId="11" borderId="4" applyNumberFormat="0" applyAlignment="0"/>
    <xf numFmtId="166" fontId="12" fillId="11" borderId="5" applyNumberFormat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15" fillId="13" borderId="7" applyBorder="0">
      <alignment horizontal="center" wrapText="1"/>
    </xf>
    <xf numFmtId="0" fontId="6" fillId="14" borderId="3" applyNumberFormat="0"/>
    <xf numFmtId="0" fontId="7" fillId="7" borderId="4" applyNumberFormat="0" applyBorder="0"/>
    <xf numFmtId="0" fontId="7" fillId="7" borderId="4" applyNumberFormat="0"/>
    <xf numFmtId="0" fontId="2" fillId="0" borderId="0"/>
    <xf numFmtId="0" fontId="2" fillId="0" borderId="0"/>
    <xf numFmtId="0" fontId="16" fillId="0" borderId="0"/>
    <xf numFmtId="0" fontId="15" fillId="15" borderId="7" applyBorder="0">
      <alignment horizontal="center" wrapText="1"/>
    </xf>
    <xf numFmtId="0" fontId="15" fillId="15" borderId="7" applyBorder="0">
      <alignment horizontal="center" wrapText="1"/>
    </xf>
    <xf numFmtId="0" fontId="5" fillId="10" borderId="7" applyBorder="0">
      <alignment horizontal="center" wrapText="1"/>
    </xf>
    <xf numFmtId="0" fontId="5" fillId="10" borderId="7" applyBorder="0">
      <alignment horizontal="center" wrapText="1"/>
    </xf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17" fillId="0" borderId="0" applyNumberFormat="0" applyFill="0" applyBorder="0" applyAlignment="0" applyProtection="0">
      <alignment horizontal="left" wrapText="1"/>
    </xf>
    <xf numFmtId="0" fontId="17" fillId="0" borderId="0" applyNumberFormat="0" applyFill="0" applyBorder="0" applyAlignment="0" applyProtection="0">
      <alignment horizontal="left" wrapText="1"/>
    </xf>
    <xf numFmtId="0" fontId="17" fillId="0" borderId="0" applyNumberFormat="0" applyFill="0" applyBorder="0" applyAlignment="0" applyProtection="0">
      <alignment horizontal="left" wrapText="1"/>
    </xf>
    <xf numFmtId="0" fontId="17" fillId="0" borderId="0" applyNumberFormat="0" applyFill="0" applyBorder="0" applyAlignment="0" applyProtection="0">
      <alignment horizontal="left" wrapText="1"/>
    </xf>
    <xf numFmtId="168" fontId="18" fillId="0" borderId="0" applyFont="0" applyFill="0" applyBorder="0" applyAlignment="0" applyProtection="0"/>
    <xf numFmtId="169" fontId="18" fillId="0" borderId="0" applyFont="0" applyFill="0" applyBorder="0" applyAlignment="0" applyProtection="0"/>
    <xf numFmtId="0" fontId="19" fillId="16" borderId="0" applyNumberFormat="0" applyBorder="0" applyAlignment="0" applyProtection="0"/>
    <xf numFmtId="0" fontId="20" fillId="16" borderId="0" applyNumberFormat="0" applyBorder="0" applyAlignment="0" applyProtection="0"/>
    <xf numFmtId="0" fontId="21" fillId="17" borderId="0" applyNumberFormat="0" applyBorder="0" applyAlignment="0" applyProtection="0"/>
    <xf numFmtId="0" fontId="19" fillId="18" borderId="0" applyNumberFormat="0" applyBorder="0" applyAlignment="0" applyProtection="0"/>
    <xf numFmtId="0" fontId="20" fillId="18" borderId="0" applyNumberFormat="0" applyBorder="0" applyAlignment="0" applyProtection="0"/>
    <xf numFmtId="0" fontId="21" fillId="19" borderId="0" applyNumberFormat="0" applyBorder="0" applyAlignment="0" applyProtection="0"/>
    <xf numFmtId="0" fontId="19" fillId="20" borderId="0" applyNumberFormat="0" applyBorder="0" applyAlignment="0" applyProtection="0"/>
    <xf numFmtId="0" fontId="20" fillId="19" borderId="0" applyNumberFormat="0" applyBorder="0" applyAlignment="0" applyProtection="0"/>
    <xf numFmtId="0" fontId="21" fillId="21" borderId="0" applyNumberFormat="0" applyBorder="0" applyAlignment="0" applyProtection="0"/>
    <xf numFmtId="0" fontId="19" fillId="22" borderId="0" applyNumberFormat="0" applyBorder="0" applyAlignment="0" applyProtection="0"/>
    <xf numFmtId="0" fontId="20" fillId="23" borderId="0" applyNumberFormat="0" applyBorder="0" applyAlignment="0" applyProtection="0"/>
    <xf numFmtId="0" fontId="21" fillId="22" borderId="0" applyNumberFormat="0" applyBorder="0" applyAlignment="0" applyProtection="0"/>
    <xf numFmtId="0" fontId="19" fillId="16" borderId="0" applyNumberFormat="0" applyBorder="0" applyAlignment="0" applyProtection="0"/>
    <xf numFmtId="0" fontId="20" fillId="16" borderId="0" applyNumberFormat="0" applyBorder="0" applyAlignment="0" applyProtection="0"/>
    <xf numFmtId="0" fontId="21" fillId="16" borderId="0" applyNumberFormat="0" applyBorder="0" applyAlignment="0" applyProtection="0"/>
    <xf numFmtId="0" fontId="19" fillId="24" borderId="0" applyNumberFormat="0" applyBorder="0" applyAlignment="0" applyProtection="0"/>
    <xf numFmtId="0" fontId="20" fillId="25" borderId="0" applyNumberFormat="0" applyBorder="0" applyAlignment="0" applyProtection="0"/>
    <xf numFmtId="0" fontId="21" fillId="26" borderId="0" applyNumberFormat="0" applyBorder="0" applyAlignment="0" applyProtection="0"/>
    <xf numFmtId="0" fontId="19" fillId="27" borderId="0" applyNumberFormat="0" applyBorder="0" applyAlignment="0" applyProtection="0"/>
    <xf numFmtId="0" fontId="20" fillId="27" borderId="0" applyNumberFormat="0" applyBorder="0" applyAlignment="0" applyProtection="0"/>
    <xf numFmtId="0" fontId="21" fillId="27" borderId="0" applyNumberFormat="0" applyBorder="0" applyAlignment="0" applyProtection="0"/>
    <xf numFmtId="0" fontId="19" fillId="18" borderId="0" applyNumberFormat="0" applyBorder="0" applyAlignment="0" applyProtection="0"/>
    <xf numFmtId="0" fontId="20" fillId="21" borderId="0" applyNumberFormat="0" applyBorder="0" applyAlignment="0" applyProtection="0"/>
    <xf numFmtId="0" fontId="21" fillId="28" borderId="0" applyNumberFormat="0" applyBorder="0" applyAlignment="0" applyProtection="0"/>
    <xf numFmtId="0" fontId="19" fillId="24" borderId="0" applyNumberFormat="0" applyBorder="0" applyAlignment="0" applyProtection="0"/>
    <xf numFmtId="0" fontId="20" fillId="29" borderId="0" applyNumberFormat="0" applyBorder="0" applyAlignment="0" applyProtection="0"/>
    <xf numFmtId="0" fontId="21" fillId="21" borderId="0" applyNumberFormat="0" applyBorder="0" applyAlignment="0" applyProtection="0"/>
    <xf numFmtId="0" fontId="19" fillId="26" borderId="0" applyNumberFormat="0" applyBorder="0" applyAlignment="0" applyProtection="0"/>
    <xf numFmtId="0" fontId="20" fillId="23" borderId="0" applyNumberFormat="0" applyBorder="0" applyAlignment="0" applyProtection="0"/>
    <xf numFmtId="0" fontId="21" fillId="26" borderId="0" applyNumberFormat="0" applyBorder="0" applyAlignment="0" applyProtection="0"/>
    <xf numFmtId="0" fontId="19" fillId="16" borderId="0" applyNumberFormat="0" applyBorder="0" applyAlignment="0" applyProtection="0"/>
    <xf numFmtId="0" fontId="20" fillId="16" borderId="0" applyNumberFormat="0" applyBorder="0" applyAlignment="0" applyProtection="0"/>
    <xf numFmtId="0" fontId="21" fillId="30" borderId="0" applyNumberFormat="0" applyBorder="0" applyAlignment="0" applyProtection="0"/>
    <xf numFmtId="0" fontId="22" fillId="31" borderId="0" applyNumberFormat="0" applyBorder="0" applyAlignment="0" applyProtection="0"/>
    <xf numFmtId="0" fontId="23" fillId="32" borderId="0" applyNumberFormat="0" applyBorder="0" applyAlignment="0" applyProtection="0"/>
    <xf numFmtId="0" fontId="24" fillId="33" borderId="0" applyNumberFormat="0" applyBorder="0" applyAlignment="0" applyProtection="0"/>
    <xf numFmtId="0" fontId="22" fillId="27" borderId="0" applyNumberFormat="0" applyBorder="0" applyAlignment="0" applyProtection="0"/>
    <xf numFmtId="0" fontId="23" fillId="27" borderId="0" applyNumberFormat="0" applyBorder="0" applyAlignment="0" applyProtection="0"/>
    <xf numFmtId="0" fontId="24" fillId="27" borderId="0" applyNumberFormat="0" applyBorder="0" applyAlignment="0" applyProtection="0"/>
    <xf numFmtId="0" fontId="22" fillId="18" borderId="0" applyNumberFormat="0" applyBorder="0" applyAlignment="0" applyProtection="0"/>
    <xf numFmtId="0" fontId="23" fillId="21" borderId="0" applyNumberFormat="0" applyBorder="0" applyAlignment="0" applyProtection="0"/>
    <xf numFmtId="0" fontId="24" fillId="28" borderId="0" applyNumberFormat="0" applyBorder="0" applyAlignment="0" applyProtection="0"/>
    <xf numFmtId="0" fontId="22" fillId="24" borderId="0" applyNumberFormat="0" applyBorder="0" applyAlignment="0" applyProtection="0"/>
    <xf numFmtId="0" fontId="23" fillId="34" borderId="0" applyNumberFormat="0" applyBorder="0" applyAlignment="0" applyProtection="0"/>
    <xf numFmtId="0" fontId="24" fillId="35" borderId="0" applyNumberFormat="0" applyBorder="0" applyAlignment="0" applyProtection="0"/>
    <xf numFmtId="0" fontId="22" fillId="31" borderId="0" applyNumberFormat="0" applyBorder="0" applyAlignment="0" applyProtection="0"/>
    <xf numFmtId="0" fontId="23" fillId="32" borderId="0" applyNumberFormat="0" applyBorder="0" applyAlignment="0" applyProtection="0"/>
    <xf numFmtId="0" fontId="24" fillId="31" borderId="0" applyNumberFormat="0" applyBorder="0" applyAlignment="0" applyProtection="0"/>
    <xf numFmtId="0" fontId="22" fillId="16" borderId="0" applyNumberFormat="0" applyBorder="0" applyAlignment="0" applyProtection="0"/>
    <xf numFmtId="0" fontId="23" fillId="16" borderId="0" applyNumberFormat="0" applyBorder="0" applyAlignment="0" applyProtection="0"/>
    <xf numFmtId="0" fontId="24" fillId="36" borderId="0" applyNumberFormat="0" applyBorder="0" applyAlignment="0" applyProtection="0"/>
    <xf numFmtId="0" fontId="22" fillId="31" borderId="0" applyNumberFormat="0" applyBorder="0" applyAlignment="0" applyProtection="0"/>
    <xf numFmtId="0" fontId="23" fillId="37" borderId="0" applyNumberFormat="0" applyBorder="0" applyAlignment="0" applyProtection="0"/>
    <xf numFmtId="0" fontId="24" fillId="38" borderId="0" applyNumberFormat="0" applyBorder="0" applyAlignment="0" applyProtection="0"/>
    <xf numFmtId="0" fontId="22" fillId="39" borderId="0" applyNumberFormat="0" applyBorder="0" applyAlignment="0" applyProtection="0"/>
    <xf numFmtId="0" fontId="23" fillId="40" borderId="0" applyNumberFormat="0" applyBorder="0" applyAlignment="0" applyProtection="0"/>
    <xf numFmtId="0" fontId="24" fillId="39" borderId="0" applyNumberFormat="0" applyBorder="0" applyAlignment="0" applyProtection="0"/>
    <xf numFmtId="0" fontId="22" fillId="41" borderId="0" applyNumberFormat="0" applyBorder="0" applyAlignment="0" applyProtection="0"/>
    <xf numFmtId="0" fontId="23" fillId="40" borderId="0" applyNumberFormat="0" applyBorder="0" applyAlignment="0" applyProtection="0"/>
    <xf numFmtId="0" fontId="24" fillId="41" borderId="0" applyNumberFormat="0" applyBorder="0" applyAlignment="0" applyProtection="0"/>
    <xf numFmtId="0" fontId="22" fillId="37" borderId="0" applyNumberFormat="0" applyBorder="0" applyAlignment="0" applyProtection="0"/>
    <xf numFmtId="0" fontId="23" fillId="37" borderId="0" applyNumberFormat="0" applyBorder="0" applyAlignment="0" applyProtection="0"/>
    <xf numFmtId="0" fontId="24" fillId="35" borderId="0" applyNumberFormat="0" applyBorder="0" applyAlignment="0" applyProtection="0"/>
    <xf numFmtId="0" fontId="22" fillId="31" borderId="0" applyNumberFormat="0" applyBorder="0" applyAlignment="0" applyProtection="0"/>
    <xf numFmtId="0" fontId="23" fillId="41" borderId="0" applyNumberFormat="0" applyBorder="0" applyAlignment="0" applyProtection="0"/>
    <xf numFmtId="0" fontId="24" fillId="31" borderId="0" applyNumberFormat="0" applyBorder="0" applyAlignment="0" applyProtection="0"/>
    <xf numFmtId="0" fontId="22" fillId="42" borderId="0" applyNumberFormat="0" applyBorder="0" applyAlignment="0" applyProtection="0"/>
    <xf numFmtId="0" fontId="23" fillId="42" borderId="0" applyNumberFormat="0" applyBorder="0" applyAlignment="0" applyProtection="0"/>
    <xf numFmtId="0" fontId="24" fillId="42" borderId="0" applyNumberFormat="0" applyBorder="0" applyAlignment="0" applyProtection="0"/>
    <xf numFmtId="0" fontId="17" fillId="0" borderId="0"/>
    <xf numFmtId="17" fontId="17" fillId="0" borderId="0" applyFont="0" applyFill="0" applyBorder="0" applyProtection="0">
      <alignment horizontal="left"/>
    </xf>
    <xf numFmtId="0" fontId="17" fillId="0" borderId="0" applyFont="0" applyFill="0" applyBorder="0" applyProtection="0">
      <alignment horizontal="left"/>
    </xf>
    <xf numFmtId="0" fontId="25" fillId="17" borderId="0" applyNumberFormat="0" applyBorder="0" applyAlignment="0" applyProtection="0"/>
    <xf numFmtId="0" fontId="26" fillId="17" borderId="0" applyNumberFormat="0" applyBorder="0" applyAlignment="0" applyProtection="0"/>
    <xf numFmtId="0" fontId="27" fillId="17" borderId="0" applyNumberFormat="0" applyBorder="0" applyAlignment="0" applyProtection="0"/>
    <xf numFmtId="38" fontId="28" fillId="20" borderId="0"/>
    <xf numFmtId="0" fontId="29" fillId="0" borderId="0" applyNumberFormat="0" applyFill="0" applyBorder="0" applyAlignment="0" applyProtection="0"/>
    <xf numFmtId="0" fontId="30" fillId="43" borderId="0">
      <alignment horizontal="left"/>
    </xf>
    <xf numFmtId="2" fontId="31" fillId="44" borderId="8" applyProtection="0">
      <alignment horizontal="left"/>
      <protection locked="0"/>
    </xf>
    <xf numFmtId="0" fontId="32" fillId="0" borderId="0" applyNumberFormat="0" applyFill="0" applyBorder="0" applyAlignment="0" applyProtection="0"/>
    <xf numFmtId="0" fontId="33" fillId="0" borderId="9" applyNumberFormat="0" applyFill="0" applyAlignment="0" applyProtection="0"/>
    <xf numFmtId="0" fontId="17" fillId="45" borderId="0"/>
    <xf numFmtId="170" fontId="18" fillId="0" borderId="0" applyFont="0" applyFill="0" applyBorder="0" applyAlignment="0" applyProtection="0"/>
    <xf numFmtId="0" fontId="34" fillId="0" borderId="0" applyFill="0" applyBorder="0" applyAlignment="0"/>
    <xf numFmtId="171" fontId="17" fillId="0" borderId="0" applyFill="0" applyBorder="0" applyAlignment="0"/>
    <xf numFmtId="0" fontId="34" fillId="0" borderId="0" applyFill="0" applyBorder="0" applyAlignment="0"/>
    <xf numFmtId="172" fontId="17" fillId="0" borderId="0" applyFill="0" applyBorder="0" applyAlignment="0"/>
    <xf numFmtId="0" fontId="17" fillId="0" borderId="0" applyFill="0" applyBorder="0" applyAlignment="0"/>
    <xf numFmtId="173" fontId="17" fillId="0" borderId="0" applyFill="0" applyBorder="0" applyAlignment="0"/>
    <xf numFmtId="0" fontId="17" fillId="0" borderId="0" applyFill="0" applyBorder="0" applyAlignment="0"/>
    <xf numFmtId="171" fontId="35" fillId="0" borderId="0" applyFill="0" applyBorder="0" applyAlignment="0"/>
    <xf numFmtId="0" fontId="17" fillId="0" borderId="0" applyFill="0" applyBorder="0" applyAlignment="0"/>
    <xf numFmtId="174" fontId="17" fillId="0" borderId="0" applyFill="0" applyBorder="0" applyAlignment="0"/>
    <xf numFmtId="0" fontId="34" fillId="0" borderId="0" applyFill="0" applyBorder="0" applyAlignment="0"/>
    <xf numFmtId="171" fontId="17" fillId="0" borderId="0" applyFill="0" applyBorder="0" applyAlignment="0"/>
    <xf numFmtId="0" fontId="34" fillId="0" borderId="0" applyFill="0" applyBorder="0" applyAlignment="0"/>
    <xf numFmtId="171" fontId="17" fillId="0" borderId="0" applyFill="0" applyBorder="0" applyAlignment="0"/>
    <xf numFmtId="0" fontId="34" fillId="0" borderId="0" applyFill="0" applyBorder="0" applyAlignment="0"/>
    <xf numFmtId="172" fontId="17" fillId="0" borderId="0" applyFill="0" applyBorder="0" applyAlignment="0"/>
    <xf numFmtId="0" fontId="36" fillId="20" borderId="10" applyNumberFormat="0" applyAlignment="0" applyProtection="0"/>
    <xf numFmtId="0" fontId="37" fillId="22" borderId="10" applyNumberFormat="0" applyAlignment="0" applyProtection="0"/>
    <xf numFmtId="0" fontId="38" fillId="24" borderId="10" applyNumberFormat="0" applyAlignment="0" applyProtection="0"/>
    <xf numFmtId="0" fontId="39" fillId="14" borderId="3" applyNumberFormat="0"/>
    <xf numFmtId="0" fontId="15" fillId="46" borderId="7" applyBorder="0">
      <alignment horizontal="center" wrapText="1"/>
    </xf>
    <xf numFmtId="0" fontId="13" fillId="11" borderId="3" applyNumberFormat="0"/>
    <xf numFmtId="0" fontId="4" fillId="11" borderId="3" applyNumberFormat="0"/>
    <xf numFmtId="0" fontId="6" fillId="6" borderId="3" applyNumberFormat="0"/>
    <xf numFmtId="0" fontId="13" fillId="6" borderId="3" applyNumberFormat="0"/>
    <xf numFmtId="0" fontId="39" fillId="14" borderId="3" applyNumberFormat="0"/>
    <xf numFmtId="0" fontId="7" fillId="7" borderId="4" applyNumberFormat="0" applyBorder="0"/>
    <xf numFmtId="0" fontId="7" fillId="7" borderId="4" applyNumberFormat="0" applyBorder="0"/>
    <xf numFmtId="14" fontId="8" fillId="11" borderId="5" applyNumberFormat="0" applyAlignment="0"/>
    <xf numFmtId="14" fontId="40" fillId="11" borderId="5" applyNumberFormat="0" applyAlignment="0"/>
    <xf numFmtId="0" fontId="41" fillId="47" borderId="11" applyNumberFormat="0" applyAlignment="0" applyProtection="0"/>
    <xf numFmtId="0" fontId="42" fillId="47" borderId="11" applyNumberFormat="0" applyAlignment="0" applyProtection="0"/>
    <xf numFmtId="0" fontId="43" fillId="47" borderId="11" applyNumberFormat="0" applyAlignment="0" applyProtection="0"/>
    <xf numFmtId="0" fontId="44" fillId="0" borderId="0" applyNumberFormat="0" applyFill="0" applyBorder="0" applyAlignment="0" applyProtection="0"/>
    <xf numFmtId="175" fontId="45" fillId="0" borderId="0"/>
    <xf numFmtId="175" fontId="46" fillId="0" borderId="0"/>
    <xf numFmtId="175" fontId="45" fillId="0" borderId="0"/>
    <xf numFmtId="175" fontId="46" fillId="0" borderId="0"/>
    <xf numFmtId="175" fontId="45" fillId="0" borderId="0"/>
    <xf numFmtId="175" fontId="46" fillId="0" borderId="0"/>
    <xf numFmtId="175" fontId="45" fillId="0" borderId="0"/>
    <xf numFmtId="175" fontId="46" fillId="0" borderId="0"/>
    <xf numFmtId="175" fontId="45" fillId="0" borderId="0"/>
    <xf numFmtId="175" fontId="46" fillId="0" borderId="0"/>
    <xf numFmtId="175" fontId="45" fillId="0" borderId="0"/>
    <xf numFmtId="175" fontId="46" fillId="0" borderId="0"/>
    <xf numFmtId="175" fontId="45" fillId="0" borderId="0"/>
    <xf numFmtId="175" fontId="46" fillId="0" borderId="0"/>
    <xf numFmtId="175" fontId="45" fillId="0" borderId="0"/>
    <xf numFmtId="175" fontId="46" fillId="0" borderId="0"/>
    <xf numFmtId="0" fontId="34" fillId="0" borderId="0" applyFont="0" applyFill="0" applyBorder="0" applyAlignment="0" applyProtection="0"/>
    <xf numFmtId="171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3" fontId="17" fillId="0" borderId="0" applyFill="0" applyBorder="0" applyAlignment="0" applyProtection="0"/>
    <xf numFmtId="0" fontId="47" fillId="0" borderId="0"/>
    <xf numFmtId="0" fontId="48" fillId="0" borderId="0" applyNumberFormat="0" applyAlignment="0">
      <alignment horizontal="left"/>
    </xf>
    <xf numFmtId="0" fontId="49" fillId="0" borderId="0">
      <alignment horizontal="center"/>
    </xf>
    <xf numFmtId="0" fontId="47" fillId="0" borderId="0"/>
    <xf numFmtId="0" fontId="34" fillId="0" borderId="0" applyFont="0" applyFill="0" applyBorder="0" applyAlignment="0" applyProtection="0"/>
    <xf numFmtId="172" fontId="17" fillId="0" borderId="0" applyFont="0" applyFill="0" applyBorder="0" applyAlignment="0" applyProtection="0"/>
    <xf numFmtId="8" fontId="50" fillId="0" borderId="12">
      <protection locked="0"/>
    </xf>
    <xf numFmtId="44" fontId="17" fillId="0" borderId="0" applyFont="0" applyFill="0" applyBorder="0" applyAlignment="0" applyProtection="0"/>
    <xf numFmtId="44" fontId="17" fillId="0" borderId="0" applyFont="0" applyFill="0" applyBorder="0" applyAlignment="0" applyProtection="0"/>
    <xf numFmtId="44" fontId="17" fillId="0" borderId="0" applyFont="0" applyFill="0" applyBorder="0" applyAlignment="0" applyProtection="0"/>
    <xf numFmtId="44" fontId="17" fillId="0" borderId="0" applyFont="0" applyFill="0" applyBorder="0" applyAlignment="0" applyProtection="0"/>
    <xf numFmtId="44" fontId="17" fillId="0" borderId="0" applyFont="0" applyFill="0" applyBorder="0" applyAlignment="0" applyProtection="0"/>
    <xf numFmtId="44" fontId="17" fillId="0" borderId="0" applyFont="0" applyFill="0" applyBorder="0" applyAlignment="0" applyProtection="0"/>
    <xf numFmtId="44" fontId="18" fillId="0" borderId="0" applyFont="0" applyFill="0" applyBorder="0" applyAlignment="0" applyProtection="0"/>
    <xf numFmtId="44" fontId="18" fillId="0" borderId="0" applyFont="0" applyFill="0" applyBorder="0" applyAlignment="0" applyProtection="0"/>
    <xf numFmtId="44" fontId="18" fillId="0" borderId="0" applyFont="0" applyFill="0" applyBorder="0" applyAlignment="0" applyProtection="0"/>
    <xf numFmtId="44" fontId="18" fillId="0" borderId="0" applyFont="0" applyFill="0" applyBorder="0" applyAlignment="0" applyProtection="0"/>
    <xf numFmtId="44" fontId="17" fillId="0" borderId="0" applyFont="0" applyFill="0" applyBorder="0" applyAlignment="0" applyProtection="0"/>
    <xf numFmtId="44" fontId="17" fillId="0" borderId="0" applyFont="0" applyFill="0" applyBorder="0" applyAlignment="0" applyProtection="0"/>
    <xf numFmtId="44" fontId="17" fillId="0" borderId="0" applyFont="0" applyFill="0" applyBorder="0" applyAlignment="0" applyProtection="0"/>
    <xf numFmtId="44" fontId="17" fillId="0" borderId="0" applyFont="0" applyFill="0" applyBorder="0" applyAlignment="0" applyProtection="0"/>
    <xf numFmtId="5" fontId="17" fillId="0" borderId="0" applyFill="0" applyBorder="0" applyAlignment="0" applyProtection="0"/>
    <xf numFmtId="176" fontId="18" fillId="0" borderId="0" applyFont="0" applyFill="0" applyBorder="0" applyAlignment="0" applyProtection="0"/>
    <xf numFmtId="10" fontId="17" fillId="0" borderId="0" applyFont="0" applyFill="0" applyBorder="0" applyProtection="0">
      <alignment horizontal="center"/>
    </xf>
    <xf numFmtId="177" fontId="17" fillId="0" borderId="0" applyFont="0" applyFill="0" applyBorder="0" applyProtection="0"/>
    <xf numFmtId="178" fontId="17" fillId="0" borderId="0" applyFont="0" applyFill="0" applyBorder="0" applyProtection="0"/>
    <xf numFmtId="15" fontId="51" fillId="0" borderId="0" applyFont="0" applyFill="0" applyBorder="0" applyAlignment="0" applyProtection="0"/>
    <xf numFmtId="0" fontId="47" fillId="0" borderId="0"/>
    <xf numFmtId="179" fontId="17" fillId="0" borderId="0" applyFill="0" applyBorder="0" applyAlignment="0" applyProtection="0"/>
    <xf numFmtId="179" fontId="17" fillId="0" borderId="0" applyFill="0" applyBorder="0" applyAlignment="0" applyProtection="0"/>
    <xf numFmtId="179" fontId="17" fillId="0" borderId="0" applyFill="0" applyBorder="0" applyAlignment="0" applyProtection="0"/>
    <xf numFmtId="179" fontId="17" fillId="0" borderId="0" applyFill="0" applyBorder="0" applyAlignment="0" applyProtection="0"/>
    <xf numFmtId="179" fontId="17" fillId="0" borderId="0" applyFill="0" applyBorder="0" applyAlignment="0" applyProtection="0"/>
    <xf numFmtId="15" fontId="20" fillId="20" borderId="0"/>
    <xf numFmtId="14" fontId="20" fillId="0" borderId="0" applyFill="0" applyBorder="0" applyAlignment="0"/>
    <xf numFmtId="0" fontId="49" fillId="44" borderId="0">
      <alignment horizontal="left"/>
    </xf>
    <xf numFmtId="179" fontId="17" fillId="0" borderId="0" applyFill="0" applyBorder="0" applyAlignment="0" applyProtection="0"/>
    <xf numFmtId="14" fontId="17" fillId="0" borderId="0"/>
    <xf numFmtId="0" fontId="52" fillId="27" borderId="0">
      <alignment horizontal="left"/>
    </xf>
    <xf numFmtId="0" fontId="53" fillId="0" borderId="0">
      <alignment horizontal="left"/>
    </xf>
    <xf numFmtId="38" fontId="54" fillId="0" borderId="13">
      <alignment vertical="center"/>
    </xf>
    <xf numFmtId="166" fontId="17" fillId="0" borderId="0">
      <alignment horizontal="right"/>
    </xf>
    <xf numFmtId="1" fontId="17" fillId="0" borderId="0">
      <alignment horizontal="right"/>
    </xf>
    <xf numFmtId="1" fontId="17" fillId="0" borderId="0">
      <alignment horizontal="right"/>
    </xf>
    <xf numFmtId="180" fontId="17" fillId="0" borderId="0">
      <alignment horizontal="right"/>
    </xf>
    <xf numFmtId="49" fontId="17" fillId="0" borderId="0">
      <alignment horizontal="left"/>
    </xf>
    <xf numFmtId="49" fontId="17" fillId="0" borderId="0">
      <alignment horizontal="left"/>
    </xf>
    <xf numFmtId="49" fontId="17" fillId="0" borderId="0">
      <alignment horizontal="right"/>
    </xf>
    <xf numFmtId="14" fontId="17" fillId="0" borderId="0">
      <alignment horizontal="left"/>
    </xf>
    <xf numFmtId="0" fontId="34" fillId="0" borderId="0" applyFill="0" applyBorder="0" applyAlignment="0"/>
    <xf numFmtId="171" fontId="17" fillId="0" borderId="0" applyFill="0" applyBorder="0" applyAlignment="0"/>
    <xf numFmtId="0" fontId="34" fillId="0" borderId="0" applyFill="0" applyBorder="0" applyAlignment="0"/>
    <xf numFmtId="172" fontId="17" fillId="0" borderId="0" applyFill="0" applyBorder="0" applyAlignment="0"/>
    <xf numFmtId="0" fontId="34" fillId="0" borderId="0" applyFill="0" applyBorder="0" applyAlignment="0"/>
    <xf numFmtId="171" fontId="17" fillId="0" borderId="0" applyFill="0" applyBorder="0" applyAlignment="0"/>
    <xf numFmtId="0" fontId="34" fillId="0" borderId="0" applyFill="0" applyBorder="0" applyAlignment="0"/>
    <xf numFmtId="171" fontId="17" fillId="0" borderId="0" applyFill="0" applyBorder="0" applyAlignment="0"/>
    <xf numFmtId="0" fontId="34" fillId="0" borderId="0" applyFill="0" applyBorder="0" applyAlignment="0"/>
    <xf numFmtId="172" fontId="17" fillId="0" borderId="0" applyFill="0" applyBorder="0" applyAlignment="0"/>
    <xf numFmtId="0" fontId="55" fillId="0" borderId="0" applyNumberFormat="0" applyAlignment="0">
      <alignment horizontal="left"/>
    </xf>
    <xf numFmtId="9" fontId="56" fillId="0" borderId="14" applyNumberFormat="0" applyBorder="0" applyAlignment="0">
      <protection locked="0"/>
    </xf>
    <xf numFmtId="181" fontId="17" fillId="0" borderId="0" applyFon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9" fillId="0" borderId="0" applyNumberFormat="0" applyFill="0" applyBorder="0" applyAlignment="0" applyProtection="0"/>
    <xf numFmtId="2" fontId="17" fillId="0" borderId="0" applyFill="0" applyBorder="0" applyAlignment="0" applyProtection="0"/>
    <xf numFmtId="182" fontId="17" fillId="0" borderId="0" applyFont="0" applyFill="0" applyBorder="0" applyAlignment="0" applyProtection="0"/>
    <xf numFmtId="0" fontId="20" fillId="20" borderId="0"/>
    <xf numFmtId="0" fontId="60" fillId="19" borderId="0" applyNumberFormat="0" applyBorder="0" applyAlignment="0" applyProtection="0"/>
    <xf numFmtId="0" fontId="61" fillId="23" borderId="0" applyNumberFormat="0" applyBorder="0" applyAlignment="0" applyProtection="0"/>
    <xf numFmtId="0" fontId="62" fillId="19" borderId="0" applyNumberFormat="0" applyBorder="0" applyAlignment="0" applyProtection="0"/>
    <xf numFmtId="2" fontId="63" fillId="44" borderId="8" applyProtection="0">
      <alignment horizontal="left"/>
      <protection locked="0"/>
    </xf>
    <xf numFmtId="38" fontId="44" fillId="48" borderId="0" applyNumberFormat="0" applyBorder="0" applyAlignment="0" applyProtection="0"/>
    <xf numFmtId="0" fontId="64" fillId="0" borderId="15" applyNumberFormat="0" applyAlignment="0" applyProtection="0">
      <alignment horizontal="left" vertical="center"/>
    </xf>
    <xf numFmtId="0" fontId="64" fillId="0" borderId="16">
      <alignment horizontal="left" vertical="center"/>
    </xf>
    <xf numFmtId="0" fontId="65" fillId="24" borderId="14">
      <alignment horizontal="centerContinuous"/>
    </xf>
    <xf numFmtId="0" fontId="66" fillId="0" borderId="17" applyNumberFormat="0" applyFill="0" applyAlignment="0" applyProtection="0"/>
    <xf numFmtId="0" fontId="67" fillId="0" borderId="18" applyNumberFormat="0" applyFill="0" applyAlignment="0" applyProtection="0"/>
    <xf numFmtId="0" fontId="68" fillId="0" borderId="0" applyNumberFormat="0" applyFill="0" applyBorder="0" applyAlignment="0" applyProtection="0"/>
    <xf numFmtId="0" fontId="69" fillId="0" borderId="0" applyNumberFormat="0" applyFill="0" applyBorder="0" applyAlignment="0" applyProtection="0"/>
    <xf numFmtId="0" fontId="70" fillId="0" borderId="19" applyNumberFormat="0" applyFill="0" applyAlignment="0" applyProtection="0"/>
    <xf numFmtId="0" fontId="71" fillId="0" borderId="20" applyNumberFormat="0" applyFill="0" applyAlignment="0" applyProtection="0"/>
    <xf numFmtId="0" fontId="72" fillId="0" borderId="21" applyNumberFormat="0" applyFill="0" applyAlignment="0" applyProtection="0"/>
    <xf numFmtId="0" fontId="52" fillId="0" borderId="0" applyNumberFormat="0" applyFill="0" applyBorder="0" applyAlignment="0" applyProtection="0"/>
    <xf numFmtId="0" fontId="64" fillId="0" borderId="0" applyNumberFormat="0" applyFill="0" applyBorder="0" applyAlignment="0" applyProtection="0"/>
    <xf numFmtId="0" fontId="73" fillId="0" borderId="20" applyNumberFormat="0" applyFill="0" applyAlignment="0" applyProtection="0"/>
    <xf numFmtId="0" fontId="74" fillId="0" borderId="22" applyNumberFormat="0" applyFill="0" applyAlignment="0" applyProtection="0"/>
    <xf numFmtId="0" fontId="75" fillId="0" borderId="23" applyNumberFormat="0" applyFill="0" applyAlignment="0" applyProtection="0"/>
    <xf numFmtId="0" fontId="76" fillId="0" borderId="24" applyNumberFormat="0" applyFill="0" applyAlignment="0" applyProtection="0"/>
    <xf numFmtId="0" fontId="74" fillId="0" borderId="0" applyNumberFormat="0" applyFill="0" applyBorder="0" applyAlignment="0" applyProtection="0"/>
    <xf numFmtId="0" fontId="75" fillId="0" borderId="0" applyNumberFormat="0" applyFill="0" applyBorder="0" applyAlignment="0" applyProtection="0"/>
    <xf numFmtId="0" fontId="76" fillId="0" borderId="0" applyNumberFormat="0" applyFill="0" applyBorder="0" applyAlignment="0" applyProtection="0"/>
    <xf numFmtId="0" fontId="77" fillId="20" borderId="0"/>
    <xf numFmtId="0" fontId="69" fillId="0" borderId="0" applyNumberFormat="0" applyFill="0" applyBorder="0" applyAlignment="0" applyProtection="0"/>
    <xf numFmtId="0" fontId="64" fillId="0" borderId="0" applyNumberFormat="0" applyFill="0" applyBorder="0" applyAlignment="0" applyProtection="0"/>
    <xf numFmtId="0" fontId="78" fillId="0" borderId="0" applyNumberFormat="0" applyFill="0" applyBorder="0" applyAlignment="0" applyProtection="0">
      <alignment vertical="top"/>
      <protection locked="0"/>
    </xf>
    <xf numFmtId="10" fontId="44" fillId="49" borderId="14" applyNumberFormat="0" applyBorder="0" applyAlignment="0" applyProtection="0"/>
    <xf numFmtId="2" fontId="79" fillId="0" borderId="25" applyNumberFormat="0" applyFill="0" applyBorder="0" applyAlignment="0">
      <alignment horizontal="center"/>
      <protection locked="0"/>
    </xf>
    <xf numFmtId="2" fontId="79" fillId="0" borderId="25" applyNumberFormat="0" applyFill="0" applyBorder="0" applyAlignment="0">
      <alignment horizontal="center"/>
      <protection locked="0"/>
    </xf>
    <xf numFmtId="0" fontId="3" fillId="2" borderId="1" applyNumberFormat="0" applyAlignment="0" applyProtection="0"/>
    <xf numFmtId="0" fontId="80" fillId="16" borderId="10" applyNumberFormat="0" applyAlignment="0" applyProtection="0"/>
    <xf numFmtId="0" fontId="80" fillId="16" borderId="10" applyNumberFormat="0" applyAlignment="0" applyProtection="0"/>
    <xf numFmtId="0" fontId="80" fillId="16" borderId="10" applyNumberFormat="0" applyAlignment="0" applyProtection="0"/>
    <xf numFmtId="0" fontId="80" fillId="16" borderId="10" applyNumberFormat="0" applyAlignment="0" applyProtection="0"/>
    <xf numFmtId="37" fontId="81" fillId="0" borderId="0" applyNumberFormat="0" applyAlignment="0">
      <protection locked="0"/>
    </xf>
    <xf numFmtId="0" fontId="82" fillId="0" borderId="0"/>
    <xf numFmtId="0" fontId="34" fillId="0" borderId="0" applyFill="0" applyBorder="0" applyAlignment="0"/>
    <xf numFmtId="171" fontId="17" fillId="0" borderId="0" applyFill="0" applyBorder="0" applyAlignment="0"/>
    <xf numFmtId="0" fontId="34" fillId="0" borderId="0" applyFill="0" applyBorder="0" applyAlignment="0"/>
    <xf numFmtId="172" fontId="17" fillId="0" borderId="0" applyFill="0" applyBorder="0" applyAlignment="0"/>
    <xf numFmtId="0" fontId="34" fillId="0" borderId="0" applyFill="0" applyBorder="0" applyAlignment="0"/>
    <xf numFmtId="171" fontId="17" fillId="0" borderId="0" applyFill="0" applyBorder="0" applyAlignment="0"/>
    <xf numFmtId="0" fontId="34" fillId="0" borderId="0" applyFill="0" applyBorder="0" applyAlignment="0"/>
    <xf numFmtId="171" fontId="17" fillId="0" borderId="0" applyFill="0" applyBorder="0" applyAlignment="0"/>
    <xf numFmtId="0" fontId="34" fillId="0" borderId="0" applyFill="0" applyBorder="0" applyAlignment="0"/>
    <xf numFmtId="172" fontId="17" fillId="0" borderId="0" applyFill="0" applyBorder="0" applyAlignment="0"/>
    <xf numFmtId="0" fontId="83" fillId="0" borderId="26" applyNumberFormat="0" applyFill="0" applyAlignment="0" applyProtection="0"/>
    <xf numFmtId="0" fontId="84" fillId="0" borderId="26" applyNumberFormat="0" applyFill="0" applyAlignment="0" applyProtection="0"/>
    <xf numFmtId="0" fontId="85" fillId="0" borderId="26" applyNumberFormat="0" applyFill="0" applyAlignment="0" applyProtection="0"/>
    <xf numFmtId="0" fontId="17" fillId="48" borderId="0"/>
    <xf numFmtId="0" fontId="17" fillId="0" borderId="0" applyFont="0" applyFill="0" applyBorder="0" applyAlignment="0" applyProtection="0"/>
    <xf numFmtId="0" fontId="17" fillId="0" borderId="0" applyFont="0" applyFill="0" applyBorder="0" applyAlignment="0" applyProtection="0"/>
    <xf numFmtId="0" fontId="17" fillId="0" borderId="0" applyFont="0" applyFill="0" applyBorder="0" applyAlignment="0" applyProtection="0"/>
    <xf numFmtId="0" fontId="17" fillId="0" borderId="0" applyFont="0" applyFill="0" applyBorder="0" applyAlignment="0" applyProtection="0"/>
    <xf numFmtId="38" fontId="20" fillId="20" borderId="0"/>
    <xf numFmtId="0" fontId="86" fillId="16" borderId="0" applyNumberFormat="0" applyBorder="0" applyAlignment="0" applyProtection="0"/>
    <xf numFmtId="0" fontId="87" fillId="21" borderId="0" applyNumberFormat="0" applyBorder="0" applyAlignment="0" applyProtection="0"/>
    <xf numFmtId="0" fontId="88" fillId="45" borderId="0" applyNumberFormat="0" applyBorder="0" applyAlignment="0" applyProtection="0"/>
    <xf numFmtId="37" fontId="89" fillId="0" borderId="0"/>
    <xf numFmtId="0" fontId="52" fillId="20" borderId="0" applyNumberFormat="0" applyFont="0" applyFill="0" applyBorder="0" applyAlignment="0"/>
    <xf numFmtId="10" fontId="20" fillId="20" borderId="0"/>
    <xf numFmtId="183" fontId="90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8" fillId="0" borderId="0"/>
    <xf numFmtId="0" fontId="18" fillId="0" borderId="0"/>
    <xf numFmtId="0" fontId="18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2" fillId="0" borderId="0"/>
    <xf numFmtId="0" fontId="20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6" fillId="6" borderId="0"/>
    <xf numFmtId="0" fontId="17" fillId="0" borderId="0"/>
    <xf numFmtId="0" fontId="17" fillId="0" borderId="0"/>
    <xf numFmtId="0" fontId="17" fillId="0" borderId="0"/>
    <xf numFmtId="0" fontId="18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11" borderId="0"/>
    <xf numFmtId="0" fontId="17" fillId="11" borderId="0"/>
    <xf numFmtId="0" fontId="17" fillId="0" borderId="0"/>
    <xf numFmtId="0" fontId="17" fillId="0" borderId="0"/>
    <xf numFmtId="0" fontId="6" fillId="6" borderId="0"/>
    <xf numFmtId="0" fontId="6" fillId="6" borderId="0"/>
    <xf numFmtId="0" fontId="6" fillId="6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17" fillId="0" borderId="0"/>
    <xf numFmtId="0" fontId="17" fillId="0" borderId="0"/>
    <xf numFmtId="0" fontId="6" fillId="6" borderId="0"/>
    <xf numFmtId="0" fontId="2" fillId="0" borderId="0"/>
    <xf numFmtId="0" fontId="2" fillId="0" borderId="0"/>
    <xf numFmtId="0" fontId="17" fillId="0" borderId="0">
      <alignment vertical="top"/>
    </xf>
    <xf numFmtId="0" fontId="17" fillId="0" borderId="0">
      <alignment vertical="top"/>
    </xf>
    <xf numFmtId="0" fontId="21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20" fillId="18" borderId="27" applyNumberFormat="0" applyFont="0" applyAlignment="0" applyProtection="0"/>
    <xf numFmtId="0" fontId="91" fillId="18" borderId="27" applyNumberFormat="0" applyFont="0" applyAlignment="0" applyProtection="0"/>
    <xf numFmtId="0" fontId="6" fillId="3" borderId="2" applyNumberFormat="0" applyFont="0" applyAlignment="0" applyProtection="0"/>
    <xf numFmtId="0" fontId="92" fillId="0" borderId="0"/>
    <xf numFmtId="0" fontId="21" fillId="18" borderId="27" applyNumberFormat="0" applyFont="0" applyAlignment="0" applyProtection="0"/>
    <xf numFmtId="0" fontId="6" fillId="3" borderId="2" applyNumberFormat="0" applyFont="0" applyAlignment="0" applyProtection="0"/>
    <xf numFmtId="0" fontId="6" fillId="3" borderId="2" applyNumberFormat="0" applyFont="0" applyAlignment="0" applyProtection="0"/>
    <xf numFmtId="0" fontId="2" fillId="3" borderId="2" applyNumberFormat="0" applyFont="0" applyAlignment="0" applyProtection="0"/>
    <xf numFmtId="0" fontId="2" fillId="3" borderId="2" applyNumberFormat="0" applyFont="0" applyAlignment="0" applyProtection="0"/>
    <xf numFmtId="0" fontId="2" fillId="3" borderId="2" applyNumberFormat="0" applyFont="0" applyAlignment="0" applyProtection="0"/>
    <xf numFmtId="184" fontId="34" fillId="0" borderId="0">
      <alignment horizontal="center"/>
    </xf>
    <xf numFmtId="37" fontId="17" fillId="0" borderId="0"/>
    <xf numFmtId="185" fontId="44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186" fontId="93" fillId="0" borderId="0" applyNumberFormat="0" applyFill="0" applyBorder="0" applyAlignment="0" applyProtection="0"/>
    <xf numFmtId="167" fontId="34" fillId="0" borderId="0">
      <alignment horizontal="center"/>
    </xf>
    <xf numFmtId="0" fontId="6" fillId="12" borderId="0" applyNumberFormat="0" applyFont="0" applyBorder="0" applyAlignment="0" applyProtection="0"/>
    <xf numFmtId="0" fontId="93" fillId="0" borderId="28"/>
    <xf numFmtId="2" fontId="94" fillId="44" borderId="8">
      <alignment horizontal="left"/>
    </xf>
    <xf numFmtId="0" fontId="95" fillId="20" borderId="29" applyNumberFormat="0" applyAlignment="0" applyProtection="0"/>
    <xf numFmtId="0" fontId="96" fillId="22" borderId="29" applyNumberFormat="0" applyAlignment="0" applyProtection="0"/>
    <xf numFmtId="0" fontId="97" fillId="24" borderId="29" applyNumberFormat="0" applyAlignment="0" applyProtection="0"/>
    <xf numFmtId="40" fontId="20" fillId="44" borderId="0">
      <alignment horizontal="right"/>
    </xf>
    <xf numFmtId="0" fontId="98" fillId="49" borderId="0">
      <alignment horizontal="center"/>
    </xf>
    <xf numFmtId="0" fontId="42" fillId="50" borderId="8"/>
    <xf numFmtId="0" fontId="99" fillId="0" borderId="0" applyBorder="0">
      <alignment horizontal="centerContinuous"/>
    </xf>
    <xf numFmtId="0" fontId="100" fillId="0" borderId="0" applyBorder="0">
      <alignment horizontal="centerContinuous"/>
    </xf>
    <xf numFmtId="0" fontId="64" fillId="0" borderId="0"/>
    <xf numFmtId="0" fontId="17" fillId="0" borderId="0" applyFont="0" applyFill="0" applyBorder="0" applyAlignment="0" applyProtection="0"/>
    <xf numFmtId="174" fontId="17" fillId="0" borderId="0" applyFont="0" applyFill="0" applyBorder="0" applyAlignment="0" applyProtection="0"/>
    <xf numFmtId="0" fontId="101" fillId="0" borderId="0" applyFont="0" applyFill="0" applyBorder="0" applyAlignment="0" applyProtection="0"/>
    <xf numFmtId="187" fontId="35" fillId="0" borderId="0" applyFont="0" applyFill="0" applyBorder="0" applyAlignment="0" applyProtection="0"/>
    <xf numFmtId="10" fontId="17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93" fillId="0" borderId="0"/>
    <xf numFmtId="0" fontId="34" fillId="0" borderId="0" applyFill="0" applyBorder="0" applyAlignment="0"/>
    <xf numFmtId="171" fontId="17" fillId="0" borderId="0" applyFill="0" applyBorder="0" applyAlignment="0"/>
    <xf numFmtId="0" fontId="34" fillId="0" borderId="0" applyFill="0" applyBorder="0" applyAlignment="0"/>
    <xf numFmtId="172" fontId="17" fillId="0" borderId="0" applyFill="0" applyBorder="0" applyAlignment="0"/>
    <xf numFmtId="0" fontId="34" fillId="0" borderId="0" applyFill="0" applyBorder="0" applyAlignment="0"/>
    <xf numFmtId="171" fontId="17" fillId="0" borderId="0" applyFill="0" applyBorder="0" applyAlignment="0"/>
    <xf numFmtId="0" fontId="34" fillId="0" borderId="0" applyFill="0" applyBorder="0" applyAlignment="0"/>
    <xf numFmtId="171" fontId="17" fillId="0" borderId="0" applyFill="0" applyBorder="0" applyAlignment="0"/>
    <xf numFmtId="0" fontId="34" fillId="0" borderId="0" applyFill="0" applyBorder="0" applyAlignment="0"/>
    <xf numFmtId="172" fontId="17" fillId="0" borderId="0" applyFill="0" applyBorder="0" applyAlignment="0"/>
    <xf numFmtId="188" fontId="34" fillId="0" borderId="0">
      <alignment horizontal="center"/>
    </xf>
    <xf numFmtId="189" fontId="34" fillId="0" borderId="14">
      <alignment horizontal="center"/>
    </xf>
    <xf numFmtId="0" fontId="102" fillId="0" borderId="30" applyAlignment="0">
      <alignment horizontal="center"/>
    </xf>
    <xf numFmtId="0" fontId="103" fillId="48" borderId="0"/>
    <xf numFmtId="0" fontId="54" fillId="0" borderId="0" applyNumberFormat="0" applyFont="0" applyFill="0" applyBorder="0" applyAlignment="0" applyProtection="0">
      <alignment horizontal="left"/>
    </xf>
    <xf numFmtId="0" fontId="104" fillId="0" borderId="31">
      <alignment horizontal="center"/>
    </xf>
    <xf numFmtId="0" fontId="51" fillId="0" borderId="0">
      <alignment vertical="top"/>
    </xf>
    <xf numFmtId="190" fontId="51" fillId="0" borderId="0">
      <alignment vertical="top"/>
    </xf>
    <xf numFmtId="0" fontId="102" fillId="0" borderId="0">
      <alignment horizontal="left"/>
    </xf>
    <xf numFmtId="0" fontId="102" fillId="0" borderId="0">
      <alignment horizontal="right"/>
    </xf>
    <xf numFmtId="0" fontId="20" fillId="0" borderId="8" applyNumberFormat="0" applyBorder="0" applyAlignment="0"/>
    <xf numFmtId="191" fontId="105" fillId="0" borderId="0" applyNumberFormat="0" applyFill="0" applyBorder="0" applyAlignment="0" applyProtection="0">
      <alignment horizontal="left"/>
    </xf>
    <xf numFmtId="0" fontId="52" fillId="41" borderId="0">
      <alignment horizontal="left"/>
    </xf>
    <xf numFmtId="0" fontId="106" fillId="0" borderId="32"/>
    <xf numFmtId="189" fontId="31" fillId="18" borderId="0">
      <alignment horizontal="center"/>
    </xf>
    <xf numFmtId="189" fontId="107" fillId="18" borderId="0">
      <alignment horizontal="center"/>
    </xf>
    <xf numFmtId="189" fontId="31" fillId="19" borderId="0">
      <alignment horizontal="center"/>
    </xf>
    <xf numFmtId="0" fontId="31" fillId="18" borderId="0">
      <alignment horizontal="left"/>
    </xf>
    <xf numFmtId="0" fontId="108" fillId="0" borderId="0" applyFont="0" applyFill="0" applyBorder="0" applyAlignment="0" applyProtection="0"/>
    <xf numFmtId="192" fontId="35" fillId="0" borderId="0" applyFont="0" applyFill="0" applyBorder="0" applyAlignment="0" applyProtection="0"/>
    <xf numFmtId="193" fontId="17" fillId="0" borderId="0"/>
    <xf numFmtId="0" fontId="17" fillId="0" borderId="0"/>
    <xf numFmtId="0" fontId="17" fillId="0" borderId="0">
      <alignment horizontal="left" wrapText="1"/>
    </xf>
    <xf numFmtId="0" fontId="31" fillId="18" borderId="0">
      <alignment horizontal="center"/>
    </xf>
    <xf numFmtId="0" fontId="102" fillId="0" borderId="0"/>
    <xf numFmtId="0" fontId="109" fillId="0" borderId="0"/>
    <xf numFmtId="40" fontId="110" fillId="0" borderId="0" applyBorder="0">
      <alignment horizontal="right"/>
    </xf>
    <xf numFmtId="0" fontId="17" fillId="44" borderId="27"/>
    <xf numFmtId="0" fontId="34" fillId="0" borderId="0">
      <alignment horizontal="center"/>
    </xf>
    <xf numFmtId="15" fontId="34" fillId="0" borderId="0">
      <alignment horizontal="center"/>
    </xf>
    <xf numFmtId="0" fontId="111" fillId="0" borderId="0">
      <alignment horizontal="center"/>
    </xf>
    <xf numFmtId="3" fontId="34" fillId="0" borderId="0">
      <alignment horizontal="center"/>
    </xf>
    <xf numFmtId="194" fontId="34" fillId="0" borderId="0">
      <alignment horizontal="center"/>
    </xf>
    <xf numFmtId="189" fontId="34" fillId="0" borderId="0">
      <alignment horizontal="center"/>
    </xf>
    <xf numFmtId="0" fontId="112" fillId="51" borderId="0"/>
    <xf numFmtId="195" fontId="34" fillId="0" borderId="0">
      <alignment horizontal="center"/>
    </xf>
    <xf numFmtId="195" fontId="34" fillId="0" borderId="33">
      <alignment horizontal="center"/>
    </xf>
    <xf numFmtId="0" fontId="34" fillId="0" borderId="0">
      <alignment horizontal="left"/>
    </xf>
    <xf numFmtId="0" fontId="113" fillId="0" borderId="0">
      <alignment horizontal="center"/>
    </xf>
    <xf numFmtId="0" fontId="114" fillId="0" borderId="0" applyNumberFormat="0" applyFill="0" applyBorder="0"/>
    <xf numFmtId="0" fontId="20" fillId="20" borderId="0"/>
    <xf numFmtId="49" fontId="20" fillId="0" borderId="0" applyFill="0" applyBorder="0" applyAlignment="0"/>
    <xf numFmtId="0" fontId="34" fillId="0" borderId="0" applyFill="0" applyBorder="0" applyAlignment="0"/>
    <xf numFmtId="172" fontId="17" fillId="0" borderId="0" applyFill="0" applyBorder="0" applyAlignment="0"/>
    <xf numFmtId="0" fontId="17" fillId="0" borderId="0" applyFill="0" applyBorder="0" applyAlignment="0"/>
    <xf numFmtId="174" fontId="17" fillId="0" borderId="0" applyFill="0" applyBorder="0" applyAlignment="0"/>
    <xf numFmtId="49" fontId="17" fillId="0" borderId="0"/>
    <xf numFmtId="0" fontId="115" fillId="0" borderId="0">
      <alignment horizontal="right"/>
    </xf>
    <xf numFmtId="0" fontId="116" fillId="0" borderId="0">
      <alignment horizontal="right"/>
      <protection locked="0"/>
    </xf>
    <xf numFmtId="0" fontId="117" fillId="0" borderId="0" applyNumberFormat="0" applyFill="0" applyBorder="0" applyAlignment="0" applyProtection="0"/>
    <xf numFmtId="0" fontId="118" fillId="0" borderId="0" applyNumberFormat="0" applyFill="0" applyBorder="0" applyAlignment="0" applyProtection="0"/>
    <xf numFmtId="0" fontId="119" fillId="0" borderId="0" applyNumberFormat="0" applyFill="0" applyBorder="0" applyAlignment="0" applyProtection="0"/>
    <xf numFmtId="0" fontId="119" fillId="0" borderId="0" applyNumberFormat="0" applyFill="0" applyBorder="0" applyAlignment="0" applyProtection="0"/>
    <xf numFmtId="0" fontId="119" fillId="0" borderId="0" applyNumberFormat="0" applyFill="0" applyBorder="0" applyAlignment="0" applyProtection="0"/>
    <xf numFmtId="0" fontId="119" fillId="0" borderId="0" applyNumberFormat="0" applyFill="0" applyBorder="0" applyAlignment="0" applyProtection="0"/>
    <xf numFmtId="0" fontId="28" fillId="20" borderId="0"/>
    <xf numFmtId="0" fontId="15" fillId="13" borderId="7" applyBorder="0">
      <alignment horizontal="center" wrapText="1"/>
    </xf>
    <xf numFmtId="0" fontId="15" fillId="46" borderId="7" applyBorder="0">
      <alignment horizontal="center" wrapText="1"/>
    </xf>
    <xf numFmtId="0" fontId="5" fillId="10" borderId="7" applyBorder="0">
      <alignment horizontal="center" wrapText="1"/>
    </xf>
    <xf numFmtId="0" fontId="5" fillId="10" borderId="7" applyBorder="0">
      <alignment horizontal="center" wrapText="1"/>
    </xf>
    <xf numFmtId="0" fontId="102" fillId="0" borderId="0" applyNumberFormat="0" applyFill="0" applyBorder="0" applyAlignment="0" applyProtection="0"/>
    <xf numFmtId="0" fontId="120" fillId="0" borderId="34" applyNumberFormat="0" applyFill="0" applyAlignment="0" applyProtection="0"/>
    <xf numFmtId="0" fontId="28" fillId="0" borderId="35" applyNumberFormat="0" applyFill="0" applyAlignment="0" applyProtection="0"/>
    <xf numFmtId="0" fontId="17" fillId="0" borderId="36" applyNumberFormat="0" applyFill="0" applyAlignment="0" applyProtection="0"/>
    <xf numFmtId="0" fontId="121" fillId="0" borderId="37" applyNumberFormat="0" applyFill="0" applyAlignment="0" applyProtection="0"/>
    <xf numFmtId="0" fontId="122" fillId="20" borderId="0"/>
    <xf numFmtId="0" fontId="123" fillId="0" borderId="0" applyNumberFormat="0" applyFill="0" applyBorder="0" applyAlignment="0" applyProtection="0"/>
    <xf numFmtId="0" fontId="124" fillId="0" borderId="0" applyNumberFormat="0" applyFill="0" applyBorder="0" applyAlignment="0" applyProtection="0"/>
    <xf numFmtId="0" fontId="125" fillId="0" borderId="0" applyNumberFormat="0" applyFill="0" applyBorder="0" applyAlignment="0" applyProtection="0"/>
    <xf numFmtId="1" fontId="9" fillId="11" borderId="5"/>
    <xf numFmtId="2" fontId="126" fillId="11" borderId="5"/>
    <xf numFmtId="1" fontId="127" fillId="11" borderId="5" applyNumberFormat="0"/>
    <xf numFmtId="0" fontId="17" fillId="0" borderId="0"/>
    <xf numFmtId="44" fontId="2" fillId="0" borderId="0" applyFont="0" applyFill="0" applyBorder="0" applyAlignment="0" applyProtection="0"/>
    <xf numFmtId="43" fontId="2" fillId="0" borderId="0" applyFont="0" applyFill="0" applyBorder="0" applyAlignment="0" applyProtection="0"/>
  </cellStyleXfs>
  <cellXfs count="167">
    <xf numFmtId="0" fontId="0" fillId="0" borderId="0" xfId="0"/>
    <xf numFmtId="0" fontId="0" fillId="0" borderId="0" xfId="0"/>
    <xf numFmtId="0" fontId="5" fillId="0" borderId="0" xfId="0" applyFont="1"/>
    <xf numFmtId="0" fontId="128" fillId="0" borderId="0" xfId="0" applyFont="1" applyFill="1" applyBorder="1"/>
    <xf numFmtId="0" fontId="14" fillId="0" borderId="0" xfId="0" applyFont="1" applyAlignment="1">
      <alignment horizontal="center"/>
    </xf>
    <xf numFmtId="10" fontId="5" fillId="0" borderId="0" xfId="1" applyNumberFormat="1" applyFont="1"/>
    <xf numFmtId="0" fontId="5" fillId="5" borderId="0" xfId="0" applyFont="1" applyFill="1"/>
    <xf numFmtId="164" fontId="5" fillId="5" borderId="0" xfId="0" applyNumberFormat="1" applyFont="1" applyFill="1"/>
    <xf numFmtId="0" fontId="14" fillId="0" borderId="0" xfId="0" applyFont="1"/>
    <xf numFmtId="165" fontId="14" fillId="0" borderId="0" xfId="0" applyNumberFormat="1" applyFont="1"/>
    <xf numFmtId="10" fontId="5" fillId="5" borderId="0" xfId="1" applyNumberFormat="1" applyFont="1" applyFill="1"/>
    <xf numFmtId="165" fontId="5" fillId="5" borderId="0" xfId="1" applyNumberFormat="1" applyFont="1" applyFill="1"/>
    <xf numFmtId="164" fontId="5" fillId="0" borderId="0" xfId="0" applyNumberFormat="1" applyFont="1"/>
    <xf numFmtId="165" fontId="5" fillId="0" borderId="0" xfId="1" applyNumberFormat="1" applyFont="1"/>
    <xf numFmtId="0" fontId="5" fillId="5" borderId="0" xfId="0" applyFont="1" applyFill="1" applyAlignment="1">
      <alignment horizontal="right"/>
    </xf>
    <xf numFmtId="0" fontId="5" fillId="0" borderId="0" xfId="0" applyFont="1" applyAlignment="1">
      <alignment horizontal="right"/>
    </xf>
    <xf numFmtId="165" fontId="5" fillId="0" borderId="0" xfId="0" applyNumberFormat="1" applyFont="1"/>
    <xf numFmtId="165" fontId="5" fillId="5" borderId="0" xfId="0" applyNumberFormat="1" applyFont="1" applyFill="1"/>
    <xf numFmtId="164" fontId="5" fillId="5" borderId="0" xfId="0" applyNumberFormat="1" applyFont="1" applyFill="1" applyAlignment="1">
      <alignment horizontal="right"/>
    </xf>
    <xf numFmtId="165" fontId="0" fillId="0" borderId="0" xfId="0" applyNumberFormat="1"/>
    <xf numFmtId="0" fontId="14" fillId="0" borderId="0" xfId="0" applyFont="1" applyAlignment="1">
      <alignment horizontal="center"/>
    </xf>
    <xf numFmtId="0" fontId="14" fillId="0" borderId="0" xfId="0" applyFont="1" applyAlignment="1">
      <alignment horizontal="center"/>
    </xf>
    <xf numFmtId="44" fontId="0" fillId="0" borderId="0" xfId="526" applyFont="1" applyAlignment="1">
      <alignment horizontal="left" indent="1"/>
    </xf>
    <xf numFmtId="165" fontId="0" fillId="0" borderId="0" xfId="1" applyNumberFormat="1" applyFont="1"/>
    <xf numFmtId="165" fontId="0" fillId="0" borderId="0" xfId="1" applyNumberFormat="1" applyFont="1" applyAlignment="1">
      <alignment horizontal="right"/>
    </xf>
    <xf numFmtId="196" fontId="0" fillId="0" borderId="0" xfId="1" applyNumberFormat="1" applyFont="1" applyAlignment="1">
      <alignment horizontal="right"/>
    </xf>
    <xf numFmtId="44" fontId="0" fillId="0" borderId="0" xfId="526" applyFont="1"/>
    <xf numFmtId="165" fontId="128" fillId="0" borderId="0" xfId="1" applyNumberFormat="1" applyFont="1" applyFill="1" applyBorder="1" applyAlignment="1">
      <alignment horizontal="center"/>
    </xf>
    <xf numFmtId="197" fontId="0" fillId="0" borderId="0" xfId="527" applyNumberFormat="1" applyFont="1"/>
    <xf numFmtId="3" fontId="0" fillId="0" borderId="0" xfId="0" applyNumberFormat="1"/>
    <xf numFmtId="4" fontId="0" fillId="0" borderId="0" xfId="0" applyNumberFormat="1"/>
    <xf numFmtId="44" fontId="5" fillId="0" borderId="0" xfId="526" applyFont="1"/>
    <xf numFmtId="0" fontId="5" fillId="0" borderId="0" xfId="0" applyFont="1" applyFill="1"/>
    <xf numFmtId="165" fontId="5" fillId="0" borderId="0" xfId="0" applyNumberFormat="1" applyFont="1" applyFill="1"/>
    <xf numFmtId="165" fontId="5" fillId="0" borderId="0" xfId="1" applyNumberFormat="1" applyFont="1" applyFill="1"/>
    <xf numFmtId="0" fontId="130" fillId="0" borderId="0" xfId="0" applyFont="1"/>
    <xf numFmtId="167" fontId="5" fillId="0" borderId="0" xfId="1" applyNumberFormat="1" applyFont="1" applyBorder="1" applyAlignment="1">
      <alignment horizontal="center"/>
    </xf>
    <xf numFmtId="165" fontId="5" fillId="0" borderId="0" xfId="1" applyNumberFormat="1" applyFont="1" applyBorder="1" applyAlignment="1">
      <alignment horizontal="center"/>
    </xf>
    <xf numFmtId="0" fontId="6" fillId="6" borderId="0" xfId="366"/>
    <xf numFmtId="0" fontId="0" fillId="0" borderId="0" xfId="0" pivotButton="1"/>
    <xf numFmtId="0" fontId="0" fillId="0" borderId="0" xfId="0" applyNumberFormat="1"/>
    <xf numFmtId="0" fontId="132" fillId="0" borderId="0" xfId="0" applyFont="1" applyBorder="1"/>
    <xf numFmtId="0" fontId="0" fillId="0" borderId="0" xfId="0" applyAlignment="1">
      <alignment horizontal="center"/>
    </xf>
    <xf numFmtId="0" fontId="0" fillId="0" borderId="0" xfId="0" applyAlignment="1">
      <alignment wrapText="1"/>
    </xf>
    <xf numFmtId="167" fontId="5" fillId="0" borderId="39" xfId="1" applyNumberFormat="1" applyFont="1" applyBorder="1" applyAlignment="1">
      <alignment horizontal="center"/>
    </xf>
    <xf numFmtId="167" fontId="5" fillId="0" borderId="41" xfId="1" applyNumberFormat="1" applyFont="1" applyBorder="1" applyAlignment="1">
      <alignment horizontal="center"/>
    </xf>
    <xf numFmtId="167" fontId="5" fillId="0" borderId="42" xfId="1" applyNumberFormat="1" applyFont="1" applyBorder="1" applyAlignment="1">
      <alignment horizontal="center"/>
    </xf>
    <xf numFmtId="165" fontId="14" fillId="0" borderId="43" xfId="1" applyNumberFormat="1" applyFont="1" applyBorder="1" applyAlignment="1">
      <alignment horizontal="center"/>
    </xf>
    <xf numFmtId="165" fontId="5" fillId="0" borderId="39" xfId="1" applyNumberFormat="1" applyFont="1" applyBorder="1" applyAlignment="1">
      <alignment horizontal="center"/>
    </xf>
    <xf numFmtId="165" fontId="129" fillId="0" borderId="45" xfId="1" applyNumberFormat="1" applyFont="1" applyFill="1" applyBorder="1" applyAlignment="1">
      <alignment horizontal="center"/>
    </xf>
    <xf numFmtId="167" fontId="5" fillId="0" borderId="43" xfId="1" applyNumberFormat="1" applyFont="1" applyBorder="1" applyAlignment="1">
      <alignment horizontal="center"/>
    </xf>
    <xf numFmtId="167" fontId="5" fillId="0" borderId="45" xfId="1" applyNumberFormat="1" applyFont="1" applyBorder="1" applyAlignment="1">
      <alignment horizontal="center"/>
    </xf>
    <xf numFmtId="0" fontId="14" fillId="12" borderId="43" xfId="0" applyFont="1" applyFill="1" applyBorder="1" applyAlignment="1">
      <alignment horizontal="center"/>
    </xf>
    <xf numFmtId="0" fontId="14" fillId="12" borderId="0" xfId="0" applyFont="1" applyFill="1" applyBorder="1" applyAlignment="1">
      <alignment horizontal="center"/>
    </xf>
    <xf numFmtId="0" fontId="14" fillId="12" borderId="39" xfId="0" applyFont="1" applyFill="1" applyBorder="1" applyAlignment="1">
      <alignment horizontal="center"/>
    </xf>
    <xf numFmtId="167" fontId="14" fillId="12" borderId="43" xfId="0" applyNumberFormat="1" applyFont="1" applyFill="1" applyBorder="1" applyAlignment="1">
      <alignment horizontal="center"/>
    </xf>
    <xf numFmtId="167" fontId="14" fillId="12" borderId="0" xfId="0" applyNumberFormat="1" applyFont="1" applyFill="1" applyBorder="1" applyAlignment="1">
      <alignment horizontal="center"/>
    </xf>
    <xf numFmtId="167" fontId="14" fillId="12" borderId="39" xfId="0" applyNumberFormat="1" applyFont="1" applyFill="1" applyBorder="1" applyAlignment="1">
      <alignment horizontal="center"/>
    </xf>
    <xf numFmtId="0" fontId="129" fillId="52" borderId="44" xfId="0" applyFont="1" applyFill="1" applyBorder="1" applyAlignment="1">
      <alignment horizontal="center"/>
    </xf>
    <xf numFmtId="0" fontId="129" fillId="52" borderId="9" xfId="0" applyFont="1" applyFill="1" applyBorder="1" applyAlignment="1">
      <alignment horizontal="center"/>
    </xf>
    <xf numFmtId="0" fontId="129" fillId="52" borderId="46" xfId="0" applyFont="1" applyFill="1" applyBorder="1" applyAlignment="1">
      <alignment horizontal="center"/>
    </xf>
    <xf numFmtId="167" fontId="129" fillId="52" borderId="44" xfId="0" applyNumberFormat="1" applyFont="1" applyFill="1" applyBorder="1" applyAlignment="1">
      <alignment horizontal="center"/>
    </xf>
    <xf numFmtId="167" fontId="129" fillId="52" borderId="9" xfId="0" applyNumberFormat="1" applyFont="1" applyFill="1" applyBorder="1" applyAlignment="1">
      <alignment horizontal="center"/>
    </xf>
    <xf numFmtId="167" fontId="129" fillId="52" borderId="46" xfId="0" applyNumberFormat="1" applyFont="1" applyFill="1" applyBorder="1" applyAlignment="1">
      <alignment horizontal="center"/>
    </xf>
    <xf numFmtId="165" fontId="14" fillId="0" borderId="50" xfId="0" applyNumberFormat="1" applyFont="1" applyBorder="1" applyAlignment="1">
      <alignment horizontal="center"/>
    </xf>
    <xf numFmtId="165" fontId="14" fillId="0" borderId="49" xfId="0" applyNumberFormat="1" applyFont="1" applyBorder="1" applyAlignment="1">
      <alignment horizontal="center"/>
    </xf>
    <xf numFmtId="165" fontId="14" fillId="0" borderId="51" xfId="0" applyNumberFormat="1" applyFont="1" applyBorder="1" applyAlignment="1">
      <alignment horizontal="center"/>
    </xf>
    <xf numFmtId="167" fontId="14" fillId="0" borderId="49" xfId="0" applyNumberFormat="1" applyFont="1" applyBorder="1" applyAlignment="1">
      <alignment horizontal="center"/>
    </xf>
    <xf numFmtId="167" fontId="14" fillId="0" borderId="50" xfId="0" applyNumberFormat="1" applyFont="1" applyBorder="1" applyAlignment="1">
      <alignment horizontal="center"/>
    </xf>
    <xf numFmtId="167" fontId="14" fillId="0" borderId="51" xfId="0" applyNumberFormat="1" applyFont="1" applyBorder="1" applyAlignment="1">
      <alignment horizontal="center"/>
    </xf>
    <xf numFmtId="165" fontId="5" fillId="0" borderId="50" xfId="1" applyNumberFormat="1" applyFont="1" applyBorder="1" applyAlignment="1">
      <alignment horizontal="center"/>
    </xf>
    <xf numFmtId="165" fontId="14" fillId="0" borderId="49" xfId="1" applyNumberFormat="1" applyFont="1" applyBorder="1" applyAlignment="1">
      <alignment horizontal="center"/>
    </xf>
    <xf numFmtId="165" fontId="5" fillId="0" borderId="51" xfId="1" applyNumberFormat="1" applyFont="1" applyBorder="1" applyAlignment="1">
      <alignment horizontal="center"/>
    </xf>
    <xf numFmtId="167" fontId="5" fillId="0" borderId="49" xfId="1" applyNumberFormat="1" applyFont="1" applyBorder="1" applyAlignment="1">
      <alignment horizontal="center"/>
    </xf>
    <xf numFmtId="167" fontId="5" fillId="0" borderId="50" xfId="1" applyNumberFormat="1" applyFont="1" applyBorder="1" applyAlignment="1">
      <alignment horizontal="center"/>
    </xf>
    <xf numFmtId="167" fontId="5" fillId="0" borderId="51" xfId="1" applyNumberFormat="1" applyFont="1" applyBorder="1" applyAlignment="1">
      <alignment horizontal="center"/>
    </xf>
    <xf numFmtId="0" fontId="128" fillId="0" borderId="43" xfId="0" applyFont="1" applyFill="1" applyBorder="1" applyAlignment="1">
      <alignment horizontal="left"/>
    </xf>
    <xf numFmtId="0" fontId="128" fillId="0" borderId="45" xfId="0" applyFont="1" applyFill="1" applyBorder="1" applyAlignment="1">
      <alignment horizontal="left"/>
    </xf>
    <xf numFmtId="165" fontId="128" fillId="0" borderId="41" xfId="1" applyNumberFormat="1" applyFont="1" applyFill="1" applyBorder="1" applyAlignment="1">
      <alignment horizontal="center"/>
    </xf>
    <xf numFmtId="165" fontId="128" fillId="0" borderId="42" xfId="1" applyNumberFormat="1" applyFont="1" applyFill="1" applyBorder="1" applyAlignment="1">
      <alignment horizontal="center"/>
    </xf>
    <xf numFmtId="0" fontId="14" fillId="12" borderId="50" xfId="0" applyFont="1" applyFill="1" applyBorder="1" applyAlignment="1">
      <alignment horizontal="center" wrapText="1"/>
    </xf>
    <xf numFmtId="0" fontId="14" fillId="12" borderId="49" xfId="0" applyFont="1" applyFill="1" applyBorder="1" applyAlignment="1">
      <alignment horizontal="center" wrapText="1"/>
    </xf>
    <xf numFmtId="0" fontId="14" fillId="12" borderId="51" xfId="0" applyFont="1" applyFill="1" applyBorder="1" applyAlignment="1">
      <alignment horizontal="center" wrapText="1"/>
    </xf>
    <xf numFmtId="0" fontId="14" fillId="12" borderId="49" xfId="0" applyFont="1" applyFill="1" applyBorder="1" applyAlignment="1">
      <alignment horizontal="center"/>
    </xf>
    <xf numFmtId="0" fontId="14" fillId="12" borderId="50" xfId="0" applyFont="1" applyFill="1" applyBorder="1" applyAlignment="1">
      <alignment horizontal="center"/>
    </xf>
    <xf numFmtId="0" fontId="14" fillId="12" borderId="51" xfId="0" applyFont="1" applyFill="1" applyBorder="1" applyAlignment="1">
      <alignment horizontal="center"/>
    </xf>
    <xf numFmtId="0" fontId="14" fillId="0" borderId="14" xfId="0" applyFont="1" applyBorder="1"/>
    <xf numFmtId="0" fontId="7" fillId="7" borderId="14" xfId="5" applyFont="1" applyBorder="1" applyAlignment="1">
      <alignment horizontal="center"/>
    </xf>
    <xf numFmtId="14" fontId="7" fillId="7" borderId="14" xfId="5" applyNumberFormat="1" applyFont="1" applyBorder="1"/>
    <xf numFmtId="0" fontId="134" fillId="0" borderId="0" xfId="0" applyFont="1"/>
    <xf numFmtId="0" fontId="135" fillId="6" borderId="0" xfId="366" applyFont="1"/>
    <xf numFmtId="0" fontId="1" fillId="0" borderId="0" xfId="0" applyFont="1"/>
    <xf numFmtId="0" fontId="136" fillId="6" borderId="0" xfId="366" applyFont="1"/>
    <xf numFmtId="0" fontId="6" fillId="6" borderId="0" xfId="366" applyFont="1"/>
    <xf numFmtId="14" fontId="6" fillId="6" borderId="0" xfId="366" applyNumberFormat="1" applyFont="1"/>
    <xf numFmtId="0" fontId="14" fillId="12" borderId="49" xfId="0" applyFont="1" applyFill="1" applyBorder="1" applyAlignment="1">
      <alignment horizontal="left"/>
    </xf>
    <xf numFmtId="0" fontId="14" fillId="12" borderId="43" xfId="0" applyFont="1" applyFill="1" applyBorder="1" applyAlignment="1">
      <alignment horizontal="left"/>
    </xf>
    <xf numFmtId="0" fontId="129" fillId="52" borderId="44" xfId="0" applyFont="1" applyFill="1" applyBorder="1" applyAlignment="1">
      <alignment horizontal="left"/>
    </xf>
    <xf numFmtId="0" fontId="5" fillId="0" borderId="43" xfId="0" applyFont="1" applyBorder="1" applyAlignment="1">
      <alignment horizontal="right"/>
    </xf>
    <xf numFmtId="0" fontId="0" fillId="0" borderId="0" xfId="0" applyAlignment="1"/>
    <xf numFmtId="0" fontId="14" fillId="0" borderId="49" xfId="0" applyFont="1" applyFill="1" applyBorder="1" applyAlignment="1">
      <alignment horizontal="right"/>
    </xf>
    <xf numFmtId="0" fontId="5" fillId="0" borderId="49" xfId="0" applyFont="1" applyBorder="1" applyAlignment="1">
      <alignment horizontal="right"/>
    </xf>
    <xf numFmtId="0" fontId="128" fillId="0" borderId="45" xfId="0" applyFont="1" applyFill="1" applyBorder="1" applyAlignment="1">
      <alignment horizontal="right"/>
    </xf>
    <xf numFmtId="0" fontId="129" fillId="52" borderId="49" xfId="0" applyFont="1" applyFill="1" applyBorder="1" applyAlignment="1">
      <alignment horizontal="center"/>
    </xf>
    <xf numFmtId="0" fontId="6" fillId="6" borderId="52" xfId="366" applyNumberFormat="1" applyFont="1" applyFill="1" applyBorder="1" applyAlignment="1"/>
    <xf numFmtId="0" fontId="6" fillId="6" borderId="53" xfId="366" applyNumberFormat="1" applyFont="1" applyFill="1" applyBorder="1" applyAlignment="1"/>
    <xf numFmtId="0" fontId="6" fillId="6" borderId="0" xfId="366" applyNumberFormat="1" applyFont="1" applyFill="1" applyBorder="1" applyAlignment="1"/>
    <xf numFmtId="0" fontId="128" fillId="5" borderId="54" xfId="0" applyFont="1" applyFill="1" applyBorder="1" applyAlignment="1">
      <alignment horizontal="left"/>
    </xf>
    <xf numFmtId="0" fontId="6" fillId="5" borderId="54" xfId="366" applyNumberFormat="1" applyFont="1" applyFill="1" applyBorder="1" applyAlignment="1"/>
    <xf numFmtId="0" fontId="6" fillId="5" borderId="55" xfId="366" applyNumberFormat="1" applyFont="1" applyFill="1" applyBorder="1" applyAlignment="1"/>
    <xf numFmtId="0" fontId="6" fillId="6" borderId="60" xfId="366" applyNumberFormat="1" applyFont="1" applyFill="1" applyBorder="1" applyAlignment="1"/>
    <xf numFmtId="0" fontId="6" fillId="6" borderId="61" xfId="366" applyNumberFormat="1" applyFont="1" applyFill="1" applyBorder="1" applyAlignment="1"/>
    <xf numFmtId="0" fontId="0" fillId="0" borderId="62" xfId="0" applyBorder="1"/>
    <xf numFmtId="0" fontId="0" fillId="0" borderId="0" xfId="0" applyBorder="1"/>
    <xf numFmtId="0" fontId="0" fillId="0" borderId="8" xfId="0" applyBorder="1"/>
    <xf numFmtId="0" fontId="0" fillId="0" borderId="63" xfId="0" applyBorder="1"/>
    <xf numFmtId="0" fontId="0" fillId="0" borderId="9" xfId="0" applyBorder="1"/>
    <xf numFmtId="0" fontId="0" fillId="0" borderId="38" xfId="0" applyBorder="1"/>
    <xf numFmtId="0" fontId="137" fillId="12" borderId="56" xfId="366" applyNumberFormat="1" applyFont="1" applyFill="1" applyBorder="1" applyAlignment="1">
      <alignment horizontal="center"/>
    </xf>
    <xf numFmtId="0" fontId="137" fillId="12" borderId="57" xfId="366" applyNumberFormat="1" applyFont="1" applyFill="1" applyBorder="1" applyAlignment="1">
      <alignment horizontal="center"/>
    </xf>
    <xf numFmtId="0" fontId="137" fillId="12" borderId="58" xfId="366" applyNumberFormat="1" applyFont="1" applyFill="1" applyBorder="1" applyAlignment="1">
      <alignment horizontal="center"/>
    </xf>
    <xf numFmtId="0" fontId="137" fillId="12" borderId="59" xfId="366" applyNumberFormat="1" applyFont="1" applyFill="1" applyBorder="1" applyAlignment="1">
      <alignment horizontal="center"/>
    </xf>
    <xf numFmtId="0" fontId="6" fillId="6" borderId="56" xfId="366" applyNumberFormat="1" applyFont="1" applyFill="1" applyBorder="1" applyAlignment="1"/>
    <xf numFmtId="0" fontId="6" fillId="6" borderId="57" xfId="366" applyNumberFormat="1" applyFont="1" applyFill="1" applyBorder="1" applyAlignment="1"/>
    <xf numFmtId="0" fontId="6" fillId="6" borderId="58" xfId="366" applyNumberFormat="1" applyFont="1" applyFill="1" applyBorder="1" applyAlignment="1"/>
    <xf numFmtId="0" fontId="6" fillId="6" borderId="59" xfId="366" applyNumberFormat="1" applyFont="1" applyFill="1" applyBorder="1" applyAlignment="1"/>
    <xf numFmtId="0" fontId="129" fillId="52" borderId="49" xfId="0" applyFont="1" applyFill="1" applyBorder="1" applyAlignment="1">
      <alignment horizontal="center"/>
    </xf>
    <xf numFmtId="0" fontId="129" fillId="52" borderId="50" xfId="0" applyFont="1" applyFill="1" applyBorder="1" applyAlignment="1">
      <alignment horizontal="center"/>
    </xf>
    <xf numFmtId="0" fontId="129" fillId="52" borderId="51" xfId="0" applyFont="1" applyFill="1" applyBorder="1" applyAlignment="1">
      <alignment horizontal="center"/>
    </xf>
    <xf numFmtId="165" fontId="128" fillId="0" borderId="43" xfId="1" applyNumberFormat="1" applyFont="1" applyFill="1" applyBorder="1" applyAlignment="1">
      <alignment horizontal="center"/>
    </xf>
    <xf numFmtId="165" fontId="128" fillId="0" borderId="0" xfId="1" applyNumberFormat="1" applyFont="1" applyFill="1" applyBorder="1" applyAlignment="1">
      <alignment horizontal="center"/>
    </xf>
    <xf numFmtId="165" fontId="128" fillId="0" borderId="39" xfId="1" applyNumberFormat="1" applyFont="1" applyFill="1" applyBorder="1" applyAlignment="1">
      <alignment horizontal="center"/>
    </xf>
    <xf numFmtId="165" fontId="128" fillId="0" borderId="45" xfId="1" applyNumberFormat="1" applyFont="1" applyFill="1" applyBorder="1" applyAlignment="1">
      <alignment horizontal="center"/>
    </xf>
    <xf numFmtId="165" fontId="128" fillId="0" borderId="41" xfId="1" applyNumberFormat="1" applyFont="1" applyFill="1" applyBorder="1" applyAlignment="1">
      <alignment horizontal="center"/>
    </xf>
    <xf numFmtId="165" fontId="128" fillId="0" borderId="42" xfId="1" applyNumberFormat="1" applyFont="1" applyFill="1" applyBorder="1" applyAlignment="1">
      <alignment horizontal="center"/>
    </xf>
    <xf numFmtId="165" fontId="128" fillId="0" borderId="47" xfId="1" applyNumberFormat="1" applyFont="1" applyFill="1" applyBorder="1" applyAlignment="1">
      <alignment horizontal="center"/>
    </xf>
    <xf numFmtId="165" fontId="128" fillId="0" borderId="40" xfId="1" applyNumberFormat="1" applyFont="1" applyFill="1" applyBorder="1" applyAlignment="1">
      <alignment horizontal="center"/>
    </xf>
    <xf numFmtId="0" fontId="129" fillId="52" borderId="9" xfId="0" quotePrefix="1" applyFont="1" applyFill="1" applyBorder="1" applyAlignment="1">
      <alignment horizontal="center"/>
    </xf>
    <xf numFmtId="0" fontId="129" fillId="52" borderId="46" xfId="0" quotePrefix="1" applyFont="1" applyFill="1" applyBorder="1" applyAlignment="1">
      <alignment horizontal="center"/>
    </xf>
    <xf numFmtId="0" fontId="129" fillId="52" borderId="44" xfId="0" applyFont="1" applyFill="1" applyBorder="1" applyAlignment="1">
      <alignment horizontal="center"/>
    </xf>
    <xf numFmtId="0" fontId="129" fillId="52" borderId="9" xfId="0" applyFont="1" applyFill="1" applyBorder="1" applyAlignment="1">
      <alignment horizontal="center"/>
    </xf>
    <xf numFmtId="165" fontId="128" fillId="0" borderId="48" xfId="1" applyNumberFormat="1" applyFont="1" applyFill="1" applyBorder="1" applyAlignment="1">
      <alignment horizontal="center"/>
    </xf>
    <xf numFmtId="165" fontId="14" fillId="0" borderId="50" xfId="0" applyNumberFormat="1" applyFont="1" applyBorder="1" applyAlignment="1">
      <alignment horizontal="center"/>
    </xf>
    <xf numFmtId="165" fontId="14" fillId="0" borderId="51" xfId="0" applyNumberFormat="1" applyFont="1" applyBorder="1" applyAlignment="1">
      <alignment horizontal="center"/>
    </xf>
    <xf numFmtId="165" fontId="14" fillId="0" borderId="49" xfId="0" applyNumberFormat="1" applyFont="1" applyBorder="1" applyAlignment="1">
      <alignment horizontal="center"/>
    </xf>
    <xf numFmtId="0" fontId="14" fillId="12" borderId="49" xfId="0" applyFont="1" applyFill="1" applyBorder="1" applyAlignment="1">
      <alignment horizontal="center"/>
    </xf>
    <xf numFmtId="0" fontId="14" fillId="12" borderId="50" xfId="0" applyFont="1" applyFill="1" applyBorder="1" applyAlignment="1">
      <alignment horizontal="center"/>
    </xf>
    <xf numFmtId="165" fontId="5" fillId="0" borderId="49" xfId="1" applyNumberFormat="1" applyFont="1" applyBorder="1" applyAlignment="1">
      <alignment horizontal="center"/>
    </xf>
    <xf numFmtId="165" fontId="5" fillId="0" borderId="50" xfId="1" applyNumberFormat="1" applyFont="1" applyBorder="1" applyAlignment="1">
      <alignment horizontal="center"/>
    </xf>
    <xf numFmtId="0" fontId="14" fillId="12" borderId="43" xfId="0" applyFont="1" applyFill="1" applyBorder="1" applyAlignment="1">
      <alignment horizontal="center"/>
    </xf>
    <xf numFmtId="0" fontId="14" fillId="12" borderId="0" xfId="0" applyFont="1" applyFill="1" applyBorder="1" applyAlignment="1">
      <alignment horizontal="center"/>
    </xf>
    <xf numFmtId="0" fontId="14" fillId="12" borderId="51" xfId="0" applyFont="1" applyFill="1" applyBorder="1" applyAlignment="1">
      <alignment horizontal="center"/>
    </xf>
    <xf numFmtId="165" fontId="5" fillId="0" borderId="51" xfId="1" applyNumberFormat="1" applyFont="1" applyBorder="1" applyAlignment="1">
      <alignment horizontal="center"/>
    </xf>
    <xf numFmtId="0" fontId="14" fillId="12" borderId="39" xfId="0" applyFont="1" applyFill="1" applyBorder="1" applyAlignment="1">
      <alignment horizontal="center"/>
    </xf>
    <xf numFmtId="0" fontId="14" fillId="12" borderId="49" xfId="0" applyFont="1" applyFill="1" applyBorder="1" applyAlignment="1">
      <alignment horizontal="center" wrapText="1"/>
    </xf>
    <xf numFmtId="0" fontId="14" fillId="12" borderId="50" xfId="0" applyFont="1" applyFill="1" applyBorder="1" applyAlignment="1">
      <alignment horizontal="center" wrapText="1"/>
    </xf>
    <xf numFmtId="165" fontId="5" fillId="0" borderId="43" xfId="1" applyNumberFormat="1" applyFont="1" applyBorder="1" applyAlignment="1">
      <alignment horizontal="center"/>
    </xf>
    <xf numFmtId="165" fontId="5" fillId="0" borderId="0" xfId="1" applyNumberFormat="1" applyFont="1" applyBorder="1" applyAlignment="1">
      <alignment horizontal="center"/>
    </xf>
    <xf numFmtId="0" fontId="14" fillId="12" borderId="51" xfId="0" applyFont="1" applyFill="1" applyBorder="1" applyAlignment="1">
      <alignment horizontal="center" wrapText="1"/>
    </xf>
    <xf numFmtId="165" fontId="5" fillId="0" borderId="39" xfId="1" applyNumberFormat="1" applyFont="1" applyBorder="1" applyAlignment="1">
      <alignment horizontal="center"/>
    </xf>
    <xf numFmtId="0" fontId="133" fillId="53" borderId="0" xfId="0" applyFont="1" applyFill="1" applyAlignment="1">
      <alignment horizontal="center"/>
    </xf>
    <xf numFmtId="0" fontId="131" fillId="0" borderId="9" xfId="0" applyFont="1" applyBorder="1" applyAlignment="1">
      <alignment horizontal="center"/>
    </xf>
    <xf numFmtId="0" fontId="14" fillId="0" borderId="0" xfId="0" applyFont="1" applyAlignment="1">
      <alignment horizontal="center"/>
    </xf>
    <xf numFmtId="0" fontId="137" fillId="12" borderId="14" xfId="366" applyNumberFormat="1" applyFont="1" applyFill="1" applyBorder="1" applyAlignment="1">
      <alignment horizontal="center"/>
    </xf>
    <xf numFmtId="0" fontId="6" fillId="6" borderId="14" xfId="366" applyNumberFormat="1" applyFont="1" applyFill="1" applyBorder="1" applyAlignment="1"/>
    <xf numFmtId="165" fontId="6" fillId="6" borderId="14" xfId="1" applyNumberFormat="1" applyFont="1" applyFill="1" applyBorder="1" applyAlignment="1"/>
    <xf numFmtId="165" fontId="137" fillId="12" borderId="14" xfId="1" applyNumberFormat="1" applyFont="1" applyFill="1" applyBorder="1" applyAlignment="1">
      <alignment horizontal="center"/>
    </xf>
  </cellXfs>
  <cellStyles count="528">
    <cellStyle name="_Bonds" xfId="37"/>
    <cellStyle name="_Bonds 2" xfId="38"/>
    <cellStyle name="_Offering" xfId="39"/>
    <cellStyle name="_Offering 2" xfId="40"/>
    <cellStyle name="£ BP" xfId="41"/>
    <cellStyle name="¥ JY" xfId="42"/>
    <cellStyle name="20% - Accent1 2" xfId="2"/>
    <cellStyle name="20% - Accent1 2 2" xfId="18"/>
    <cellStyle name="20% - Accent1 2 3" xfId="19"/>
    <cellStyle name="20% - Accent1 3" xfId="3"/>
    <cellStyle name="20% - Accent1 3 2" xfId="20"/>
    <cellStyle name="20% - Accent1 3 3" xfId="21"/>
    <cellStyle name="20% - Accent1 4" xfId="22"/>
    <cellStyle name="20% - Accent1 5" xfId="23"/>
    <cellStyle name="20% - Accent2 2" xfId="43"/>
    <cellStyle name="20% - Accent2 3" xfId="44"/>
    <cellStyle name="20% - Accent2 4" xfId="45"/>
    <cellStyle name="20% - Accent3 2" xfId="46"/>
    <cellStyle name="20% - Accent3 3" xfId="47"/>
    <cellStyle name="20% - Accent3 4" xfId="48"/>
    <cellStyle name="20% - Accent4 2" xfId="49"/>
    <cellStyle name="20% - Accent4 3" xfId="50"/>
    <cellStyle name="20% - Accent4 4" xfId="51"/>
    <cellStyle name="20% - Accent5 2" xfId="52"/>
    <cellStyle name="20% - Accent5 3" xfId="53"/>
    <cellStyle name="20% - Accent5 4" xfId="54"/>
    <cellStyle name="20% - Accent6 2" xfId="55"/>
    <cellStyle name="20% - Accent6 3" xfId="56"/>
    <cellStyle name="20% - Accent6 4" xfId="57"/>
    <cellStyle name="40% - Accent1 2" xfId="58"/>
    <cellStyle name="40% - Accent1 3" xfId="59"/>
    <cellStyle name="40% - Accent1 4" xfId="60"/>
    <cellStyle name="40% - Accent2 2" xfId="61"/>
    <cellStyle name="40% - Accent2 3" xfId="62"/>
    <cellStyle name="40% - Accent2 4" xfId="63"/>
    <cellStyle name="40% - Accent3 2" xfId="64"/>
    <cellStyle name="40% - Accent3 3" xfId="65"/>
    <cellStyle name="40% - Accent3 4" xfId="66"/>
    <cellStyle name="40% - Accent4 2" xfId="67"/>
    <cellStyle name="40% - Accent4 3" xfId="68"/>
    <cellStyle name="40% - Accent4 4" xfId="69"/>
    <cellStyle name="40% - Accent5 2" xfId="70"/>
    <cellStyle name="40% - Accent5 3" xfId="71"/>
    <cellStyle name="40% - Accent5 4" xfId="72"/>
    <cellStyle name="40% - Accent6 2" xfId="73"/>
    <cellStyle name="40% - Accent6 3" xfId="74"/>
    <cellStyle name="40% - Accent6 4" xfId="75"/>
    <cellStyle name="60% - Accent1 2" xfId="76"/>
    <cellStyle name="60% - Accent1 3" xfId="77"/>
    <cellStyle name="60% - Accent1 4" xfId="78"/>
    <cellStyle name="60% - Accent2 2" xfId="79"/>
    <cellStyle name="60% - Accent2 3" xfId="80"/>
    <cellStyle name="60% - Accent2 4" xfId="81"/>
    <cellStyle name="60% - Accent3 2" xfId="82"/>
    <cellStyle name="60% - Accent3 3" xfId="83"/>
    <cellStyle name="60% - Accent3 4" xfId="84"/>
    <cellStyle name="60% - Accent4 2" xfId="85"/>
    <cellStyle name="60% - Accent4 3" xfId="86"/>
    <cellStyle name="60% - Accent4 4" xfId="87"/>
    <cellStyle name="60% - Accent5 2" xfId="88"/>
    <cellStyle name="60% - Accent5 3" xfId="89"/>
    <cellStyle name="60% - Accent5 4" xfId="90"/>
    <cellStyle name="60% - Accent6 2" xfId="91"/>
    <cellStyle name="60% - Accent6 3" xfId="92"/>
    <cellStyle name="60% - Accent6 4" xfId="93"/>
    <cellStyle name="Accent1 2" xfId="94"/>
    <cellStyle name="Accent1 3" xfId="95"/>
    <cellStyle name="Accent1 4" xfId="96"/>
    <cellStyle name="Accent2 2" xfId="97"/>
    <cellStyle name="Accent2 3" xfId="98"/>
    <cellStyle name="Accent2 4" xfId="99"/>
    <cellStyle name="Accent3 2" xfId="100"/>
    <cellStyle name="Accent3 3" xfId="101"/>
    <cellStyle name="Accent3 4" xfId="102"/>
    <cellStyle name="Accent4 2" xfId="103"/>
    <cellStyle name="Accent4 3" xfId="104"/>
    <cellStyle name="Accent4 4" xfId="105"/>
    <cellStyle name="Accent5 2" xfId="106"/>
    <cellStyle name="Accent5 3" xfId="107"/>
    <cellStyle name="Accent5 4" xfId="108"/>
    <cellStyle name="Accent6 2" xfId="109"/>
    <cellStyle name="Accent6 3" xfId="110"/>
    <cellStyle name="Accent6 4" xfId="111"/>
    <cellStyle name="Auto_OpenAuto_CloseExtractD_Sheet1" xfId="112"/>
    <cellStyle name="Axis.EffectiveDate" xfId="113"/>
    <cellStyle name="Axis.Seasoning" xfId="114"/>
    <cellStyle name="Bad 2" xfId="115"/>
    <cellStyle name="Bad 3" xfId="116"/>
    <cellStyle name="Bad 4" xfId="117"/>
    <cellStyle name="Big Money" xfId="118"/>
    <cellStyle name="Blue" xfId="119"/>
    <cellStyle name="blue axis cells" xfId="120"/>
    <cellStyle name="blue text cells" xfId="121"/>
    <cellStyle name="Body" xfId="122"/>
    <cellStyle name="Bold/Border" xfId="123"/>
    <cellStyle name="Border" xfId="124"/>
    <cellStyle name="Bullet" xfId="125"/>
    <cellStyle name="Calc Currency (0)" xfId="126"/>
    <cellStyle name="Calc Currency (0) 2" xfId="127"/>
    <cellStyle name="Calc Currency (2)" xfId="128"/>
    <cellStyle name="Calc Currency (2) 2" xfId="129"/>
    <cellStyle name="Calc Percent (0)" xfId="130"/>
    <cellStyle name="Calc Percent (0) 2" xfId="131"/>
    <cellStyle name="Calc Percent (1)" xfId="132"/>
    <cellStyle name="Calc Percent (1) 2" xfId="133"/>
    <cellStyle name="Calc Percent (2)" xfId="134"/>
    <cellStyle name="Calc Percent (2) 2" xfId="135"/>
    <cellStyle name="Calc Units (0)" xfId="136"/>
    <cellStyle name="Calc Units (0) 2" xfId="137"/>
    <cellStyle name="Calc Units (1)" xfId="138"/>
    <cellStyle name="Calc Units (1) 2" xfId="139"/>
    <cellStyle name="Calc Units (2)" xfId="140"/>
    <cellStyle name="Calc Units (2) 2" xfId="141"/>
    <cellStyle name="Calculation 2" xfId="142"/>
    <cellStyle name="Calculation 3" xfId="143"/>
    <cellStyle name="Calculation 4" xfId="144"/>
    <cellStyle name="CCM Input" xfId="145"/>
    <cellStyle name="CCM Title Calculations" xfId="24"/>
    <cellStyle name="CCM Title Indicative" xfId="146"/>
    <cellStyle name="Cello Calculation" xfId="4"/>
    <cellStyle name="Cello Calculation 2" xfId="147"/>
    <cellStyle name="Cello Calculation 2 2" xfId="148"/>
    <cellStyle name="Cello Calculation 3" xfId="149"/>
    <cellStyle name="Cello Calculation 4" xfId="150"/>
    <cellStyle name="Cello Input" xfId="5"/>
    <cellStyle name="Cello Input 2" xfId="25"/>
    <cellStyle name="Cello Input 2 2" xfId="151"/>
    <cellStyle name="Cello Input 2 3" xfId="152"/>
    <cellStyle name="Cello Input 2 5" xfId="26"/>
    <cellStyle name="Cello Input 3" xfId="27"/>
    <cellStyle name="Cello Input 4" xfId="153"/>
    <cellStyle name="Cello Linked Cell" xfId="6"/>
    <cellStyle name="Cello Linked Cell 2" xfId="154"/>
    <cellStyle name="Cello Linked Cell 2 2" xfId="155"/>
    <cellStyle name="Check Cell 2" xfId="156"/>
    <cellStyle name="Check Cell 3" xfId="157"/>
    <cellStyle name="Check Cell 4" xfId="158"/>
    <cellStyle name="Co. Names" xfId="159"/>
    <cellStyle name="Comma" xfId="527" builtinId="3"/>
    <cellStyle name="Comma  - Style1" xfId="160"/>
    <cellStyle name="Comma  - Style1 2" xfId="161"/>
    <cellStyle name="Comma  - Style2" xfId="162"/>
    <cellStyle name="Comma  - Style2 2" xfId="163"/>
    <cellStyle name="Comma  - Style3" xfId="164"/>
    <cellStyle name="Comma  - Style3 2" xfId="165"/>
    <cellStyle name="Comma  - Style4" xfId="166"/>
    <cellStyle name="Comma  - Style4 2" xfId="167"/>
    <cellStyle name="Comma  - Style5" xfId="168"/>
    <cellStyle name="Comma  - Style5 2" xfId="169"/>
    <cellStyle name="Comma  - Style6" xfId="170"/>
    <cellStyle name="Comma  - Style6 2" xfId="171"/>
    <cellStyle name="Comma  - Style7" xfId="172"/>
    <cellStyle name="Comma  - Style7 2" xfId="173"/>
    <cellStyle name="Comma  - Style8" xfId="174"/>
    <cellStyle name="Comma  - Style8 2" xfId="175"/>
    <cellStyle name="Comma [00]" xfId="176"/>
    <cellStyle name="Comma [00] 2" xfId="177"/>
    <cellStyle name="Comma 10" xfId="178"/>
    <cellStyle name="Comma 11" xfId="179"/>
    <cellStyle name="Comma 12" xfId="180"/>
    <cellStyle name="Comma 13" xfId="181"/>
    <cellStyle name="Comma 14" xfId="182"/>
    <cellStyle name="Comma 15" xfId="183"/>
    <cellStyle name="Comma 16" xfId="184"/>
    <cellStyle name="Comma 16 2" xfId="185"/>
    <cellStyle name="Comma 17" xfId="186"/>
    <cellStyle name="Comma 18" xfId="187"/>
    <cellStyle name="Comma 19" xfId="188"/>
    <cellStyle name="Comma 2" xfId="35"/>
    <cellStyle name="Comma 20" xfId="189"/>
    <cellStyle name="Comma 21" xfId="190"/>
    <cellStyle name="Comma 22" xfId="191"/>
    <cellStyle name="Comma 23" xfId="192"/>
    <cellStyle name="Comma 24" xfId="193"/>
    <cellStyle name="Comma 25" xfId="194"/>
    <cellStyle name="Comma 26" xfId="195"/>
    <cellStyle name="Comma 27" xfId="196"/>
    <cellStyle name="Comma 28" xfId="197"/>
    <cellStyle name="Comma 29" xfId="198"/>
    <cellStyle name="Comma 29 2" xfId="199"/>
    <cellStyle name="Comma 3" xfId="200"/>
    <cellStyle name="Comma 30" xfId="201"/>
    <cellStyle name="Comma 4" xfId="202"/>
    <cellStyle name="Comma 4 2" xfId="203"/>
    <cellStyle name="Comma 5" xfId="204"/>
    <cellStyle name="Comma 6" xfId="205"/>
    <cellStyle name="Comma 7" xfId="206"/>
    <cellStyle name="Comma 8" xfId="207"/>
    <cellStyle name="Comma 9" xfId="208"/>
    <cellStyle name="Comma0" xfId="209"/>
    <cellStyle name="Comma1 - Style1" xfId="210"/>
    <cellStyle name="Copied" xfId="211"/>
    <cellStyle name="CTDSwitchAnalysisHeader" xfId="212"/>
    <cellStyle name="Curren - Style2" xfId="213"/>
    <cellStyle name="Currency" xfId="526" builtinId="4"/>
    <cellStyle name="Currency [00]" xfId="214"/>
    <cellStyle name="Currency [00] 2" xfId="215"/>
    <cellStyle name="Currency [2]" xfId="216"/>
    <cellStyle name="Currency 10" xfId="217"/>
    <cellStyle name="Currency 11" xfId="218"/>
    <cellStyle name="Currency 12" xfId="219"/>
    <cellStyle name="Currency 13" xfId="220"/>
    <cellStyle name="Currency 14" xfId="221"/>
    <cellStyle name="Currency 15" xfId="222"/>
    <cellStyle name="Currency 2" xfId="223"/>
    <cellStyle name="Currency 3" xfId="224"/>
    <cellStyle name="Currency 4" xfId="225"/>
    <cellStyle name="Currency 5" xfId="226"/>
    <cellStyle name="Currency 6" xfId="227"/>
    <cellStyle name="Currency 7" xfId="228"/>
    <cellStyle name="Currency 8" xfId="229"/>
    <cellStyle name="Currency 9" xfId="230"/>
    <cellStyle name="Currency0" xfId="231"/>
    <cellStyle name="Dash" xfId="232"/>
    <cellStyle name="Data.LongPercent" xfId="233"/>
    <cellStyle name="Data.NumPercent" xfId="234"/>
    <cellStyle name="Data.NumShortPercent" xfId="235"/>
    <cellStyle name="date" xfId="236"/>
    <cellStyle name="Date - Style3" xfId="237"/>
    <cellStyle name="Date 2" xfId="238"/>
    <cellStyle name="Date 3" xfId="239"/>
    <cellStyle name="Date 4" xfId="240"/>
    <cellStyle name="Date 5" xfId="241"/>
    <cellStyle name="Date 6" xfId="242"/>
    <cellStyle name="Date 7" xfId="243"/>
    <cellStyle name="Date Short" xfId="244"/>
    <cellStyle name="date title" xfId="245"/>
    <cellStyle name="Date_DV01" xfId="246"/>
    <cellStyle name="DateFormat" xfId="247"/>
    <cellStyle name="DBAHandle" xfId="248"/>
    <cellStyle name="DBAParameter" xfId="249"/>
    <cellStyle name="DELTA" xfId="250"/>
    <cellStyle name="DS 0" xfId="251"/>
    <cellStyle name="DS 1" xfId="252"/>
    <cellStyle name="DS 2" xfId="253"/>
    <cellStyle name="DS 3" xfId="254"/>
    <cellStyle name="DS 4" xfId="255"/>
    <cellStyle name="DS 5" xfId="256"/>
    <cellStyle name="DS 5 2" xfId="257"/>
    <cellStyle name="DS 6" xfId="258"/>
    <cellStyle name="Enter Currency (0)" xfId="259"/>
    <cellStyle name="Enter Currency (0) 2" xfId="260"/>
    <cellStyle name="Enter Currency (2)" xfId="261"/>
    <cellStyle name="Enter Currency (2) 2" xfId="262"/>
    <cellStyle name="Enter Units (0)" xfId="263"/>
    <cellStyle name="Enter Units (0) 2" xfId="264"/>
    <cellStyle name="Enter Units (1)" xfId="265"/>
    <cellStyle name="Enter Units (1) 2" xfId="266"/>
    <cellStyle name="Enter Units (2)" xfId="267"/>
    <cellStyle name="Enter Units (2) 2" xfId="268"/>
    <cellStyle name="Entered" xfId="269"/>
    <cellStyle name="Entries" xfId="270"/>
    <cellStyle name="Euro" xfId="271"/>
    <cellStyle name="Explanatory Text 2" xfId="272"/>
    <cellStyle name="Explanatory Text 3" xfId="273"/>
    <cellStyle name="Explanatory Text 4" xfId="274"/>
    <cellStyle name="Fixed" xfId="275"/>
    <cellStyle name="FullTime" xfId="276"/>
    <cellStyle name="General" xfId="277"/>
    <cellStyle name="Good 2" xfId="278"/>
    <cellStyle name="Good 3" xfId="279"/>
    <cellStyle name="Good 4" xfId="280"/>
    <cellStyle name="gray text cells" xfId="281"/>
    <cellStyle name="Grey" xfId="282"/>
    <cellStyle name="Header1" xfId="283"/>
    <cellStyle name="Header2" xfId="284"/>
    <cellStyle name="Heading" xfId="285"/>
    <cellStyle name="Heading 1 2" xfId="286"/>
    <cellStyle name="Heading 1 2 2" xfId="287"/>
    <cellStyle name="Heading 1 3" xfId="288"/>
    <cellStyle name="Heading 1 4" xfId="289"/>
    <cellStyle name="Heading 1 5" xfId="290"/>
    <cellStyle name="Heading 2 2" xfId="291"/>
    <cellStyle name="Heading 2 2 2" xfId="292"/>
    <cellStyle name="Heading 2 3" xfId="293"/>
    <cellStyle name="Heading 2 4" xfId="294"/>
    <cellStyle name="Heading 2 5" xfId="295"/>
    <cellStyle name="Heading 3 2" xfId="296"/>
    <cellStyle name="Heading 3 3" xfId="297"/>
    <cellStyle name="Heading 3 4" xfId="298"/>
    <cellStyle name="Heading 4 2" xfId="299"/>
    <cellStyle name="Heading 4 3" xfId="300"/>
    <cellStyle name="Heading 4 4" xfId="301"/>
    <cellStyle name="Heading 5" xfId="302"/>
    <cellStyle name="HEADING1" xfId="303"/>
    <cellStyle name="HEADING2" xfId="304"/>
    <cellStyle name="Hyperlink 2" xfId="305"/>
    <cellStyle name="Input [yellow]" xfId="306"/>
    <cellStyle name="Input 2" xfId="307"/>
    <cellStyle name="Input 2 2" xfId="308"/>
    <cellStyle name="Input 2 3" xfId="309"/>
    <cellStyle name="Input 3" xfId="310"/>
    <cellStyle name="Input 4" xfId="311"/>
    <cellStyle name="Input 5" xfId="312"/>
    <cellStyle name="Input 6" xfId="313"/>
    <cellStyle name="Input 7" xfId="314"/>
    <cellStyle name="Item" xfId="315"/>
    <cellStyle name="Link Currency (0)" xfId="316"/>
    <cellStyle name="Link Currency (0) 2" xfId="317"/>
    <cellStyle name="Link Currency (2)" xfId="318"/>
    <cellStyle name="Link Currency (2) 2" xfId="319"/>
    <cellStyle name="Link Units (0)" xfId="320"/>
    <cellStyle name="Link Units (0) 2" xfId="321"/>
    <cellStyle name="Link Units (1)" xfId="322"/>
    <cellStyle name="Link Units (1) 2" xfId="323"/>
    <cellStyle name="Link Units (2)" xfId="324"/>
    <cellStyle name="Link Units (2) 2" xfId="325"/>
    <cellStyle name="Linked Cell 2" xfId="326"/>
    <cellStyle name="Linked Cell 3" xfId="327"/>
    <cellStyle name="Linked Cell 4" xfId="328"/>
    <cellStyle name="Lookup" xfId="329"/>
    <cellStyle name="Milliers [0]_Basis" xfId="330"/>
    <cellStyle name="Milliers_Basis" xfId="331"/>
    <cellStyle name="Monétaire [0]_Basis" xfId="332"/>
    <cellStyle name="Monétaire_Basis" xfId="333"/>
    <cellStyle name="Money" xfId="334"/>
    <cellStyle name="Neutral 2" xfId="335"/>
    <cellStyle name="Neutral 3" xfId="336"/>
    <cellStyle name="Neutral 4" xfId="337"/>
    <cellStyle name="no dec" xfId="338"/>
    <cellStyle name="NoChange" xfId="339"/>
    <cellStyle name="Non Zero" xfId="340"/>
    <cellStyle name="Normal" xfId="0" builtinId="0"/>
    <cellStyle name="Normal - Style1" xfId="341"/>
    <cellStyle name="Normal 10" xfId="342"/>
    <cellStyle name="Normal 10 2" xfId="343"/>
    <cellStyle name="Normal 107" xfId="28"/>
    <cellStyle name="Normal 11" xfId="344"/>
    <cellStyle name="Normal 11 2" xfId="345"/>
    <cellStyle name="Normal 12" xfId="346"/>
    <cellStyle name="Normal 13" xfId="347"/>
    <cellStyle name="Normal 14" xfId="348"/>
    <cellStyle name="Normal 15" xfId="349"/>
    <cellStyle name="Normal 16" xfId="350"/>
    <cellStyle name="Normal 17" xfId="351"/>
    <cellStyle name="Normal 18" xfId="352"/>
    <cellStyle name="Normal 19" xfId="353"/>
    <cellStyle name="Normal 2" xfId="7"/>
    <cellStyle name="Normal 2 2" xfId="354"/>
    <cellStyle name="Normal 2 2 2" xfId="355"/>
    <cellStyle name="Normal 2 3" xfId="356"/>
    <cellStyle name="Normal 2 3 2" xfId="29"/>
    <cellStyle name="Normal 2 3 2 2" xfId="357"/>
    <cellStyle name="Normal 2 3 3" xfId="358"/>
    <cellStyle name="Normal 2 4" xfId="359"/>
    <cellStyle name="Normal 2 4 2" xfId="360"/>
    <cellStyle name="Normal 2 4 2 2" xfId="361"/>
    <cellStyle name="Normal 2 4 3" xfId="362"/>
    <cellStyle name="Normal 2 5" xfId="363"/>
    <cellStyle name="Normal 2 5 2" xfId="364"/>
    <cellStyle name="Normal 2 6" xfId="365"/>
    <cellStyle name="Normal 2 7" xfId="366"/>
    <cellStyle name="Normal 20" xfId="367"/>
    <cellStyle name="Normal 21" xfId="368"/>
    <cellStyle name="Normal 22" xfId="369"/>
    <cellStyle name="Normal 23" xfId="370"/>
    <cellStyle name="Normal 24" xfId="371"/>
    <cellStyle name="Normal 25" xfId="372"/>
    <cellStyle name="Normal 26" xfId="373"/>
    <cellStyle name="Normal 27" xfId="374"/>
    <cellStyle name="Normal 28" xfId="375"/>
    <cellStyle name="Normal 28 2" xfId="376"/>
    <cellStyle name="Normal 29" xfId="377"/>
    <cellStyle name="Normal 3" xfId="8"/>
    <cellStyle name="Normal 3 2" xfId="378"/>
    <cellStyle name="Normal 30" xfId="379"/>
    <cellStyle name="Normal 31" xfId="380"/>
    <cellStyle name="Normal 32" xfId="381"/>
    <cellStyle name="Normal 33" xfId="382"/>
    <cellStyle name="Normal 34" xfId="383"/>
    <cellStyle name="Normal 35" xfId="384"/>
    <cellStyle name="Normal 36" xfId="385"/>
    <cellStyle name="Normal 37" xfId="386"/>
    <cellStyle name="Normal 38" xfId="387"/>
    <cellStyle name="Normal 38 2" xfId="388"/>
    <cellStyle name="Normal 38 2 2" xfId="389"/>
    <cellStyle name="Normal 38 3" xfId="390"/>
    <cellStyle name="Normal 39" xfId="391"/>
    <cellStyle name="Normal 4" xfId="9"/>
    <cellStyle name="Normal 4 2" xfId="392"/>
    <cellStyle name="Normal 4 3" xfId="393"/>
    <cellStyle name="Normal 4 4" xfId="394"/>
    <cellStyle name="Normal 40" xfId="395"/>
    <cellStyle name="Normal 41" xfId="396"/>
    <cellStyle name="Normal 42" xfId="397"/>
    <cellStyle name="Normal 42 2" xfId="398"/>
    <cellStyle name="Normal 5" xfId="399"/>
    <cellStyle name="Normal 6" xfId="400"/>
    <cellStyle name="Normal 6 2" xfId="401"/>
    <cellStyle name="Normal 7" xfId="402"/>
    <cellStyle name="Normal 7 2" xfId="403"/>
    <cellStyle name="Normal 8" xfId="404"/>
    <cellStyle name="Normal 88" xfId="30"/>
    <cellStyle name="Normal 9" xfId="405"/>
    <cellStyle name="Normal 9 2" xfId="406"/>
    <cellStyle name="Note 2" xfId="10"/>
    <cellStyle name="Note 2 2" xfId="407"/>
    <cellStyle name="Note 2 3" xfId="408"/>
    <cellStyle name="Note 2 4" xfId="409"/>
    <cellStyle name="Note 3" xfId="410"/>
    <cellStyle name="Note 4" xfId="411"/>
    <cellStyle name="Note 5" xfId="412"/>
    <cellStyle name="Note 6" xfId="413"/>
    <cellStyle name="Note 7" xfId="414"/>
    <cellStyle name="Note 7 2" xfId="415"/>
    <cellStyle name="Note 8" xfId="416"/>
    <cellStyle name="NumberAsPercent" xfId="417"/>
    <cellStyle name="NumberFormat" xfId="418"/>
    <cellStyle name="Numbers" xfId="419"/>
    <cellStyle name="Numbers - Bold" xfId="420"/>
    <cellStyle name="Numbers_increm pf" xfId="421"/>
    <cellStyle name="NumberTo1DecPlace" xfId="422"/>
    <cellStyle name="OffWhite" xfId="423"/>
    <cellStyle name="Option" xfId="424"/>
    <cellStyle name="orange text cell" xfId="425"/>
    <cellStyle name="Output 2" xfId="426"/>
    <cellStyle name="Output 3" xfId="427"/>
    <cellStyle name="Output 4" xfId="428"/>
    <cellStyle name="Output Amounts" xfId="429"/>
    <cellStyle name="Output Column Headings" xfId="430"/>
    <cellStyle name="Output Line Items" xfId="431"/>
    <cellStyle name="Output Report Heading" xfId="432"/>
    <cellStyle name="Output Report Title" xfId="433"/>
    <cellStyle name="Pageheading" xfId="434"/>
    <cellStyle name="Percent" xfId="1" builtinId="5"/>
    <cellStyle name="Percent [0]" xfId="435"/>
    <cellStyle name="Percent [0] 2" xfId="436"/>
    <cellStyle name="Percent [00]" xfId="437"/>
    <cellStyle name="Percent [00] 2" xfId="438"/>
    <cellStyle name="Percent [2]" xfId="439"/>
    <cellStyle name="Percent 2" xfId="36"/>
    <cellStyle name="Percent 2 2" xfId="440"/>
    <cellStyle name="Percent 3" xfId="441"/>
    <cellStyle name="Percentage" xfId="442"/>
    <cellStyle name="PrePop Currency (0)" xfId="443"/>
    <cellStyle name="PrePop Currency (0) 2" xfId="444"/>
    <cellStyle name="PrePop Currency (2)" xfId="445"/>
    <cellStyle name="PrePop Currency (2) 2" xfId="446"/>
    <cellStyle name="PrePop Units (0)" xfId="447"/>
    <cellStyle name="PrePop Units (0) 2" xfId="448"/>
    <cellStyle name="PrePop Units (1)" xfId="449"/>
    <cellStyle name="PrePop Units (1) 2" xfId="450"/>
    <cellStyle name="PrePop Units (2)" xfId="451"/>
    <cellStyle name="PrePop Units (2) 2" xfId="452"/>
    <cellStyle name="PriceTo3DecPlaces" xfId="453"/>
    <cellStyle name="PriceWithBorderAround" xfId="454"/>
    <cellStyle name="PRICING" xfId="455"/>
    <cellStyle name="Product Header" xfId="456"/>
    <cellStyle name="PSChar" xfId="457"/>
    <cellStyle name="PSHeading" xfId="458"/>
    <cellStyle name="r" xfId="459"/>
    <cellStyle name="r_pldt" xfId="460"/>
    <cellStyle name="ReportLeftHeader" xfId="461"/>
    <cellStyle name="ReportRightHeader" xfId="462"/>
    <cellStyle name="results" xfId="463"/>
    <cellStyle name="RevList" xfId="464"/>
    <cellStyle name="RVRQueryHandle" xfId="465"/>
    <cellStyle name="Section" xfId="466"/>
    <cellStyle name="SecuritiesPricingTable" xfId="467"/>
    <cellStyle name="SecuritiesPricingTableFinalData" xfId="468"/>
    <cellStyle name="SecuritiesPricingTableManualData" xfId="469"/>
    <cellStyle name="SecuritiesPricingTableText" xfId="470"/>
    <cellStyle name="Short $" xfId="471"/>
    <cellStyle name="Short $ 2" xfId="472"/>
    <cellStyle name="SIZE" xfId="473"/>
    <cellStyle name="Standard_Swaps-Bonds-Blending" xfId="474"/>
    <cellStyle name="Style 1" xfId="475"/>
    <cellStyle name="StyleSecuritiesPricingTableInteger" xfId="476"/>
    <cellStyle name="Subheading" xfId="477"/>
    <cellStyle name="subtitle" xfId="478"/>
    <cellStyle name="Subtotal" xfId="479"/>
    <cellStyle name="Table" xfId="480"/>
    <cellStyle name="Tablebody" xfId="481"/>
    <cellStyle name="TablebodyDate" xfId="482"/>
    <cellStyle name="TablebodyHeading" xfId="483"/>
    <cellStyle name="TablebodyOutstandingAmount" xfId="484"/>
    <cellStyle name="TablebodyPercent" xfId="485"/>
    <cellStyle name="TablebodyPrice" xfId="486"/>
    <cellStyle name="TablebodyReverse" xfId="487"/>
    <cellStyle name="TablebodySpread" xfId="488"/>
    <cellStyle name="TablebodySpreadBorder" xfId="489"/>
    <cellStyle name="TablebodyText" xfId="490"/>
    <cellStyle name="Tableheading" xfId="491"/>
    <cellStyle name="Text" xfId="492"/>
    <cellStyle name="Text 2" xfId="493"/>
    <cellStyle name="Text Indent A" xfId="494"/>
    <cellStyle name="Text Indent B" xfId="495"/>
    <cellStyle name="Text Indent B 2" xfId="496"/>
    <cellStyle name="Text Indent C" xfId="497"/>
    <cellStyle name="Text Indent C 2" xfId="498"/>
    <cellStyle name="TextStyle" xfId="499"/>
    <cellStyle name="tic display" xfId="500"/>
    <cellStyle name="tic input" xfId="501"/>
    <cellStyle name="Title - Underline" xfId="502"/>
    <cellStyle name="Title 2" xfId="503"/>
    <cellStyle name="Title 3" xfId="504"/>
    <cellStyle name="Title 4" xfId="505"/>
    <cellStyle name="Title 5" xfId="506"/>
    <cellStyle name="Title 6" xfId="507"/>
    <cellStyle name="Title 7" xfId="508"/>
    <cellStyle name="Title Calculations" xfId="11"/>
    <cellStyle name="Title Calculations 2" xfId="509"/>
    <cellStyle name="Title Indicative" xfId="12"/>
    <cellStyle name="Title Indicative 2" xfId="510"/>
    <cellStyle name="Title Pricing Assumptions" xfId="13"/>
    <cellStyle name="Title Pricing Assumptions 2" xfId="31"/>
    <cellStyle name="Title Pricing Assumptions 2 2" xfId="32"/>
    <cellStyle name="Title Pricing Assumptions 2 3" xfId="511"/>
    <cellStyle name="Title Pricing Assumptions 3" xfId="512"/>
    <cellStyle name="Title Pricing Assumptions 3 12 8" xfId="33"/>
    <cellStyle name="Title Pricing Assumptions 3 6 4 2 8" xfId="34"/>
    <cellStyle name="Titles - Other" xfId="513"/>
    <cellStyle name="Total 2" xfId="514"/>
    <cellStyle name="Total 2 2" xfId="515"/>
    <cellStyle name="Total 3" xfId="516"/>
    <cellStyle name="Total 4" xfId="517"/>
    <cellStyle name="Warning" xfId="518"/>
    <cellStyle name="Warning Text 2" xfId="519"/>
    <cellStyle name="Warning Text 3" xfId="520"/>
    <cellStyle name="Warning Text 4" xfId="521"/>
    <cellStyle name="YB Calculations" xfId="14"/>
    <cellStyle name="YB Calculations 2" xfId="522"/>
    <cellStyle name="YB Curve" xfId="523"/>
    <cellStyle name="YB Indicative" xfId="15"/>
    <cellStyle name="YBINDIC" xfId="16"/>
    <cellStyle name="YBIOPOBE" xfId="524"/>
    <cellStyle name="YBPRICE" xfId="17"/>
    <cellStyle name="一般_原始檔案" xfId="525"/>
  </cellStyles>
  <dxfs count="3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9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alignment horizontal="center" readingOrder="0"/>
    </dxf>
    <dxf>
      <alignment horizontal="center" readingOrder="0"/>
    </dxf>
    <dxf>
      <alignment horizontal="center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border>
        <top style="thin">
          <color rgb="FF2E398B"/>
        </top>
        <bottom style="thin">
          <color rgb="FF2E398B"/>
        </bottom>
      </border>
    </dxf>
    <dxf>
      <border>
        <right style="thin">
          <color rgb="FF2E398A"/>
        </right>
      </border>
    </dxf>
    <dxf>
      <font>
        <b/>
        <color theme="1"/>
      </font>
      <fill>
        <patternFill>
          <bgColor rgb="FFEFEBE4"/>
        </patternFill>
      </fill>
      <border diagonalUp="0" diagonalDown="0">
        <left style="thin">
          <color rgb="FF2E398A"/>
        </left>
        <right style="thin">
          <color rgb="FF2E398A"/>
        </right>
        <top/>
        <bottom style="thin">
          <color rgb="FF2E398A"/>
        </bottom>
        <vertical/>
        <horizontal/>
      </border>
    </dxf>
    <dxf>
      <border>
        <left style="thin">
          <color rgb="FF2E398A"/>
        </left>
        <right style="thin">
          <color rgb="FF2E398A"/>
        </right>
        <top style="thin">
          <color rgb="FF2E398A"/>
        </top>
        <bottom style="thin">
          <color rgb="FF2E398A"/>
        </bottom>
      </border>
    </dxf>
  </dxfs>
  <tableStyles count="1" defaultTableStyle="TableStyleMedium2" defaultPivotStyle="PivotStyleLight16">
    <tableStyle name="Report Style" table="0" count="4">
      <tableStyleElement type="wholeTable" dxfId="35"/>
      <tableStyleElement type="headerRow" dxfId="34"/>
      <tableStyleElement type="firstColumn" dxfId="33"/>
      <tableStyleElement type="firstSubtotalRow" dxfId="32"/>
    </tableStyle>
  </tableStyles>
  <colors>
    <mruColors>
      <color rgb="FFEFEBE4"/>
      <color rgb="FFAD275C"/>
      <color rgb="FF2E398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pivotCacheDefinition" Target="pivotCache/pivotCacheDefinition3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2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1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Relationship Id="rId22" Type="http://schemas.openxmlformats.org/officeDocument/2006/relationships/calcChain" Target="calcChain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57150</xdr:colOff>
      <xdr:row>3</xdr:row>
      <xdr:rowOff>180976</xdr:rowOff>
    </xdr:from>
    <xdr:to>
      <xdr:col>21</xdr:col>
      <xdr:colOff>2695575</xdr:colOff>
      <xdr:row>5</xdr:row>
      <xdr:rowOff>165736</xdr:rowOff>
    </xdr:to>
    <xdr:sp macro="[0]!RunOriginatorsMortgageRatesDailyReport" textlink="">
      <xdr:nvSpPr>
        <xdr:cNvPr id="2" name="Rounded Rectangle 1"/>
        <xdr:cNvSpPr/>
      </xdr:nvSpPr>
      <xdr:spPr>
        <a:xfrm>
          <a:off x="15106650" y="752476"/>
          <a:ext cx="2638425" cy="36576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Run</a:t>
          </a:r>
          <a:r>
            <a:rPr lang="en-US" sz="1100" b="1" baseline="0"/>
            <a:t> The Report</a:t>
          </a:r>
          <a:endParaRPr lang="en-US" sz="1100" b="1"/>
        </a:p>
      </xdr:txBody>
    </xdr:sp>
    <xdr:clientData/>
  </xdr:twoCellAnchor>
  <xdr:twoCellAnchor>
    <xdr:from>
      <xdr:col>22</xdr:col>
      <xdr:colOff>276226</xdr:colOff>
      <xdr:row>3</xdr:row>
      <xdr:rowOff>180976</xdr:rowOff>
    </xdr:from>
    <xdr:to>
      <xdr:col>24</xdr:col>
      <xdr:colOff>47626</xdr:colOff>
      <xdr:row>5</xdr:row>
      <xdr:rowOff>165736</xdr:rowOff>
    </xdr:to>
    <xdr:sp macro="[0]!CreatePDFReport" textlink="">
      <xdr:nvSpPr>
        <xdr:cNvPr id="3" name="Rounded Rectangle 2"/>
        <xdr:cNvSpPr/>
      </xdr:nvSpPr>
      <xdr:spPr>
        <a:xfrm>
          <a:off x="18049876" y="752476"/>
          <a:ext cx="1371600" cy="365760"/>
        </a:xfrm>
        <a:prstGeom prst="roundRect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Create Report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Dat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a"/>
    </sheetNames>
    <sheetDataSet>
      <sheetData sheetId="0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Lien Chen" refreshedDate="42068.570101851852" createdVersion="5" refreshedVersion="4" minRefreshableVersion="3" recordCount="47">
  <cacheSource type="worksheet">
    <worksheetSource name="OneDayMtgRatesDataTable"/>
  </cacheSource>
  <cacheFields count="6">
    <cacheField name="TickerName" numFmtId="0">
      <sharedItems count="4">
        <s v="30YrConformingConventional"/>
        <s v="30YrConformingFHA"/>
        <s v="30YrJumboConforming"/>
        <s v="30YrJumboNonConforming"/>
      </sharedItems>
    </cacheField>
    <cacheField name="Source" numFmtId="0">
      <sharedItems count="4">
        <s v="Bank of America"/>
        <s v="Chase"/>
        <s v="Quicken"/>
        <s v="Wells Fargo"/>
      </sharedItems>
    </cacheField>
    <cacheField name="SeriesType" numFmtId="0">
      <sharedItems count="8">
        <s v="1Point Rate"/>
        <s v="APR"/>
        <s v="Points"/>
        <s v="Rate"/>
        <s v="Servicing Spread"/>
        <s v="Closing Cost"/>
        <s v="Loan Amount"/>
        <s v="Upfront MIP"/>
      </sharedItems>
    </cacheField>
    <cacheField name="Category" numFmtId="0">
      <sharedItems/>
    </cacheField>
    <cacheField name="AsOfDate" numFmtId="0">
      <sharedItems count="2">
        <s v="2015-03-03"/>
        <s v="2015-03-02" u="1"/>
      </sharedItems>
    </cacheField>
    <cacheField name="SeriesNumValue" numFmtId="0">
      <sharedItems containsSemiMixedTypes="0" containsString="0" containsNumber="1" minValue="0.71299999999999997" maxValue="750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Lien Chen" refreshedDate="42068.570101967591" createdVersion="5" refreshedVersion="4" minRefreshableVersion="3" recordCount="47">
  <cacheSource type="worksheet">
    <worksheetSource name="CurrentMtgRatesDataTable"/>
  </cacheSource>
  <cacheFields count="6">
    <cacheField name="Source" numFmtId="0">
      <sharedItems containsBlank="1" count="5">
        <s v="Bank of America"/>
        <s v="Chase"/>
        <s v="Quicken"/>
        <s v="Wells Fargo"/>
        <m u="1"/>
      </sharedItems>
    </cacheField>
    <cacheField name="TickerName" numFmtId="0">
      <sharedItems containsBlank="1" count="5">
        <s v="30YrConformingConventional"/>
        <s v="30YrConformingFHA"/>
        <s v="30YrJumboConforming"/>
        <s v="30YrJumboNonConforming"/>
        <m u="1"/>
      </sharedItems>
    </cacheField>
    <cacheField name="SeriesType" numFmtId="0">
      <sharedItems containsBlank="1" count="9">
        <s v="1Point Rate"/>
        <s v="APR"/>
        <s v="Points"/>
        <s v="Rate"/>
        <s v="Servicing Spread"/>
        <s v="Closing Cost"/>
        <s v="Loan Amount"/>
        <s v="Upfront MIP"/>
        <m u="1"/>
      </sharedItems>
    </cacheField>
    <cacheField name="Category" numFmtId="0">
      <sharedItems/>
    </cacheField>
    <cacheField name="AsOfDate" numFmtId="14">
      <sharedItems containsBlank="1" count="4">
        <s v="2015-03-04"/>
        <m u="1"/>
        <s v="2015-03-02" u="1"/>
        <s v="2015-03-03" u="1"/>
      </sharedItems>
    </cacheField>
    <cacheField name="SeriesNumValue" numFmtId="0">
      <sharedItems containsSemiMixedTypes="0" containsString="0" containsNumber="1" minValue="1" maxValue="750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Lien Chen" refreshedDate="42068.570101967591" createdVersion="5" refreshedVersion="4" minRefreshableVersion="3" recordCount="1">
  <cacheSource type="worksheet">
    <worksheetSource name="OneWeekMtgRatesDataTable"/>
  </cacheSource>
  <cacheFields count="6">
    <cacheField name="TickerName" numFmtId="0">
      <sharedItems containsNonDate="0" containsBlank="1" count="5">
        <m/>
        <s v="30YrJumboNonConforming" u="1"/>
        <s v="30YrConformingConventional" u="1"/>
        <s v="30YrConformingFHA" u="1"/>
        <s v="30YrJumboConforming" u="1"/>
      </sharedItems>
    </cacheField>
    <cacheField name="Source" numFmtId="0">
      <sharedItems containsNonDate="0" containsBlank="1" count="5">
        <m/>
        <s v="Bank of America" u="1"/>
        <s v="Wells Fargo" u="1"/>
        <s v="Quicken" u="1"/>
        <s v="Chase" u="1"/>
      </sharedItems>
    </cacheField>
    <cacheField name="SeriesType" numFmtId="0">
      <sharedItems containsNonDate="0" containsBlank="1" count="7">
        <m/>
        <s v="Rate" u="1"/>
        <s v="Upfront MIP" u="1"/>
        <s v="APR" u="1"/>
        <s v="Loan Amount" u="1"/>
        <s v="Points" u="1"/>
        <s v="Closing Cost" u="1"/>
      </sharedItems>
    </cacheField>
    <cacheField name="Category" numFmtId="0">
      <sharedItems containsNonDate="0" containsString="0" containsBlank="1"/>
    </cacheField>
    <cacheField name="AsOfDate" numFmtId="0">
      <sharedItems containsNonDate="0" containsBlank="1" count="2">
        <m/>
        <s v="2015-03-03" u="1"/>
      </sharedItems>
    </cacheField>
    <cacheField name="SeriesNumValue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7">
  <r>
    <x v="0"/>
    <x v="0"/>
    <x v="0"/>
    <s v="MTG"/>
    <x v="0"/>
    <n v="4.2554972682965033"/>
  </r>
  <r>
    <x v="0"/>
    <x v="0"/>
    <x v="1"/>
    <s v="MTG"/>
    <x v="0"/>
    <n v="4.17"/>
  </r>
  <r>
    <x v="0"/>
    <x v="0"/>
    <x v="2"/>
    <s v="MTG"/>
    <x v="0"/>
    <n v="0.71299999999999997"/>
  </r>
  <r>
    <x v="0"/>
    <x v="0"/>
    <x v="3"/>
    <s v="MTG"/>
    <x v="0"/>
    <n v="4"/>
  </r>
  <r>
    <x v="0"/>
    <x v="0"/>
    <x v="4"/>
    <s v="MTG"/>
    <x v="0"/>
    <n v="1.4313135455430634"/>
  </r>
  <r>
    <x v="0"/>
    <x v="1"/>
    <x v="0"/>
    <s v="MTG"/>
    <x v="0"/>
    <n v="4.1543680910694123"/>
  </r>
  <r>
    <x v="0"/>
    <x v="1"/>
    <x v="1"/>
    <s v="MTG"/>
    <x v="0"/>
    <n v="4.2190000000000003"/>
  </r>
  <r>
    <x v="0"/>
    <x v="1"/>
    <x v="2"/>
    <s v="MTG"/>
    <x v="0"/>
    <n v="1.125"/>
  </r>
  <r>
    <x v="0"/>
    <x v="1"/>
    <x v="3"/>
    <s v="MTG"/>
    <x v="0"/>
    <n v="4.125"/>
  </r>
  <r>
    <x v="0"/>
    <x v="1"/>
    <x v="4"/>
    <s v="MTG"/>
    <x v="0"/>
    <n v="1.3301843683159724"/>
  </r>
  <r>
    <x v="0"/>
    <x v="2"/>
    <x v="0"/>
    <s v="MTG"/>
    <x v="0"/>
    <n v="4.2722196725487462"/>
  </r>
  <r>
    <x v="0"/>
    <x v="2"/>
    <x v="1"/>
    <s v="MTG"/>
    <x v="0"/>
    <n v="4.008"/>
  </r>
  <r>
    <x v="0"/>
    <x v="2"/>
    <x v="2"/>
    <s v="MTG"/>
    <x v="0"/>
    <n v="2.25"/>
  </r>
  <r>
    <x v="0"/>
    <x v="2"/>
    <x v="3"/>
    <s v="MTG"/>
    <x v="0"/>
    <n v="3.75"/>
  </r>
  <r>
    <x v="0"/>
    <x v="2"/>
    <x v="4"/>
    <s v="MTG"/>
    <x v="0"/>
    <n v="1.4480359497953059"/>
  </r>
  <r>
    <x v="0"/>
    <x v="3"/>
    <x v="0"/>
    <s v="MTG"/>
    <x v="0"/>
    <n v="4.1618039804499194"/>
  </r>
  <r>
    <x v="0"/>
    <x v="3"/>
    <x v="1"/>
    <s v="MTG"/>
    <x v="0"/>
    <n v="4.1470000000000002"/>
  </r>
  <r>
    <x v="0"/>
    <x v="3"/>
    <x v="5"/>
    <s v="MTG"/>
    <x v="0"/>
    <n v="1768"/>
  </r>
  <r>
    <x v="0"/>
    <x v="3"/>
    <x v="6"/>
    <s v="MTG"/>
    <x v="0"/>
    <n v="200000"/>
  </r>
  <r>
    <x v="0"/>
    <x v="3"/>
    <x v="2"/>
    <s v="MTG"/>
    <x v="0"/>
    <n v="1"/>
  </r>
  <r>
    <x v="0"/>
    <x v="3"/>
    <x v="3"/>
    <s v="MTG"/>
    <x v="0"/>
    <n v="4.125"/>
  </r>
  <r>
    <x v="0"/>
    <x v="3"/>
    <x v="4"/>
    <s v="MTG"/>
    <x v="0"/>
    <n v="1.3376202576964793"/>
  </r>
  <r>
    <x v="1"/>
    <x v="2"/>
    <x v="1"/>
    <s v="MTG"/>
    <x v="0"/>
    <n v="4.2699999999999996"/>
  </r>
  <r>
    <x v="1"/>
    <x v="2"/>
    <x v="2"/>
    <s v="MTG"/>
    <x v="0"/>
    <n v="2.25"/>
  </r>
  <r>
    <x v="1"/>
    <x v="2"/>
    <x v="3"/>
    <s v="MTG"/>
    <x v="0"/>
    <n v="3.375"/>
  </r>
  <r>
    <x v="1"/>
    <x v="3"/>
    <x v="0"/>
    <s v="MTG"/>
    <x v="0"/>
    <n v="3.9717500000000001"/>
  </r>
  <r>
    <x v="1"/>
    <x v="3"/>
    <x v="1"/>
    <s v="MTG"/>
    <x v="0"/>
    <n v="4.9050000000000002"/>
  </r>
  <r>
    <x v="1"/>
    <x v="3"/>
    <x v="5"/>
    <s v="MTG"/>
    <x v="0"/>
    <n v="6529"/>
  </r>
  <r>
    <x v="1"/>
    <x v="3"/>
    <x v="6"/>
    <s v="MTG"/>
    <x v="0"/>
    <n v="200000"/>
  </r>
  <r>
    <x v="1"/>
    <x v="3"/>
    <x v="2"/>
    <s v="MTG"/>
    <x v="0"/>
    <n v="1"/>
  </r>
  <r>
    <x v="1"/>
    <x v="3"/>
    <x v="3"/>
    <s v="MTG"/>
    <x v="0"/>
    <n v="3.875"/>
  </r>
  <r>
    <x v="1"/>
    <x v="3"/>
    <x v="4"/>
    <s v="MTG"/>
    <x v="0"/>
    <n v="1.2748971326932403"/>
  </r>
  <r>
    <x v="1"/>
    <x v="3"/>
    <x v="7"/>
    <s v="MTG"/>
    <x v="0"/>
    <n v="3500"/>
  </r>
  <r>
    <x v="2"/>
    <x v="3"/>
    <x v="0"/>
    <s v="MTG"/>
    <x v="0"/>
    <n v="4.123888942161555"/>
  </r>
  <r>
    <x v="2"/>
    <x v="3"/>
    <x v="1"/>
    <s v="MTG"/>
    <x v="0"/>
    <n v="4.1479999999999997"/>
  </r>
  <r>
    <x v="2"/>
    <x v="3"/>
    <x v="5"/>
    <s v="MTG"/>
    <x v="0"/>
    <n v="3602"/>
  </r>
  <r>
    <x v="2"/>
    <x v="3"/>
    <x v="6"/>
    <s v="MTG"/>
    <x v="0"/>
    <n v="500000"/>
  </r>
  <r>
    <x v="2"/>
    <x v="3"/>
    <x v="2"/>
    <s v="MTG"/>
    <x v="0"/>
    <n v="1"/>
  </r>
  <r>
    <x v="2"/>
    <x v="3"/>
    <x v="3"/>
    <s v="MTG"/>
    <x v="0"/>
    <n v="4.125"/>
  </r>
  <r>
    <x v="2"/>
    <x v="3"/>
    <x v="4"/>
    <s v="MTG"/>
    <x v="0"/>
    <n v="1.2997052194081149"/>
  </r>
  <r>
    <x v="3"/>
    <x v="3"/>
    <x v="0"/>
    <s v="MTG"/>
    <x v="0"/>
    <n v="3.9170666666666665"/>
  </r>
  <r>
    <x v="3"/>
    <x v="3"/>
    <x v="1"/>
    <s v="MTG"/>
    <x v="0"/>
    <n v="4.125"/>
  </r>
  <r>
    <x v="3"/>
    <x v="3"/>
    <x v="5"/>
    <s v="MTG"/>
    <x v="0"/>
    <n v="1262"/>
  </r>
  <r>
    <x v="3"/>
    <x v="3"/>
    <x v="6"/>
    <s v="MTG"/>
    <x v="0"/>
    <n v="750000"/>
  </r>
  <r>
    <x v="3"/>
    <x v="3"/>
    <x v="2"/>
    <s v="MTG"/>
    <x v="0"/>
    <n v="1"/>
  </r>
  <r>
    <x v="3"/>
    <x v="3"/>
    <x v="3"/>
    <s v="MTG"/>
    <x v="0"/>
    <n v="4.125"/>
  </r>
  <r>
    <x v="3"/>
    <x v="3"/>
    <x v="4"/>
    <s v="MTG"/>
    <x v="0"/>
    <n v="1.0928829439132266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47">
  <r>
    <x v="0"/>
    <x v="0"/>
    <x v="0"/>
    <s v="MTG"/>
    <x v="0"/>
    <n v="4.2780642423920208"/>
  </r>
  <r>
    <x v="0"/>
    <x v="0"/>
    <x v="1"/>
    <s v="MTG"/>
    <x v="0"/>
    <n v="4.0940000000000003"/>
  </r>
  <r>
    <x v="0"/>
    <x v="0"/>
    <x v="2"/>
    <s v="MTG"/>
    <x v="0"/>
    <n v="1.3129999999999999"/>
  </r>
  <r>
    <x v="0"/>
    <x v="0"/>
    <x v="3"/>
    <s v="MTG"/>
    <x v="0"/>
    <n v="3.875"/>
  </r>
  <r>
    <x v="0"/>
    <x v="0"/>
    <x v="4"/>
    <s v="MTG"/>
    <x v="0"/>
    <n v="1.4538805196385804"/>
  </r>
  <r>
    <x v="1"/>
    <x v="0"/>
    <x v="0"/>
    <s v="MTG"/>
    <x v="0"/>
    <n v="4.1248698203088709"/>
  </r>
  <r>
    <x v="1"/>
    <x v="0"/>
    <x v="1"/>
    <s v="MTG"/>
    <x v="0"/>
    <n v="4.2089999999999996"/>
  </r>
  <r>
    <x v="1"/>
    <x v="0"/>
    <x v="2"/>
    <s v="MTG"/>
    <x v="0"/>
    <n v="1"/>
  </r>
  <r>
    <x v="1"/>
    <x v="0"/>
    <x v="3"/>
    <s v="MTG"/>
    <x v="0"/>
    <n v="4.125"/>
  </r>
  <r>
    <x v="1"/>
    <x v="0"/>
    <x v="4"/>
    <s v="MTG"/>
    <x v="0"/>
    <n v="1.3006860975554306"/>
  </r>
  <r>
    <x v="2"/>
    <x v="0"/>
    <x v="0"/>
    <s v="MTG"/>
    <x v="0"/>
    <n v="4.2722152605049795"/>
  </r>
  <r>
    <x v="2"/>
    <x v="0"/>
    <x v="1"/>
    <s v="MTG"/>
    <x v="0"/>
    <n v="4.0919999999999996"/>
  </r>
  <r>
    <x v="2"/>
    <x v="0"/>
    <x v="2"/>
    <s v="MTG"/>
    <x v="0"/>
    <n v="1.75"/>
  </r>
  <r>
    <x v="2"/>
    <x v="0"/>
    <x v="3"/>
    <s v="MTG"/>
    <x v="0"/>
    <n v="3.875"/>
  </r>
  <r>
    <x v="2"/>
    <x v="0"/>
    <x v="4"/>
    <s v="MTG"/>
    <x v="0"/>
    <n v="1.4480315377515394"/>
  </r>
  <r>
    <x v="3"/>
    <x v="0"/>
    <x v="0"/>
    <s v="MTG"/>
    <x v="0"/>
    <n v="4.1618039804499194"/>
  </r>
  <r>
    <x v="3"/>
    <x v="0"/>
    <x v="1"/>
    <s v="MTG"/>
    <x v="0"/>
    <n v="4.1470000000000002"/>
  </r>
  <r>
    <x v="3"/>
    <x v="0"/>
    <x v="5"/>
    <s v="MTG"/>
    <x v="0"/>
    <n v="1768"/>
  </r>
  <r>
    <x v="3"/>
    <x v="0"/>
    <x v="6"/>
    <s v="MTG"/>
    <x v="0"/>
    <n v="200000"/>
  </r>
  <r>
    <x v="3"/>
    <x v="0"/>
    <x v="2"/>
    <s v="MTG"/>
    <x v="0"/>
    <n v="1"/>
  </r>
  <r>
    <x v="3"/>
    <x v="0"/>
    <x v="3"/>
    <s v="MTG"/>
    <x v="0"/>
    <n v="4.125"/>
  </r>
  <r>
    <x v="3"/>
    <x v="0"/>
    <x v="4"/>
    <s v="MTG"/>
    <x v="0"/>
    <n v="1.3376202576964793"/>
  </r>
  <r>
    <x v="2"/>
    <x v="1"/>
    <x v="1"/>
    <s v="MTG"/>
    <x v="0"/>
    <n v="4.2699999999999996"/>
  </r>
  <r>
    <x v="2"/>
    <x v="1"/>
    <x v="2"/>
    <s v="MTG"/>
    <x v="0"/>
    <n v="2.25"/>
  </r>
  <r>
    <x v="2"/>
    <x v="1"/>
    <x v="3"/>
    <s v="MTG"/>
    <x v="0"/>
    <n v="3.375"/>
  </r>
  <r>
    <x v="3"/>
    <x v="1"/>
    <x v="0"/>
    <s v="MTG"/>
    <x v="0"/>
    <n v="3.9717500000000001"/>
  </r>
  <r>
    <x v="3"/>
    <x v="1"/>
    <x v="1"/>
    <s v="MTG"/>
    <x v="0"/>
    <n v="4.9050000000000002"/>
  </r>
  <r>
    <x v="3"/>
    <x v="1"/>
    <x v="5"/>
    <s v="MTG"/>
    <x v="0"/>
    <n v="6529"/>
  </r>
  <r>
    <x v="3"/>
    <x v="1"/>
    <x v="6"/>
    <s v="MTG"/>
    <x v="0"/>
    <n v="200000"/>
  </r>
  <r>
    <x v="3"/>
    <x v="1"/>
    <x v="2"/>
    <s v="MTG"/>
    <x v="0"/>
    <n v="1"/>
  </r>
  <r>
    <x v="3"/>
    <x v="1"/>
    <x v="3"/>
    <s v="MTG"/>
    <x v="0"/>
    <n v="3.875"/>
  </r>
  <r>
    <x v="3"/>
    <x v="1"/>
    <x v="4"/>
    <s v="MTG"/>
    <x v="0"/>
    <n v="1.2748971326932403"/>
  </r>
  <r>
    <x v="3"/>
    <x v="1"/>
    <x v="7"/>
    <s v="MTG"/>
    <x v="0"/>
    <n v="3500"/>
  </r>
  <r>
    <x v="3"/>
    <x v="2"/>
    <x v="0"/>
    <s v="MTG"/>
    <x v="0"/>
    <n v="4.123888942161555"/>
  </r>
  <r>
    <x v="3"/>
    <x v="2"/>
    <x v="1"/>
    <s v="MTG"/>
    <x v="0"/>
    <n v="4.1479999999999997"/>
  </r>
  <r>
    <x v="3"/>
    <x v="2"/>
    <x v="5"/>
    <s v="MTG"/>
    <x v="0"/>
    <n v="3602"/>
  </r>
  <r>
    <x v="3"/>
    <x v="2"/>
    <x v="6"/>
    <s v="MTG"/>
    <x v="0"/>
    <n v="500000"/>
  </r>
  <r>
    <x v="3"/>
    <x v="2"/>
    <x v="2"/>
    <s v="MTG"/>
    <x v="0"/>
    <n v="1"/>
  </r>
  <r>
    <x v="3"/>
    <x v="2"/>
    <x v="3"/>
    <s v="MTG"/>
    <x v="0"/>
    <n v="4.125"/>
  </r>
  <r>
    <x v="3"/>
    <x v="2"/>
    <x v="4"/>
    <s v="MTG"/>
    <x v="0"/>
    <n v="1.2997052194081149"/>
  </r>
  <r>
    <x v="3"/>
    <x v="3"/>
    <x v="0"/>
    <s v="MTG"/>
    <x v="0"/>
    <n v="3.9170666666666665"/>
  </r>
  <r>
    <x v="3"/>
    <x v="3"/>
    <x v="1"/>
    <s v="MTG"/>
    <x v="0"/>
    <n v="4.125"/>
  </r>
  <r>
    <x v="3"/>
    <x v="3"/>
    <x v="5"/>
    <s v="MTG"/>
    <x v="0"/>
    <n v="1262"/>
  </r>
  <r>
    <x v="3"/>
    <x v="3"/>
    <x v="6"/>
    <s v="MTG"/>
    <x v="0"/>
    <n v="750000"/>
  </r>
  <r>
    <x v="3"/>
    <x v="3"/>
    <x v="2"/>
    <s v="MTG"/>
    <x v="0"/>
    <n v="1"/>
  </r>
  <r>
    <x v="3"/>
    <x v="3"/>
    <x v="3"/>
    <s v="MTG"/>
    <x v="0"/>
    <n v="4.125"/>
  </r>
  <r>
    <x v="3"/>
    <x v="3"/>
    <x v="4"/>
    <s v="MTG"/>
    <x v="0"/>
    <n v="1.0928829439132266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1">
  <r>
    <x v="0"/>
    <x v="0"/>
    <x v="0"/>
    <m/>
    <x v="0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name="PivotTable3" cacheId="560" applyNumberFormats="0" applyBorderFormats="0" applyFontFormats="0" applyPatternFormats="0" applyAlignmentFormats="0" applyWidthHeightFormats="1" dataCaption="Values" updatedVersion="4" minRefreshableVersion="3" showDrill="0" rowGrandTotals="0" colGrandTotals="0" itemPrintTitles="1" createdVersion="5" indent="0" compact="0" compactData="0" multipleFieldFilters="0">
  <location ref="A29:K38" firstHeaderRow="1" firstDataRow="2" firstDataCol="3"/>
  <pivotFields count="6">
    <pivotField axis="axisRow" compact="0" outline="0" showAll="0" defaultSubtotal="0">
      <items count="4">
        <item x="0"/>
        <item x="1"/>
        <item x="2"/>
        <item x="3"/>
      </items>
    </pivotField>
    <pivotField axis="axisRow" compact="0" outline="0" showAll="0" defaultSubtotal="0">
      <items count="4">
        <item x="3"/>
        <item x="2"/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Col" compact="0" outline="0" showAll="0">
      <items count="9">
        <item x="3"/>
        <item x="2"/>
        <item x="1"/>
        <item x="5"/>
        <item x="6"/>
        <item x="7"/>
        <item x="0"/>
        <item x="4"/>
        <item t="default"/>
      </items>
    </pivotField>
    <pivotField compact="0" outline="0" showAll="0"/>
    <pivotField axis="axisRow" compact="0" outline="0" showAll="0" defaultSubtotal="0">
      <items count="2">
        <item x="0"/>
        <item m="1"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/>
  </pivotFields>
  <rowFields count="3">
    <field x="4"/>
    <field x="1"/>
    <field x="0"/>
  </rowFields>
  <rowItems count="8">
    <i>
      <x/>
      <x/>
      <x/>
    </i>
    <i r="2">
      <x v="1"/>
    </i>
    <i r="2">
      <x v="2"/>
    </i>
    <i r="2">
      <x v="3"/>
    </i>
    <i r="1">
      <x v="1"/>
      <x/>
    </i>
    <i r="2">
      <x v="1"/>
    </i>
    <i r="1">
      <x v="2"/>
      <x/>
    </i>
    <i r="1">
      <x v="3"/>
      <x/>
    </i>
  </rowItems>
  <colFields count="1">
    <field x="2"/>
  </colFields>
  <colItems count="8">
    <i>
      <x/>
    </i>
    <i>
      <x v="1"/>
    </i>
    <i>
      <x v="2"/>
    </i>
    <i>
      <x v="3"/>
    </i>
    <i>
      <x v="4"/>
    </i>
    <i>
      <x v="5"/>
    </i>
    <i>
      <x v="6"/>
    </i>
    <i>
      <x v="7"/>
    </i>
  </colItems>
  <dataFields count="1">
    <dataField name="Sum of SeriesNumValue" fld="5" baseField="0" baseItem="0"/>
  </dataFields>
  <formats count="1">
    <format dxfId="18">
      <pivotArea dataOnly="0" labelOnly="1" outline="0" fieldPosition="0">
        <references count="1">
          <reference field="2" count="0"/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RatesSummaryTable" cacheId="566" applyNumberFormats="0" applyBorderFormats="0" applyFontFormats="0" applyPatternFormats="0" applyAlignmentFormats="0" applyWidthHeightFormats="1" dataCaption="Values" updatedVersion="4" minRefreshableVersion="3" showDrill="0" rowGrandTotals="0" colGrandTotals="0" itemPrintTitles="1" createdVersion="5" indent="0" compact="0" compactData="0" multipleFieldFilters="0">
  <location ref="A3:K12" firstHeaderRow="1" firstDataRow="2" firstDataCol="3"/>
  <pivotFields count="6">
    <pivotField axis="axisRow" compact="0" outline="0" showAll="0" defaultSubtotal="0">
      <items count="5">
        <item x="3"/>
        <item x="2"/>
        <item x="0"/>
        <item x="1"/>
        <item m="1" x="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">
        <item x="0"/>
        <item x="1"/>
        <item x="2"/>
        <item x="3"/>
        <item m="1" x="4"/>
      </items>
    </pivotField>
    <pivotField axis="axisCol" compact="0" outline="0" showAll="0">
      <items count="10">
        <item x="3"/>
        <item x="2"/>
        <item x="1"/>
        <item x="5"/>
        <item x="6"/>
        <item x="7"/>
        <item m="1" x="8"/>
        <item x="0"/>
        <item x="4"/>
        <item t="default"/>
      </items>
    </pivotField>
    <pivotField compact="0" outline="0" showAll="0"/>
    <pivotField axis="axisRow" compact="0" outline="0" showAll="0" defaultSubtotal="0">
      <items count="4">
        <item m="1" x="2"/>
        <item m="1" x="3"/>
        <item x="0"/>
        <item m="1"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/>
  </pivotFields>
  <rowFields count="3">
    <field x="4"/>
    <field x="0"/>
    <field x="1"/>
  </rowFields>
  <rowItems count="8">
    <i>
      <x v="2"/>
      <x/>
      <x/>
    </i>
    <i r="2">
      <x v="1"/>
    </i>
    <i r="2">
      <x v="2"/>
    </i>
    <i r="2">
      <x v="3"/>
    </i>
    <i r="1">
      <x v="1"/>
      <x/>
    </i>
    <i r="2">
      <x v="1"/>
    </i>
    <i r="1">
      <x v="2"/>
      <x/>
    </i>
    <i r="1">
      <x v="3"/>
      <x/>
    </i>
  </rowItems>
  <colFields count="1">
    <field x="2"/>
  </colFields>
  <colItems count="8">
    <i>
      <x/>
    </i>
    <i>
      <x v="1"/>
    </i>
    <i>
      <x v="2"/>
    </i>
    <i>
      <x v="3"/>
    </i>
    <i>
      <x v="4"/>
    </i>
    <i>
      <x v="5"/>
    </i>
    <i>
      <x v="7"/>
    </i>
    <i>
      <x v="8"/>
    </i>
  </colItems>
  <dataFields count="1">
    <dataField name="Sum of SeriesNumValue" fld="5" baseField="0" baseItem="0"/>
  </dataFields>
  <formats count="1">
    <format dxfId="19">
      <pivotArea dataOnly="0" labelOnly="1" outline="0" fieldPosition="0">
        <references count="1">
          <reference field="2" count="0"/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PivotTable4" cacheId="572" applyNumberFormats="0" applyBorderFormats="0" applyFontFormats="0" applyPatternFormats="0" applyAlignmentFormats="0" applyWidthHeightFormats="1" dataCaption="Values" updatedVersion="4" minRefreshableVersion="3" showDrill="0" rowGrandTotals="0" colGrandTotals="0" itemPrintTitles="1" createdVersion="5" indent="0" compact="0" compactData="0" multipleFieldFilters="0">
  <location ref="A57:D59" firstHeaderRow="1" firstDataRow="2" firstDataCol="3"/>
  <pivotFields count="6">
    <pivotField axis="axisRow" compact="0" outline="0" showAll="0" defaultSubtotal="0">
      <items count="5">
        <item m="1" x="2"/>
        <item m="1" x="3"/>
        <item m="1" x="4"/>
        <item m="1" x="1"/>
        <item x="0"/>
      </items>
    </pivotField>
    <pivotField axis="axisRow" compact="0" outline="0" showAll="0" defaultSubtotal="0">
      <items count="5">
        <item m="1" x="2"/>
        <item m="1" x="3"/>
        <item m="1" x="1"/>
        <item m="1" x="4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Col" compact="0" outline="0" showAll="0">
      <items count="8">
        <item m="1" x="1"/>
        <item m="1" x="5"/>
        <item m="1" x="3"/>
        <item m="1" x="6"/>
        <item m="1" x="4"/>
        <item m="1" x="2"/>
        <item x="0"/>
        <item t="default"/>
      </items>
    </pivotField>
    <pivotField compact="0" outline="0" showAll="0"/>
    <pivotField axis="axisRow" compact="0" outline="0" showAll="0" defaultSubtotal="0">
      <items count="2">
        <item m="1"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/>
  </pivotFields>
  <rowFields count="3">
    <field x="4"/>
    <field x="1"/>
    <field x="0"/>
  </rowFields>
  <rowItems count="1">
    <i>
      <x v="1"/>
      <x v="4"/>
      <x v="4"/>
    </i>
  </rowItems>
  <colFields count="1">
    <field x="2"/>
  </colFields>
  <colItems count="1">
    <i>
      <x v="6"/>
    </i>
  </colItems>
  <dataFields count="1">
    <dataField name="Sum of SeriesNumValue" fld="5" baseField="0" baseItem="0"/>
  </dataFields>
  <formats count="1">
    <format dxfId="20">
      <pivotArea dataOnly="0" labelOnly="1" outline="0" fieldPosition="0">
        <references count="1">
          <reference field="2" count="0"/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queryTables/queryTable1.xml><?xml version="1.0" encoding="utf-8"?>
<queryTable xmlns="http://schemas.openxmlformats.org/spreadsheetml/2006/main" name="Query from Agency" backgroundRefresh="0" adjustColumnWidth="0" connectionId="6" autoFormatId="16" applyNumberFormats="0" applyBorderFormats="0" applyFontFormats="0" applyPatternFormats="0" applyAlignmentFormats="0" applyWidthHeightFormats="0">
  <queryTableRefresh nextId="56">
    <queryTableFields count="6">
      <queryTableField id="44" name="Source" tableColumnId="3"/>
      <queryTableField id="45" name="TickerName" tableColumnId="4"/>
      <queryTableField id="46" name="SeriesType" tableColumnId="5"/>
      <queryTableField id="47" name="Category" tableColumnId="6"/>
      <queryTableField id="51" name="AsOfDate" tableColumnId="10"/>
      <queryTableField id="52" name="SeriesNumValue" tableColumnId="11"/>
    </queryTableFields>
  </queryTableRefresh>
</queryTable>
</file>

<file path=xl/queryTables/queryTable2.xml><?xml version="1.0" encoding="utf-8"?>
<queryTable xmlns="http://schemas.openxmlformats.org/spreadsheetml/2006/main" name="Query from Agency_1" backgroundRefresh="0" adjustColumnWidth="0" connectionId="3" autoFormatId="16" applyNumberFormats="0" applyBorderFormats="0" applyFontFormats="0" applyPatternFormats="0" applyAlignmentFormats="0" applyWidthHeightFormats="0">
  <queryTableRefresh nextId="57">
    <queryTableFields count="1">
      <queryTableField id="56" tableColumnId="1"/>
    </queryTableFields>
  </queryTableRefresh>
</queryTable>
</file>

<file path=xl/queryTables/queryTable3.xml><?xml version="1.0" encoding="utf-8"?>
<queryTable xmlns="http://schemas.openxmlformats.org/spreadsheetml/2006/main" name="Query from Agency_2" backgroundRefresh="0" adjustColumnWidth="0" connectionId="1" autoFormatId="16" applyNumberFormats="0" applyBorderFormats="0" applyFontFormats="0" applyPatternFormats="0" applyAlignmentFormats="0" applyWidthHeightFormats="0">
  <queryTableRefresh nextId="57">
    <queryTableFields count="1">
      <queryTableField id="56" tableColumnId="1"/>
    </queryTableFields>
  </queryTableRefresh>
</queryTable>
</file>

<file path=xl/queryTables/queryTable4.xml><?xml version="1.0" encoding="utf-8"?>
<queryTable xmlns="http://schemas.openxmlformats.org/spreadsheetml/2006/main" name="Query from Agency_3" backgroundRefresh="0" connectionId="2" autoFormatId="16" applyNumberFormats="0" applyBorderFormats="0" applyFontFormats="0" applyPatternFormats="0" applyAlignmentFormats="0" applyWidthHeightFormats="0">
  <queryTableRefresh nextId="63">
    <queryTableFields count="6">
      <queryTableField id="57" name="TickerName" tableColumnId="2"/>
      <queryTableField id="58" name="Source" tableColumnId="3"/>
      <queryTableField id="59" name="SeriesType" tableColumnId="4"/>
      <queryTableField id="60" name="Category" tableColumnId="5"/>
      <queryTableField id="61" name="AsOfDate" tableColumnId="6"/>
      <queryTableField id="62" name="SeriesNumValue" tableColumnId="7"/>
    </queryTableFields>
  </queryTableRefresh>
</queryTable>
</file>

<file path=xl/queryTables/queryTable5.xml><?xml version="1.0" encoding="utf-8"?>
<queryTable xmlns="http://schemas.openxmlformats.org/spreadsheetml/2006/main" name="Query from Agency_4" backgroundRefresh="0" adjustColumnWidth="0" connectionId="4" autoFormatId="16" applyNumberFormats="0" applyBorderFormats="0" applyFontFormats="0" applyPatternFormats="0" applyAlignmentFormats="0" applyWidthHeightFormats="0">
  <queryTableRefresh nextId="63">
    <queryTableFields count="6">
      <queryTableField id="57" name="TickerName" tableColumnId="2"/>
      <queryTableField id="58" name="Source" tableColumnId="3"/>
      <queryTableField id="59" name="SeriesType" tableColumnId="4"/>
      <queryTableField id="60" name="Category" tableColumnId="5"/>
      <queryTableField id="61" name="AsOfDate" tableColumnId="6"/>
      <queryTableField id="62" name="SeriesNumValue" tableColumnId="7"/>
    </queryTableFields>
  </queryTableRefresh>
</queryTable>
</file>

<file path=xl/queryTables/queryTable6.xml><?xml version="1.0" encoding="utf-8"?>
<queryTable xmlns="http://schemas.openxmlformats.org/spreadsheetml/2006/main" name="Query from Agency_5" backgroundRefresh="0" adjustColumnWidth="0" connectionId="5" autoFormatId="16" applyNumberFormats="0" applyBorderFormats="0" applyFontFormats="0" applyPatternFormats="0" applyAlignmentFormats="0" applyWidthHeightFormats="0">
  <queryTableRefresh nextId="63">
    <queryTableFields count="3">
      <queryTableField id="57" name="TickerName" tableColumnId="2"/>
      <queryTableField id="61" name="AsOfDate" tableColumnId="6"/>
      <queryTableField id="62" name="SeriesNumValue" tableColumnId="7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table1.xml><?xml version="1.0" encoding="utf-8"?>
<table xmlns="http://schemas.openxmlformats.org/spreadsheetml/2006/main" id="1" name="CurrentMtgRatesDataTable" displayName="CurrentMtgRatesDataTable" ref="A6:F53" tableType="queryTable" totalsRowShown="0" headerRowDxfId="31" dataDxfId="30">
  <tableColumns count="6">
    <tableColumn id="3" uniqueName="3" name="Source" queryTableFieldId="44" dataDxfId="17" dataCellStyle="Normal 2 7"/>
    <tableColumn id="4" uniqueName="4" name="TickerName" queryTableFieldId="45" dataDxfId="16" dataCellStyle="Normal 2 7"/>
    <tableColumn id="5" uniqueName="5" name="SeriesType" queryTableFieldId="46" dataDxfId="15" dataCellStyle="Normal 2 7"/>
    <tableColumn id="6" uniqueName="6" name="Category" queryTableFieldId="47" dataDxfId="14" dataCellStyle="Normal 2 7"/>
    <tableColumn id="10" uniqueName="10" name="AsOfDate" queryTableFieldId="51" dataDxfId="13" dataCellStyle="Normal 2 7"/>
    <tableColumn id="11" uniqueName="11" name="SeriesNumValue" queryTableFieldId="52" dataDxfId="12" dataCellStyle="Normal 2 7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id="2" name="TimeSeriesDataTable3" displayName="TimeSeriesDataTable3" ref="P1:P2" tableType="queryTable" totalsRowShown="0">
  <tableColumns count="1">
    <tableColumn id="1" uniqueName="1" name="Column1" queryTableFieldId="56" dataCellStyle="Normal 2 7"/>
  </tableColumns>
  <tableStyleInfo name="TableStyleLight14" showFirstColumn="0" showLastColumn="0" showRowStripes="1" showColumnStripes="0"/>
</table>
</file>

<file path=xl/tables/table3.xml><?xml version="1.0" encoding="utf-8"?>
<table xmlns="http://schemas.openxmlformats.org/spreadsheetml/2006/main" id="3" name="TimeSeriesDataTable34" displayName="TimeSeriesDataTable34" ref="H1:H2" tableType="queryTable" totalsRowShown="0">
  <tableColumns count="1">
    <tableColumn id="1" uniqueName="1" name="Column1" queryTableFieldId="56" dataCellStyle="Normal 2 7"/>
  </tableColumns>
  <tableStyleInfo name="TableStyleLight10" showFirstColumn="0" showLastColumn="0" showRowStripes="1" showColumnStripes="0"/>
</table>
</file>

<file path=xl/tables/table4.xml><?xml version="1.0" encoding="utf-8"?>
<table xmlns="http://schemas.openxmlformats.org/spreadsheetml/2006/main" id="4" name="OneDayMtgRatesDataTable" displayName="OneDayMtgRatesDataTable" ref="I6:N53" tableType="queryTable" totalsRowShown="0" headerRowDxfId="29" dataDxfId="28">
  <tableColumns count="6">
    <tableColumn id="2" uniqueName="2" name="TickerName" queryTableFieldId="57" dataDxfId="11"/>
    <tableColumn id="3" uniqueName="3" name="Source" queryTableFieldId="58" dataDxfId="10"/>
    <tableColumn id="4" uniqueName="4" name="SeriesType" queryTableFieldId="59" dataDxfId="9"/>
    <tableColumn id="5" uniqueName="5" name="Category" queryTableFieldId="60" dataDxfId="8"/>
    <tableColumn id="6" uniqueName="6" name="AsOfDate" queryTableFieldId="61" dataDxfId="7"/>
    <tableColumn id="7" uniqueName="7" name="SeriesNumValue" queryTableFieldId="62" dataDxfId="6"/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id="5" name="OneWeekMtgRatesDataTable" displayName="OneWeekMtgRatesDataTable" ref="Q6:V7" tableType="queryTable" insertRow="1" totalsRowShown="0" headerRowDxfId="27" dataDxfId="26">
  <tableColumns count="6">
    <tableColumn id="2" uniqueName="2" name="TickerName" queryTableFieldId="57" dataDxfId="5" dataCellStyle="Normal 2 7"/>
    <tableColumn id="3" uniqueName="3" name="Source" queryTableFieldId="58" dataDxfId="4" dataCellStyle="Normal 2 7"/>
    <tableColumn id="4" uniqueName="4" name="SeriesType" queryTableFieldId="59" dataDxfId="3" dataCellStyle="Normal 2 7"/>
    <tableColumn id="5" uniqueName="5" name="Category" queryTableFieldId="60" dataDxfId="2" dataCellStyle="Normal 2 7"/>
    <tableColumn id="6" uniqueName="6" name="AsOfDate" queryTableFieldId="61" dataDxfId="1" dataCellStyle="Normal 2 7"/>
    <tableColumn id="7" uniqueName="7" name="SeriesNumValue" queryTableFieldId="62" dataDxfId="0" dataCellStyle="Normal 2 7"/>
  </tableColumns>
  <tableStyleInfo name="TableStyleLight9" showFirstColumn="0" showLastColumn="0" showRowStripes="1" showColumnStripes="0"/>
</table>
</file>

<file path=xl/tables/table6.xml><?xml version="1.0" encoding="utf-8"?>
<table xmlns="http://schemas.openxmlformats.org/spreadsheetml/2006/main" id="6" name="OneWeekMtgRatesDataTable7" displayName="OneWeekMtgRatesDataTable7" ref="X6:Z8" tableType="queryTable" totalsRowShown="0" headerRowDxfId="25" dataDxfId="24">
  <tableColumns count="3">
    <tableColumn id="2" uniqueName="2" name="TickerName" queryTableFieldId="57" dataDxfId="23" dataCellStyle="Normal 2 7"/>
    <tableColumn id="6" uniqueName="6" name="AsOfDate" queryTableFieldId="61" dataDxfId="22" dataCellStyle="Normal 2 7"/>
    <tableColumn id="7" uniqueName="7" name="SeriesNumValue" queryTableFieldId="62" dataDxfId="21" dataCellStyle="Normal 2 7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9" tint="0.59999389629810485"/>
    <pageSetUpPr fitToPage="1"/>
  </sheetPr>
  <dimension ref="C1:X29"/>
  <sheetViews>
    <sheetView tabSelected="1" topLeftCell="B1" zoomScaleNormal="100" workbookViewId="0">
      <selection activeCell="Q26" sqref="Q26"/>
    </sheetView>
  </sheetViews>
  <sheetFormatPr defaultRowHeight="15"/>
  <cols>
    <col min="1" max="1" width="9.140625" customWidth="1"/>
    <col min="3" max="3" width="28.42578125" customWidth="1"/>
    <col min="4" max="4" width="4.7109375" customWidth="1"/>
    <col min="5" max="9" width="4.7109375" style="1" customWidth="1"/>
    <col min="10" max="10" width="12.7109375" style="1" customWidth="1"/>
    <col min="11" max="11" width="15.140625" style="1" bestFit="1" customWidth="1"/>
    <col min="12" max="13" width="12.7109375" customWidth="1"/>
    <col min="14" max="14" width="13.85546875" bestFit="1" customWidth="1"/>
    <col min="15" max="15" width="14.42578125" bestFit="1" customWidth="1"/>
    <col min="16" max="18" width="12.7109375" style="1" customWidth="1"/>
    <col min="19" max="19" width="7.7109375" customWidth="1"/>
    <col min="21" max="21" width="14.140625" customWidth="1"/>
    <col min="22" max="22" width="40.85546875" bestFit="1" customWidth="1"/>
    <col min="23" max="23" width="14.85546875" bestFit="1" customWidth="1"/>
  </cols>
  <sheetData>
    <row r="1" spans="3:24">
      <c r="U1" s="86" t="s">
        <v>61</v>
      </c>
      <c r="V1" s="87" t="s">
        <v>87</v>
      </c>
      <c r="W1" t="s">
        <v>85</v>
      </c>
      <c r="X1" s="87" t="s">
        <v>88</v>
      </c>
    </row>
    <row r="2" spans="3:24">
      <c r="U2" s="86" t="s">
        <v>62</v>
      </c>
      <c r="V2" s="88">
        <v>42067</v>
      </c>
    </row>
    <row r="3" spans="3:24" s="1" customFormat="1">
      <c r="U3" s="86" t="s">
        <v>73</v>
      </c>
      <c r="V3" s="87" t="str">
        <f>"S:\Users\Lien\Reports\Mtg Report " &amp; TEXT(CurrentCloseDate, "yyyy-mm-dd") &amp; ".pdf"</f>
        <v>S:\Users\Lien\Reports\Mtg Report 2015-03-04.pdf</v>
      </c>
    </row>
    <row r="4" spans="3:24" s="1" customFormat="1">
      <c r="U4" s="41"/>
      <c r="V4" s="43"/>
    </row>
    <row r="5" spans="3:24" s="1" customFormat="1">
      <c r="U5" s="41"/>
    </row>
    <row r="6" spans="3:24" s="1" customFormat="1">
      <c r="U6" s="41"/>
    </row>
    <row r="7" spans="3:24">
      <c r="V7" s="1"/>
    </row>
    <row r="10" spans="3:24">
      <c r="C10" s="89" t="s">
        <v>63</v>
      </c>
    </row>
    <row r="11" spans="3:24" s="43" customFormat="1" ht="18" customHeight="1">
      <c r="C11" s="95" t="s">
        <v>16</v>
      </c>
      <c r="D11" s="154" t="s">
        <v>21</v>
      </c>
      <c r="E11" s="155"/>
      <c r="F11" s="155"/>
      <c r="G11" s="155" t="s">
        <v>0</v>
      </c>
      <c r="H11" s="155"/>
      <c r="I11" s="158"/>
      <c r="J11" s="80" t="s">
        <v>31</v>
      </c>
      <c r="K11" s="80" t="s">
        <v>9</v>
      </c>
      <c r="L11" s="80" t="s">
        <v>10</v>
      </c>
      <c r="M11" s="81" t="s">
        <v>22</v>
      </c>
      <c r="N11" s="82" t="s">
        <v>30</v>
      </c>
      <c r="O11" s="81" t="s">
        <v>47</v>
      </c>
      <c r="P11" s="80" t="s">
        <v>77</v>
      </c>
      <c r="Q11" s="80" t="s">
        <v>75</v>
      </c>
      <c r="R11" s="82" t="s">
        <v>76</v>
      </c>
    </row>
    <row r="12" spans="3:24" s="99" customFormat="1" ht="18" customHeight="1">
      <c r="C12" s="98" t="s">
        <v>17</v>
      </c>
      <c r="D12" s="156">
        <f>'BoA - Conventional'!C4</f>
        <v>3.875E-2</v>
      </c>
      <c r="E12" s="157"/>
      <c r="F12" s="157"/>
      <c r="G12" s="157">
        <f>'BoA - Conventional'!C5</f>
        <v>4.0940000000000004E-2</v>
      </c>
      <c r="H12" s="157"/>
      <c r="I12" s="159"/>
      <c r="J12" s="37">
        <f>'BoA - Conventional'!F5</f>
        <v>1.3129999999999999E-2</v>
      </c>
      <c r="K12" s="37">
        <f>'BoA - Conventional'!F6</f>
        <v>1.2992569695680831E-2</v>
      </c>
      <c r="L12" s="37">
        <f>'BoA - Conventional'!F7</f>
        <v>2.6122569695680831E-2</v>
      </c>
      <c r="M12" s="47">
        <f>'BoA - Conventional'!I4</f>
        <v>4.2780642423920205E-2</v>
      </c>
      <c r="N12" s="48">
        <f>M12-D$28</f>
        <v>1.4538805196385805E-2</v>
      </c>
      <c r="O12" s="50">
        <f>(M12-'Historic Result'!C5)*100*100</f>
        <v>2.2566974095517001</v>
      </c>
      <c r="P12" s="36">
        <f>(N12-'Historic Result'!D5)*100*100</f>
        <v>2.2566974095517001</v>
      </c>
      <c r="Q12" s="36" t="e">
        <f>(M12-'Historic Result'!E5)*100*100</f>
        <v>#N/A</v>
      </c>
      <c r="R12" s="44" t="e">
        <f>(N12-'Historic Result'!F5)*100*100</f>
        <v>#N/A</v>
      </c>
    </row>
    <row r="13" spans="3:24" s="99" customFormat="1" ht="18" customHeight="1">
      <c r="C13" s="98" t="s">
        <v>18</v>
      </c>
      <c r="D13" s="156">
        <f>'Chase - Conventional'!C4</f>
        <v>4.1250000000000002E-2</v>
      </c>
      <c r="E13" s="157"/>
      <c r="F13" s="157"/>
      <c r="G13" s="157">
        <f>'Chase - Conventional'!C5</f>
        <v>4.2089999999999995E-2</v>
      </c>
      <c r="H13" s="157"/>
      <c r="I13" s="159"/>
      <c r="J13" s="37" t="s">
        <v>2</v>
      </c>
      <c r="K13" s="37" t="s">
        <v>2</v>
      </c>
      <c r="L13" s="37">
        <f>'Chase - Conventional'!F7</f>
        <v>9.9947928123548246E-3</v>
      </c>
      <c r="M13" s="47">
        <f>'Chase - Conventional'!I4</f>
        <v>4.1248698203088706E-2</v>
      </c>
      <c r="N13" s="48">
        <f>M13-D$28</f>
        <v>1.3006860975554306E-2</v>
      </c>
      <c r="O13" s="50">
        <f>(M13-'Historic Result'!C6)*100*100</f>
        <v>-2.9498270760541789</v>
      </c>
      <c r="P13" s="36">
        <f>(N13-'Historic Result'!D6)*100*100</f>
        <v>-2.9498270760541789</v>
      </c>
      <c r="Q13" s="36" t="e">
        <f>(M13-'Historic Result'!E6)*100*100</f>
        <v>#N/A</v>
      </c>
      <c r="R13" s="44" t="e">
        <f>(N13-'Historic Result'!F6)*100*100</f>
        <v>#N/A</v>
      </c>
    </row>
    <row r="14" spans="3:24" s="99" customFormat="1" ht="18" customHeight="1">
      <c r="C14" s="98" t="s">
        <v>19</v>
      </c>
      <c r="D14" s="156">
        <f>'Quicken - Conventional'!C4</f>
        <v>3.875E-2</v>
      </c>
      <c r="E14" s="157"/>
      <c r="F14" s="157"/>
      <c r="G14" s="157">
        <f>'Quicken - Conventional'!C5</f>
        <v>4.0919999999999998E-2</v>
      </c>
      <c r="H14" s="157"/>
      <c r="I14" s="159"/>
      <c r="J14" s="37">
        <f>'Quicken - Conventional'!F5</f>
        <v>1.7500000000000002E-2</v>
      </c>
      <c r="K14" s="37">
        <f>'Quicken - Conventional'!F6</f>
        <v>8.3886104201991857E-3</v>
      </c>
      <c r="L14" s="37">
        <f>'Quicken - Conventional'!F7</f>
        <v>2.5888610420199187E-2</v>
      </c>
      <c r="M14" s="47">
        <f>'Quicken - Conventional'!I4</f>
        <v>4.2722152605049794E-2</v>
      </c>
      <c r="N14" s="48">
        <f>M14-D$28</f>
        <v>1.4480315377515394E-2</v>
      </c>
      <c r="O14" s="50">
        <f>(M14-'Historic Result'!C7)*100*100</f>
        <v>-4.4120437671379964E-4</v>
      </c>
      <c r="P14" s="36">
        <f>(N14-'Historic Result'!D7)*100*100</f>
        <v>-4.412043766444107E-4</v>
      </c>
      <c r="Q14" s="36" t="e">
        <f>(M14-'Historic Result'!E7)*100*100</f>
        <v>#N/A</v>
      </c>
      <c r="R14" s="44" t="e">
        <f>(N14-'Historic Result'!F7)*100*100</f>
        <v>#N/A</v>
      </c>
    </row>
    <row r="15" spans="3:24" s="99" customFormat="1" ht="18" customHeight="1">
      <c r="C15" s="98" t="s">
        <v>20</v>
      </c>
      <c r="D15" s="156">
        <f>CIR</f>
        <v>4.1250000000000002E-2</v>
      </c>
      <c r="E15" s="157"/>
      <c r="F15" s="157"/>
      <c r="G15" s="157">
        <f>CAPR</f>
        <v>4.147E-2</v>
      </c>
      <c r="H15" s="157"/>
      <c r="I15" s="159"/>
      <c r="J15" s="37">
        <f>'Wells - Conventional'!F6</f>
        <v>2.6321592179967546E-3</v>
      </c>
      <c r="K15" s="37">
        <f>'Wells - Conventional'!F8</f>
        <v>8.8400000000000006E-3</v>
      </c>
      <c r="L15" s="37">
        <f>'Wells - Conventional'!F9</f>
        <v>1.1472159217996755E-2</v>
      </c>
      <c r="M15" s="47">
        <f>'Wells - Conventional'!I4</f>
        <v>4.1618039804499192E-2</v>
      </c>
      <c r="N15" s="48">
        <f>M15-D$28</f>
        <v>1.3376202576964792E-2</v>
      </c>
      <c r="O15" s="50">
        <f>(M15-'Historic Result'!C8)*100*100</f>
        <v>0</v>
      </c>
      <c r="P15" s="36">
        <f>(N15-'Historic Result'!D8)*100*100</f>
        <v>0</v>
      </c>
      <c r="Q15" s="36" t="e">
        <f>(M15-'Historic Result'!E8)*100*100</f>
        <v>#N/A</v>
      </c>
      <c r="R15" s="44" t="e">
        <f>(N15-'Historic Result'!F8)*100*100</f>
        <v>#N/A</v>
      </c>
    </row>
    <row r="16" spans="3:24" s="99" customFormat="1" ht="18" customHeight="1">
      <c r="C16" s="100" t="s">
        <v>23</v>
      </c>
      <c r="D16" s="144">
        <f>AVERAGE(D12:D15)</f>
        <v>0.04</v>
      </c>
      <c r="E16" s="142"/>
      <c r="F16" s="142"/>
      <c r="G16" s="142">
        <f>AVERAGE(G12:I15)</f>
        <v>4.1354999999999996E-2</v>
      </c>
      <c r="H16" s="142"/>
      <c r="I16" s="143"/>
      <c r="J16" s="64">
        <f>AVERAGE(J12,J14:J15)</f>
        <v>1.108738640599892E-2</v>
      </c>
      <c r="K16" s="64">
        <f>AVERAGE(K12,K14:K15)</f>
        <v>1.0073726705293339E-2</v>
      </c>
      <c r="L16" s="64">
        <f>AVERAGE(L12,L14:L15)</f>
        <v>2.1161113111292259E-2</v>
      </c>
      <c r="M16" s="65">
        <f t="shared" ref="M16" si="0">AVERAGE(M12:M15)</f>
        <v>4.2092383259139471E-2</v>
      </c>
      <c r="N16" s="66">
        <f>M16-D$28</f>
        <v>1.3850546031605071E-2</v>
      </c>
      <c r="O16" s="67">
        <f>AVERAGE(O12:O15)</f>
        <v>-0.17339271771979817</v>
      </c>
      <c r="P16" s="68">
        <f>AVERAGE(P12:P15)</f>
        <v>-0.17339271771978082</v>
      </c>
      <c r="Q16" s="68" t="e">
        <f t="shared" ref="Q16:R16" si="1">AVERAGE(Q12:Q15)</f>
        <v>#N/A</v>
      </c>
      <c r="R16" s="69" t="e">
        <f t="shared" si="1"/>
        <v>#N/A</v>
      </c>
    </row>
    <row r="17" spans="3:18" s="99" customFormat="1" ht="18" customHeight="1">
      <c r="C17" s="95" t="s">
        <v>33</v>
      </c>
      <c r="D17" s="145" t="s">
        <v>21</v>
      </c>
      <c r="E17" s="146"/>
      <c r="F17" s="146"/>
      <c r="G17" s="146" t="s">
        <v>0</v>
      </c>
      <c r="H17" s="146"/>
      <c r="I17" s="151"/>
      <c r="J17" s="84"/>
      <c r="K17" s="84"/>
      <c r="L17" s="84"/>
      <c r="M17" s="83"/>
      <c r="N17" s="85"/>
      <c r="O17" s="83"/>
      <c r="P17" s="84"/>
      <c r="Q17" s="84"/>
      <c r="R17" s="85"/>
    </row>
    <row r="18" spans="3:18" s="99" customFormat="1" ht="18" customHeight="1">
      <c r="C18" s="101" t="s">
        <v>20</v>
      </c>
      <c r="D18" s="147">
        <f>'Wells - Jumbo conformin'!C4</f>
        <v>4.1250000000000002E-2</v>
      </c>
      <c r="E18" s="148"/>
      <c r="F18" s="148"/>
      <c r="G18" s="148">
        <f>'Wells - Jumbo conformin'!C5</f>
        <v>4.1479999999999996E-2</v>
      </c>
      <c r="H18" s="148"/>
      <c r="I18" s="152"/>
      <c r="J18" s="70">
        <f>'Wells - Jumbo conformin'!F5</f>
        <v>2.7515576864621805E-3</v>
      </c>
      <c r="K18" s="70">
        <f>'Wells - Jumbo conformin'!F6</f>
        <v>7.2040000000000003E-3</v>
      </c>
      <c r="L18" s="70">
        <f>'Wells - Jumbo conformin'!F7</f>
        <v>9.9555576864621808E-3</v>
      </c>
      <c r="M18" s="71">
        <f>'Wells - Jumbo conformin'!I4</f>
        <v>4.1238889421615549E-2</v>
      </c>
      <c r="N18" s="72">
        <f>M18-D$28</f>
        <v>1.2997052194081149E-2</v>
      </c>
      <c r="O18" s="73">
        <f>(M18-'Historic Result'!C10)*100*100</f>
        <v>0</v>
      </c>
      <c r="P18" s="74">
        <f>(N18-'Historic Result'!D10)*100*100</f>
        <v>0</v>
      </c>
      <c r="Q18" s="74" t="e">
        <f>(M18-'Historic Result'!E10)*100*100</f>
        <v>#N/A</v>
      </c>
      <c r="R18" s="75" t="e">
        <f>(N18-'Historic Result'!F10)*100*100</f>
        <v>#N/A</v>
      </c>
    </row>
    <row r="19" spans="3:18" s="99" customFormat="1" ht="18" customHeight="1">
      <c r="C19" s="96" t="s">
        <v>34</v>
      </c>
      <c r="D19" s="149" t="s">
        <v>21</v>
      </c>
      <c r="E19" s="150"/>
      <c r="F19" s="150"/>
      <c r="G19" s="150" t="s">
        <v>0</v>
      </c>
      <c r="H19" s="150"/>
      <c r="I19" s="153"/>
      <c r="J19" s="53"/>
      <c r="K19" s="53"/>
      <c r="L19" s="53"/>
      <c r="M19" s="52"/>
      <c r="N19" s="54"/>
      <c r="O19" s="55"/>
      <c r="P19" s="56"/>
      <c r="Q19" s="56"/>
      <c r="R19" s="57"/>
    </row>
    <row r="20" spans="3:18" s="99" customFormat="1" ht="18" customHeight="1">
      <c r="C20" s="101" t="s">
        <v>20</v>
      </c>
      <c r="D20" s="147">
        <f>'Wells - Jumbo Non-conforming'!C4</f>
        <v>4.1250000000000002E-2</v>
      </c>
      <c r="E20" s="148"/>
      <c r="F20" s="148"/>
      <c r="G20" s="148">
        <f>'Wells - Jumbo Non-conforming'!C5</f>
        <v>4.1250000000000002E-2</v>
      </c>
      <c r="H20" s="148"/>
      <c r="I20" s="152"/>
      <c r="J20" s="70">
        <f>'Wells - Jumbo Non-conforming'!F5</f>
        <v>0</v>
      </c>
      <c r="K20" s="70">
        <f>'Wells - Jumbo Non-conforming'!F6</f>
        <v>1.6826666666666667E-3</v>
      </c>
      <c r="L20" s="70">
        <f>'Wells - Jumbo Non-conforming'!F7</f>
        <v>1.6826666666666667E-3</v>
      </c>
      <c r="M20" s="71">
        <f>'Wells - Jumbo Non-conforming'!I4</f>
        <v>3.9170666666666666E-2</v>
      </c>
      <c r="N20" s="72">
        <f>M20-D$28</f>
        <v>1.0928829439132266E-2</v>
      </c>
      <c r="O20" s="73">
        <f>(M20-'Historic Result'!C12)*100*100</f>
        <v>0</v>
      </c>
      <c r="P20" s="74">
        <f>(N20-'Historic Result'!D12)*100*100</f>
        <v>0</v>
      </c>
      <c r="Q20" s="74" t="e">
        <f>(M20-'Historic Result'!E12)*100*100</f>
        <v>#N/A</v>
      </c>
      <c r="R20" s="75" t="e">
        <f>(N20-'Historic Result'!F12)*100*100</f>
        <v>#N/A</v>
      </c>
    </row>
    <row r="21" spans="3:18" s="99" customFormat="1" ht="18" customHeight="1">
      <c r="C21" s="97" t="s">
        <v>35</v>
      </c>
      <c r="D21" s="139" t="s">
        <v>32</v>
      </c>
      <c r="E21" s="140"/>
      <c r="F21" s="137" t="s">
        <v>36</v>
      </c>
      <c r="G21" s="137"/>
      <c r="H21" s="137" t="s">
        <v>37</v>
      </c>
      <c r="I21" s="138"/>
      <c r="J21" s="59"/>
      <c r="K21" s="59"/>
      <c r="L21" s="59"/>
      <c r="M21" s="58"/>
      <c r="N21" s="60"/>
      <c r="O21" s="61"/>
      <c r="P21" s="62"/>
      <c r="Q21" s="62"/>
      <c r="R21" s="63"/>
    </row>
    <row r="22" spans="3:18" s="99" customFormat="1" ht="18" customHeight="1">
      <c r="C22" s="102" t="s">
        <v>20</v>
      </c>
      <c r="D22" s="135">
        <v>3.875E-2</v>
      </c>
      <c r="E22" s="136"/>
      <c r="F22" s="136">
        <v>1.7500000000000002E-2</v>
      </c>
      <c r="G22" s="136"/>
      <c r="H22" s="136">
        <v>8.5000000000000006E-3</v>
      </c>
      <c r="I22" s="141"/>
      <c r="J22" s="78">
        <v>0</v>
      </c>
      <c r="K22" s="78">
        <v>1.387E-2</v>
      </c>
      <c r="L22" s="78">
        <v>1.387E-2</v>
      </c>
      <c r="M22" s="49">
        <v>3.9717500000000003E-2</v>
      </c>
      <c r="N22" s="79">
        <f>M22-D29</f>
        <v>1.2748971326932403E-2</v>
      </c>
      <c r="O22" s="51">
        <f>(M22-'Historic Result'!C14)*100*100</f>
        <v>0</v>
      </c>
      <c r="P22" s="45">
        <f>(N22-'Historic Result'!D14)*100*100</f>
        <v>0</v>
      </c>
      <c r="Q22" s="45" t="e">
        <f>(M22-'Historic Result'!E14)*100*100</f>
        <v>#N/A</v>
      </c>
      <c r="R22" s="46" t="e">
        <f>(N22-'Historic Result'!F14)*100*100</f>
        <v>#N/A</v>
      </c>
    </row>
    <row r="24" spans="3:18">
      <c r="I24"/>
      <c r="J24"/>
      <c r="K24"/>
      <c r="O24" s="1"/>
    </row>
    <row r="25" spans="3:18">
      <c r="I25"/>
      <c r="J25"/>
      <c r="K25"/>
      <c r="O25" s="1"/>
    </row>
    <row r="26" spans="3:18">
      <c r="C26" s="89" t="s">
        <v>25</v>
      </c>
      <c r="D26" s="3"/>
      <c r="E26" s="3"/>
      <c r="F26" s="3"/>
      <c r="G26" s="3"/>
      <c r="H26" s="3"/>
      <c r="I26"/>
      <c r="J26"/>
      <c r="K26"/>
      <c r="O26" s="1"/>
    </row>
    <row r="27" spans="3:18" ht="18" customHeight="1">
      <c r="C27" s="103" t="s">
        <v>26</v>
      </c>
      <c r="D27" s="126" t="s">
        <v>27</v>
      </c>
      <c r="E27" s="127"/>
      <c r="F27" s="128"/>
      <c r="G27"/>
      <c r="H27"/>
      <c r="O27" s="1"/>
    </row>
    <row r="28" spans="3:18" ht="18" customHeight="1">
      <c r="C28" s="76" t="s">
        <v>28</v>
      </c>
      <c r="D28" s="129">
        <f>VLOOKUP(C28,'Time Series Query'!X12:Z13,3,0)</f>
        <v>2.82418372275344E-2</v>
      </c>
      <c r="E28" s="130"/>
      <c r="F28" s="131"/>
      <c r="G28" s="27"/>
      <c r="H28" s="27"/>
      <c r="O28" s="1"/>
    </row>
    <row r="29" spans="3:18" ht="18" customHeight="1">
      <c r="C29" s="77" t="s">
        <v>29</v>
      </c>
      <c r="D29" s="132">
        <f>VLOOKUP(C29,'Time Series Query'!X13:Z14,3,0)</f>
        <v>2.69685286730676E-2</v>
      </c>
      <c r="E29" s="133"/>
      <c r="F29" s="134"/>
      <c r="G29" s="27"/>
      <c r="H29" s="27"/>
      <c r="O29" s="1"/>
    </row>
  </sheetData>
  <mergeCells count="29">
    <mergeCell ref="G11:I11"/>
    <mergeCell ref="G12:I12"/>
    <mergeCell ref="G13:I13"/>
    <mergeCell ref="G14:I14"/>
    <mergeCell ref="G15:I15"/>
    <mergeCell ref="D11:F11"/>
    <mergeCell ref="D12:F12"/>
    <mergeCell ref="D13:F13"/>
    <mergeCell ref="D14:F14"/>
    <mergeCell ref="D15:F15"/>
    <mergeCell ref="H21:I21"/>
    <mergeCell ref="F21:G21"/>
    <mergeCell ref="D21:E21"/>
    <mergeCell ref="H22:I22"/>
    <mergeCell ref="G16:I16"/>
    <mergeCell ref="D16:F16"/>
    <mergeCell ref="D17:F17"/>
    <mergeCell ref="D18:F18"/>
    <mergeCell ref="D19:F19"/>
    <mergeCell ref="D20:F20"/>
    <mergeCell ref="G17:I17"/>
    <mergeCell ref="G18:I18"/>
    <mergeCell ref="G19:I19"/>
    <mergeCell ref="G20:I20"/>
    <mergeCell ref="D27:F27"/>
    <mergeCell ref="D28:F28"/>
    <mergeCell ref="D29:F29"/>
    <mergeCell ref="D22:E22"/>
    <mergeCell ref="F22:G22"/>
  </mergeCells>
  <dataValidations count="2">
    <dataValidation type="list" allowBlank="1" showInputMessage="1" showErrorMessage="1" sqref="V1">
      <formula1>"PROD, DEV"</formula1>
    </dataValidation>
    <dataValidation type="list" allowBlank="1" showInputMessage="1" showErrorMessage="1" sqref="X1">
      <formula1>"Yes, No"</formula1>
    </dataValidation>
  </dataValidations>
  <pageMargins left="0.25" right="0.25" top="0.255" bottom="0.25" header="0.1" footer="0.1"/>
  <pageSetup scale="70" orientation="landscape" horizontalDpi="1200" verticalDpi="1200" r:id="rId1"/>
  <headerFooter scaleWithDoc="0">
    <oddHeader>&amp;L&amp;G&amp;C&amp;"-,Bold"&amp;10&amp;K2E398A
&amp;15Daily Originator Mortgage Rates&amp;R&amp;"-,Bold"&amp;10&amp;K2E398A
As of 3/4/2015</oddHeader>
    <oddFooter>&amp;L&amp;10&amp;K2E398AReport created on &amp;D &amp;T&amp;C&amp;G
&amp;8&amp;K2E398APage &amp;P of &amp;N</oddFooter>
  </headerFooter>
  <colBreaks count="1" manualBreakCount="1">
    <brk id="19" max="1048575" man="1"/>
  </colBreaks>
  <drawing r:id="rId2"/>
  <legacyDrawingHF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3" tint="0.79998168889431442"/>
  </sheetPr>
  <dimension ref="A1:AE173"/>
  <sheetViews>
    <sheetView workbookViewId="0">
      <selection activeCell="P36" sqref="P36"/>
    </sheetView>
  </sheetViews>
  <sheetFormatPr defaultRowHeight="12.75"/>
  <cols>
    <col min="1" max="1" width="13.85546875" style="38" customWidth="1"/>
    <col min="2" max="2" width="24.5703125" style="38" bestFit="1" customWidth="1"/>
    <col min="3" max="3" width="12.42578125" style="38" customWidth="1"/>
    <col min="4" max="4" width="8" style="38" customWidth="1"/>
    <col min="5" max="5" width="10.140625" style="38" customWidth="1"/>
    <col min="6" max="6" width="14.140625" style="38" bestFit="1" customWidth="1"/>
    <col min="7" max="7" width="9.7109375" style="38" bestFit="1" customWidth="1"/>
    <col min="8" max="8" width="10.140625" style="38" bestFit="1" customWidth="1"/>
    <col min="9" max="9" width="24.5703125" style="38" customWidth="1"/>
    <col min="10" max="10" width="13.85546875" style="38" customWidth="1"/>
    <col min="11" max="11" width="14.140625" style="38" customWidth="1"/>
    <col min="12" max="12" width="8" style="38" customWidth="1"/>
    <col min="13" max="13" width="10.140625" style="38" customWidth="1"/>
    <col min="14" max="14" width="14.140625" style="38" customWidth="1"/>
    <col min="15" max="15" width="10.140625" style="38" customWidth="1"/>
    <col min="16" max="16" width="10.140625" style="38" bestFit="1" customWidth="1"/>
    <col min="17" max="22" width="13.85546875" style="38" customWidth="1"/>
    <col min="23" max="23" width="13.7109375" style="38" customWidth="1"/>
    <col min="24" max="24" width="16.5703125" style="38" customWidth="1"/>
    <col min="25" max="25" width="12.7109375" style="38" bestFit="1" customWidth="1"/>
    <col min="26" max="26" width="8" style="38" customWidth="1"/>
    <col min="27" max="27" width="10.140625" style="38" customWidth="1"/>
    <col min="28" max="28" width="14.140625" style="38" customWidth="1"/>
    <col min="29" max="29" width="12.28515625" style="38" customWidth="1"/>
    <col min="30" max="30" width="8.42578125" style="38" bestFit="1" customWidth="1"/>
    <col min="31" max="31" width="15.28515625" style="38" bestFit="1" customWidth="1"/>
    <col min="32" max="32" width="9.85546875" style="38" bestFit="1" customWidth="1"/>
    <col min="33" max="33" width="10.28515625" style="38" bestFit="1" customWidth="1"/>
    <col min="34" max="34" width="11.42578125" style="38" bestFit="1" customWidth="1"/>
    <col min="35" max="35" width="12.5703125" style="38" bestFit="1" customWidth="1"/>
    <col min="36" max="37" width="12" style="38" bestFit="1" customWidth="1"/>
    <col min="38" max="38" width="12.28515625" style="38" bestFit="1" customWidth="1"/>
    <col min="39" max="39" width="12" style="38" bestFit="1" customWidth="1"/>
    <col min="40" max="40" width="8.5703125" style="38" bestFit="1" customWidth="1"/>
    <col min="41" max="45" width="12" style="38" bestFit="1" customWidth="1"/>
    <col min="46" max="46" width="8" style="38" bestFit="1" customWidth="1"/>
    <col min="47" max="47" width="12" style="38" bestFit="1" customWidth="1"/>
    <col min="48" max="48" width="5.7109375" style="38" bestFit="1" customWidth="1"/>
    <col min="49" max="50" width="12" style="38" bestFit="1" customWidth="1"/>
    <col min="51" max="51" width="17.5703125" style="38" bestFit="1" customWidth="1"/>
    <col min="52" max="52" width="8.85546875" style="38" bestFit="1" customWidth="1"/>
    <col min="53" max="54" width="16" style="38" bestFit="1" customWidth="1"/>
    <col min="55" max="55" width="14.7109375" style="38" bestFit="1" customWidth="1"/>
    <col min="56" max="56" width="16" style="38" bestFit="1" customWidth="1"/>
    <col min="57" max="57" width="17.5703125" style="38" bestFit="1" customWidth="1"/>
    <col min="58" max="58" width="12.140625" style="38" bestFit="1" customWidth="1"/>
    <col min="59" max="59" width="8.5703125" style="38" bestFit="1" customWidth="1"/>
    <col min="60" max="60" width="15.28515625" style="38" customWidth="1"/>
    <col min="61" max="61" width="11.7109375" style="38" bestFit="1" customWidth="1"/>
    <col min="62" max="62" width="10.28515625" style="38" bestFit="1" customWidth="1"/>
    <col min="63" max="63" width="12" style="38" bestFit="1" customWidth="1"/>
    <col min="64" max="64" width="14.42578125" style="38" customWidth="1"/>
    <col min="65" max="65" width="18.5703125" style="38" bestFit="1" customWidth="1"/>
    <col min="66" max="66" width="10.7109375" style="38" bestFit="1" customWidth="1"/>
    <col min="67" max="67" width="16.42578125" style="38" bestFit="1" customWidth="1"/>
    <col min="68" max="68" width="16.140625" style="38" bestFit="1" customWidth="1"/>
    <col min="69" max="69" width="14.42578125" style="38" customWidth="1"/>
    <col min="70" max="70" width="12.28515625" style="38" customWidth="1"/>
    <col min="71" max="16384" width="9.140625" style="38"/>
  </cols>
  <sheetData>
    <row r="1" spans="1:31">
      <c r="G1" s="38" t="s">
        <v>67</v>
      </c>
      <c r="H1" s="38" t="s">
        <v>64</v>
      </c>
      <c r="O1" s="38" t="s">
        <v>66</v>
      </c>
      <c r="P1" s="38" t="s">
        <v>64</v>
      </c>
    </row>
    <row r="2" spans="1:31">
      <c r="H2" s="38" t="s">
        <v>56</v>
      </c>
      <c r="P2" s="38" t="s">
        <v>86</v>
      </c>
    </row>
    <row r="5" spans="1:31" ht="23.25">
      <c r="A5" s="90" t="s">
        <v>68</v>
      </c>
      <c r="H5" s="90"/>
      <c r="I5" s="90" t="s">
        <v>65</v>
      </c>
      <c r="P5" s="90"/>
      <c r="Q5" s="90" t="s">
        <v>69</v>
      </c>
      <c r="R5" s="90"/>
      <c r="S5" s="90"/>
      <c r="T5" s="90"/>
      <c r="U5" s="90"/>
      <c r="V5" s="90"/>
      <c r="X5" s="90" t="s">
        <v>25</v>
      </c>
      <c r="AE5" s="90"/>
    </row>
    <row r="6" spans="1:31" s="93" customFormat="1">
      <c r="A6" s="93" t="s">
        <v>48</v>
      </c>
      <c r="B6" s="93" t="s">
        <v>49</v>
      </c>
      <c r="C6" s="93" t="s">
        <v>50</v>
      </c>
      <c r="D6" s="93" t="s">
        <v>51</v>
      </c>
      <c r="E6" s="93" t="s">
        <v>52</v>
      </c>
      <c r="F6" s="93" t="s">
        <v>53</v>
      </c>
      <c r="I6" s="93" t="s">
        <v>49</v>
      </c>
      <c r="J6" s="93" t="s">
        <v>48</v>
      </c>
      <c r="K6" s="93" t="s">
        <v>50</v>
      </c>
      <c r="L6" s="93" t="s">
        <v>51</v>
      </c>
      <c r="M6" s="93" t="s">
        <v>52</v>
      </c>
      <c r="N6" s="93" t="s">
        <v>53</v>
      </c>
      <c r="Q6" s="93" t="s">
        <v>49</v>
      </c>
      <c r="R6" s="93" t="s">
        <v>48</v>
      </c>
      <c r="S6" s="93" t="s">
        <v>50</v>
      </c>
      <c r="T6" s="93" t="s">
        <v>51</v>
      </c>
      <c r="U6" s="93" t="s">
        <v>52</v>
      </c>
      <c r="V6" s="93" t="s">
        <v>53</v>
      </c>
      <c r="X6" s="93" t="s">
        <v>49</v>
      </c>
      <c r="Y6" s="93" t="s">
        <v>52</v>
      </c>
      <c r="Z6" s="93" t="s">
        <v>53</v>
      </c>
    </row>
    <row r="7" spans="1:31" s="93" customFormat="1">
      <c r="A7" s="93" t="s">
        <v>17</v>
      </c>
      <c r="B7" s="93" t="s">
        <v>55</v>
      </c>
      <c r="C7" s="93" t="s">
        <v>81</v>
      </c>
      <c r="D7" s="93" t="s">
        <v>54</v>
      </c>
      <c r="E7" s="94" t="s">
        <v>82</v>
      </c>
      <c r="F7" s="93">
        <v>4.2780642423920208</v>
      </c>
      <c r="I7" s="93" t="s">
        <v>55</v>
      </c>
      <c r="J7" s="93" t="s">
        <v>17</v>
      </c>
      <c r="K7" s="93" t="s">
        <v>81</v>
      </c>
      <c r="L7" s="93" t="s">
        <v>54</v>
      </c>
      <c r="M7" s="93" t="s">
        <v>56</v>
      </c>
      <c r="N7" s="93">
        <v>4.2554972682965033</v>
      </c>
      <c r="X7" s="93" t="s">
        <v>83</v>
      </c>
      <c r="Y7" s="93" t="s">
        <v>82</v>
      </c>
      <c r="Z7" s="93">
        <v>2.69685286730676</v>
      </c>
    </row>
    <row r="8" spans="1:31" s="93" customFormat="1">
      <c r="A8" s="93" t="s">
        <v>17</v>
      </c>
      <c r="B8" s="93" t="s">
        <v>55</v>
      </c>
      <c r="C8" s="93" t="s">
        <v>0</v>
      </c>
      <c r="D8" s="93" t="s">
        <v>54</v>
      </c>
      <c r="E8" s="94" t="s">
        <v>82</v>
      </c>
      <c r="F8" s="93">
        <v>4.0940000000000003</v>
      </c>
      <c r="I8" s="91" t="s">
        <v>55</v>
      </c>
      <c r="J8" s="91" t="s">
        <v>17</v>
      </c>
      <c r="K8" s="91" t="s">
        <v>0</v>
      </c>
      <c r="L8" s="91" t="s">
        <v>54</v>
      </c>
      <c r="M8" s="91" t="s">
        <v>56</v>
      </c>
      <c r="N8" s="91">
        <v>4.17</v>
      </c>
      <c r="X8" s="93" t="s">
        <v>84</v>
      </c>
      <c r="Y8" s="93" t="s">
        <v>82</v>
      </c>
      <c r="Z8" s="93">
        <v>2.8241837227534399</v>
      </c>
    </row>
    <row r="9" spans="1:31" s="93" customFormat="1">
      <c r="A9" s="93" t="s">
        <v>17</v>
      </c>
      <c r="B9" s="93" t="s">
        <v>55</v>
      </c>
      <c r="C9" s="93" t="s">
        <v>7</v>
      </c>
      <c r="D9" s="93" t="s">
        <v>54</v>
      </c>
      <c r="E9" s="94" t="s">
        <v>82</v>
      </c>
      <c r="F9" s="93">
        <v>1.3129999999999999</v>
      </c>
      <c r="I9" s="91" t="s">
        <v>55</v>
      </c>
      <c r="J9" s="91" t="s">
        <v>17</v>
      </c>
      <c r="K9" s="91" t="s">
        <v>7</v>
      </c>
      <c r="L9" s="91" t="s">
        <v>54</v>
      </c>
      <c r="M9" s="91" t="s">
        <v>56</v>
      </c>
      <c r="N9" s="91">
        <v>0.71299999999999997</v>
      </c>
    </row>
    <row r="10" spans="1:31" s="93" customFormat="1">
      <c r="A10" s="93" t="s">
        <v>17</v>
      </c>
      <c r="B10" s="93" t="s">
        <v>55</v>
      </c>
      <c r="C10" s="93" t="s">
        <v>27</v>
      </c>
      <c r="D10" s="93" t="s">
        <v>54</v>
      </c>
      <c r="E10" s="94" t="s">
        <v>82</v>
      </c>
      <c r="F10" s="93">
        <v>3.875</v>
      </c>
      <c r="I10" s="91" t="s">
        <v>55</v>
      </c>
      <c r="J10" s="91" t="s">
        <v>17</v>
      </c>
      <c r="K10" s="91" t="s">
        <v>27</v>
      </c>
      <c r="L10" s="91" t="s">
        <v>54</v>
      </c>
      <c r="M10" s="91" t="s">
        <v>56</v>
      </c>
      <c r="N10" s="91">
        <v>4</v>
      </c>
    </row>
    <row r="11" spans="1:31" s="93" customFormat="1">
      <c r="A11" s="93" t="s">
        <v>17</v>
      </c>
      <c r="B11" s="93" t="s">
        <v>55</v>
      </c>
      <c r="C11" s="93" t="s">
        <v>30</v>
      </c>
      <c r="D11" s="93" t="s">
        <v>54</v>
      </c>
      <c r="E11" s="94" t="s">
        <v>82</v>
      </c>
      <c r="F11" s="93">
        <v>1.4538805196385804</v>
      </c>
      <c r="I11" s="91" t="s">
        <v>55</v>
      </c>
      <c r="J11" s="91" t="s">
        <v>17</v>
      </c>
      <c r="K11" s="91" t="s">
        <v>30</v>
      </c>
      <c r="L11" s="91" t="s">
        <v>54</v>
      </c>
      <c r="M11" s="91" t="s">
        <v>56</v>
      </c>
      <c r="N11" s="91">
        <v>1.4313135455430634</v>
      </c>
    </row>
    <row r="12" spans="1:31" s="93" customFormat="1">
      <c r="A12" s="93" t="s">
        <v>18</v>
      </c>
      <c r="B12" s="93" t="s">
        <v>55</v>
      </c>
      <c r="C12" s="93" t="s">
        <v>81</v>
      </c>
      <c r="D12" s="93" t="s">
        <v>54</v>
      </c>
      <c r="E12" s="94" t="s">
        <v>82</v>
      </c>
      <c r="F12" s="93">
        <v>4.1248698203088709</v>
      </c>
      <c r="I12" s="91" t="s">
        <v>55</v>
      </c>
      <c r="J12" s="91" t="s">
        <v>18</v>
      </c>
      <c r="K12" s="91" t="s">
        <v>81</v>
      </c>
      <c r="L12" s="91" t="s">
        <v>54</v>
      </c>
      <c r="M12" s="91" t="s">
        <v>56</v>
      </c>
      <c r="N12" s="91">
        <v>4.1543680910694123</v>
      </c>
      <c r="X12" s="107" t="s">
        <v>28</v>
      </c>
      <c r="Y12" s="108" t="s">
        <v>84</v>
      </c>
      <c r="Z12" s="108">
        <f>VLOOKUP(Y12,OneWeekMtgRatesDataTable7[],3,0)/100</f>
        <v>2.82418372275344E-2</v>
      </c>
      <c r="AA12" s="106"/>
    </row>
    <row r="13" spans="1:31" s="93" customFormat="1">
      <c r="A13" s="93" t="s">
        <v>18</v>
      </c>
      <c r="B13" s="93" t="s">
        <v>55</v>
      </c>
      <c r="C13" s="93" t="s">
        <v>0</v>
      </c>
      <c r="D13" s="93" t="s">
        <v>54</v>
      </c>
      <c r="E13" s="94" t="s">
        <v>82</v>
      </c>
      <c r="F13" s="93">
        <v>4.2089999999999996</v>
      </c>
      <c r="I13" s="91" t="s">
        <v>55</v>
      </c>
      <c r="J13" s="91" t="s">
        <v>18</v>
      </c>
      <c r="K13" s="91" t="s">
        <v>0</v>
      </c>
      <c r="L13" s="91" t="s">
        <v>54</v>
      </c>
      <c r="M13" s="91" t="s">
        <v>56</v>
      </c>
      <c r="N13" s="91">
        <v>4.2190000000000003</v>
      </c>
      <c r="X13" s="107" t="s">
        <v>29</v>
      </c>
      <c r="Y13" s="109" t="s">
        <v>83</v>
      </c>
      <c r="Z13" s="108">
        <f>VLOOKUP(Y13,OneWeekMtgRatesDataTable7[],3,0)/100</f>
        <v>2.69685286730676E-2</v>
      </c>
      <c r="AA13" s="106"/>
    </row>
    <row r="14" spans="1:31" s="93" customFormat="1">
      <c r="A14" s="93" t="s">
        <v>18</v>
      </c>
      <c r="B14" s="93" t="s">
        <v>55</v>
      </c>
      <c r="C14" s="93" t="s">
        <v>7</v>
      </c>
      <c r="D14" s="93" t="s">
        <v>54</v>
      </c>
      <c r="E14" s="94" t="s">
        <v>82</v>
      </c>
      <c r="F14" s="93">
        <v>1</v>
      </c>
      <c r="I14" s="91" t="s">
        <v>55</v>
      </c>
      <c r="J14" s="91" t="s">
        <v>18</v>
      </c>
      <c r="K14" s="91" t="s">
        <v>7</v>
      </c>
      <c r="L14" s="91" t="s">
        <v>54</v>
      </c>
      <c r="M14" s="91" t="s">
        <v>56</v>
      </c>
      <c r="N14" s="91">
        <v>1.125</v>
      </c>
    </row>
    <row r="15" spans="1:31" s="93" customFormat="1">
      <c r="A15" s="93" t="s">
        <v>18</v>
      </c>
      <c r="B15" s="93" t="s">
        <v>55</v>
      </c>
      <c r="C15" s="93" t="s">
        <v>27</v>
      </c>
      <c r="D15" s="93" t="s">
        <v>54</v>
      </c>
      <c r="E15" s="94" t="s">
        <v>82</v>
      </c>
      <c r="F15" s="93">
        <v>4.125</v>
      </c>
      <c r="I15" s="91" t="s">
        <v>55</v>
      </c>
      <c r="J15" s="91" t="s">
        <v>18</v>
      </c>
      <c r="K15" s="91" t="s">
        <v>27</v>
      </c>
      <c r="L15" s="91" t="s">
        <v>54</v>
      </c>
      <c r="M15" s="91" t="s">
        <v>56</v>
      </c>
      <c r="N15" s="91">
        <v>4.125</v>
      </c>
    </row>
    <row r="16" spans="1:31" s="93" customFormat="1">
      <c r="A16" s="93" t="s">
        <v>18</v>
      </c>
      <c r="B16" s="93" t="s">
        <v>55</v>
      </c>
      <c r="C16" s="93" t="s">
        <v>30</v>
      </c>
      <c r="D16" s="93" t="s">
        <v>54</v>
      </c>
      <c r="E16" s="94" t="s">
        <v>82</v>
      </c>
      <c r="F16" s="93">
        <v>1.3006860975554306</v>
      </c>
      <c r="I16" s="91" t="s">
        <v>55</v>
      </c>
      <c r="J16" s="91" t="s">
        <v>18</v>
      </c>
      <c r="K16" s="91" t="s">
        <v>30</v>
      </c>
      <c r="L16" s="91" t="s">
        <v>54</v>
      </c>
      <c r="M16" s="91" t="s">
        <v>56</v>
      </c>
      <c r="N16" s="91">
        <v>1.3301843683159724</v>
      </c>
    </row>
    <row r="17" spans="1:14" s="93" customFormat="1">
      <c r="A17" s="93" t="s">
        <v>19</v>
      </c>
      <c r="B17" s="93" t="s">
        <v>55</v>
      </c>
      <c r="C17" s="93" t="s">
        <v>81</v>
      </c>
      <c r="D17" s="93" t="s">
        <v>54</v>
      </c>
      <c r="E17" s="94" t="s">
        <v>82</v>
      </c>
      <c r="F17" s="93">
        <v>4.2722152605049795</v>
      </c>
      <c r="I17" s="91" t="s">
        <v>55</v>
      </c>
      <c r="J17" s="91" t="s">
        <v>19</v>
      </c>
      <c r="K17" s="91" t="s">
        <v>81</v>
      </c>
      <c r="L17" s="91" t="s">
        <v>54</v>
      </c>
      <c r="M17" s="91" t="s">
        <v>56</v>
      </c>
      <c r="N17" s="91">
        <v>4.2722196725487462</v>
      </c>
    </row>
    <row r="18" spans="1:14" s="93" customFormat="1">
      <c r="A18" s="93" t="s">
        <v>19</v>
      </c>
      <c r="B18" s="93" t="s">
        <v>55</v>
      </c>
      <c r="C18" s="93" t="s">
        <v>0</v>
      </c>
      <c r="D18" s="93" t="s">
        <v>54</v>
      </c>
      <c r="E18" s="94" t="s">
        <v>82</v>
      </c>
      <c r="F18" s="93">
        <v>4.0919999999999996</v>
      </c>
      <c r="I18" s="91" t="s">
        <v>55</v>
      </c>
      <c r="J18" s="91" t="s">
        <v>19</v>
      </c>
      <c r="K18" s="91" t="s">
        <v>0</v>
      </c>
      <c r="L18" s="91" t="s">
        <v>54</v>
      </c>
      <c r="M18" s="91" t="s">
        <v>56</v>
      </c>
      <c r="N18" s="91">
        <v>4.008</v>
      </c>
    </row>
    <row r="19" spans="1:14" s="93" customFormat="1">
      <c r="A19" s="93" t="s">
        <v>19</v>
      </c>
      <c r="B19" s="93" t="s">
        <v>55</v>
      </c>
      <c r="C19" s="93" t="s">
        <v>7</v>
      </c>
      <c r="D19" s="93" t="s">
        <v>54</v>
      </c>
      <c r="E19" s="94" t="s">
        <v>82</v>
      </c>
      <c r="F19" s="93">
        <v>1.75</v>
      </c>
      <c r="I19" s="91" t="s">
        <v>55</v>
      </c>
      <c r="J19" s="91" t="s">
        <v>19</v>
      </c>
      <c r="K19" s="91" t="s">
        <v>7</v>
      </c>
      <c r="L19" s="91" t="s">
        <v>54</v>
      </c>
      <c r="M19" s="91" t="s">
        <v>56</v>
      </c>
      <c r="N19" s="91">
        <v>2.25</v>
      </c>
    </row>
    <row r="20" spans="1:14" s="93" customFormat="1">
      <c r="A20" s="93" t="s">
        <v>19</v>
      </c>
      <c r="B20" s="93" t="s">
        <v>55</v>
      </c>
      <c r="C20" s="93" t="s">
        <v>27</v>
      </c>
      <c r="D20" s="93" t="s">
        <v>54</v>
      </c>
      <c r="E20" s="94" t="s">
        <v>82</v>
      </c>
      <c r="F20" s="93">
        <v>3.875</v>
      </c>
      <c r="I20" s="91" t="s">
        <v>55</v>
      </c>
      <c r="J20" s="91" t="s">
        <v>19</v>
      </c>
      <c r="K20" s="91" t="s">
        <v>27</v>
      </c>
      <c r="L20" s="91" t="s">
        <v>54</v>
      </c>
      <c r="M20" s="91" t="s">
        <v>56</v>
      </c>
      <c r="N20" s="91">
        <v>3.75</v>
      </c>
    </row>
    <row r="21" spans="1:14" s="93" customFormat="1">
      <c r="A21" s="93" t="s">
        <v>19</v>
      </c>
      <c r="B21" s="93" t="s">
        <v>55</v>
      </c>
      <c r="C21" s="93" t="s">
        <v>30</v>
      </c>
      <c r="D21" s="93" t="s">
        <v>54</v>
      </c>
      <c r="E21" s="94" t="s">
        <v>82</v>
      </c>
      <c r="F21" s="93">
        <v>1.4480315377515394</v>
      </c>
      <c r="I21" s="91" t="s">
        <v>55</v>
      </c>
      <c r="J21" s="91" t="s">
        <v>19</v>
      </c>
      <c r="K21" s="91" t="s">
        <v>30</v>
      </c>
      <c r="L21" s="91" t="s">
        <v>54</v>
      </c>
      <c r="M21" s="91" t="s">
        <v>56</v>
      </c>
      <c r="N21" s="91">
        <v>1.4480359497953059</v>
      </c>
    </row>
    <row r="22" spans="1:14" s="93" customFormat="1">
      <c r="A22" s="93" t="s">
        <v>20</v>
      </c>
      <c r="B22" s="93" t="s">
        <v>55</v>
      </c>
      <c r="C22" s="93" t="s">
        <v>81</v>
      </c>
      <c r="D22" s="93" t="s">
        <v>54</v>
      </c>
      <c r="E22" s="94" t="s">
        <v>82</v>
      </c>
      <c r="F22" s="93">
        <v>4.1618039804499194</v>
      </c>
      <c r="I22" s="91" t="s">
        <v>55</v>
      </c>
      <c r="J22" s="91" t="s">
        <v>20</v>
      </c>
      <c r="K22" s="91" t="s">
        <v>81</v>
      </c>
      <c r="L22" s="91" t="s">
        <v>54</v>
      </c>
      <c r="M22" s="91" t="s">
        <v>56</v>
      </c>
      <c r="N22" s="91">
        <v>4.1618039804499194</v>
      </c>
    </row>
    <row r="23" spans="1:14" s="93" customFormat="1">
      <c r="A23" s="93" t="s">
        <v>20</v>
      </c>
      <c r="B23" s="93" t="s">
        <v>55</v>
      </c>
      <c r="C23" s="93" t="s">
        <v>0</v>
      </c>
      <c r="D23" s="93" t="s">
        <v>54</v>
      </c>
      <c r="E23" s="94" t="s">
        <v>82</v>
      </c>
      <c r="F23" s="93">
        <v>4.1470000000000002</v>
      </c>
      <c r="I23" s="91" t="s">
        <v>55</v>
      </c>
      <c r="J23" s="91" t="s">
        <v>20</v>
      </c>
      <c r="K23" s="91" t="s">
        <v>0</v>
      </c>
      <c r="L23" s="91" t="s">
        <v>54</v>
      </c>
      <c r="M23" s="91" t="s">
        <v>56</v>
      </c>
      <c r="N23" s="91">
        <v>4.1470000000000002</v>
      </c>
    </row>
    <row r="24" spans="1:14" s="93" customFormat="1">
      <c r="A24" s="93" t="s">
        <v>20</v>
      </c>
      <c r="B24" s="93" t="s">
        <v>55</v>
      </c>
      <c r="C24" s="93" t="s">
        <v>42</v>
      </c>
      <c r="D24" s="93" t="s">
        <v>54</v>
      </c>
      <c r="E24" s="94" t="s">
        <v>82</v>
      </c>
      <c r="F24" s="93">
        <v>1768</v>
      </c>
      <c r="I24" s="91" t="s">
        <v>55</v>
      </c>
      <c r="J24" s="91" t="s">
        <v>20</v>
      </c>
      <c r="K24" s="91" t="s">
        <v>42</v>
      </c>
      <c r="L24" s="91" t="s">
        <v>54</v>
      </c>
      <c r="M24" s="91" t="s">
        <v>56</v>
      </c>
      <c r="N24" s="91">
        <v>1768</v>
      </c>
    </row>
    <row r="25" spans="1:14" s="93" customFormat="1">
      <c r="A25" s="93" t="s">
        <v>20</v>
      </c>
      <c r="B25" s="93" t="s">
        <v>55</v>
      </c>
      <c r="C25" s="93" t="s">
        <v>1</v>
      </c>
      <c r="D25" s="93" t="s">
        <v>54</v>
      </c>
      <c r="E25" s="94" t="s">
        <v>82</v>
      </c>
      <c r="F25" s="93">
        <v>200000</v>
      </c>
      <c r="I25" s="91" t="s">
        <v>55</v>
      </c>
      <c r="J25" s="91" t="s">
        <v>20</v>
      </c>
      <c r="K25" s="91" t="s">
        <v>1</v>
      </c>
      <c r="L25" s="91" t="s">
        <v>54</v>
      </c>
      <c r="M25" s="91" t="s">
        <v>56</v>
      </c>
      <c r="N25" s="91">
        <v>200000</v>
      </c>
    </row>
    <row r="26" spans="1:14" s="93" customFormat="1">
      <c r="A26" s="93" t="s">
        <v>20</v>
      </c>
      <c r="B26" s="93" t="s">
        <v>55</v>
      </c>
      <c r="C26" s="93" t="s">
        <v>7</v>
      </c>
      <c r="D26" s="93" t="s">
        <v>54</v>
      </c>
      <c r="E26" s="94" t="s">
        <v>82</v>
      </c>
      <c r="F26" s="93">
        <v>1</v>
      </c>
      <c r="I26" s="91" t="s">
        <v>55</v>
      </c>
      <c r="J26" s="91" t="s">
        <v>20</v>
      </c>
      <c r="K26" s="91" t="s">
        <v>7</v>
      </c>
      <c r="L26" s="91" t="s">
        <v>54</v>
      </c>
      <c r="M26" s="91" t="s">
        <v>56</v>
      </c>
      <c r="N26" s="91">
        <v>1</v>
      </c>
    </row>
    <row r="27" spans="1:14" s="93" customFormat="1">
      <c r="A27" s="93" t="s">
        <v>20</v>
      </c>
      <c r="B27" s="93" t="s">
        <v>55</v>
      </c>
      <c r="C27" s="93" t="s">
        <v>27</v>
      </c>
      <c r="D27" s="93" t="s">
        <v>54</v>
      </c>
      <c r="E27" s="94" t="s">
        <v>82</v>
      </c>
      <c r="F27" s="93">
        <v>4.125</v>
      </c>
      <c r="I27" s="91" t="s">
        <v>55</v>
      </c>
      <c r="J27" s="91" t="s">
        <v>20</v>
      </c>
      <c r="K27" s="91" t="s">
        <v>27</v>
      </c>
      <c r="L27" s="91" t="s">
        <v>54</v>
      </c>
      <c r="M27" s="91" t="s">
        <v>56</v>
      </c>
      <c r="N27" s="91">
        <v>4.125</v>
      </c>
    </row>
    <row r="28" spans="1:14" s="93" customFormat="1">
      <c r="A28" s="93" t="s">
        <v>20</v>
      </c>
      <c r="B28" s="93" t="s">
        <v>55</v>
      </c>
      <c r="C28" s="93" t="s">
        <v>30</v>
      </c>
      <c r="D28" s="93" t="s">
        <v>54</v>
      </c>
      <c r="E28" s="94" t="s">
        <v>82</v>
      </c>
      <c r="F28" s="93">
        <v>1.3376202576964793</v>
      </c>
      <c r="I28" s="91" t="s">
        <v>55</v>
      </c>
      <c r="J28" s="91" t="s">
        <v>20</v>
      </c>
      <c r="K28" s="91" t="s">
        <v>30</v>
      </c>
      <c r="L28" s="91" t="s">
        <v>54</v>
      </c>
      <c r="M28" s="91" t="s">
        <v>56</v>
      </c>
      <c r="N28" s="91">
        <v>1.3376202576964793</v>
      </c>
    </row>
    <row r="29" spans="1:14" s="93" customFormat="1">
      <c r="A29" s="93" t="s">
        <v>19</v>
      </c>
      <c r="B29" s="93" t="s">
        <v>57</v>
      </c>
      <c r="C29" s="93" t="s">
        <v>0</v>
      </c>
      <c r="D29" s="93" t="s">
        <v>54</v>
      </c>
      <c r="E29" s="94" t="s">
        <v>82</v>
      </c>
      <c r="F29" s="93">
        <v>4.2699999999999996</v>
      </c>
      <c r="I29" s="91" t="s">
        <v>57</v>
      </c>
      <c r="J29" s="91" t="s">
        <v>19</v>
      </c>
      <c r="K29" s="91" t="s">
        <v>0</v>
      </c>
      <c r="L29" s="91" t="s">
        <v>54</v>
      </c>
      <c r="M29" s="91" t="s">
        <v>56</v>
      </c>
      <c r="N29" s="91">
        <v>4.2699999999999996</v>
      </c>
    </row>
    <row r="30" spans="1:14" s="93" customFormat="1">
      <c r="A30" s="93" t="s">
        <v>19</v>
      </c>
      <c r="B30" s="93" t="s">
        <v>57</v>
      </c>
      <c r="C30" s="93" t="s">
        <v>7</v>
      </c>
      <c r="D30" s="93" t="s">
        <v>54</v>
      </c>
      <c r="E30" s="94" t="s">
        <v>82</v>
      </c>
      <c r="F30" s="93">
        <v>2.25</v>
      </c>
      <c r="I30" s="91" t="s">
        <v>57</v>
      </c>
      <c r="J30" s="91" t="s">
        <v>19</v>
      </c>
      <c r="K30" s="91" t="s">
        <v>7</v>
      </c>
      <c r="L30" s="91" t="s">
        <v>54</v>
      </c>
      <c r="M30" s="91" t="s">
        <v>56</v>
      </c>
      <c r="N30" s="91">
        <v>2.25</v>
      </c>
    </row>
    <row r="31" spans="1:14" s="93" customFormat="1">
      <c r="A31" s="93" t="s">
        <v>19</v>
      </c>
      <c r="B31" s="93" t="s">
        <v>57</v>
      </c>
      <c r="C31" s="93" t="s">
        <v>27</v>
      </c>
      <c r="D31" s="93" t="s">
        <v>54</v>
      </c>
      <c r="E31" s="94" t="s">
        <v>82</v>
      </c>
      <c r="F31" s="93">
        <v>3.375</v>
      </c>
      <c r="I31" s="91" t="s">
        <v>57</v>
      </c>
      <c r="J31" s="91" t="s">
        <v>19</v>
      </c>
      <c r="K31" s="91" t="s">
        <v>27</v>
      </c>
      <c r="L31" s="91" t="s">
        <v>54</v>
      </c>
      <c r="M31" s="91" t="s">
        <v>56</v>
      </c>
      <c r="N31" s="91">
        <v>3.375</v>
      </c>
    </row>
    <row r="32" spans="1:14" s="93" customFormat="1">
      <c r="A32" s="93" t="s">
        <v>20</v>
      </c>
      <c r="B32" s="93" t="s">
        <v>57</v>
      </c>
      <c r="C32" s="93" t="s">
        <v>81</v>
      </c>
      <c r="D32" s="93" t="s">
        <v>54</v>
      </c>
      <c r="E32" s="94" t="s">
        <v>82</v>
      </c>
      <c r="F32" s="93">
        <v>3.9717500000000001</v>
      </c>
      <c r="I32" s="91" t="s">
        <v>57</v>
      </c>
      <c r="J32" s="91" t="s">
        <v>20</v>
      </c>
      <c r="K32" s="91" t="s">
        <v>81</v>
      </c>
      <c r="L32" s="91" t="s">
        <v>54</v>
      </c>
      <c r="M32" s="91" t="s">
        <v>56</v>
      </c>
      <c r="N32" s="91">
        <v>3.9717500000000001</v>
      </c>
    </row>
    <row r="33" spans="1:14" s="93" customFormat="1">
      <c r="A33" s="93" t="s">
        <v>20</v>
      </c>
      <c r="B33" s="93" t="s">
        <v>57</v>
      </c>
      <c r="C33" s="93" t="s">
        <v>0</v>
      </c>
      <c r="D33" s="93" t="s">
        <v>54</v>
      </c>
      <c r="E33" s="94" t="s">
        <v>82</v>
      </c>
      <c r="F33" s="93">
        <v>4.9050000000000002</v>
      </c>
      <c r="I33" s="91" t="s">
        <v>57</v>
      </c>
      <c r="J33" s="91" t="s">
        <v>20</v>
      </c>
      <c r="K33" s="91" t="s">
        <v>0</v>
      </c>
      <c r="L33" s="91" t="s">
        <v>54</v>
      </c>
      <c r="M33" s="91" t="s">
        <v>56</v>
      </c>
      <c r="N33" s="91">
        <v>4.9050000000000002</v>
      </c>
    </row>
    <row r="34" spans="1:14" s="93" customFormat="1">
      <c r="A34" s="93" t="s">
        <v>20</v>
      </c>
      <c r="B34" s="93" t="s">
        <v>57</v>
      </c>
      <c r="C34" s="93" t="s">
        <v>42</v>
      </c>
      <c r="D34" s="93" t="s">
        <v>54</v>
      </c>
      <c r="E34" s="94" t="s">
        <v>82</v>
      </c>
      <c r="F34" s="93">
        <v>6529</v>
      </c>
      <c r="I34" s="91" t="s">
        <v>57</v>
      </c>
      <c r="J34" s="91" t="s">
        <v>20</v>
      </c>
      <c r="K34" s="91" t="s">
        <v>42</v>
      </c>
      <c r="L34" s="91" t="s">
        <v>54</v>
      </c>
      <c r="M34" s="91" t="s">
        <v>56</v>
      </c>
      <c r="N34" s="91">
        <v>6529</v>
      </c>
    </row>
    <row r="35" spans="1:14" s="93" customFormat="1">
      <c r="A35" s="93" t="s">
        <v>20</v>
      </c>
      <c r="B35" s="93" t="s">
        <v>57</v>
      </c>
      <c r="C35" s="93" t="s">
        <v>1</v>
      </c>
      <c r="D35" s="93" t="s">
        <v>54</v>
      </c>
      <c r="E35" s="94" t="s">
        <v>82</v>
      </c>
      <c r="F35" s="93">
        <v>200000</v>
      </c>
      <c r="I35" s="91" t="s">
        <v>57</v>
      </c>
      <c r="J35" s="91" t="s">
        <v>20</v>
      </c>
      <c r="K35" s="91" t="s">
        <v>1</v>
      </c>
      <c r="L35" s="91" t="s">
        <v>54</v>
      </c>
      <c r="M35" s="91" t="s">
        <v>56</v>
      </c>
      <c r="N35" s="91">
        <v>200000</v>
      </c>
    </row>
    <row r="36" spans="1:14" s="93" customFormat="1">
      <c r="A36" s="93" t="s">
        <v>20</v>
      </c>
      <c r="B36" s="93" t="s">
        <v>57</v>
      </c>
      <c r="C36" s="93" t="s">
        <v>7</v>
      </c>
      <c r="D36" s="93" t="s">
        <v>54</v>
      </c>
      <c r="E36" s="94" t="s">
        <v>82</v>
      </c>
      <c r="F36" s="93">
        <v>1</v>
      </c>
      <c r="I36" s="91" t="s">
        <v>57</v>
      </c>
      <c r="J36" s="91" t="s">
        <v>20</v>
      </c>
      <c r="K36" s="91" t="s">
        <v>7</v>
      </c>
      <c r="L36" s="91" t="s">
        <v>54</v>
      </c>
      <c r="M36" s="91" t="s">
        <v>56</v>
      </c>
      <c r="N36" s="91">
        <v>1</v>
      </c>
    </row>
    <row r="37" spans="1:14" s="93" customFormat="1">
      <c r="A37" s="93" t="s">
        <v>20</v>
      </c>
      <c r="B37" s="93" t="s">
        <v>57</v>
      </c>
      <c r="C37" s="93" t="s">
        <v>27</v>
      </c>
      <c r="D37" s="93" t="s">
        <v>54</v>
      </c>
      <c r="E37" s="94" t="s">
        <v>82</v>
      </c>
      <c r="F37" s="93">
        <v>3.875</v>
      </c>
      <c r="I37" s="91" t="s">
        <v>57</v>
      </c>
      <c r="J37" s="91" t="s">
        <v>20</v>
      </c>
      <c r="K37" s="91" t="s">
        <v>27</v>
      </c>
      <c r="L37" s="91" t="s">
        <v>54</v>
      </c>
      <c r="M37" s="91" t="s">
        <v>56</v>
      </c>
      <c r="N37" s="91">
        <v>3.875</v>
      </c>
    </row>
    <row r="38" spans="1:14" s="93" customFormat="1">
      <c r="A38" s="93" t="s">
        <v>20</v>
      </c>
      <c r="B38" s="93" t="s">
        <v>57</v>
      </c>
      <c r="C38" s="93" t="s">
        <v>30</v>
      </c>
      <c r="D38" s="93" t="s">
        <v>54</v>
      </c>
      <c r="E38" s="94" t="s">
        <v>82</v>
      </c>
      <c r="F38" s="93">
        <v>1.2748971326932403</v>
      </c>
      <c r="I38" s="91" t="s">
        <v>57</v>
      </c>
      <c r="J38" s="91" t="s">
        <v>20</v>
      </c>
      <c r="K38" s="91" t="s">
        <v>30</v>
      </c>
      <c r="L38" s="91" t="s">
        <v>54</v>
      </c>
      <c r="M38" s="91" t="s">
        <v>56</v>
      </c>
      <c r="N38" s="91">
        <v>1.2748971326932403</v>
      </c>
    </row>
    <row r="39" spans="1:14" s="93" customFormat="1">
      <c r="A39" s="93" t="s">
        <v>20</v>
      </c>
      <c r="B39" s="93" t="s">
        <v>57</v>
      </c>
      <c r="C39" s="93" t="s">
        <v>43</v>
      </c>
      <c r="D39" s="93" t="s">
        <v>54</v>
      </c>
      <c r="E39" s="94" t="s">
        <v>82</v>
      </c>
      <c r="F39" s="93">
        <v>3500</v>
      </c>
      <c r="I39" s="91" t="s">
        <v>57</v>
      </c>
      <c r="J39" s="91" t="s">
        <v>20</v>
      </c>
      <c r="K39" s="91" t="s">
        <v>43</v>
      </c>
      <c r="L39" s="91" t="s">
        <v>54</v>
      </c>
      <c r="M39" s="91" t="s">
        <v>56</v>
      </c>
      <c r="N39" s="91">
        <v>3500</v>
      </c>
    </row>
    <row r="40" spans="1:14" s="93" customFormat="1">
      <c r="A40" s="93" t="s">
        <v>20</v>
      </c>
      <c r="B40" s="93" t="s">
        <v>58</v>
      </c>
      <c r="C40" s="93" t="s">
        <v>81</v>
      </c>
      <c r="D40" s="93" t="s">
        <v>54</v>
      </c>
      <c r="E40" s="94" t="s">
        <v>82</v>
      </c>
      <c r="F40" s="93">
        <v>4.123888942161555</v>
      </c>
      <c r="I40" s="91" t="s">
        <v>58</v>
      </c>
      <c r="J40" s="91" t="s">
        <v>20</v>
      </c>
      <c r="K40" s="91" t="s">
        <v>81</v>
      </c>
      <c r="L40" s="91" t="s">
        <v>54</v>
      </c>
      <c r="M40" s="91" t="s">
        <v>56</v>
      </c>
      <c r="N40" s="91">
        <v>4.123888942161555</v>
      </c>
    </row>
    <row r="41" spans="1:14" s="93" customFormat="1">
      <c r="A41" s="93" t="s">
        <v>20</v>
      </c>
      <c r="B41" s="93" t="s">
        <v>58</v>
      </c>
      <c r="C41" s="93" t="s">
        <v>0</v>
      </c>
      <c r="D41" s="93" t="s">
        <v>54</v>
      </c>
      <c r="E41" s="94" t="s">
        <v>82</v>
      </c>
      <c r="F41" s="93">
        <v>4.1479999999999997</v>
      </c>
      <c r="I41" s="91" t="s">
        <v>58</v>
      </c>
      <c r="J41" s="91" t="s">
        <v>20</v>
      </c>
      <c r="K41" s="91" t="s">
        <v>0</v>
      </c>
      <c r="L41" s="91" t="s">
        <v>54</v>
      </c>
      <c r="M41" s="91" t="s">
        <v>56</v>
      </c>
      <c r="N41" s="91">
        <v>4.1479999999999997</v>
      </c>
    </row>
    <row r="42" spans="1:14" s="93" customFormat="1">
      <c r="A42" s="93" t="s">
        <v>20</v>
      </c>
      <c r="B42" s="93" t="s">
        <v>58</v>
      </c>
      <c r="C42" s="93" t="s">
        <v>42</v>
      </c>
      <c r="D42" s="93" t="s">
        <v>54</v>
      </c>
      <c r="E42" s="94" t="s">
        <v>82</v>
      </c>
      <c r="F42" s="93">
        <v>3602</v>
      </c>
      <c r="I42" s="91" t="s">
        <v>58</v>
      </c>
      <c r="J42" s="91" t="s">
        <v>20</v>
      </c>
      <c r="K42" s="91" t="s">
        <v>42</v>
      </c>
      <c r="L42" s="91" t="s">
        <v>54</v>
      </c>
      <c r="M42" s="91" t="s">
        <v>56</v>
      </c>
      <c r="N42" s="91">
        <v>3602</v>
      </c>
    </row>
    <row r="43" spans="1:14" s="93" customFormat="1">
      <c r="A43" s="93" t="s">
        <v>20</v>
      </c>
      <c r="B43" s="93" t="s">
        <v>58</v>
      </c>
      <c r="C43" s="93" t="s">
        <v>1</v>
      </c>
      <c r="D43" s="93" t="s">
        <v>54</v>
      </c>
      <c r="E43" s="94" t="s">
        <v>82</v>
      </c>
      <c r="F43" s="93">
        <v>500000</v>
      </c>
      <c r="I43" s="91" t="s">
        <v>58</v>
      </c>
      <c r="J43" s="91" t="s">
        <v>20</v>
      </c>
      <c r="K43" s="91" t="s">
        <v>1</v>
      </c>
      <c r="L43" s="91" t="s">
        <v>54</v>
      </c>
      <c r="M43" s="91" t="s">
        <v>56</v>
      </c>
      <c r="N43" s="91">
        <v>500000</v>
      </c>
    </row>
    <row r="44" spans="1:14" s="93" customFormat="1">
      <c r="A44" s="93" t="s">
        <v>20</v>
      </c>
      <c r="B44" s="93" t="s">
        <v>58</v>
      </c>
      <c r="C44" s="93" t="s">
        <v>7</v>
      </c>
      <c r="D44" s="93" t="s">
        <v>54</v>
      </c>
      <c r="E44" s="94" t="s">
        <v>82</v>
      </c>
      <c r="F44" s="93">
        <v>1</v>
      </c>
      <c r="I44" s="91" t="s">
        <v>58</v>
      </c>
      <c r="J44" s="91" t="s">
        <v>20</v>
      </c>
      <c r="K44" s="91" t="s">
        <v>7</v>
      </c>
      <c r="L44" s="91" t="s">
        <v>54</v>
      </c>
      <c r="M44" s="91" t="s">
        <v>56</v>
      </c>
      <c r="N44" s="91">
        <v>1</v>
      </c>
    </row>
    <row r="45" spans="1:14" s="93" customFormat="1">
      <c r="A45" s="93" t="s">
        <v>20</v>
      </c>
      <c r="B45" s="93" t="s">
        <v>58</v>
      </c>
      <c r="C45" s="93" t="s">
        <v>27</v>
      </c>
      <c r="D45" s="93" t="s">
        <v>54</v>
      </c>
      <c r="E45" s="94" t="s">
        <v>82</v>
      </c>
      <c r="F45" s="93">
        <v>4.125</v>
      </c>
      <c r="I45" s="91" t="s">
        <v>58</v>
      </c>
      <c r="J45" s="91" t="s">
        <v>20</v>
      </c>
      <c r="K45" s="91" t="s">
        <v>27</v>
      </c>
      <c r="L45" s="91" t="s">
        <v>54</v>
      </c>
      <c r="M45" s="91" t="s">
        <v>56</v>
      </c>
      <c r="N45" s="91">
        <v>4.125</v>
      </c>
    </row>
    <row r="46" spans="1:14" s="93" customFormat="1">
      <c r="A46" s="93" t="s">
        <v>20</v>
      </c>
      <c r="B46" s="93" t="s">
        <v>58</v>
      </c>
      <c r="C46" s="93" t="s">
        <v>30</v>
      </c>
      <c r="D46" s="93" t="s">
        <v>54</v>
      </c>
      <c r="E46" s="94" t="s">
        <v>82</v>
      </c>
      <c r="F46" s="93">
        <v>1.2997052194081149</v>
      </c>
      <c r="I46" s="91" t="s">
        <v>58</v>
      </c>
      <c r="J46" s="91" t="s">
        <v>20</v>
      </c>
      <c r="K46" s="91" t="s">
        <v>30</v>
      </c>
      <c r="L46" s="91" t="s">
        <v>54</v>
      </c>
      <c r="M46" s="91" t="s">
        <v>56</v>
      </c>
      <c r="N46" s="91">
        <v>1.2997052194081149</v>
      </c>
    </row>
    <row r="47" spans="1:14" s="93" customFormat="1">
      <c r="A47" s="93" t="s">
        <v>20</v>
      </c>
      <c r="B47" s="93" t="s">
        <v>59</v>
      </c>
      <c r="C47" s="93" t="s">
        <v>81</v>
      </c>
      <c r="D47" s="93" t="s">
        <v>54</v>
      </c>
      <c r="E47" s="94" t="s">
        <v>82</v>
      </c>
      <c r="F47" s="93">
        <v>3.9170666666666665</v>
      </c>
      <c r="I47" s="91" t="s">
        <v>59</v>
      </c>
      <c r="J47" s="91" t="s">
        <v>20</v>
      </c>
      <c r="K47" s="91" t="s">
        <v>81</v>
      </c>
      <c r="L47" s="91" t="s">
        <v>54</v>
      </c>
      <c r="M47" s="91" t="s">
        <v>56</v>
      </c>
      <c r="N47" s="91">
        <v>3.9170666666666665</v>
      </c>
    </row>
    <row r="48" spans="1:14" s="93" customFormat="1">
      <c r="A48" s="93" t="s">
        <v>20</v>
      </c>
      <c r="B48" s="93" t="s">
        <v>59</v>
      </c>
      <c r="C48" s="93" t="s">
        <v>0</v>
      </c>
      <c r="D48" s="93" t="s">
        <v>54</v>
      </c>
      <c r="E48" s="94" t="s">
        <v>82</v>
      </c>
      <c r="F48" s="93">
        <v>4.125</v>
      </c>
      <c r="I48" s="91" t="s">
        <v>59</v>
      </c>
      <c r="J48" s="91" t="s">
        <v>20</v>
      </c>
      <c r="K48" s="91" t="s">
        <v>0</v>
      </c>
      <c r="L48" s="91" t="s">
        <v>54</v>
      </c>
      <c r="M48" s="91" t="s">
        <v>56</v>
      </c>
      <c r="N48" s="91">
        <v>4.125</v>
      </c>
    </row>
    <row r="49" spans="1:14" s="93" customFormat="1">
      <c r="A49" s="93" t="s">
        <v>20</v>
      </c>
      <c r="B49" s="93" t="s">
        <v>59</v>
      </c>
      <c r="C49" s="93" t="s">
        <v>42</v>
      </c>
      <c r="D49" s="93" t="s">
        <v>54</v>
      </c>
      <c r="E49" s="94" t="s">
        <v>82</v>
      </c>
      <c r="F49" s="93">
        <v>1262</v>
      </c>
      <c r="I49" s="91" t="s">
        <v>59</v>
      </c>
      <c r="J49" s="91" t="s">
        <v>20</v>
      </c>
      <c r="K49" s="91" t="s">
        <v>42</v>
      </c>
      <c r="L49" s="91" t="s">
        <v>54</v>
      </c>
      <c r="M49" s="91" t="s">
        <v>56</v>
      </c>
      <c r="N49" s="91">
        <v>1262</v>
      </c>
    </row>
    <row r="50" spans="1:14" s="93" customFormat="1">
      <c r="A50" s="93" t="s">
        <v>20</v>
      </c>
      <c r="B50" s="93" t="s">
        <v>59</v>
      </c>
      <c r="C50" s="93" t="s">
        <v>1</v>
      </c>
      <c r="D50" s="93" t="s">
        <v>54</v>
      </c>
      <c r="E50" s="94" t="s">
        <v>82</v>
      </c>
      <c r="F50" s="93">
        <v>750000</v>
      </c>
      <c r="I50" s="91" t="s">
        <v>59</v>
      </c>
      <c r="J50" s="91" t="s">
        <v>20</v>
      </c>
      <c r="K50" s="91" t="s">
        <v>1</v>
      </c>
      <c r="L50" s="91" t="s">
        <v>54</v>
      </c>
      <c r="M50" s="91" t="s">
        <v>56</v>
      </c>
      <c r="N50" s="91">
        <v>750000</v>
      </c>
    </row>
    <row r="51" spans="1:14" s="93" customFormat="1">
      <c r="A51" s="93" t="s">
        <v>20</v>
      </c>
      <c r="B51" s="93" t="s">
        <v>59</v>
      </c>
      <c r="C51" s="93" t="s">
        <v>7</v>
      </c>
      <c r="D51" s="93" t="s">
        <v>54</v>
      </c>
      <c r="E51" s="94" t="s">
        <v>82</v>
      </c>
      <c r="F51" s="93">
        <v>1</v>
      </c>
      <c r="I51" s="91" t="s">
        <v>59</v>
      </c>
      <c r="J51" s="91" t="s">
        <v>20</v>
      </c>
      <c r="K51" s="91" t="s">
        <v>7</v>
      </c>
      <c r="L51" s="91" t="s">
        <v>54</v>
      </c>
      <c r="M51" s="91" t="s">
        <v>56</v>
      </c>
      <c r="N51" s="91">
        <v>1</v>
      </c>
    </row>
    <row r="52" spans="1:14" s="93" customFormat="1">
      <c r="A52" s="93" t="s">
        <v>20</v>
      </c>
      <c r="B52" s="93" t="s">
        <v>59</v>
      </c>
      <c r="C52" s="93" t="s">
        <v>27</v>
      </c>
      <c r="D52" s="93" t="s">
        <v>54</v>
      </c>
      <c r="E52" s="94" t="s">
        <v>82</v>
      </c>
      <c r="F52" s="93">
        <v>4.125</v>
      </c>
      <c r="I52" s="91" t="s">
        <v>59</v>
      </c>
      <c r="J52" s="91" t="s">
        <v>20</v>
      </c>
      <c r="K52" s="91" t="s">
        <v>27</v>
      </c>
      <c r="L52" s="91" t="s">
        <v>54</v>
      </c>
      <c r="M52" s="91" t="s">
        <v>56</v>
      </c>
      <c r="N52" s="91">
        <v>4.125</v>
      </c>
    </row>
    <row r="53" spans="1:14" s="93" customFormat="1">
      <c r="A53" s="93" t="s">
        <v>20</v>
      </c>
      <c r="B53" s="93" t="s">
        <v>59</v>
      </c>
      <c r="C53" s="93" t="s">
        <v>30</v>
      </c>
      <c r="D53" s="93" t="s">
        <v>54</v>
      </c>
      <c r="E53" s="94" t="s">
        <v>82</v>
      </c>
      <c r="F53" s="93">
        <v>1.0928829439132266</v>
      </c>
      <c r="I53" s="91" t="s">
        <v>59</v>
      </c>
      <c r="J53" s="91" t="s">
        <v>20</v>
      </c>
      <c r="K53" s="91" t="s">
        <v>30</v>
      </c>
      <c r="L53" s="91" t="s">
        <v>54</v>
      </c>
      <c r="M53" s="91" t="s">
        <v>56</v>
      </c>
      <c r="N53" s="91">
        <v>1.0928829439132266</v>
      </c>
    </row>
    <row r="54" spans="1:14" s="93" customFormat="1"/>
    <row r="55" spans="1:14" s="93" customFormat="1"/>
    <row r="56" spans="1:14" s="93" customFormat="1"/>
    <row r="57" spans="1:14" s="93" customFormat="1"/>
    <row r="58" spans="1:14" s="93" customFormat="1"/>
    <row r="59" spans="1:14" s="93" customFormat="1"/>
    <row r="60" spans="1:14" s="93" customFormat="1"/>
    <row r="61" spans="1:14" s="93" customFormat="1"/>
    <row r="62" spans="1:14" s="93" customFormat="1"/>
    <row r="63" spans="1:14" s="93" customFormat="1"/>
    <row r="64" spans="1:14" s="93" customFormat="1"/>
    <row r="65" s="93" customFormat="1"/>
    <row r="66" s="93" customFormat="1"/>
    <row r="67" s="93" customFormat="1"/>
    <row r="68" s="93" customFormat="1"/>
    <row r="69" s="93" customFormat="1"/>
    <row r="70" s="93" customFormat="1"/>
    <row r="71" s="93" customFormat="1"/>
    <row r="72" s="93" customFormat="1"/>
    <row r="73" s="93" customFormat="1"/>
    <row r="74" s="93" customFormat="1"/>
    <row r="75" s="93" customFormat="1"/>
    <row r="76" s="93" customFormat="1"/>
    <row r="77" s="93" customFormat="1"/>
    <row r="78" s="93" customFormat="1"/>
    <row r="79" s="93" customFormat="1"/>
    <row r="80" s="93" customFormat="1"/>
    <row r="81" spans="1:26" s="92" customFormat="1">
      <c r="A81" s="93"/>
      <c r="B81" s="93"/>
      <c r="C81" s="93"/>
      <c r="D81" s="93"/>
      <c r="E81" s="93"/>
      <c r="F81" s="93"/>
      <c r="I81" s="93"/>
      <c r="J81" s="93"/>
      <c r="K81" s="93"/>
      <c r="L81" s="93"/>
      <c r="M81" s="93"/>
      <c r="N81" s="93"/>
      <c r="X81" s="93"/>
      <c r="Y81" s="93"/>
      <c r="Z81" s="93"/>
    </row>
    <row r="82" spans="1:26" s="92" customFormat="1">
      <c r="A82" s="93"/>
      <c r="B82" s="93"/>
      <c r="C82" s="93"/>
      <c r="D82" s="93"/>
      <c r="E82" s="93"/>
      <c r="F82" s="93"/>
      <c r="I82" s="93"/>
      <c r="J82" s="93"/>
      <c r="K82" s="93"/>
      <c r="L82" s="93"/>
      <c r="M82" s="93"/>
      <c r="N82" s="93"/>
    </row>
    <row r="83" spans="1:26" s="92" customFormat="1">
      <c r="A83" s="93"/>
      <c r="B83" s="93"/>
      <c r="C83" s="93"/>
      <c r="D83" s="93"/>
      <c r="E83" s="93"/>
      <c r="F83" s="93"/>
      <c r="I83" s="93"/>
      <c r="J83" s="93"/>
      <c r="K83" s="93"/>
      <c r="L83" s="93"/>
      <c r="M83" s="93"/>
      <c r="N83" s="93"/>
    </row>
    <row r="84" spans="1:26" s="92" customFormat="1">
      <c r="A84" s="93"/>
      <c r="B84" s="93"/>
      <c r="C84" s="93"/>
      <c r="D84" s="93"/>
      <c r="E84" s="93"/>
      <c r="F84" s="93"/>
      <c r="I84" s="93"/>
      <c r="J84" s="93"/>
      <c r="K84" s="93"/>
      <c r="L84" s="93"/>
      <c r="M84" s="93"/>
      <c r="N84" s="93"/>
    </row>
    <row r="85" spans="1:26" s="92" customFormat="1">
      <c r="A85" s="93"/>
      <c r="B85" s="93"/>
      <c r="C85" s="93"/>
      <c r="D85" s="93"/>
      <c r="E85" s="93"/>
      <c r="F85" s="93"/>
      <c r="I85" s="93"/>
      <c r="J85" s="93"/>
      <c r="K85" s="93"/>
      <c r="L85" s="93"/>
      <c r="M85" s="93"/>
      <c r="N85" s="93"/>
    </row>
    <row r="86" spans="1:26" s="92" customFormat="1">
      <c r="A86" s="93"/>
      <c r="B86" s="93"/>
      <c r="C86" s="93"/>
      <c r="D86" s="93"/>
      <c r="E86" s="93"/>
      <c r="F86" s="93"/>
      <c r="I86" s="93"/>
      <c r="J86" s="93"/>
      <c r="K86" s="93"/>
      <c r="L86" s="93"/>
      <c r="M86" s="93"/>
      <c r="N86" s="93"/>
    </row>
    <row r="87" spans="1:26" s="92" customFormat="1">
      <c r="A87" s="93"/>
      <c r="B87" s="93"/>
      <c r="C87" s="93"/>
      <c r="D87" s="93"/>
      <c r="E87" s="93"/>
      <c r="F87" s="93"/>
      <c r="I87" s="93"/>
      <c r="J87" s="93"/>
      <c r="K87" s="93"/>
      <c r="L87" s="93"/>
      <c r="M87" s="93"/>
      <c r="N87" s="93"/>
    </row>
    <row r="88" spans="1:26" s="92" customFormat="1">
      <c r="A88" s="93"/>
      <c r="B88" s="93"/>
      <c r="C88" s="93"/>
      <c r="D88" s="93"/>
      <c r="E88" s="93"/>
      <c r="F88" s="93"/>
      <c r="I88" s="93"/>
      <c r="J88" s="93"/>
      <c r="K88" s="93"/>
      <c r="L88" s="93"/>
      <c r="M88" s="93"/>
      <c r="N88" s="93"/>
    </row>
    <row r="89" spans="1:26" s="92" customFormat="1">
      <c r="A89" s="93"/>
      <c r="B89" s="93"/>
      <c r="C89" s="93"/>
      <c r="D89" s="93"/>
      <c r="E89" s="93"/>
      <c r="F89" s="93"/>
      <c r="I89" s="93"/>
      <c r="J89" s="93"/>
      <c r="K89" s="93"/>
      <c r="L89" s="93"/>
      <c r="M89" s="93"/>
      <c r="N89" s="93"/>
    </row>
    <row r="90" spans="1:26" s="92" customFormat="1">
      <c r="A90" s="93"/>
      <c r="B90" s="93"/>
      <c r="C90" s="93"/>
      <c r="D90" s="93"/>
      <c r="E90" s="93"/>
      <c r="F90" s="93"/>
      <c r="I90" s="93"/>
      <c r="J90" s="93"/>
      <c r="K90" s="93"/>
      <c r="L90" s="93"/>
      <c r="M90" s="93"/>
      <c r="N90" s="93"/>
    </row>
    <row r="91" spans="1:26" s="92" customFormat="1">
      <c r="A91" s="93"/>
      <c r="B91" s="93"/>
      <c r="C91" s="93"/>
      <c r="D91" s="93"/>
      <c r="E91" s="93"/>
      <c r="F91" s="93"/>
      <c r="I91" s="93"/>
      <c r="J91" s="93"/>
      <c r="K91" s="93"/>
      <c r="L91" s="93"/>
      <c r="M91" s="93"/>
      <c r="N91" s="93"/>
    </row>
    <row r="92" spans="1:26" s="92" customFormat="1">
      <c r="A92" s="93"/>
      <c r="B92" s="93"/>
      <c r="C92" s="93"/>
      <c r="D92" s="93"/>
      <c r="E92" s="93"/>
      <c r="F92" s="93"/>
      <c r="I92" s="93"/>
      <c r="J92" s="93"/>
      <c r="K92" s="93"/>
      <c r="L92" s="93"/>
      <c r="M92" s="93"/>
      <c r="N92" s="93"/>
    </row>
    <row r="93" spans="1:26" s="92" customFormat="1">
      <c r="A93" s="93"/>
      <c r="B93" s="93"/>
      <c r="C93" s="93"/>
      <c r="D93" s="93"/>
      <c r="E93" s="93"/>
      <c r="F93" s="93"/>
      <c r="I93" s="93"/>
      <c r="J93" s="93"/>
      <c r="K93" s="93"/>
      <c r="L93" s="93"/>
      <c r="M93" s="93"/>
      <c r="N93" s="93"/>
    </row>
    <row r="94" spans="1:26" s="92" customFormat="1">
      <c r="A94" s="93"/>
      <c r="B94" s="93"/>
      <c r="C94" s="93"/>
      <c r="D94" s="93"/>
      <c r="E94" s="93"/>
      <c r="F94" s="93"/>
      <c r="I94" s="93"/>
      <c r="J94" s="93"/>
      <c r="K94" s="93"/>
      <c r="L94" s="93"/>
      <c r="M94" s="93"/>
      <c r="N94" s="93"/>
    </row>
    <row r="95" spans="1:26" s="92" customFormat="1">
      <c r="I95" s="93"/>
      <c r="J95" s="93"/>
      <c r="K95" s="93"/>
      <c r="L95" s="93"/>
      <c r="M95" s="93"/>
      <c r="N95" s="93"/>
    </row>
    <row r="96" spans="1:26" s="92" customFormat="1">
      <c r="I96" s="93"/>
      <c r="J96" s="93"/>
      <c r="K96" s="93"/>
      <c r="L96" s="93"/>
      <c r="M96" s="93"/>
      <c r="N96" s="93"/>
    </row>
    <row r="97" spans="9:14" s="92" customFormat="1">
      <c r="I97" s="93"/>
      <c r="J97" s="93"/>
      <c r="K97" s="93"/>
      <c r="L97" s="93"/>
      <c r="M97" s="93"/>
      <c r="N97" s="93"/>
    </row>
    <row r="98" spans="9:14" s="92" customFormat="1">
      <c r="I98" s="93"/>
      <c r="J98" s="93"/>
      <c r="K98" s="93"/>
      <c r="L98" s="93"/>
      <c r="M98" s="93"/>
      <c r="N98" s="93"/>
    </row>
    <row r="99" spans="9:14" s="92" customFormat="1">
      <c r="I99" s="93"/>
      <c r="J99" s="93"/>
      <c r="K99" s="93"/>
      <c r="L99" s="93"/>
      <c r="M99" s="93"/>
      <c r="N99" s="93"/>
    </row>
    <row r="100" spans="9:14" s="92" customFormat="1">
      <c r="I100" s="93"/>
      <c r="J100" s="93"/>
      <c r="K100" s="93"/>
      <c r="L100" s="93"/>
      <c r="M100" s="93"/>
      <c r="N100" s="93"/>
    </row>
    <row r="101" spans="9:14" s="92" customFormat="1" ht="12"/>
    <row r="102" spans="9:14" s="92" customFormat="1" ht="12"/>
    <row r="103" spans="9:14" s="92" customFormat="1" ht="12"/>
    <row r="104" spans="9:14" s="92" customFormat="1" ht="12"/>
    <row r="105" spans="9:14" s="92" customFormat="1" ht="12"/>
    <row r="106" spans="9:14" s="92" customFormat="1" ht="12"/>
    <row r="107" spans="9:14" s="92" customFormat="1" ht="12"/>
    <row r="108" spans="9:14" s="92" customFormat="1" ht="12"/>
    <row r="109" spans="9:14" s="92" customFormat="1" ht="12"/>
    <row r="110" spans="9:14" s="92" customFormat="1" ht="12"/>
    <row r="111" spans="9:14" s="92" customFormat="1" ht="12"/>
    <row r="112" spans="9:14" s="92" customFormat="1" ht="12"/>
    <row r="113" s="92" customFormat="1" ht="12"/>
    <row r="114" s="92" customFormat="1" ht="12"/>
    <row r="115" s="92" customFormat="1" ht="12"/>
    <row r="116" s="92" customFormat="1" ht="12"/>
    <row r="117" s="92" customFormat="1" ht="12"/>
    <row r="118" s="92" customFormat="1" ht="12"/>
    <row r="119" s="92" customFormat="1" ht="12"/>
    <row r="120" s="92" customFormat="1" ht="12"/>
    <row r="121" s="92" customFormat="1" ht="12"/>
    <row r="122" s="92" customFormat="1" ht="12"/>
    <row r="123" s="92" customFormat="1" ht="12"/>
    <row r="124" s="92" customFormat="1" ht="12"/>
    <row r="125" s="92" customFormat="1" ht="12"/>
    <row r="126" s="92" customFormat="1" ht="12"/>
    <row r="127" s="92" customFormat="1" ht="12"/>
    <row r="128" s="92" customFormat="1" ht="12"/>
    <row r="129" s="92" customFormat="1" ht="12"/>
    <row r="130" s="92" customFormat="1" ht="12"/>
    <row r="131" s="92" customFormat="1" ht="12"/>
    <row r="132" s="92" customFormat="1" ht="12"/>
    <row r="133" s="92" customFormat="1" ht="12"/>
    <row r="134" s="92" customFormat="1" ht="12"/>
    <row r="135" s="92" customFormat="1" ht="12"/>
    <row r="136" s="92" customFormat="1" ht="12"/>
    <row r="137" s="92" customFormat="1" ht="12"/>
    <row r="138" s="92" customFormat="1" ht="12"/>
    <row r="139" s="92" customFormat="1" ht="12"/>
    <row r="140" s="92" customFormat="1" ht="12"/>
    <row r="141" s="92" customFormat="1" ht="12"/>
    <row r="142" s="92" customFormat="1" ht="12"/>
    <row r="143" s="92" customFormat="1" ht="12"/>
    <row r="144" s="92" customFormat="1" ht="12"/>
    <row r="145" spans="1:26" s="92" customFormat="1" ht="12"/>
    <row r="146" spans="1:26" s="92" customFormat="1" ht="12"/>
    <row r="147" spans="1:26" s="92" customFormat="1" ht="12"/>
    <row r="148" spans="1:26" s="92" customFormat="1" ht="12"/>
    <row r="149" spans="1:26" s="92" customFormat="1" ht="12"/>
    <row r="150" spans="1:26" s="92" customFormat="1" ht="12"/>
    <row r="151" spans="1:26" s="92" customFormat="1" ht="12"/>
    <row r="152" spans="1:26" s="92" customFormat="1" ht="12"/>
    <row r="153" spans="1:26" s="92" customFormat="1" ht="12"/>
    <row r="154" spans="1:26">
      <c r="A154" s="92"/>
      <c r="B154" s="92"/>
      <c r="C154" s="92"/>
      <c r="D154" s="92"/>
      <c r="E154" s="92"/>
      <c r="F154" s="92"/>
      <c r="I154" s="92"/>
      <c r="J154" s="92"/>
      <c r="K154" s="92"/>
      <c r="L154" s="92"/>
      <c r="M154" s="92"/>
      <c r="N154" s="92"/>
      <c r="X154" s="92"/>
      <c r="Y154" s="92"/>
      <c r="Z154" s="92"/>
    </row>
    <row r="155" spans="1:26">
      <c r="A155" s="92"/>
      <c r="B155" s="92"/>
      <c r="C155" s="92"/>
      <c r="D155" s="92"/>
      <c r="E155" s="92"/>
      <c r="F155" s="92"/>
      <c r="I155" s="92"/>
      <c r="J155" s="92"/>
      <c r="K155" s="92"/>
      <c r="L155" s="92"/>
      <c r="M155" s="92"/>
      <c r="N155" s="92"/>
    </row>
    <row r="156" spans="1:26">
      <c r="A156" s="92"/>
      <c r="B156" s="92"/>
      <c r="C156" s="92"/>
      <c r="D156" s="92"/>
      <c r="E156" s="92"/>
      <c r="F156" s="92"/>
      <c r="I156" s="92"/>
      <c r="J156" s="92"/>
      <c r="K156" s="92"/>
      <c r="L156" s="92"/>
      <c r="M156" s="92"/>
      <c r="N156" s="92"/>
    </row>
    <row r="157" spans="1:26">
      <c r="A157" s="92"/>
      <c r="B157" s="92"/>
      <c r="C157" s="92"/>
      <c r="D157" s="92"/>
      <c r="E157" s="92"/>
      <c r="F157" s="92"/>
      <c r="I157" s="92"/>
      <c r="J157" s="92"/>
      <c r="K157" s="92"/>
      <c r="L157" s="92"/>
      <c r="M157" s="92"/>
      <c r="N157" s="92"/>
    </row>
    <row r="158" spans="1:26">
      <c r="A158" s="92"/>
      <c r="B158" s="92"/>
      <c r="C158" s="92"/>
      <c r="D158" s="92"/>
      <c r="E158" s="92"/>
      <c r="F158" s="92"/>
      <c r="I158" s="92"/>
      <c r="J158" s="92"/>
      <c r="K158" s="92"/>
      <c r="L158" s="92"/>
      <c r="M158" s="92"/>
      <c r="N158" s="92"/>
    </row>
    <row r="159" spans="1:26">
      <c r="A159" s="92"/>
      <c r="B159" s="92"/>
      <c r="C159" s="92"/>
      <c r="D159" s="92"/>
      <c r="E159" s="92"/>
      <c r="F159" s="92"/>
      <c r="I159" s="92"/>
      <c r="J159" s="92"/>
      <c r="K159" s="92"/>
      <c r="L159" s="92"/>
      <c r="M159" s="92"/>
      <c r="N159" s="92"/>
    </row>
    <row r="160" spans="1:26">
      <c r="A160" s="92"/>
      <c r="B160" s="92"/>
      <c r="C160" s="92"/>
      <c r="D160" s="92"/>
      <c r="E160" s="92"/>
      <c r="F160" s="92"/>
      <c r="I160" s="92"/>
      <c r="J160" s="92"/>
      <c r="K160" s="92"/>
      <c r="L160" s="92"/>
      <c r="M160" s="92"/>
      <c r="N160" s="92"/>
    </row>
    <row r="161" spans="1:14">
      <c r="A161" s="92"/>
      <c r="B161" s="92"/>
      <c r="C161" s="92"/>
      <c r="D161" s="92"/>
      <c r="E161" s="92"/>
      <c r="F161" s="92"/>
      <c r="I161" s="92"/>
      <c r="J161" s="92"/>
      <c r="K161" s="92"/>
      <c r="L161" s="92"/>
      <c r="M161" s="92"/>
      <c r="N161" s="92"/>
    </row>
    <row r="162" spans="1:14">
      <c r="A162" s="92"/>
      <c r="B162" s="92"/>
      <c r="C162" s="92"/>
      <c r="D162" s="92"/>
      <c r="E162" s="92"/>
      <c r="F162" s="92"/>
      <c r="I162" s="92"/>
      <c r="J162" s="92"/>
      <c r="K162" s="92"/>
      <c r="L162" s="92"/>
      <c r="M162" s="92"/>
      <c r="N162" s="92"/>
    </row>
    <row r="163" spans="1:14">
      <c r="A163" s="92"/>
      <c r="B163" s="92"/>
      <c r="C163" s="92"/>
      <c r="D163" s="92"/>
      <c r="E163" s="92"/>
      <c r="F163" s="92"/>
      <c r="I163" s="92"/>
      <c r="J163" s="92"/>
      <c r="K163" s="92"/>
      <c r="L163" s="92"/>
      <c r="M163" s="92"/>
      <c r="N163" s="92"/>
    </row>
    <row r="164" spans="1:14">
      <c r="A164" s="92"/>
      <c r="B164" s="92"/>
      <c r="C164" s="92"/>
      <c r="D164" s="92"/>
      <c r="E164" s="92"/>
      <c r="F164" s="92"/>
      <c r="I164" s="92"/>
      <c r="J164" s="92"/>
      <c r="K164" s="92"/>
      <c r="L164" s="92"/>
      <c r="M164" s="92"/>
      <c r="N164" s="92"/>
    </row>
    <row r="165" spans="1:14">
      <c r="A165" s="92"/>
      <c r="B165" s="92"/>
      <c r="C165" s="92"/>
      <c r="D165" s="92"/>
      <c r="E165" s="92"/>
      <c r="F165" s="92"/>
      <c r="I165" s="92"/>
      <c r="J165" s="92"/>
      <c r="K165" s="92"/>
      <c r="L165" s="92"/>
      <c r="M165" s="92"/>
      <c r="N165" s="92"/>
    </row>
    <row r="166" spans="1:14">
      <c r="A166" s="92"/>
      <c r="B166" s="92"/>
      <c r="C166" s="92"/>
      <c r="D166" s="92"/>
      <c r="E166" s="92"/>
      <c r="F166" s="92"/>
      <c r="I166" s="92"/>
      <c r="J166" s="92"/>
      <c r="K166" s="92"/>
      <c r="L166" s="92"/>
      <c r="M166" s="92"/>
      <c r="N166" s="92"/>
    </row>
    <row r="167" spans="1:14">
      <c r="A167" s="92"/>
      <c r="B167" s="92"/>
      <c r="C167" s="92"/>
      <c r="D167" s="92"/>
      <c r="E167" s="92"/>
      <c r="F167" s="92"/>
      <c r="I167" s="92"/>
      <c r="J167" s="92"/>
      <c r="K167" s="92"/>
      <c r="L167" s="92"/>
      <c r="M167" s="92"/>
      <c r="N167" s="92"/>
    </row>
    <row r="168" spans="1:14">
      <c r="I168" s="92"/>
      <c r="J168" s="92"/>
      <c r="K168" s="92"/>
      <c r="L168" s="92"/>
      <c r="M168" s="92"/>
      <c r="N168" s="92"/>
    </row>
    <row r="169" spans="1:14">
      <c r="I169" s="92"/>
      <c r="J169" s="92"/>
      <c r="K169" s="92"/>
      <c r="L169" s="92"/>
      <c r="M169" s="92"/>
      <c r="N169" s="92"/>
    </row>
    <row r="170" spans="1:14">
      <c r="I170" s="92"/>
      <c r="J170" s="92"/>
      <c r="K170" s="92"/>
      <c r="L170" s="92"/>
      <c r="M170" s="92"/>
      <c r="N170" s="92"/>
    </row>
    <row r="171" spans="1:14">
      <c r="I171" s="92"/>
      <c r="J171" s="92"/>
      <c r="K171" s="92"/>
      <c r="L171" s="92"/>
      <c r="M171" s="92"/>
      <c r="N171" s="92"/>
    </row>
    <row r="172" spans="1:14">
      <c r="I172" s="92"/>
      <c r="J172" s="92"/>
      <c r="K172" s="92"/>
      <c r="L172" s="92"/>
      <c r="M172" s="92"/>
      <c r="N172" s="92"/>
    </row>
    <row r="173" spans="1:14">
      <c r="I173" s="92"/>
      <c r="J173" s="92"/>
      <c r="K173" s="92"/>
      <c r="L173" s="92"/>
      <c r="M173" s="92"/>
      <c r="N173" s="92"/>
    </row>
  </sheetData>
  <pageMargins left="0.7" right="0.7" top="0.75" bottom="0.75" header="0.3" footer="0.3"/>
  <pageSetup orientation="portrait" horizontalDpi="300" verticalDpi="300" r:id="rId1"/>
  <tableParts count="6">
    <tablePart r:id="rId2"/>
    <tablePart r:id="rId3"/>
    <tablePart r:id="rId4"/>
    <tablePart r:id="rId5"/>
    <tablePart r:id="rId6"/>
    <tablePart r:id="rId7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4" tint="0.59999389629810485"/>
  </sheetPr>
  <dimension ref="A1:K59"/>
  <sheetViews>
    <sheetView workbookViewId="0">
      <selection activeCell="B67" sqref="B67"/>
    </sheetView>
  </sheetViews>
  <sheetFormatPr defaultRowHeight="15"/>
  <cols>
    <col min="1" max="1" width="22.85546875" bestFit="1" customWidth="1"/>
    <col min="2" max="2" width="15.42578125" bestFit="1" customWidth="1"/>
    <col min="3" max="3" width="27.5703125" bestFit="1" customWidth="1"/>
    <col min="4" max="4" width="13.7109375" customWidth="1"/>
    <col min="5" max="5" width="10.85546875" customWidth="1"/>
    <col min="6" max="6" width="13.5703125" customWidth="1"/>
    <col min="7" max="7" width="14.140625" customWidth="1"/>
    <col min="8" max="8" width="18.140625" customWidth="1"/>
    <col min="9" max="9" width="12" bestFit="1" customWidth="1"/>
  </cols>
  <sheetData>
    <row r="1" spans="1:11" ht="19.5">
      <c r="A1" s="160" t="s">
        <v>70</v>
      </c>
      <c r="B1" s="160"/>
      <c r="C1" s="160"/>
      <c r="D1" s="160"/>
      <c r="E1" s="160"/>
      <c r="F1" s="160"/>
      <c r="G1" s="160"/>
      <c r="H1" s="160"/>
      <c r="I1" s="160"/>
    </row>
    <row r="3" spans="1:11" hidden="1">
      <c r="A3" s="39" t="s">
        <v>60</v>
      </c>
      <c r="D3" s="39" t="s">
        <v>50</v>
      </c>
    </row>
    <row r="4" spans="1:11" s="42" customFormat="1">
      <c r="A4" s="39" t="s">
        <v>52</v>
      </c>
      <c r="B4" s="39" t="s">
        <v>48</v>
      </c>
      <c r="C4" s="39" t="s">
        <v>49</v>
      </c>
      <c r="D4" s="42" t="s">
        <v>27</v>
      </c>
      <c r="E4" s="42" t="s">
        <v>7</v>
      </c>
      <c r="F4" s="42" t="s">
        <v>0</v>
      </c>
      <c r="G4" s="42" t="s">
        <v>42</v>
      </c>
      <c r="H4" s="42" t="s">
        <v>1</v>
      </c>
      <c r="I4" s="42" t="s">
        <v>43</v>
      </c>
      <c r="J4" s="42" t="s">
        <v>81</v>
      </c>
      <c r="K4" s="42" t="s">
        <v>30</v>
      </c>
    </row>
    <row r="5" spans="1:11">
      <c r="A5" s="1" t="s">
        <v>82</v>
      </c>
      <c r="B5" s="1" t="s">
        <v>20</v>
      </c>
      <c r="C5" s="1" t="s">
        <v>55</v>
      </c>
      <c r="D5" s="40">
        <v>4.125</v>
      </c>
      <c r="E5" s="40">
        <v>1</v>
      </c>
      <c r="F5" s="40">
        <v>4.1470000000000002</v>
      </c>
      <c r="G5" s="40">
        <v>1768</v>
      </c>
      <c r="H5" s="40">
        <v>200000</v>
      </c>
      <c r="I5" s="40"/>
      <c r="J5" s="40">
        <v>4.1618039804499194</v>
      </c>
      <c r="K5" s="40">
        <v>1.3376202576964793</v>
      </c>
    </row>
    <row r="6" spans="1:11">
      <c r="A6" s="1" t="s">
        <v>82</v>
      </c>
      <c r="B6" s="1" t="s">
        <v>20</v>
      </c>
      <c r="C6" s="1" t="s">
        <v>57</v>
      </c>
      <c r="D6" s="40">
        <v>3.875</v>
      </c>
      <c r="E6" s="40">
        <v>1</v>
      </c>
      <c r="F6" s="40">
        <v>4.9050000000000002</v>
      </c>
      <c r="G6" s="40">
        <v>6529</v>
      </c>
      <c r="H6" s="40">
        <v>200000</v>
      </c>
      <c r="I6" s="40">
        <v>3500</v>
      </c>
      <c r="J6" s="40">
        <v>3.9717500000000001</v>
      </c>
      <c r="K6" s="40">
        <v>1.2748971326932403</v>
      </c>
    </row>
    <row r="7" spans="1:11">
      <c r="A7" s="1" t="s">
        <v>82</v>
      </c>
      <c r="B7" s="1" t="s">
        <v>20</v>
      </c>
      <c r="C7" s="1" t="s">
        <v>58</v>
      </c>
      <c r="D7" s="40">
        <v>4.125</v>
      </c>
      <c r="E7" s="40">
        <v>1</v>
      </c>
      <c r="F7" s="40">
        <v>4.1479999999999997</v>
      </c>
      <c r="G7" s="40">
        <v>3602</v>
      </c>
      <c r="H7" s="40">
        <v>500000</v>
      </c>
      <c r="I7" s="40"/>
      <c r="J7" s="40">
        <v>4.123888942161555</v>
      </c>
      <c r="K7" s="40">
        <v>1.2997052194081149</v>
      </c>
    </row>
    <row r="8" spans="1:11">
      <c r="A8" s="1" t="s">
        <v>82</v>
      </c>
      <c r="B8" s="1" t="s">
        <v>20</v>
      </c>
      <c r="C8" s="1" t="s">
        <v>59</v>
      </c>
      <c r="D8" s="40">
        <v>4.125</v>
      </c>
      <c r="E8" s="40">
        <v>1</v>
      </c>
      <c r="F8" s="40">
        <v>4.125</v>
      </c>
      <c r="G8" s="40">
        <v>1262</v>
      </c>
      <c r="H8" s="40">
        <v>750000</v>
      </c>
      <c r="I8" s="40"/>
      <c r="J8" s="40">
        <v>3.9170666666666665</v>
      </c>
      <c r="K8" s="40">
        <v>1.0928829439132266</v>
      </c>
    </row>
    <row r="9" spans="1:11">
      <c r="A9" s="1" t="s">
        <v>82</v>
      </c>
      <c r="B9" s="1" t="s">
        <v>19</v>
      </c>
      <c r="C9" s="1" t="s">
        <v>55</v>
      </c>
      <c r="D9" s="40">
        <v>3.875</v>
      </c>
      <c r="E9" s="40">
        <v>1.75</v>
      </c>
      <c r="F9" s="40">
        <v>4.0919999999999996</v>
      </c>
      <c r="G9" s="40"/>
      <c r="H9" s="40"/>
      <c r="I9" s="40"/>
      <c r="J9" s="40">
        <v>4.2722152605049795</v>
      </c>
      <c r="K9" s="40">
        <v>1.4480315377515394</v>
      </c>
    </row>
    <row r="10" spans="1:11">
      <c r="A10" s="1" t="s">
        <v>82</v>
      </c>
      <c r="B10" s="1" t="s">
        <v>19</v>
      </c>
      <c r="C10" s="1" t="s">
        <v>57</v>
      </c>
      <c r="D10" s="40">
        <v>3.375</v>
      </c>
      <c r="E10" s="40">
        <v>2.25</v>
      </c>
      <c r="F10" s="40">
        <v>4.2699999999999996</v>
      </c>
      <c r="G10" s="40"/>
      <c r="H10" s="40"/>
      <c r="I10" s="40"/>
      <c r="J10" s="40"/>
      <c r="K10" s="40"/>
    </row>
    <row r="11" spans="1:11">
      <c r="A11" s="1" t="s">
        <v>82</v>
      </c>
      <c r="B11" s="1" t="s">
        <v>17</v>
      </c>
      <c r="C11" s="1" t="s">
        <v>55</v>
      </c>
      <c r="D11" s="40">
        <v>3.875</v>
      </c>
      <c r="E11" s="40">
        <v>1.3129999999999999</v>
      </c>
      <c r="F11" s="40">
        <v>4.0940000000000003</v>
      </c>
      <c r="G11" s="40"/>
      <c r="H11" s="40"/>
      <c r="I11" s="40"/>
      <c r="J11" s="40">
        <v>4.2780642423920208</v>
      </c>
      <c r="K11" s="40">
        <v>1.4538805196385804</v>
      </c>
    </row>
    <row r="12" spans="1:11">
      <c r="A12" s="1" t="s">
        <v>82</v>
      </c>
      <c r="B12" s="1" t="s">
        <v>18</v>
      </c>
      <c r="C12" s="1" t="s">
        <v>55</v>
      </c>
      <c r="D12" s="40">
        <v>4.125</v>
      </c>
      <c r="E12" s="40">
        <v>1</v>
      </c>
      <c r="F12" s="40">
        <v>4.2089999999999996</v>
      </c>
      <c r="G12" s="40"/>
      <c r="H12" s="40"/>
      <c r="I12" s="40"/>
      <c r="J12" s="40">
        <v>4.1248698203088709</v>
      </c>
      <c r="K12" s="40">
        <v>1.3006860975554306</v>
      </c>
    </row>
    <row r="28" spans="1:11" ht="19.5">
      <c r="A28" s="160" t="s">
        <v>71</v>
      </c>
      <c r="B28" s="160"/>
      <c r="C28" s="160"/>
      <c r="D28" s="160"/>
      <c r="E28" s="160"/>
      <c r="F28" s="160"/>
      <c r="G28" s="160"/>
      <c r="H28" s="160"/>
      <c r="I28" s="160"/>
    </row>
    <row r="29" spans="1:11">
      <c r="A29" s="39" t="s">
        <v>60</v>
      </c>
      <c r="D29" s="39" t="s">
        <v>50</v>
      </c>
    </row>
    <row r="30" spans="1:11">
      <c r="A30" s="39" t="s">
        <v>52</v>
      </c>
      <c r="B30" s="39" t="s">
        <v>48</v>
      </c>
      <c r="C30" s="39" t="s">
        <v>49</v>
      </c>
      <c r="D30" s="42" t="s">
        <v>27</v>
      </c>
      <c r="E30" s="42" t="s">
        <v>7</v>
      </c>
      <c r="F30" s="42" t="s">
        <v>0</v>
      </c>
      <c r="G30" s="42" t="s">
        <v>42</v>
      </c>
      <c r="H30" s="42" t="s">
        <v>1</v>
      </c>
      <c r="I30" s="42" t="s">
        <v>43</v>
      </c>
      <c r="J30" s="42" t="s">
        <v>81</v>
      </c>
      <c r="K30" s="42" t="s">
        <v>30</v>
      </c>
    </row>
    <row r="31" spans="1:11">
      <c r="A31" s="1" t="s">
        <v>56</v>
      </c>
      <c r="B31" s="1" t="s">
        <v>20</v>
      </c>
      <c r="C31" s="1" t="s">
        <v>55</v>
      </c>
      <c r="D31" s="40">
        <v>4.125</v>
      </c>
      <c r="E31" s="40">
        <v>1</v>
      </c>
      <c r="F31" s="40">
        <v>4.1470000000000002</v>
      </c>
      <c r="G31" s="40">
        <v>1768</v>
      </c>
      <c r="H31" s="40">
        <v>200000</v>
      </c>
      <c r="I31" s="40"/>
      <c r="J31" s="40">
        <v>4.1618039804499194</v>
      </c>
      <c r="K31" s="40">
        <v>1.3376202576964793</v>
      </c>
    </row>
    <row r="32" spans="1:11">
      <c r="A32" s="1" t="s">
        <v>56</v>
      </c>
      <c r="B32" s="1" t="s">
        <v>20</v>
      </c>
      <c r="C32" s="1" t="s">
        <v>57</v>
      </c>
      <c r="D32" s="40">
        <v>3.875</v>
      </c>
      <c r="E32" s="40">
        <v>1</v>
      </c>
      <c r="F32" s="40">
        <v>4.9050000000000002</v>
      </c>
      <c r="G32" s="40">
        <v>6529</v>
      </c>
      <c r="H32" s="40">
        <v>200000</v>
      </c>
      <c r="I32" s="40">
        <v>3500</v>
      </c>
      <c r="J32" s="40">
        <v>3.9717500000000001</v>
      </c>
      <c r="K32" s="40">
        <v>1.2748971326932403</v>
      </c>
    </row>
    <row r="33" spans="1:11">
      <c r="A33" s="1" t="s">
        <v>56</v>
      </c>
      <c r="B33" s="1" t="s">
        <v>20</v>
      </c>
      <c r="C33" s="1" t="s">
        <v>58</v>
      </c>
      <c r="D33" s="40">
        <v>4.125</v>
      </c>
      <c r="E33" s="40">
        <v>1</v>
      </c>
      <c r="F33" s="40">
        <v>4.1479999999999997</v>
      </c>
      <c r="G33" s="40">
        <v>3602</v>
      </c>
      <c r="H33" s="40">
        <v>500000</v>
      </c>
      <c r="I33" s="40"/>
      <c r="J33" s="40">
        <v>4.123888942161555</v>
      </c>
      <c r="K33" s="40">
        <v>1.2997052194081149</v>
      </c>
    </row>
    <row r="34" spans="1:11">
      <c r="A34" s="1" t="s">
        <v>56</v>
      </c>
      <c r="B34" s="1" t="s">
        <v>20</v>
      </c>
      <c r="C34" s="1" t="s">
        <v>59</v>
      </c>
      <c r="D34" s="40">
        <v>4.125</v>
      </c>
      <c r="E34" s="40">
        <v>1</v>
      </c>
      <c r="F34" s="40">
        <v>4.125</v>
      </c>
      <c r="G34" s="40">
        <v>1262</v>
      </c>
      <c r="H34" s="40">
        <v>750000</v>
      </c>
      <c r="I34" s="40"/>
      <c r="J34" s="40">
        <v>3.9170666666666665</v>
      </c>
      <c r="K34" s="40">
        <v>1.0928829439132266</v>
      </c>
    </row>
    <row r="35" spans="1:11">
      <c r="A35" s="1" t="s">
        <v>56</v>
      </c>
      <c r="B35" s="1" t="s">
        <v>19</v>
      </c>
      <c r="C35" s="1" t="s">
        <v>55</v>
      </c>
      <c r="D35" s="40">
        <v>3.75</v>
      </c>
      <c r="E35" s="40">
        <v>2.25</v>
      </c>
      <c r="F35" s="40">
        <v>4.008</v>
      </c>
      <c r="G35" s="40"/>
      <c r="H35" s="40"/>
      <c r="I35" s="40"/>
      <c r="J35" s="40">
        <v>4.2722196725487462</v>
      </c>
      <c r="K35" s="40">
        <v>1.4480359497953059</v>
      </c>
    </row>
    <row r="36" spans="1:11">
      <c r="A36" s="1" t="s">
        <v>56</v>
      </c>
      <c r="B36" s="1" t="s">
        <v>19</v>
      </c>
      <c r="C36" s="1" t="s">
        <v>57</v>
      </c>
      <c r="D36" s="40">
        <v>3.375</v>
      </c>
      <c r="E36" s="40">
        <v>2.25</v>
      </c>
      <c r="F36" s="40">
        <v>4.2699999999999996</v>
      </c>
      <c r="G36" s="40"/>
      <c r="H36" s="40"/>
      <c r="I36" s="40"/>
      <c r="J36" s="40"/>
      <c r="K36" s="40"/>
    </row>
    <row r="37" spans="1:11">
      <c r="A37" s="1" t="s">
        <v>56</v>
      </c>
      <c r="B37" s="1" t="s">
        <v>17</v>
      </c>
      <c r="C37" s="1" t="s">
        <v>55</v>
      </c>
      <c r="D37" s="40">
        <v>4</v>
      </c>
      <c r="E37" s="40">
        <v>0.71299999999999997</v>
      </c>
      <c r="F37" s="40">
        <v>4.17</v>
      </c>
      <c r="G37" s="40"/>
      <c r="H37" s="40"/>
      <c r="I37" s="40"/>
      <c r="J37" s="40">
        <v>4.2554972682965033</v>
      </c>
      <c r="K37" s="40">
        <v>1.4313135455430634</v>
      </c>
    </row>
    <row r="38" spans="1:11">
      <c r="A38" s="1" t="s">
        <v>56</v>
      </c>
      <c r="B38" s="1" t="s">
        <v>18</v>
      </c>
      <c r="C38" s="1" t="s">
        <v>55</v>
      </c>
      <c r="D38" s="40">
        <v>4.125</v>
      </c>
      <c r="E38" s="40">
        <v>1.125</v>
      </c>
      <c r="F38" s="40">
        <v>4.2190000000000003</v>
      </c>
      <c r="G38" s="40"/>
      <c r="H38" s="40"/>
      <c r="I38" s="40"/>
      <c r="J38" s="40">
        <v>4.1543680910694123</v>
      </c>
      <c r="K38" s="40">
        <v>1.3301843683159724</v>
      </c>
    </row>
    <row r="56" spans="1:9" ht="19.5">
      <c r="A56" s="160" t="s">
        <v>72</v>
      </c>
      <c r="B56" s="160"/>
      <c r="C56" s="160"/>
      <c r="D56" s="160"/>
      <c r="E56" s="160"/>
      <c r="F56" s="160"/>
      <c r="G56" s="160"/>
      <c r="H56" s="160"/>
      <c r="I56" s="160"/>
    </row>
    <row r="57" spans="1:9">
      <c r="A57" s="39" t="s">
        <v>60</v>
      </c>
      <c r="D57" s="39" t="s">
        <v>50</v>
      </c>
    </row>
    <row r="58" spans="1:9">
      <c r="A58" s="39" t="s">
        <v>52</v>
      </c>
      <c r="B58" s="39" t="s">
        <v>48</v>
      </c>
      <c r="C58" s="39" t="s">
        <v>49</v>
      </c>
      <c r="D58" s="42" t="s">
        <v>74</v>
      </c>
    </row>
    <row r="59" spans="1:9">
      <c r="A59" s="1" t="s">
        <v>74</v>
      </c>
      <c r="B59" s="1" t="s">
        <v>74</v>
      </c>
      <c r="C59" s="1" t="s">
        <v>74</v>
      </c>
      <c r="D59" s="40"/>
    </row>
  </sheetData>
  <mergeCells count="3">
    <mergeCell ref="A1:I1"/>
    <mergeCell ref="A28:I28"/>
    <mergeCell ref="A56:I56"/>
  </mergeCells>
  <pageMargins left="0.7" right="0.7" top="0.75" bottom="0.75" header="0.3" footer="0.3"/>
  <pageSetup orientation="portrait" horizontalDpi="300" verticalDpi="300" r:id="rId4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theme="4" tint="0.59999389629810485"/>
  </sheetPr>
  <dimension ref="B1:E30"/>
  <sheetViews>
    <sheetView workbookViewId="0">
      <selection activeCell="B1" sqref="B1:E5"/>
    </sheetView>
  </sheetViews>
  <sheetFormatPr defaultRowHeight="15"/>
  <cols>
    <col min="2" max="2" width="24.5703125" bestFit="1" customWidth="1"/>
    <col min="3" max="3" width="13.85546875" bestFit="1" customWidth="1"/>
    <col min="4" max="4" width="14.140625" bestFit="1" customWidth="1"/>
    <col min="5" max="5" width="16.5703125" customWidth="1"/>
    <col min="7" max="7" width="14.140625" bestFit="1" customWidth="1"/>
  </cols>
  <sheetData>
    <row r="1" spans="2:5">
      <c r="B1" s="118" t="s">
        <v>49</v>
      </c>
      <c r="C1" s="119" t="s">
        <v>48</v>
      </c>
      <c r="D1" s="120" t="s">
        <v>50</v>
      </c>
      <c r="E1" s="121" t="s">
        <v>53</v>
      </c>
    </row>
    <row r="2" spans="2:5">
      <c r="B2" s="122" t="s">
        <v>55</v>
      </c>
      <c r="C2" s="123" t="s">
        <v>17</v>
      </c>
      <c r="D2" s="124" t="s">
        <v>81</v>
      </c>
      <c r="E2" s="125">
        <f>Report!M12*100</f>
        <v>4.2780642423920208</v>
      </c>
    </row>
    <row r="3" spans="2:5">
      <c r="B3" s="110" t="s">
        <v>55</v>
      </c>
      <c r="C3" s="104" t="s">
        <v>17</v>
      </c>
      <c r="D3" s="105" t="s">
        <v>30</v>
      </c>
      <c r="E3" s="111">
        <f>Report!N12*100</f>
        <v>1.4538805196385804</v>
      </c>
    </row>
    <row r="4" spans="2:5">
      <c r="B4" s="110" t="s">
        <v>55</v>
      </c>
      <c r="C4" s="104" t="s">
        <v>18</v>
      </c>
      <c r="D4" s="105" t="s">
        <v>81</v>
      </c>
      <c r="E4" s="111">
        <f>Report!M13*100</f>
        <v>4.1248698203088709</v>
      </c>
    </row>
    <row r="5" spans="2:5">
      <c r="B5" s="110" t="s">
        <v>55</v>
      </c>
      <c r="C5" s="104" t="s">
        <v>18</v>
      </c>
      <c r="D5" s="105" t="s">
        <v>30</v>
      </c>
      <c r="E5" s="111">
        <f>Report!N13*100</f>
        <v>1.3006860975554306</v>
      </c>
    </row>
    <row r="6" spans="2:5">
      <c r="B6" s="110" t="s">
        <v>55</v>
      </c>
      <c r="C6" s="104" t="s">
        <v>19</v>
      </c>
      <c r="D6" s="105" t="s">
        <v>81</v>
      </c>
      <c r="E6" s="111">
        <f>Report!M14*100</f>
        <v>4.2722152605049795</v>
      </c>
    </row>
    <row r="7" spans="2:5">
      <c r="B7" s="110" t="s">
        <v>55</v>
      </c>
      <c r="C7" s="104" t="s">
        <v>19</v>
      </c>
      <c r="D7" s="105" t="s">
        <v>30</v>
      </c>
      <c r="E7" s="111">
        <f>Report!N14*100</f>
        <v>1.4480315377515394</v>
      </c>
    </row>
    <row r="8" spans="2:5">
      <c r="B8" s="110" t="s">
        <v>55</v>
      </c>
      <c r="C8" s="104" t="s">
        <v>20</v>
      </c>
      <c r="D8" s="105" t="s">
        <v>81</v>
      </c>
      <c r="E8" s="111">
        <f>Report!M15*100</f>
        <v>4.1618039804499194</v>
      </c>
    </row>
    <row r="9" spans="2:5">
      <c r="B9" s="110" t="s">
        <v>55</v>
      </c>
      <c r="C9" s="104" t="s">
        <v>20</v>
      </c>
      <c r="D9" s="105" t="s">
        <v>30</v>
      </c>
      <c r="E9" s="111">
        <f>Report!N15*100</f>
        <v>1.3376202576964793</v>
      </c>
    </row>
    <row r="10" spans="2:5">
      <c r="B10" s="110" t="s">
        <v>57</v>
      </c>
      <c r="C10" s="104" t="s">
        <v>20</v>
      </c>
      <c r="D10" s="105" t="s">
        <v>81</v>
      </c>
      <c r="E10" s="111">
        <f>Report!M22*100</f>
        <v>3.9717500000000001</v>
      </c>
    </row>
    <row r="11" spans="2:5">
      <c r="B11" s="110" t="s">
        <v>57</v>
      </c>
      <c r="C11" s="104" t="s">
        <v>20</v>
      </c>
      <c r="D11" s="105" t="s">
        <v>30</v>
      </c>
      <c r="E11" s="111">
        <f>Report!N22*100</f>
        <v>1.2748971326932403</v>
      </c>
    </row>
    <row r="12" spans="2:5">
      <c r="B12" s="110" t="s">
        <v>58</v>
      </c>
      <c r="C12" s="104" t="s">
        <v>20</v>
      </c>
      <c r="D12" s="105" t="s">
        <v>81</v>
      </c>
      <c r="E12" s="111">
        <f>Report!M18*100</f>
        <v>4.123888942161555</v>
      </c>
    </row>
    <row r="13" spans="2:5">
      <c r="B13" s="110" t="s">
        <v>58</v>
      </c>
      <c r="C13" s="104" t="s">
        <v>20</v>
      </c>
      <c r="D13" s="105" t="s">
        <v>30</v>
      </c>
      <c r="E13" s="111">
        <f>Report!N18*100</f>
        <v>1.2997052194081149</v>
      </c>
    </row>
    <row r="14" spans="2:5">
      <c r="B14" s="110" t="s">
        <v>59</v>
      </c>
      <c r="C14" s="104" t="s">
        <v>20</v>
      </c>
      <c r="D14" s="105" t="s">
        <v>81</v>
      </c>
      <c r="E14" s="111">
        <f>Report!M20*100</f>
        <v>3.9170666666666665</v>
      </c>
    </row>
    <row r="15" spans="2:5">
      <c r="B15" s="110" t="s">
        <v>59</v>
      </c>
      <c r="C15" s="104" t="s">
        <v>20</v>
      </c>
      <c r="D15" s="105" t="s">
        <v>30</v>
      </c>
      <c r="E15" s="111">
        <f>Report!N20*100</f>
        <v>1.0928829439132266</v>
      </c>
    </row>
    <row r="16" spans="2:5">
      <c r="B16" s="112"/>
      <c r="C16" s="113"/>
      <c r="D16" s="113"/>
      <c r="E16" s="114"/>
    </row>
    <row r="17" spans="2:5">
      <c r="B17" s="112"/>
      <c r="C17" s="113"/>
      <c r="D17" s="113"/>
      <c r="E17" s="114"/>
    </row>
    <row r="18" spans="2:5">
      <c r="B18" s="112"/>
      <c r="C18" s="113"/>
      <c r="D18" s="113"/>
      <c r="E18" s="114"/>
    </row>
    <row r="19" spans="2:5">
      <c r="B19" s="112"/>
      <c r="C19" s="113"/>
      <c r="D19" s="113"/>
      <c r="E19" s="114"/>
    </row>
    <row r="20" spans="2:5">
      <c r="B20" s="112"/>
      <c r="C20" s="113"/>
      <c r="D20" s="113"/>
      <c r="E20" s="114"/>
    </row>
    <row r="21" spans="2:5">
      <c r="B21" s="112"/>
      <c r="C21" s="113"/>
      <c r="D21" s="113"/>
      <c r="E21" s="114"/>
    </row>
    <row r="22" spans="2:5">
      <c r="B22" s="112"/>
      <c r="C22" s="113"/>
      <c r="D22" s="113"/>
      <c r="E22" s="114"/>
    </row>
    <row r="23" spans="2:5">
      <c r="B23" s="112"/>
      <c r="C23" s="113"/>
      <c r="D23" s="113"/>
      <c r="E23" s="114"/>
    </row>
    <row r="24" spans="2:5">
      <c r="B24" s="112"/>
      <c r="C24" s="113"/>
      <c r="D24" s="113"/>
      <c r="E24" s="114"/>
    </row>
    <row r="25" spans="2:5">
      <c r="B25" s="112"/>
      <c r="C25" s="113"/>
      <c r="D25" s="113"/>
      <c r="E25" s="114"/>
    </row>
    <row r="26" spans="2:5">
      <c r="B26" s="112"/>
      <c r="C26" s="113"/>
      <c r="D26" s="113"/>
      <c r="E26" s="114"/>
    </row>
    <row r="27" spans="2:5">
      <c r="B27" s="112"/>
      <c r="C27" s="113"/>
      <c r="D27" s="113"/>
      <c r="E27" s="114"/>
    </row>
    <row r="28" spans="2:5">
      <c r="B28" s="112"/>
      <c r="C28" s="113"/>
      <c r="D28" s="113"/>
      <c r="E28" s="114"/>
    </row>
    <row r="29" spans="2:5">
      <c r="B29" s="112"/>
      <c r="C29" s="113"/>
      <c r="D29" s="113"/>
      <c r="E29" s="114"/>
    </row>
    <row r="30" spans="2:5">
      <c r="B30" s="115"/>
      <c r="C30" s="116"/>
      <c r="D30" s="116"/>
      <c r="E30" s="117"/>
    </row>
  </sheetData>
  <pageMargins left="0.7" right="0.7" top="0.75" bottom="0.75" header="0.3" footer="0.3"/>
  <pageSetup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rgb="FF92D050"/>
  </sheetPr>
  <dimension ref="B1:P9"/>
  <sheetViews>
    <sheetView workbookViewId="0">
      <selection activeCell="K41" sqref="K41:L41"/>
    </sheetView>
  </sheetViews>
  <sheetFormatPr defaultRowHeight="15"/>
  <cols>
    <col min="3" max="3" width="15.7109375" bestFit="1" customWidth="1"/>
    <col min="4" max="4" width="31.42578125" bestFit="1" customWidth="1"/>
    <col min="8" max="8" width="11.7109375" bestFit="1" customWidth="1"/>
    <col min="9" max="9" width="12.7109375" bestFit="1" customWidth="1"/>
    <col min="10" max="10" width="11.7109375" bestFit="1" customWidth="1"/>
    <col min="15" max="15" width="13.85546875" bestFit="1" customWidth="1"/>
  </cols>
  <sheetData>
    <row r="1" spans="2:16">
      <c r="B1" s="1" t="s">
        <v>38</v>
      </c>
      <c r="C1" s="1" t="s">
        <v>39</v>
      </c>
      <c r="D1" s="1" t="s">
        <v>40</v>
      </c>
      <c r="E1" s="28" t="s">
        <v>27</v>
      </c>
      <c r="F1" s="28" t="s">
        <v>41</v>
      </c>
      <c r="G1" s="1" t="s">
        <v>0</v>
      </c>
      <c r="H1" s="1" t="s">
        <v>42</v>
      </c>
      <c r="I1" s="1" t="s">
        <v>1</v>
      </c>
      <c r="J1" s="1" t="s">
        <v>43</v>
      </c>
    </row>
    <row r="2" spans="2:16">
      <c r="B2" s="1">
        <v>20150304</v>
      </c>
      <c r="C2" s="1" t="s">
        <v>20</v>
      </c>
      <c r="D2" s="1" t="s">
        <v>57</v>
      </c>
      <c r="E2" s="1">
        <v>3.875</v>
      </c>
      <c r="F2" s="1">
        <f>1</f>
        <v>1</v>
      </c>
      <c r="G2" s="1">
        <v>4.9050000000000002</v>
      </c>
      <c r="H2" s="29">
        <v>6529</v>
      </c>
      <c r="I2" s="29">
        <v>200000</v>
      </c>
      <c r="J2" s="30">
        <v>3500</v>
      </c>
      <c r="O2" t="s">
        <v>28</v>
      </c>
      <c r="P2">
        <v>2.8341999400292899</v>
      </c>
    </row>
    <row r="3" spans="2:16">
      <c r="B3" s="1">
        <v>20150304</v>
      </c>
      <c r="C3" s="1" t="s">
        <v>20</v>
      </c>
      <c r="D3" s="1" t="s">
        <v>55</v>
      </c>
      <c r="E3" s="1">
        <v>4.125</v>
      </c>
      <c r="F3" s="1">
        <f>1</f>
        <v>1</v>
      </c>
      <c r="G3" s="1">
        <v>4.1470000000000002</v>
      </c>
      <c r="H3" s="29">
        <v>1768</v>
      </c>
      <c r="I3" s="29">
        <v>200000</v>
      </c>
      <c r="J3" s="1"/>
      <c r="O3" t="s">
        <v>29</v>
      </c>
      <c r="P3">
        <v>2.7074000366412498</v>
      </c>
    </row>
    <row r="4" spans="2:16">
      <c r="B4" s="1">
        <v>20150304</v>
      </c>
      <c r="C4" s="1" t="s">
        <v>20</v>
      </c>
      <c r="D4" s="1" t="s">
        <v>78</v>
      </c>
      <c r="E4" s="1">
        <v>4.125</v>
      </c>
      <c r="F4" s="1">
        <f>1</f>
        <v>1</v>
      </c>
      <c r="G4" s="1">
        <v>4.1479999999999997</v>
      </c>
      <c r="H4" s="29">
        <v>3602</v>
      </c>
      <c r="I4" s="29">
        <v>500000</v>
      </c>
      <c r="J4" s="1"/>
    </row>
    <row r="5" spans="2:16">
      <c r="B5" s="1">
        <v>20150304</v>
      </c>
      <c r="C5" s="1" t="s">
        <v>20</v>
      </c>
      <c r="D5" s="1" t="s">
        <v>59</v>
      </c>
      <c r="E5" s="1">
        <v>4.125</v>
      </c>
      <c r="F5" s="1">
        <f>1</f>
        <v>1</v>
      </c>
      <c r="G5" s="1">
        <v>4.125</v>
      </c>
      <c r="H5" s="29">
        <v>1262</v>
      </c>
      <c r="I5" s="29">
        <v>750000</v>
      </c>
      <c r="J5" s="1"/>
    </row>
    <row r="6" spans="2:16">
      <c r="B6" s="1">
        <v>20150304</v>
      </c>
      <c r="C6" s="1" t="s">
        <v>19</v>
      </c>
      <c r="D6" s="1" t="s">
        <v>57</v>
      </c>
      <c r="E6" s="1">
        <v>3.375</v>
      </c>
      <c r="F6" s="1" t="s">
        <v>79</v>
      </c>
      <c r="G6" s="1">
        <v>4.2699999999999996</v>
      </c>
      <c r="H6" s="1"/>
      <c r="I6" s="1"/>
      <c r="J6" s="1"/>
    </row>
    <row r="7" spans="2:16">
      <c r="B7" s="1">
        <v>20150304</v>
      </c>
      <c r="C7" s="1" t="s">
        <v>19</v>
      </c>
      <c r="D7" s="1" t="s">
        <v>55</v>
      </c>
      <c r="E7" s="1">
        <v>3.875</v>
      </c>
      <c r="F7" s="1">
        <v>1.75</v>
      </c>
      <c r="G7" s="1">
        <v>4.0919999999999996</v>
      </c>
      <c r="H7" s="1"/>
      <c r="I7" s="1"/>
      <c r="J7" s="1"/>
    </row>
    <row r="8" spans="2:16">
      <c r="B8" s="1">
        <v>20150304</v>
      </c>
      <c r="C8" s="1" t="s">
        <v>17</v>
      </c>
      <c r="D8" s="1" t="s">
        <v>55</v>
      </c>
      <c r="E8" s="1">
        <v>3.875</v>
      </c>
      <c r="F8" s="1">
        <v>1.3129999999999999</v>
      </c>
      <c r="G8" s="1">
        <v>4.0940000000000003</v>
      </c>
      <c r="H8" s="1"/>
      <c r="I8" s="1"/>
      <c r="J8" s="1"/>
    </row>
    <row r="9" spans="2:16">
      <c r="B9" s="1">
        <v>20150304</v>
      </c>
      <c r="C9" s="1" t="s">
        <v>18</v>
      </c>
      <c r="D9" s="1" t="s">
        <v>55</v>
      </c>
      <c r="E9" s="1">
        <v>4.125</v>
      </c>
      <c r="F9" s="1">
        <v>1</v>
      </c>
      <c r="G9" s="1">
        <v>4.2089999999999996</v>
      </c>
      <c r="H9" s="1"/>
      <c r="I9" s="1"/>
      <c r="J9" s="1"/>
    </row>
  </sheetData>
  <pageMargins left="0.7" right="0.7" top="0.75" bottom="0.75" header="0.3" footer="0.3"/>
  <pageSetup orientation="portrait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rgb="FF92D050"/>
  </sheetPr>
  <dimension ref="B3:F14"/>
  <sheetViews>
    <sheetView workbookViewId="0">
      <selection activeCell="M19" sqref="M19"/>
    </sheetView>
  </sheetViews>
  <sheetFormatPr defaultRowHeight="15"/>
  <cols>
    <col min="2" max="2" width="27.85546875" bestFit="1" customWidth="1"/>
    <col min="3" max="3" width="10.7109375" bestFit="1" customWidth="1"/>
    <col min="4" max="4" width="15.42578125" style="1" customWidth="1"/>
    <col min="5" max="5" width="13.28515625" style="1" customWidth="1"/>
    <col min="6" max="6" width="16" customWidth="1"/>
  </cols>
  <sheetData>
    <row r="3" spans="2:6">
      <c r="C3" s="161" t="s">
        <v>45</v>
      </c>
      <c r="D3" s="161"/>
      <c r="E3" s="161" t="s">
        <v>46</v>
      </c>
      <c r="F3" s="161"/>
    </row>
    <row r="4" spans="2:6">
      <c r="B4" s="163" t="s">
        <v>55</v>
      </c>
      <c r="C4" s="163" t="s">
        <v>81</v>
      </c>
      <c r="D4" s="163" t="s">
        <v>30</v>
      </c>
      <c r="E4" s="163" t="s">
        <v>81</v>
      </c>
      <c r="F4" s="163" t="s">
        <v>30</v>
      </c>
    </row>
    <row r="5" spans="2:6">
      <c r="B5" s="164" t="s">
        <v>17</v>
      </c>
      <c r="C5" s="165">
        <f t="array" ref="C5">VLOOKUP($B$4&amp;B5&amp;$C$4,IF({1,0},OneDayMtgRatesDataTable[TickerName]&amp;OneDayMtgRatesDataTable[Source]&amp;OneDayMtgRatesDataTable[SeriesType],OneDayMtgRatesDataTable[SeriesNumValue]),2,0)/100</f>
        <v>4.2554972682965035E-2</v>
      </c>
      <c r="D5" s="165">
        <f t="array" ref="D5">VLOOKUP($B$4&amp;$B5&amp;$D$4,IF({1,0},OneDayMtgRatesDataTable[TickerName]&amp;OneDayMtgRatesDataTable[Source]&amp;OneDayMtgRatesDataTable[SeriesType],OneDayMtgRatesDataTable[SeriesNumValue]),2,0)/100</f>
        <v>1.4313135455430635E-2</v>
      </c>
      <c r="E5" s="165" t="e">
        <f>VLOOKUP($B$4&amp;$B5&amp;$E$4,IF({1,0},OneWeekMtgRatesDataTable[TickerName]&amp;OneWeekMtgRatesDataTable[Source]&amp;OneWeekMtgRatesDataTable[SeriesType],OneWeekMtgRatesDataTable[SeriesNumValue]),2,0)/100</f>
        <v>#N/A</v>
      </c>
      <c r="F5" s="165" t="e">
        <f t="array" ref="F5">VLOOKUP($B$4&amp;$B5&amp;$F$4,IF({1,0},OneWeekMtgRatesDataTable[TickerName]&amp;OneWeekMtgRatesDataTable[Source]&amp;OneWeekMtgRatesDataTable[SeriesType],OneWeekMtgRatesDataTable[SeriesNumValue]),2,0)/100</f>
        <v>#N/A</v>
      </c>
    </row>
    <row r="6" spans="2:6">
      <c r="B6" s="164" t="s">
        <v>18</v>
      </c>
      <c r="C6" s="165">
        <f t="array" ref="C6">VLOOKUP($B$4&amp;B6&amp;$C$4,IF({1,0},OneDayMtgRatesDataTable[TickerName]&amp;OneDayMtgRatesDataTable[Source]&amp;OneDayMtgRatesDataTable[SeriesType],OneDayMtgRatesDataTable[SeriesNumValue]),2,0)/100</f>
        <v>4.1543680910694124E-2</v>
      </c>
      <c r="D6" s="165">
        <f t="array" ref="D6">VLOOKUP($B$4&amp;$B6&amp;$D$4,IF({1,0},OneDayMtgRatesDataTable[TickerName]&amp;OneDayMtgRatesDataTable[Source]&amp;OneDayMtgRatesDataTable[SeriesType],OneDayMtgRatesDataTable[SeriesNumValue]),2,0)/100</f>
        <v>1.3301843683159724E-2</v>
      </c>
      <c r="E6" s="165" t="e">
        <f>VLOOKUP($B$4&amp;$B6&amp;$E$4,IF({1,0},OneWeekMtgRatesDataTable[TickerName]&amp;OneWeekMtgRatesDataTable[Source]&amp;OneWeekMtgRatesDataTable[SeriesType],OneWeekMtgRatesDataTable[SeriesNumValue]),2,0)/100</f>
        <v>#N/A</v>
      </c>
      <c r="F6" s="165" t="e">
        <f t="array" ref="F6">VLOOKUP($B$4&amp;$B6&amp;$F$4,IF({1,0},OneWeekMtgRatesDataTable[TickerName]&amp;OneWeekMtgRatesDataTable[Source]&amp;OneWeekMtgRatesDataTable[SeriesType],OneWeekMtgRatesDataTable[SeriesNumValue]),2,0)/100</f>
        <v>#N/A</v>
      </c>
    </row>
    <row r="7" spans="2:6">
      <c r="B7" s="164" t="s">
        <v>19</v>
      </c>
      <c r="C7" s="165">
        <f t="array" ref="C7">VLOOKUP($B$4&amp;B7&amp;$C$4,IF({1,0},OneDayMtgRatesDataTable[TickerName]&amp;OneDayMtgRatesDataTable[Source]&amp;OneDayMtgRatesDataTable[SeriesType],OneDayMtgRatesDataTable[SeriesNumValue]),2,0)/100</f>
        <v>4.2722196725487466E-2</v>
      </c>
      <c r="D7" s="165">
        <f t="array" ref="D7">VLOOKUP($B$4&amp;$B7&amp;$D$4,IF({1,0},OneDayMtgRatesDataTable[TickerName]&amp;OneDayMtgRatesDataTable[Source]&amp;OneDayMtgRatesDataTable[SeriesType],OneDayMtgRatesDataTable[SeriesNumValue]),2,0)/100</f>
        <v>1.4480359497953059E-2</v>
      </c>
      <c r="E7" s="165" t="e">
        <f>VLOOKUP($B$4&amp;$B7&amp;$E$4,IF({1,0},OneWeekMtgRatesDataTable[TickerName]&amp;OneWeekMtgRatesDataTable[Source]&amp;OneWeekMtgRatesDataTable[SeriesType],OneWeekMtgRatesDataTable[SeriesNumValue]),2,0)/100</f>
        <v>#N/A</v>
      </c>
      <c r="F7" s="165" t="e">
        <f t="array" ref="F7">VLOOKUP($B$4&amp;$B7&amp;$F$4,IF({1,0},OneWeekMtgRatesDataTable[TickerName]&amp;OneWeekMtgRatesDataTable[Source]&amp;OneWeekMtgRatesDataTable[SeriesType],OneWeekMtgRatesDataTable[SeriesNumValue]),2,0)/100</f>
        <v>#N/A</v>
      </c>
    </row>
    <row r="8" spans="2:6">
      <c r="B8" s="164" t="s">
        <v>20</v>
      </c>
      <c r="C8" s="165">
        <f t="array" ref="C8">VLOOKUP($B$4&amp;B8&amp;$C$4,IF({1,0},OneDayMtgRatesDataTable[TickerName]&amp;OneDayMtgRatesDataTable[Source]&amp;OneDayMtgRatesDataTable[SeriesType],OneDayMtgRatesDataTable[SeriesNumValue]),2,0)/100</f>
        <v>4.1618039804499192E-2</v>
      </c>
      <c r="D8" s="165">
        <f t="array" ref="D8">VLOOKUP($B$4&amp;$B8&amp;$D$4,IF({1,0},OneDayMtgRatesDataTable[TickerName]&amp;OneDayMtgRatesDataTable[Source]&amp;OneDayMtgRatesDataTable[SeriesType],OneDayMtgRatesDataTable[SeriesNumValue]),2,0)/100</f>
        <v>1.3376202576964792E-2</v>
      </c>
      <c r="E8" s="165" t="e">
        <f>VLOOKUP($B$4&amp;$B8&amp;$E$4,IF({1,0},OneWeekMtgRatesDataTable[TickerName]&amp;OneWeekMtgRatesDataTable[Source]&amp;OneWeekMtgRatesDataTable[SeriesType],OneWeekMtgRatesDataTable[SeriesNumValue]),2,0)/100</f>
        <v>#N/A</v>
      </c>
      <c r="F8" s="165" t="e">
        <f t="array" ref="F8">VLOOKUP($B$4&amp;$B8&amp;$F$4,IF({1,0},OneWeekMtgRatesDataTable[TickerName]&amp;OneWeekMtgRatesDataTable[Source]&amp;OneWeekMtgRatesDataTable[SeriesType],OneWeekMtgRatesDataTable[SeriesNumValue]),2,0)/100</f>
        <v>#N/A</v>
      </c>
    </row>
    <row r="9" spans="2:6">
      <c r="B9" s="163" t="s">
        <v>58</v>
      </c>
      <c r="C9" s="166"/>
      <c r="D9" s="166"/>
      <c r="E9" s="166"/>
      <c r="F9" s="166"/>
    </row>
    <row r="10" spans="2:6">
      <c r="B10" s="164" t="s">
        <v>20</v>
      </c>
      <c r="C10" s="165">
        <f t="array" ref="C10">VLOOKUP($B$9&amp;B10&amp;$C$4,IF({1,0},OneDayMtgRatesDataTable[TickerName]&amp;OneDayMtgRatesDataTable[Source]&amp;OneDayMtgRatesDataTable[SeriesType],OneDayMtgRatesDataTable[SeriesNumValue]),2,0)/100</f>
        <v>4.1238889421615549E-2</v>
      </c>
      <c r="D10" s="165">
        <f t="array" ref="D10">VLOOKUP($B$9&amp;$B10&amp;$D$4,IF({1,0},OneDayMtgRatesDataTable[TickerName]&amp;OneDayMtgRatesDataTable[Source]&amp;OneDayMtgRatesDataTable[SeriesType],OneDayMtgRatesDataTable[SeriesNumValue]),2,0)/100</f>
        <v>1.2997052194081149E-2</v>
      </c>
      <c r="E10" s="165" t="e">
        <f t="array" ref="E10">VLOOKUP($B$9&amp;$B10&amp;$E$4,IF({1,0},OneWeekMtgRatesDataTable[TickerName]&amp;OneWeekMtgRatesDataTable[Source]&amp;OneWeekMtgRatesDataTable[SeriesType],OneWeekMtgRatesDataTable[SeriesNumValue]),2,0)/100</f>
        <v>#N/A</v>
      </c>
      <c r="F10" s="165" t="e">
        <f t="array" ref="F10">VLOOKUP($B$9&amp;$B10&amp;$F$4,IF({1,0},OneWeekMtgRatesDataTable[TickerName]&amp;OneWeekMtgRatesDataTable[Source]&amp;OneWeekMtgRatesDataTable[SeriesType],OneWeekMtgRatesDataTable[SeriesNumValue]),2,0)/100</f>
        <v>#N/A</v>
      </c>
    </row>
    <row r="11" spans="2:6">
      <c r="B11" s="163" t="s">
        <v>59</v>
      </c>
      <c r="C11" s="166"/>
      <c r="D11" s="166"/>
      <c r="E11" s="166"/>
      <c r="F11" s="166"/>
    </row>
    <row r="12" spans="2:6">
      <c r="B12" s="164" t="s">
        <v>20</v>
      </c>
      <c r="C12" s="165">
        <f t="array" ref="C12">VLOOKUP($B$11&amp;B12&amp;$C$4,IF({1,0},OneDayMtgRatesDataTable[TickerName]&amp;OneDayMtgRatesDataTable[Source]&amp;OneDayMtgRatesDataTable[SeriesType],OneDayMtgRatesDataTable[SeriesNumValue]),2,0)/100</f>
        <v>3.9170666666666666E-2</v>
      </c>
      <c r="D12" s="165">
        <f t="array" ref="D12">VLOOKUP($B$11&amp;$B12&amp;$D$4,IF({1,0},OneDayMtgRatesDataTable[TickerName]&amp;OneDayMtgRatesDataTable[Source]&amp;OneDayMtgRatesDataTable[SeriesType],OneDayMtgRatesDataTable[SeriesNumValue]),2,0)/100</f>
        <v>1.0928829439132266E-2</v>
      </c>
      <c r="E12" s="165" t="e">
        <f>VLOOKUP($B$11&amp;$B12&amp;$E$4,IF({1,0},OneWeekMtgRatesDataTable[TickerName]&amp;OneWeekMtgRatesDataTable[Source]&amp;OneWeekMtgRatesDataTable[SeriesType],OneWeekMtgRatesDataTable[SeriesNumValue]),2,0)/100</f>
        <v>#N/A</v>
      </c>
      <c r="F12" s="165" t="e">
        <f t="array" ref="F12">VLOOKUP($B$11&amp;$B12&amp;$F$4,IF({1,0},OneWeekMtgRatesDataTable[TickerName]&amp;OneWeekMtgRatesDataTable[Source]&amp;OneWeekMtgRatesDataTable[SeriesType],OneWeekMtgRatesDataTable[SeriesNumValue]),2,0)/100</f>
        <v>#N/A</v>
      </c>
    </row>
    <row r="13" spans="2:6">
      <c r="B13" s="163" t="s">
        <v>57</v>
      </c>
      <c r="C13" s="166"/>
      <c r="D13" s="166"/>
      <c r="E13" s="166"/>
      <c r="F13" s="166"/>
    </row>
    <row r="14" spans="2:6">
      <c r="B14" s="164" t="s">
        <v>20</v>
      </c>
      <c r="C14" s="165">
        <f t="array" ref="C14">VLOOKUP($B$13&amp;B14&amp;$C$4,IF({1,0},OneDayMtgRatesDataTable[TickerName]&amp;OneDayMtgRatesDataTable[Source]&amp;OneDayMtgRatesDataTable[SeriesType],OneDayMtgRatesDataTable[SeriesNumValue]),2,0)/100</f>
        <v>3.9717500000000003E-2</v>
      </c>
      <c r="D14" s="165">
        <f t="array" ref="D14">VLOOKUP($B$13&amp;$B14&amp;$D$4,IF({1,0},OneDayMtgRatesDataTable[TickerName]&amp;OneDayMtgRatesDataTable[Source]&amp;OneDayMtgRatesDataTable[SeriesType],OneDayMtgRatesDataTable[SeriesNumValue]),2,0)/100</f>
        <v>1.2748971326932403E-2</v>
      </c>
      <c r="E14" s="165" t="e">
        <f t="array" ref="E14">VLOOKUP($B$13&amp;$B14&amp;$E$4,IF({1,0},OneWeekMtgRatesDataTable[TickerName]&amp;OneWeekMtgRatesDataTable[Source]&amp;OneWeekMtgRatesDataTable[SeriesType],OneWeekMtgRatesDataTable[SeriesNumValue]),2,0)/100</f>
        <v>#N/A</v>
      </c>
      <c r="F14" s="165" t="e">
        <f t="array" ref="F14">VLOOKUP($B$13&amp;$B14&amp;$F$4,IF({1,0},OneWeekMtgRatesDataTable[TickerName]&amp;OneWeekMtgRatesDataTable[Source]&amp;OneWeekMtgRatesDataTable[SeriesType],OneWeekMtgRatesDataTable[SeriesNumValue]),2,0)/100</f>
        <v>#N/A</v>
      </c>
    </row>
  </sheetData>
  <mergeCells count="2">
    <mergeCell ref="C3:D3"/>
    <mergeCell ref="E3:F3"/>
  </mergeCells>
  <pageMargins left="0.7" right="0.7" top="0.75" bottom="0.75" header="0.3" footer="0.3"/>
  <pageSetup orientation="portrait" horizontalDpi="300" verticalDpi="3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1:K13"/>
  <sheetViews>
    <sheetView workbookViewId="0">
      <selection activeCell="C4" sqref="C4"/>
    </sheetView>
  </sheetViews>
  <sheetFormatPr defaultRowHeight="12.75"/>
  <cols>
    <col min="1" max="1" width="9.140625" style="2"/>
    <col min="2" max="2" width="15.7109375" style="2" customWidth="1"/>
    <col min="3" max="3" width="16.85546875" style="2" customWidth="1"/>
    <col min="4" max="4" width="2.140625" style="2" customWidth="1"/>
    <col min="5" max="5" width="23.140625" style="2" bestFit="1" customWidth="1"/>
    <col min="6" max="6" width="15.7109375" style="2" customWidth="1"/>
    <col min="7" max="7" width="2.7109375" style="2" customWidth="1"/>
    <col min="8" max="8" width="15.7109375" style="2" customWidth="1"/>
    <col min="9" max="9" width="16.140625" style="2" customWidth="1"/>
    <col min="10" max="16384" width="9.140625" style="2"/>
  </cols>
  <sheetData>
    <row r="1" spans="2:11" ht="15">
      <c r="B1" s="1" t="s">
        <v>17</v>
      </c>
      <c r="C1" s="2" t="s">
        <v>55</v>
      </c>
    </row>
    <row r="2" spans="2:11">
      <c r="B2" s="162" t="s">
        <v>3</v>
      </c>
      <c r="C2" s="162"/>
      <c r="D2" s="4"/>
      <c r="E2" s="162" t="s">
        <v>5</v>
      </c>
      <c r="F2" s="162"/>
      <c r="H2" s="162" t="s">
        <v>12</v>
      </c>
      <c r="I2" s="162"/>
    </row>
    <row r="4" spans="2:11">
      <c r="B4" s="91" t="s">
        <v>27</v>
      </c>
      <c r="C4" s="13">
        <f t="array" ref="C4">VLOOKUP($B$1&amp;$C$1&amp;B4,IF({1,0},CurrentMtgRatesDataTable[Source]&amp;CurrentMtgRatesDataTable[TickerName]&amp;CurrentMtgRatesDataTable[SeriesType],CurrentMtgRatesDataTable[SeriesNumValue]),2,0)/100</f>
        <v>3.875E-2</v>
      </c>
      <c r="D4" s="5"/>
      <c r="E4" s="5" t="s">
        <v>8</v>
      </c>
      <c r="F4" s="13">
        <f>1-((C4/12*(1+C4/12)^360)/((1+C4/12)^360-1)*((1+C5/12)^360-1)/(C5/12*(1+C5/12)^360))</f>
        <v>2.6122569695680831E-2</v>
      </c>
      <c r="H4" s="8" t="s">
        <v>11</v>
      </c>
      <c r="I4" s="9">
        <f>C4-(1%-F7)/4</f>
        <v>4.2780642423920205E-2</v>
      </c>
      <c r="K4" s="2" t="str">
        <f t="array" ref="K4">IF({1,0},CurrentMtgRatesDataTable[Source]&amp;CurrentMtgRatesDataTable[TickerName]&amp;CurrentMtgRatesDataTable[SeriesType],CurrentMtgRatesDataTable[SeriesNumValue])</f>
        <v>Bank of America30YrConformingConventional1Point Rate</v>
      </c>
    </row>
    <row r="5" spans="2:11">
      <c r="B5" s="2" t="s">
        <v>0</v>
      </c>
      <c r="C5" s="13">
        <f t="array" ref="C5">VLOOKUP($B$1&amp;$C$1&amp;B5,IF({1,0},CurrentMtgRatesDataTable[Source]&amp;CurrentMtgRatesDataTable[TickerName]&amp;CurrentMtgRatesDataTable[SeriesType],CurrentMtgRatesDataTable[SeriesNumValue]),2,0)/100</f>
        <v>4.0940000000000004E-2</v>
      </c>
      <c r="D5" s="5"/>
      <c r="E5" s="6" t="s">
        <v>14</v>
      </c>
      <c r="F5" s="17">
        <f>C8</f>
        <v>1.3129999999999999E-2</v>
      </c>
      <c r="K5" s="2">
        <f t="array" ref="K5">VLOOKUP(B1&amp;C1&amp;B4, IF({1,0},CurrentMtgRatesDataTable[Source]&amp;CurrentMtgRatesDataTable[TickerName]&amp;CurrentMtgRatesDataTable[SeriesType],CurrentMtgRatesDataTable[SeriesNumValue]),2,0)</f>
        <v>3.875</v>
      </c>
    </row>
    <row r="6" spans="2:11">
      <c r="B6" s="2" t="s">
        <v>1</v>
      </c>
      <c r="C6" s="7">
        <v>200000</v>
      </c>
      <c r="E6" s="6" t="s">
        <v>9</v>
      </c>
      <c r="F6" s="11">
        <f>F4-C8</f>
        <v>1.2992569695680831E-2</v>
      </c>
      <c r="H6" s="2" t="s">
        <v>24</v>
      </c>
      <c r="I6" s="13">
        <f>C4-(0.01-(1-((C4/12*(1+C4/12)^360)/((1+C4/12)^360-1)*((1+C5/12)^360-1)/(C5/12*(1+C5/12)^360))))/4</f>
        <v>4.2780642423920205E-2</v>
      </c>
    </row>
    <row r="7" spans="2:11">
      <c r="B7" s="2" t="s">
        <v>4</v>
      </c>
      <c r="C7" s="18" t="s">
        <v>2</v>
      </c>
      <c r="D7" s="12"/>
      <c r="E7" s="2" t="s">
        <v>10</v>
      </c>
      <c r="F7" s="16">
        <f>F5+F6</f>
        <v>2.6122569695680831E-2</v>
      </c>
    </row>
    <row r="8" spans="2:11">
      <c r="B8" s="2" t="s">
        <v>7</v>
      </c>
      <c r="C8" s="13">
        <f t="array" ref="C8">VLOOKUP($B$1&amp;$C$1&amp;B8,IF({1,0},CurrentMtgRatesDataTable[Source]&amp;CurrentMtgRatesDataTable[TickerName]&amp;CurrentMtgRatesDataTable[SeriesType],CurrentMtgRatesDataTable[SeriesNumValue]),2,0)/100</f>
        <v>1.3129999999999999E-2</v>
      </c>
      <c r="D8" s="15"/>
    </row>
    <row r="13" spans="2:11">
      <c r="B13" s="2" t="s">
        <v>13</v>
      </c>
    </row>
  </sheetData>
  <mergeCells count="3">
    <mergeCell ref="B2:C2"/>
    <mergeCell ref="E2:F2"/>
    <mergeCell ref="H2:I2"/>
  </mergeCells>
  <pageMargins left="0.7" right="0.7" top="0.75" bottom="0.75" header="0.3" footer="0.3"/>
  <pageSetup orientation="portrait" horizontalDpi="300" verticalDpi="3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1:I13"/>
  <sheetViews>
    <sheetView workbookViewId="0">
      <selection activeCell="H31" sqref="H31"/>
    </sheetView>
  </sheetViews>
  <sheetFormatPr defaultRowHeight="12.75"/>
  <cols>
    <col min="1" max="1" width="9.140625" style="2"/>
    <col min="2" max="2" width="15.7109375" style="2" customWidth="1"/>
    <col min="3" max="3" width="16.85546875" style="2" customWidth="1"/>
    <col min="4" max="4" width="2.140625" style="2" customWidth="1"/>
    <col min="5" max="5" width="23.140625" style="2" bestFit="1" customWidth="1"/>
    <col min="6" max="6" width="15.7109375" style="2" customWidth="1"/>
    <col min="7" max="7" width="2.7109375" style="2" customWidth="1"/>
    <col min="8" max="8" width="15.7109375" style="2" customWidth="1"/>
    <col min="9" max="9" width="16.140625" style="2" customWidth="1"/>
    <col min="10" max="16384" width="9.140625" style="2"/>
  </cols>
  <sheetData>
    <row r="1" spans="2:9" ht="15">
      <c r="B1" s="1" t="s">
        <v>18</v>
      </c>
      <c r="C1" s="2" t="s">
        <v>55</v>
      </c>
    </row>
    <row r="2" spans="2:9">
      <c r="B2" s="162" t="s">
        <v>3</v>
      </c>
      <c r="C2" s="162"/>
      <c r="D2" s="4"/>
      <c r="E2" s="162" t="s">
        <v>5</v>
      </c>
      <c r="F2" s="162"/>
      <c r="H2" s="162" t="s">
        <v>12</v>
      </c>
      <c r="I2" s="162"/>
    </row>
    <row r="4" spans="2:9">
      <c r="B4" s="91" t="s">
        <v>27</v>
      </c>
      <c r="C4" s="13">
        <f t="array" ref="C4">VLOOKUP($B$1&amp;$C$1&amp;B4,IF({1,0},CurrentMtgRatesDataTable[Source]&amp;CurrentMtgRatesDataTable[TickerName]&amp;CurrentMtgRatesDataTable[SeriesType],CurrentMtgRatesDataTable[SeriesNumValue]),2,0)/100</f>
        <v>4.1250000000000002E-2</v>
      </c>
      <c r="D4" s="5"/>
      <c r="E4" s="5" t="s">
        <v>8</v>
      </c>
      <c r="F4" s="13">
        <f>1-((C4/12*(1+C4/12)^360)/((1+C4/12)^360-1)*((1+C5/12)^360-1)/(C5/12*(1+C5/12)^360))</f>
        <v>9.9947928123548246E-3</v>
      </c>
      <c r="H4" s="8" t="s">
        <v>11</v>
      </c>
      <c r="I4" s="9">
        <f>C4-(1%-F7)/4</f>
        <v>4.1248698203088706E-2</v>
      </c>
    </row>
    <row r="5" spans="2:9">
      <c r="B5" s="2" t="s">
        <v>0</v>
      </c>
      <c r="C5" s="13">
        <f t="array" ref="C5">VLOOKUP($B$1&amp;$C$1&amp;B5,IF({1,0},CurrentMtgRatesDataTable[Source]&amp;CurrentMtgRatesDataTable[TickerName]&amp;CurrentMtgRatesDataTable[SeriesType],CurrentMtgRatesDataTable[SeriesNumValue]),2,0)/100</f>
        <v>4.2089999999999995E-2</v>
      </c>
      <c r="D5" s="5"/>
      <c r="E5" s="6" t="s">
        <v>14</v>
      </c>
      <c r="F5" s="17">
        <f>C8</f>
        <v>0.01</v>
      </c>
    </row>
    <row r="6" spans="2:9">
      <c r="B6" s="2" t="s">
        <v>1</v>
      </c>
      <c r="C6" s="7">
        <v>215000</v>
      </c>
      <c r="E6" s="6" t="s">
        <v>9</v>
      </c>
      <c r="F6" s="11">
        <f>F4-C8</f>
        <v>-5.2071876451755678E-6</v>
      </c>
      <c r="H6" s="2" t="s">
        <v>24</v>
      </c>
      <c r="I6" s="13">
        <f>C4-(0.01-(1-((C4/12*(1+C4/12)^360)/((1+C4/12)^360-1)*((1+C5/12)^360-1)/(C5/12*(1+C5/12)^360))))/4</f>
        <v>4.1248698203088706E-2</v>
      </c>
    </row>
    <row r="7" spans="2:9">
      <c r="B7" s="2" t="s">
        <v>4</v>
      </c>
      <c r="C7" s="18" t="s">
        <v>2</v>
      </c>
      <c r="D7" s="12"/>
      <c r="E7" s="2" t="s">
        <v>10</v>
      </c>
      <c r="F7" s="16">
        <f>F5+F6</f>
        <v>9.9947928123548246E-3</v>
      </c>
    </row>
    <row r="8" spans="2:9">
      <c r="B8" s="2" t="s">
        <v>7</v>
      </c>
      <c r="C8" s="13">
        <f t="array" ref="C8">VLOOKUP($B$1&amp;$C$1&amp;B8,IF({1,0},CurrentMtgRatesDataTable[Source]&amp;CurrentMtgRatesDataTable[TickerName]&amp;CurrentMtgRatesDataTable[SeriesType],CurrentMtgRatesDataTable[SeriesNumValue]),2,0)/100</f>
        <v>0.01</v>
      </c>
      <c r="D8" s="15"/>
    </row>
    <row r="13" spans="2:9">
      <c r="B13" s="2" t="s">
        <v>13</v>
      </c>
    </row>
  </sheetData>
  <mergeCells count="3">
    <mergeCell ref="B2:C2"/>
    <mergeCell ref="E2:F2"/>
    <mergeCell ref="H2:I2"/>
  </mergeCells>
  <pageMargins left="0.7" right="0.7" top="0.75" bottom="0.75" header="0.3" footer="0.3"/>
  <pageSetup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1:I13"/>
  <sheetViews>
    <sheetView workbookViewId="0">
      <selection activeCell="E11" sqref="E11"/>
    </sheetView>
  </sheetViews>
  <sheetFormatPr defaultRowHeight="12.75"/>
  <cols>
    <col min="1" max="1" width="9.140625" style="2"/>
    <col min="2" max="2" width="15.7109375" style="2" customWidth="1"/>
    <col min="3" max="3" width="16.85546875" style="2" customWidth="1"/>
    <col min="4" max="4" width="2.140625" style="2" customWidth="1"/>
    <col min="5" max="5" width="23.140625" style="2" bestFit="1" customWidth="1"/>
    <col min="6" max="6" width="15.7109375" style="2" customWidth="1"/>
    <col min="7" max="7" width="2.7109375" style="2" customWidth="1"/>
    <col min="8" max="8" width="15.7109375" style="2" customWidth="1"/>
    <col min="9" max="9" width="20" style="2" bestFit="1" customWidth="1"/>
    <col min="10" max="16384" width="9.140625" style="2"/>
  </cols>
  <sheetData>
    <row r="1" spans="2:9">
      <c r="B1" s="104" t="s">
        <v>19</v>
      </c>
      <c r="C1" s="105" t="s">
        <v>55</v>
      </c>
    </row>
    <row r="2" spans="2:9">
      <c r="B2" s="162" t="s">
        <v>3</v>
      </c>
      <c r="C2" s="162"/>
      <c r="D2" s="4"/>
      <c r="E2" s="162" t="s">
        <v>5</v>
      </c>
      <c r="F2" s="162"/>
      <c r="H2" s="162" t="s">
        <v>12</v>
      </c>
      <c r="I2" s="162"/>
    </row>
    <row r="4" spans="2:9">
      <c r="B4" s="91" t="s">
        <v>27</v>
      </c>
      <c r="C4" s="13">
        <f t="array" ref="C4">VLOOKUP($B$1&amp;$C$1&amp;B4,IF({1,0},CurrentMtgRatesDataTable[Source]&amp;CurrentMtgRatesDataTable[TickerName]&amp;CurrentMtgRatesDataTable[SeriesType],CurrentMtgRatesDataTable[SeriesNumValue]),2,0)/100</f>
        <v>3.875E-2</v>
      </c>
      <c r="D4" s="5"/>
      <c r="E4" s="5" t="s">
        <v>8</v>
      </c>
      <c r="F4" s="13">
        <f>1-((C4/12*(1+C4/12)^360)/((1+C4/12)^360-1)*((1+C5/12)^360-1)/(C5/12*(1+C5/12)^360))</f>
        <v>2.5888610420199187E-2</v>
      </c>
      <c r="H4" s="8" t="s">
        <v>11</v>
      </c>
      <c r="I4" s="9">
        <f>C4-(1%-F7)/4</f>
        <v>4.2722152605049794E-2</v>
      </c>
    </row>
    <row r="5" spans="2:9">
      <c r="B5" s="2" t="s">
        <v>0</v>
      </c>
      <c r="C5" s="13">
        <f t="array" ref="C5">VLOOKUP($B$1&amp;$C$1&amp;B5,IF({1,0},CurrentMtgRatesDataTable[Source]&amp;CurrentMtgRatesDataTable[TickerName]&amp;CurrentMtgRatesDataTable[SeriesType],CurrentMtgRatesDataTable[SeriesNumValue]),2,0)/100</f>
        <v>4.0919999999999998E-2</v>
      </c>
      <c r="D5" s="5"/>
      <c r="E5" s="6" t="s">
        <v>14</v>
      </c>
      <c r="F5" s="17">
        <f>C8</f>
        <v>1.7500000000000002E-2</v>
      </c>
    </row>
    <row r="6" spans="2:9">
      <c r="B6" s="2" t="s">
        <v>1</v>
      </c>
      <c r="C6" s="7">
        <v>200000</v>
      </c>
      <c r="E6" s="6" t="s">
        <v>9</v>
      </c>
      <c r="F6" s="11">
        <f>F4-C8</f>
        <v>8.3886104201991857E-3</v>
      </c>
      <c r="H6" s="2" t="s">
        <v>24</v>
      </c>
      <c r="I6" s="13">
        <f>C4-(0.01-(1-((C4/12*(1+C4/12)^360)/((1+C4/12)^360-1)*((1+C5/12)^360-1)/(C5/12*(1+C5/12)^360))))/4</f>
        <v>4.2722152605049794E-2</v>
      </c>
    </row>
    <row r="7" spans="2:9">
      <c r="B7" s="2" t="s">
        <v>4</v>
      </c>
      <c r="C7" s="18" t="s">
        <v>2</v>
      </c>
      <c r="D7" s="12"/>
      <c r="E7" s="2" t="s">
        <v>10</v>
      </c>
      <c r="F7" s="16">
        <f>F5+F6</f>
        <v>2.5888610420199187E-2</v>
      </c>
    </row>
    <row r="8" spans="2:9">
      <c r="B8" s="2" t="s">
        <v>7</v>
      </c>
      <c r="C8" s="13">
        <f t="array" ref="C8">VLOOKUP($B$1&amp;$C$1&amp;B8,IF({1,0},CurrentMtgRatesDataTable[Source]&amp;CurrentMtgRatesDataTable[TickerName]&amp;CurrentMtgRatesDataTable[SeriesType],CurrentMtgRatesDataTable[SeriesNumValue]),2,0)/100</f>
        <v>1.7500000000000002E-2</v>
      </c>
      <c r="D8" s="15"/>
    </row>
    <row r="13" spans="2:9">
      <c r="B13" s="2" t="s">
        <v>13</v>
      </c>
    </row>
  </sheetData>
  <mergeCells count="3">
    <mergeCell ref="B2:C2"/>
    <mergeCell ref="E2:F2"/>
    <mergeCell ref="H2:I2"/>
  </mergeCells>
  <pageMargins left="0.7" right="0.7" top="0.75" bottom="0.75" header="0.3" footer="0.3"/>
  <pageSetup orientation="portrait" horizontalDpi="300" verticalDpi="3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B1:I13"/>
  <sheetViews>
    <sheetView workbookViewId="0">
      <selection activeCell="C6" sqref="C6"/>
    </sheetView>
  </sheetViews>
  <sheetFormatPr defaultRowHeight="15"/>
  <cols>
    <col min="2" max="3" width="15.7109375" customWidth="1"/>
    <col min="4" max="4" width="2.140625" style="1" customWidth="1"/>
    <col min="5" max="5" width="23.140625" bestFit="1" customWidth="1"/>
    <col min="6" max="6" width="15.7109375" customWidth="1"/>
    <col min="7" max="7" width="2.7109375" customWidth="1"/>
    <col min="8" max="9" width="15.7109375" customWidth="1"/>
  </cols>
  <sheetData>
    <row r="1" spans="2:9">
      <c r="B1" s="1" t="s">
        <v>20</v>
      </c>
      <c r="C1" s="1" t="s">
        <v>55</v>
      </c>
    </row>
    <row r="2" spans="2:9">
      <c r="B2" s="162" t="s">
        <v>3</v>
      </c>
      <c r="C2" s="162"/>
      <c r="D2" s="4"/>
      <c r="E2" s="162" t="s">
        <v>5</v>
      </c>
      <c r="F2" s="162"/>
      <c r="G2" s="2"/>
      <c r="H2" s="162" t="s">
        <v>12</v>
      </c>
      <c r="I2" s="162"/>
    </row>
    <row r="3" spans="2:9">
      <c r="B3" s="2"/>
      <c r="C3" s="2"/>
      <c r="D3" s="2"/>
      <c r="E3" s="2"/>
      <c r="F3" s="2"/>
      <c r="G3" s="2"/>
      <c r="H3" s="2"/>
      <c r="I3" s="2"/>
    </row>
    <row r="4" spans="2:9">
      <c r="B4" s="91" t="s">
        <v>27</v>
      </c>
      <c r="C4" s="13">
        <f t="array" ref="C4">VLOOKUP($B$1&amp;$C$1&amp;B4,IF({1,0},CurrentMtgRatesDataTable[Source]&amp;CurrentMtgRatesDataTable[TickerName]&amp;CurrentMtgRatesDataTable[SeriesType],CurrentMtgRatesDataTable[SeriesNumValue]),2,0)/100</f>
        <v>4.1250000000000002E-2</v>
      </c>
      <c r="D4" s="5"/>
      <c r="E4" s="6" t="s">
        <v>6</v>
      </c>
      <c r="F4" s="7">
        <f>((CIR/12*(1+CIR/12)^360)/((1+CIR/12)^360-1)*((1+CAPR/12)^360-1)/(CAPR/12*(1+CAPR/12)^360))*CP</f>
        <v>199473.56815640064</v>
      </c>
      <c r="G4" s="2"/>
      <c r="H4" s="8" t="s">
        <v>11</v>
      </c>
      <c r="I4" s="9">
        <f>CIR-(1%-F9)/4</f>
        <v>4.1618039804499192E-2</v>
      </c>
    </row>
    <row r="5" spans="2:9">
      <c r="B5" s="2" t="s">
        <v>0</v>
      </c>
      <c r="C5" s="13">
        <f t="array" ref="C5">VLOOKUP($B$1&amp;$C$1&amp;B5,IF({1,0},CurrentMtgRatesDataTable[Source]&amp;CurrentMtgRatesDataTable[TickerName]&amp;CurrentMtgRatesDataTable[SeriesType],CurrentMtgRatesDataTable[SeriesNumValue]),2,0)/100</f>
        <v>4.147E-2</v>
      </c>
      <c r="D5" s="5"/>
      <c r="E5" s="10" t="s">
        <v>8</v>
      </c>
      <c r="F5" s="11">
        <f>1-F4/CP</f>
        <v>2.6321592179968656E-3</v>
      </c>
      <c r="G5" s="2"/>
      <c r="H5" s="2"/>
      <c r="I5" s="2"/>
    </row>
    <row r="6" spans="2:9">
      <c r="B6" s="2" t="s">
        <v>1</v>
      </c>
      <c r="C6" s="31">
        <f t="array" ref="C6">VLOOKUP($B$1&amp;$C$1&amp;B6,IF({1,0},CurrentMtgRatesDataTable[Source]&amp;CurrentMtgRatesDataTable[TickerName]&amp;CurrentMtgRatesDataTable[SeriesType],CurrentMtgRatesDataTable[SeriesNumValue]),2,0)</f>
        <v>200000</v>
      </c>
      <c r="D6" s="2"/>
      <c r="E6" s="5" t="s">
        <v>15</v>
      </c>
      <c r="F6" s="13">
        <f>1-((CIR/12*(1+CIR/12)^360)/((1+CIR/12)^360-1)*((1+CAPR/12)^360-1)/(CAPR/12*(1+CAPR/12)^360))</f>
        <v>2.6321592179967546E-3</v>
      </c>
      <c r="G6" s="2"/>
      <c r="H6" s="2" t="s">
        <v>24</v>
      </c>
      <c r="I6" s="13">
        <f>CIR-(0.01-(1-((CIR/12*(1+CIR/12)^360)/((1+CIR/12)^360-1)*((1+CAPR/12)^360-1)/(CAPR/12*(1+CAPR/12)^360)) + C7/CP))/4</f>
        <v>4.1618039804499192E-2</v>
      </c>
    </row>
    <row r="7" spans="2:9">
      <c r="B7" s="91" t="s">
        <v>80</v>
      </c>
      <c r="C7" s="31">
        <f t="array" ref="C7">VLOOKUP($B$1&amp;$C$1&amp;B7,IF({1,0},CurrentMtgRatesDataTable[Source]&amp;CurrentMtgRatesDataTable[TickerName]&amp;CurrentMtgRatesDataTable[SeriesType],CurrentMtgRatesDataTable[SeriesNumValue]),2,0)</f>
        <v>1768</v>
      </c>
      <c r="D7" s="12"/>
      <c r="E7" s="2"/>
      <c r="F7" s="2"/>
      <c r="G7" s="2"/>
      <c r="H7" s="2"/>
      <c r="I7" s="2"/>
    </row>
    <row r="8" spans="2:9">
      <c r="B8" s="6" t="s">
        <v>7</v>
      </c>
      <c r="C8" s="14" t="s">
        <v>2</v>
      </c>
      <c r="D8" s="15"/>
      <c r="E8" s="2" t="s">
        <v>9</v>
      </c>
      <c r="F8" s="13">
        <f>C7/CP</f>
        <v>8.8400000000000006E-3</v>
      </c>
      <c r="G8" s="2"/>
      <c r="H8" s="2"/>
      <c r="I8" s="2"/>
    </row>
    <row r="9" spans="2:9">
      <c r="B9" s="2"/>
      <c r="C9" s="2"/>
      <c r="D9" s="2"/>
      <c r="E9" s="2" t="s">
        <v>10</v>
      </c>
      <c r="F9" s="16">
        <f>F6+F8</f>
        <v>1.1472159217996755E-2</v>
      </c>
      <c r="G9" s="2"/>
      <c r="H9" s="2"/>
      <c r="I9" s="2"/>
    </row>
    <row r="10" spans="2:9">
      <c r="B10" s="2"/>
      <c r="C10" s="2"/>
      <c r="D10" s="2"/>
      <c r="E10" s="2"/>
      <c r="F10" s="2"/>
      <c r="G10" s="2"/>
      <c r="H10" s="2"/>
      <c r="I10" s="2"/>
    </row>
    <row r="11" spans="2:9">
      <c r="B11" s="2"/>
      <c r="C11" s="2"/>
      <c r="D11" s="2"/>
      <c r="E11" s="2"/>
      <c r="F11" s="2"/>
      <c r="G11" s="2"/>
      <c r="H11" s="2"/>
      <c r="I11" s="2"/>
    </row>
    <row r="12" spans="2:9">
      <c r="B12" s="2"/>
      <c r="C12" s="2"/>
      <c r="D12" s="2"/>
      <c r="E12" s="2"/>
      <c r="F12" s="2"/>
      <c r="G12" s="2"/>
      <c r="H12" s="2"/>
      <c r="I12" s="2"/>
    </row>
    <row r="13" spans="2:9">
      <c r="B13" s="2" t="s">
        <v>13</v>
      </c>
      <c r="C13" s="2"/>
      <c r="D13" s="2"/>
      <c r="E13" s="2"/>
      <c r="F13" s="2"/>
      <c r="G13" s="2"/>
      <c r="H13" s="2"/>
      <c r="I13" s="2"/>
    </row>
  </sheetData>
  <mergeCells count="3">
    <mergeCell ref="B2:C2"/>
    <mergeCell ref="E2:F2"/>
    <mergeCell ref="H2:I2"/>
  </mergeCells>
  <pageMargins left="0.7" right="0.7" top="0.75" bottom="0.75" header="0.3" footer="0.3"/>
  <pageSetup orientation="portrait" horizontalDpi="300" verticalDpi="3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1:I42"/>
  <sheetViews>
    <sheetView workbookViewId="0">
      <selection activeCell="B4" sqref="B4:C7"/>
    </sheetView>
  </sheetViews>
  <sheetFormatPr defaultRowHeight="12.75"/>
  <cols>
    <col min="1" max="1" width="9.140625" style="2"/>
    <col min="2" max="2" width="15.7109375" style="2" customWidth="1"/>
    <col min="3" max="3" width="16.85546875" style="2" customWidth="1"/>
    <col min="4" max="4" width="2.140625" style="2" customWidth="1"/>
    <col min="5" max="5" width="23.140625" style="2" bestFit="1" customWidth="1"/>
    <col min="6" max="6" width="15.7109375" style="2" customWidth="1"/>
    <col min="7" max="7" width="2.7109375" style="2" customWidth="1"/>
    <col min="8" max="8" width="15.7109375" style="2" customWidth="1"/>
    <col min="9" max="9" width="16.140625" style="2" customWidth="1"/>
    <col min="10" max="16384" width="9.140625" style="2"/>
  </cols>
  <sheetData>
    <row r="1" spans="2:9">
      <c r="B1" s="104" t="s">
        <v>20</v>
      </c>
      <c r="C1" s="105" t="s">
        <v>58</v>
      </c>
    </row>
    <row r="2" spans="2:9">
      <c r="B2" s="162" t="s">
        <v>3</v>
      </c>
      <c r="C2" s="162"/>
      <c r="D2" s="20"/>
      <c r="E2" s="162" t="s">
        <v>5</v>
      </c>
      <c r="F2" s="162"/>
      <c r="H2" s="162" t="s">
        <v>12</v>
      </c>
      <c r="I2" s="162"/>
    </row>
    <row r="4" spans="2:9">
      <c r="B4" s="91" t="s">
        <v>27</v>
      </c>
      <c r="C4" s="13">
        <f t="array" ref="C4">VLOOKUP($B$1&amp;$C$1&amp;B4,IF({1,0},CurrentMtgRatesDataTable[Source]&amp;CurrentMtgRatesDataTable[TickerName]&amp;CurrentMtgRatesDataTable[SeriesType],CurrentMtgRatesDataTable[SeriesNumValue]),2,0)/100</f>
        <v>4.1250000000000002E-2</v>
      </c>
      <c r="D4" s="5"/>
      <c r="E4" s="5" t="s">
        <v>8</v>
      </c>
      <c r="F4" s="13">
        <f>1-((C4/12*(1+C4/12)^360)/((1+C4/12)^360-1)*((1+C5/12)^360-1)/(C5/12*(1+C5/12)^360))</f>
        <v>2.7515576864621805E-3</v>
      </c>
      <c r="H4" s="8" t="s">
        <v>11</v>
      </c>
      <c r="I4" s="9">
        <f>C4-(1%-F7)/4</f>
        <v>4.1238889421615549E-2</v>
      </c>
    </row>
    <row r="5" spans="2:9">
      <c r="B5" s="2" t="s">
        <v>0</v>
      </c>
      <c r="C5" s="13">
        <f t="array" ref="C5">VLOOKUP($B$1&amp;$C$1&amp;B5,IF({1,0},CurrentMtgRatesDataTable[Source]&amp;CurrentMtgRatesDataTable[TickerName]&amp;CurrentMtgRatesDataTable[SeriesType],CurrentMtgRatesDataTable[SeriesNumValue]),2,0)/100</f>
        <v>4.1479999999999996E-2</v>
      </c>
      <c r="D5" s="5"/>
      <c r="E5" s="6" t="s">
        <v>14</v>
      </c>
      <c r="F5" s="17">
        <f>F4</f>
        <v>2.7515576864621805E-3</v>
      </c>
    </row>
    <row r="6" spans="2:9">
      <c r="B6" s="2" t="s">
        <v>1</v>
      </c>
      <c r="C6" s="31">
        <f t="array" ref="C6">VLOOKUP($B$1&amp;$C$1&amp;B6,IF({1,0},CurrentMtgRatesDataTable[Source]&amp;CurrentMtgRatesDataTable[TickerName]&amp;CurrentMtgRatesDataTable[SeriesType],CurrentMtgRatesDataTable[SeriesNumValue]),2,0)</f>
        <v>500000</v>
      </c>
      <c r="E6" s="6" t="s">
        <v>9</v>
      </c>
      <c r="F6" s="11">
        <f>C7/C6</f>
        <v>7.2040000000000003E-3</v>
      </c>
      <c r="H6" s="2" t="s">
        <v>24</v>
      </c>
      <c r="I6" s="13">
        <f>C4-(0.01-(1-((C4/12*(1+C4/12)^360)/((1+C4/12)^360-1)*((1+C5/12)^360-1)/(C5/12*(1+C5/12)^360)) + C7/C6))/4</f>
        <v>4.1238889421615549E-2</v>
      </c>
    </row>
    <row r="7" spans="2:9">
      <c r="B7" s="91" t="s">
        <v>80</v>
      </c>
      <c r="C7" s="31">
        <f t="array" ref="C7">VLOOKUP($B$1&amp;$C$1&amp;B7,IF({1,0},CurrentMtgRatesDataTable[Source]&amp;CurrentMtgRatesDataTable[TickerName]&amp;CurrentMtgRatesDataTable[SeriesType],CurrentMtgRatesDataTable[SeriesNumValue]),2,0)</f>
        <v>3602</v>
      </c>
      <c r="D7" s="12"/>
      <c r="E7" s="2" t="s">
        <v>10</v>
      </c>
      <c r="F7" s="16">
        <f>F5+F6</f>
        <v>9.9555576864621808E-3</v>
      </c>
    </row>
    <row r="8" spans="2:9">
      <c r="B8" s="2" t="s">
        <v>7</v>
      </c>
      <c r="C8" s="11" t="s">
        <v>2</v>
      </c>
      <c r="D8" s="15"/>
    </row>
    <row r="13" spans="2:9">
      <c r="B13" s="2" t="s">
        <v>13</v>
      </c>
    </row>
    <row r="17" spans="2:6" ht="15">
      <c r="B17" s="1"/>
      <c r="C17" s="22"/>
      <c r="D17" s="1"/>
      <c r="E17" s="1"/>
      <c r="F17" s="22"/>
    </row>
    <row r="18" spans="2:6" ht="15">
      <c r="B18" s="1"/>
      <c r="C18" s="23"/>
      <c r="D18" s="1"/>
      <c r="E18" s="1"/>
      <c r="F18" s="23"/>
    </row>
    <row r="19" spans="2:6" ht="15">
      <c r="B19" s="1"/>
      <c r="C19" s="24"/>
      <c r="D19" s="1"/>
      <c r="E19" s="1"/>
      <c r="F19" s="24"/>
    </row>
    <row r="20" spans="2:6" ht="15">
      <c r="B20" s="1"/>
      <c r="C20" s="25"/>
      <c r="D20" s="1"/>
      <c r="E20" s="1"/>
      <c r="F20" s="23"/>
    </row>
    <row r="21" spans="2:6" ht="15">
      <c r="B21" s="1"/>
      <c r="C21" s="1"/>
      <c r="D21" s="1"/>
      <c r="E21" s="1"/>
      <c r="F21" s="1"/>
    </row>
    <row r="22" spans="2:6" ht="15">
      <c r="B22" s="1"/>
      <c r="C22" s="26"/>
      <c r="D22" s="1"/>
      <c r="E22" s="1"/>
      <c r="F22" s="19"/>
    </row>
    <row r="37" spans="2:6" ht="15">
      <c r="B37" s="1"/>
      <c r="C37" s="22"/>
      <c r="D37" s="1"/>
      <c r="E37" s="1"/>
      <c r="F37" s="22"/>
    </row>
    <row r="38" spans="2:6" ht="15">
      <c r="B38" s="1"/>
      <c r="C38" s="23"/>
      <c r="D38" s="1"/>
      <c r="E38" s="1"/>
      <c r="F38" s="23"/>
    </row>
    <row r="39" spans="2:6" ht="15">
      <c r="B39" s="1"/>
      <c r="C39" s="24"/>
      <c r="D39" s="1"/>
      <c r="E39" s="1"/>
      <c r="F39" s="24"/>
    </row>
    <row r="40" spans="2:6" ht="15">
      <c r="B40" s="1"/>
      <c r="C40" s="25"/>
      <c r="D40" s="1"/>
      <c r="E40" s="1"/>
      <c r="F40" s="23"/>
    </row>
    <row r="41" spans="2:6" ht="15">
      <c r="B41" s="1"/>
      <c r="C41" s="1"/>
      <c r="D41" s="1"/>
      <c r="E41" s="1"/>
      <c r="F41" s="1"/>
    </row>
    <row r="42" spans="2:6" ht="15">
      <c r="B42" s="1"/>
      <c r="C42" s="26"/>
      <c r="D42" s="1"/>
      <c r="E42" s="1"/>
      <c r="F42" s="19"/>
    </row>
  </sheetData>
  <mergeCells count="3">
    <mergeCell ref="B2:C2"/>
    <mergeCell ref="E2:F2"/>
    <mergeCell ref="H2:I2"/>
  </mergeCells>
  <pageMargins left="0.7" right="0.7" top="0.75" bottom="0.75" header="0.3" footer="0.3"/>
  <pageSetup orientation="portrait" horizontalDpi="300" verticalDpi="30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B1:I42"/>
  <sheetViews>
    <sheetView workbookViewId="0">
      <selection activeCell="B4" sqref="B4:C7"/>
    </sheetView>
  </sheetViews>
  <sheetFormatPr defaultRowHeight="12.75"/>
  <cols>
    <col min="1" max="1" width="9.140625" style="2"/>
    <col min="2" max="2" width="15.7109375" style="2" customWidth="1"/>
    <col min="3" max="3" width="16.85546875" style="2" customWidth="1"/>
    <col min="4" max="4" width="2.140625" style="2" customWidth="1"/>
    <col min="5" max="5" width="23.140625" style="2" bestFit="1" customWidth="1"/>
    <col min="6" max="6" width="15.7109375" style="2" customWidth="1"/>
    <col min="7" max="7" width="2.7109375" style="2" customWidth="1"/>
    <col min="8" max="8" width="15.7109375" style="2" customWidth="1"/>
    <col min="9" max="9" width="16.140625" style="2" customWidth="1"/>
    <col min="10" max="16384" width="9.140625" style="2"/>
  </cols>
  <sheetData>
    <row r="1" spans="2:9">
      <c r="B1" s="2" t="s">
        <v>20</v>
      </c>
      <c r="C1" s="2" t="s">
        <v>59</v>
      </c>
    </row>
    <row r="2" spans="2:9">
      <c r="B2" s="162" t="s">
        <v>3</v>
      </c>
      <c r="C2" s="162"/>
      <c r="D2" s="20"/>
      <c r="E2" s="162" t="s">
        <v>5</v>
      </c>
      <c r="F2" s="162"/>
      <c r="H2" s="162" t="s">
        <v>12</v>
      </c>
      <c r="I2" s="162"/>
    </row>
    <row r="4" spans="2:9">
      <c r="B4" s="91" t="s">
        <v>27</v>
      </c>
      <c r="C4" s="13">
        <f t="array" ref="C4">VLOOKUP($B$1&amp;$C$1&amp;B4,IF({1,0},CurrentMtgRatesDataTable[Source]&amp;CurrentMtgRatesDataTable[TickerName]&amp;CurrentMtgRatesDataTable[SeriesType],CurrentMtgRatesDataTable[SeriesNumValue]),2,0)/100</f>
        <v>4.1250000000000002E-2</v>
      </c>
      <c r="D4" s="5"/>
      <c r="E4" s="5" t="s">
        <v>8</v>
      </c>
      <c r="F4" s="13">
        <f>1-((C4/12*(1+C4/12)^360)/((1+C4/12)^360-1)*((1+C5/12)^360-1)/(C5/12*(1+C5/12)^360))</f>
        <v>0</v>
      </c>
      <c r="H4" s="8" t="s">
        <v>11</v>
      </c>
      <c r="I4" s="9">
        <f>C4-(1%-F7)/4</f>
        <v>3.9170666666666666E-2</v>
      </c>
    </row>
    <row r="5" spans="2:9">
      <c r="B5" s="2" t="s">
        <v>0</v>
      </c>
      <c r="C5" s="13">
        <f t="array" ref="C5">VLOOKUP($B$1&amp;$C$1&amp;B5,IF({1,0},CurrentMtgRatesDataTable[Source]&amp;CurrentMtgRatesDataTable[TickerName]&amp;CurrentMtgRatesDataTable[SeriesType],CurrentMtgRatesDataTable[SeriesNumValue]),2,0)/100</f>
        <v>4.1250000000000002E-2</v>
      </c>
      <c r="D5" s="5"/>
      <c r="E5" s="6" t="s">
        <v>14</v>
      </c>
      <c r="F5" s="17">
        <f>F4</f>
        <v>0</v>
      </c>
    </row>
    <row r="6" spans="2:9">
      <c r="B6" s="2" t="s">
        <v>1</v>
      </c>
      <c r="C6" s="31">
        <f t="array" ref="C6">VLOOKUP($B$1&amp;$C$1&amp;B6,IF({1,0},CurrentMtgRatesDataTable[Source]&amp;CurrentMtgRatesDataTable[TickerName]&amp;CurrentMtgRatesDataTable[SeriesType],CurrentMtgRatesDataTable[SeriesNumValue]),2,0)</f>
        <v>750000</v>
      </c>
      <c r="E6" s="6" t="s">
        <v>9</v>
      </c>
      <c r="F6" s="11">
        <f>C7/C6</f>
        <v>1.6826666666666667E-3</v>
      </c>
      <c r="H6" s="2" t="s">
        <v>24</v>
      </c>
      <c r="I6" s="13">
        <f>C4-(0.01-(1-((C4/12*(1+C4/12)^360)/((1+C4/12)^360-1)*((1+C5/12)^360-1)/(C5/12*(1+C5/12)^360)) + C7/C6))/4</f>
        <v>3.9170666666666666E-2</v>
      </c>
    </row>
    <row r="7" spans="2:9">
      <c r="B7" s="91" t="s">
        <v>80</v>
      </c>
      <c r="C7" s="31">
        <f t="array" ref="C7">VLOOKUP($B$1&amp;$C$1&amp;B7,IF({1,0},CurrentMtgRatesDataTable[Source]&amp;CurrentMtgRatesDataTable[TickerName]&amp;CurrentMtgRatesDataTable[SeriesType],CurrentMtgRatesDataTable[SeriesNumValue]),2,0)</f>
        <v>1262</v>
      </c>
      <c r="D7" s="12"/>
      <c r="E7" s="2" t="s">
        <v>10</v>
      </c>
      <c r="F7" s="16">
        <f>F5+F6</f>
        <v>1.6826666666666667E-3</v>
      </c>
    </row>
    <row r="8" spans="2:9">
      <c r="B8" s="2" t="s">
        <v>7</v>
      </c>
      <c r="C8" s="11" t="s">
        <v>2</v>
      </c>
      <c r="D8" s="15"/>
    </row>
    <row r="13" spans="2:9">
      <c r="B13" s="2" t="s">
        <v>13</v>
      </c>
    </row>
    <row r="37" spans="2:6" ht="15">
      <c r="B37" s="1"/>
      <c r="C37" s="22"/>
      <c r="D37" s="1"/>
      <c r="E37" s="1"/>
      <c r="F37" s="22"/>
    </row>
    <row r="38" spans="2:6" ht="15">
      <c r="B38" s="1"/>
      <c r="C38" s="23"/>
      <c r="D38" s="1"/>
      <c r="E38" s="1"/>
      <c r="F38" s="23"/>
    </row>
    <row r="39" spans="2:6" ht="15">
      <c r="B39" s="1"/>
      <c r="C39" s="24"/>
      <c r="D39" s="1"/>
      <c r="E39" s="1"/>
      <c r="F39" s="24"/>
    </row>
    <row r="40" spans="2:6" ht="15">
      <c r="B40" s="1"/>
      <c r="C40" s="25"/>
      <c r="D40" s="1"/>
      <c r="E40" s="1"/>
      <c r="F40" s="23"/>
    </row>
    <row r="41" spans="2:6" ht="15">
      <c r="B41" s="1"/>
      <c r="C41" s="1"/>
      <c r="D41" s="1"/>
      <c r="E41" s="1"/>
      <c r="F41" s="1"/>
    </row>
    <row r="42" spans="2:6" ht="15">
      <c r="B42" s="1"/>
      <c r="C42" s="26"/>
      <c r="D42" s="1"/>
      <c r="E42" s="1"/>
      <c r="F42" s="19"/>
    </row>
  </sheetData>
  <mergeCells count="3">
    <mergeCell ref="B2:C2"/>
    <mergeCell ref="E2:F2"/>
    <mergeCell ref="H2:I2"/>
  </mergeCells>
  <pageMargins left="0.7" right="0.7" top="0.75" bottom="0.75" header="0.3" footer="0.3"/>
  <pageSetup orientation="portrait" horizontalDpi="300" verticalDpi="30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I13"/>
  <sheetViews>
    <sheetView workbookViewId="0">
      <selection activeCell="C12" sqref="C12"/>
    </sheetView>
  </sheetViews>
  <sheetFormatPr defaultRowHeight="12.75"/>
  <cols>
    <col min="1" max="1" width="9.140625" style="2"/>
    <col min="2" max="2" width="38" style="2" bestFit="1" customWidth="1"/>
    <col min="3" max="3" width="16.85546875" style="2" customWidth="1"/>
    <col min="4" max="4" width="2.140625" style="2" customWidth="1"/>
    <col min="5" max="5" width="23.140625" style="2" bestFit="1" customWidth="1"/>
    <col min="6" max="6" width="15.7109375" style="2" customWidth="1"/>
    <col min="7" max="7" width="2.7109375" style="2" customWidth="1"/>
    <col min="8" max="8" width="15.7109375" style="2" customWidth="1"/>
    <col min="9" max="9" width="20" style="2" bestFit="1" customWidth="1"/>
    <col min="10" max="16384" width="9.140625" style="2"/>
  </cols>
  <sheetData>
    <row r="1" spans="2:9">
      <c r="B1" s="104" t="s">
        <v>20</v>
      </c>
      <c r="C1" s="105" t="s">
        <v>57</v>
      </c>
    </row>
    <row r="2" spans="2:9">
      <c r="B2" s="162" t="s">
        <v>3</v>
      </c>
      <c r="C2" s="162"/>
      <c r="D2" s="21"/>
      <c r="E2" s="162" t="s">
        <v>5</v>
      </c>
      <c r="F2" s="162"/>
      <c r="H2" s="162" t="s">
        <v>12</v>
      </c>
      <c r="I2" s="162"/>
    </row>
    <row r="4" spans="2:9">
      <c r="B4" s="91" t="s">
        <v>27</v>
      </c>
      <c r="C4" s="13">
        <f t="array" ref="C4">VLOOKUP($B$1&amp;$C$1&amp;B4,IF({1,0},CurrentMtgRatesDataTable[Source]&amp;CurrentMtgRatesDataTable[TickerName]&amp;CurrentMtgRatesDataTable[SeriesType],CurrentMtgRatesDataTable[SeriesNumValue]),2,0)/100</f>
        <v>3.875E-2</v>
      </c>
      <c r="D4" s="5"/>
      <c r="E4" s="5" t="s">
        <v>36</v>
      </c>
      <c r="F4" s="13">
        <f>C5/C6</f>
        <v>2.4525E-7</v>
      </c>
      <c r="H4" s="8" t="s">
        <v>11</v>
      </c>
      <c r="I4" s="9">
        <f>C4-(1%-F7)/4</f>
        <v>4.4411188687499999E-2</v>
      </c>
    </row>
    <row r="5" spans="2:9">
      <c r="B5" s="2" t="s">
        <v>0</v>
      </c>
      <c r="C5" s="13">
        <f t="array" ref="C5">VLOOKUP($B$1&amp;$C$1&amp;B5,IF({1,0},CurrentMtgRatesDataTable[Source]&amp;CurrentMtgRatesDataTable[TickerName]&amp;CurrentMtgRatesDataTable[SeriesType],CurrentMtgRatesDataTable[SeriesNumValue]),2,0)/100</f>
        <v>4.9050000000000003E-2</v>
      </c>
      <c r="D5" s="5"/>
      <c r="E5" s="32" t="s">
        <v>14</v>
      </c>
      <c r="F5" s="33">
        <f>C8</f>
        <v>0</v>
      </c>
    </row>
    <row r="6" spans="2:9">
      <c r="B6" s="2" t="s">
        <v>1</v>
      </c>
      <c r="C6" s="31">
        <f t="array" ref="C6">VLOOKUP($B$1&amp;$C$1&amp;B6,IF({1,0},CurrentMtgRatesDataTable[Source]&amp;CurrentMtgRatesDataTable[TickerName]&amp;CurrentMtgRatesDataTable[SeriesType],CurrentMtgRatesDataTable[SeriesNumValue]),2,0)</f>
        <v>200000</v>
      </c>
      <c r="E6" s="32" t="s">
        <v>9</v>
      </c>
      <c r="F6" s="34">
        <f>C7/C6-F4</f>
        <v>3.2644754749999998E-2</v>
      </c>
      <c r="I6" s="13"/>
    </row>
    <row r="7" spans="2:9">
      <c r="B7" s="91" t="s">
        <v>80</v>
      </c>
      <c r="C7" s="31">
        <f t="array" ref="C7">VLOOKUP($B$1&amp;$C$1&amp;B7,IF({1,0},CurrentMtgRatesDataTable[Source]&amp;CurrentMtgRatesDataTable[TickerName]&amp;CurrentMtgRatesDataTable[SeriesType],CurrentMtgRatesDataTable[SeriesNumValue]),2,0)</f>
        <v>6529</v>
      </c>
      <c r="D7" s="12"/>
      <c r="E7" s="2" t="s">
        <v>10</v>
      </c>
      <c r="F7" s="16">
        <f>F5+F6</f>
        <v>3.2644754749999998E-2</v>
      </c>
    </row>
    <row r="8" spans="2:9">
      <c r="B8" s="2" t="s">
        <v>7</v>
      </c>
      <c r="C8" s="34">
        <v>0</v>
      </c>
      <c r="D8" s="15"/>
    </row>
    <row r="9" spans="2:9">
      <c r="E9" s="35" t="s">
        <v>44</v>
      </c>
      <c r="F9" s="13">
        <f>C7/C6</f>
        <v>3.2645E-2</v>
      </c>
    </row>
    <row r="13" spans="2:9">
      <c r="B13" s="2" t="s">
        <v>13</v>
      </c>
    </row>
  </sheetData>
  <mergeCells count="3">
    <mergeCell ref="B2:C2"/>
    <mergeCell ref="E2:F2"/>
    <mergeCell ref="H2:I2"/>
  </mergeCells>
  <pageMargins left="0.7" right="0.7" top="0.75" bottom="0.75" header="0.3" footer="0.3"/>
  <pageSetup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18</vt:i4>
      </vt:variant>
    </vt:vector>
  </HeadingPairs>
  <TitlesOfParts>
    <vt:vector size="31" baseType="lpstr">
      <vt:lpstr>Report</vt:lpstr>
      <vt:lpstr>Time Series Query</vt:lpstr>
      <vt:lpstr>Rates Summary</vt:lpstr>
      <vt:lpstr>Upload Result</vt:lpstr>
      <vt:lpstr>Input Data</vt:lpstr>
      <vt:lpstr>Historic Result</vt:lpstr>
      <vt:lpstr>BoA - Conventional</vt:lpstr>
      <vt:lpstr>Chase - Conventional</vt:lpstr>
      <vt:lpstr>Quicken - Conventional</vt:lpstr>
      <vt:lpstr>Wells - Conventional</vt:lpstr>
      <vt:lpstr>Wells - Jumbo conformin</vt:lpstr>
      <vt:lpstr>Wells - Jumbo Non-conforming</vt:lpstr>
      <vt:lpstr>Wells - FHA</vt:lpstr>
      <vt:lpstr>'Wells - Jumbo conformin'!AIR</vt:lpstr>
      <vt:lpstr>'Wells - Jumbo Non-conforming'!AIR</vt:lpstr>
      <vt:lpstr>AIR</vt:lpstr>
      <vt:lpstr>'Wells - Jumbo conformin'!BOAIR</vt:lpstr>
      <vt:lpstr>'Wells - Jumbo Non-conforming'!BOAIR</vt:lpstr>
      <vt:lpstr>BOAIR</vt:lpstr>
      <vt:lpstr>CAPR</vt:lpstr>
      <vt:lpstr>CIR</vt:lpstr>
      <vt:lpstr>CP</vt:lpstr>
      <vt:lpstr>CurrentCloseDate</vt:lpstr>
      <vt:lpstr>DatabaseEnv</vt:lpstr>
      <vt:lpstr>OneDayBusDate</vt:lpstr>
      <vt:lpstr>OneWeekBusDate</vt:lpstr>
      <vt:lpstr>PDFReportName</vt:lpstr>
      <vt:lpstr>Report!Print_Area</vt:lpstr>
      <vt:lpstr>RatesList</vt:lpstr>
      <vt:lpstr>SaveRatesToDB</vt:lpstr>
      <vt:lpstr>WIR</vt:lpstr>
    </vt:vector>
  </TitlesOfParts>
  <Company>Hewlett-Packard Company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Lien Chen</dc:creator>
  <cp:lastModifiedBy>Lien Chen</cp:lastModifiedBy>
  <cp:lastPrinted>2015-03-05T18:40:57Z</cp:lastPrinted>
  <dcterms:created xsi:type="dcterms:W3CDTF">2015-02-26T13:52:04Z</dcterms:created>
  <dcterms:modified xsi:type="dcterms:W3CDTF">2015-03-05T19:02:22Z</dcterms:modified>
</cp:coreProperties>
</file>